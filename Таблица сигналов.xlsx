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\Projects\SW002-LoadWizardPro_v2\"/>
    </mc:Choice>
  </mc:AlternateContent>
  <xr:revisionPtr revIDLastSave="0" documentId="13_ncr:1_{206E7DAE-7257-4272-82EB-A61F41A29311}" xr6:coauthVersionLast="47" xr6:coauthVersionMax="47" xr10:uidLastSave="{00000000-0000-0000-0000-000000000000}"/>
  <bookViews>
    <workbookView xWindow="-96" yWindow="0" windowWidth="11712" windowHeight="12336" firstSheet="1" activeTab="2" xr2:uid="{0F8F6BBE-EBD7-4FEB-A239-792B86B6C8F6}"/>
  </bookViews>
  <sheets>
    <sheet name="IO ПЛК" sheetId="1" r:id="rId1"/>
    <sheet name="Fieldbus Робот" sheetId="2" r:id="rId2"/>
    <sheet name="Recipe Data" sheetId="8" r:id="rId3"/>
    <sheet name="System Error List" sheetId="6" r:id="rId4"/>
    <sheet name="Robot Error List" sheetId="10" r:id="rId5"/>
    <sheet name="Лист1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5" i="2" l="1"/>
  <c r="I276" i="2"/>
  <c r="I277" i="2"/>
  <c r="I278" i="2"/>
  <c r="I279" i="2"/>
  <c r="I280" i="2"/>
  <c r="I281" i="2"/>
  <c r="I282" i="2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2" i="9"/>
  <c r="D99" i="2"/>
  <c r="N3" i="9" a="1"/>
  <c r="N3" i="9"/>
  <c r="N4" i="9" a="1"/>
  <c r="N4" i="9"/>
  <c r="N5" i="9" a="1"/>
  <c r="N5" i="9"/>
  <c r="N6" i="9" a="1"/>
  <c r="N6" i="9" s="1"/>
  <c r="N7" i="9" a="1"/>
  <c r="N7" i="9" s="1"/>
  <c r="N8" i="9" a="1"/>
  <c r="N8" i="9" s="1"/>
  <c r="N9" i="9" a="1"/>
  <c r="N9" i="9"/>
  <c r="N10" i="9" a="1"/>
  <c r="N10" i="9"/>
  <c r="N11" i="9" a="1"/>
  <c r="N11" i="9" s="1"/>
  <c r="N12" i="9" a="1"/>
  <c r="N12" i="9" s="1"/>
  <c r="N13" i="9" a="1"/>
  <c r="N13" i="9" s="1"/>
  <c r="N14" i="9" a="1"/>
  <c r="N14" i="9" s="1"/>
  <c r="N15" i="9" a="1"/>
  <c r="N15" i="9"/>
  <c r="N16" i="9" a="1"/>
  <c r="N16" i="9"/>
  <c r="N17" i="9" a="1"/>
  <c r="N17" i="9" s="1"/>
  <c r="N19" i="9" a="1"/>
  <c r="N19" i="9" s="1"/>
  <c r="N20" i="9" a="1"/>
  <c r="N20" i="9" s="1"/>
  <c r="N21" i="9" a="1"/>
  <c r="N21" i="9"/>
  <c r="N22" i="9" a="1"/>
  <c r="N22" i="9"/>
  <c r="N23" i="9" a="1"/>
  <c r="N23" i="9" s="1"/>
  <c r="N24" i="9" a="1"/>
  <c r="N24" i="9" s="1"/>
  <c r="N25" i="9" a="1"/>
  <c r="N25" i="9" s="1"/>
  <c r="N26" i="9" a="1"/>
  <c r="N26" i="9" s="1"/>
  <c r="N27" i="9" a="1"/>
  <c r="N27" i="9"/>
  <c r="N28" i="9" a="1"/>
  <c r="N28" i="9"/>
  <c r="N29" i="9" a="1"/>
  <c r="N29" i="9" s="1"/>
  <c r="N30" i="9" a="1"/>
  <c r="N30" i="9" s="1"/>
  <c r="N31" i="9" a="1"/>
  <c r="N31" i="9" s="1"/>
  <c r="N32" i="9" a="1"/>
  <c r="N32" i="9" s="1"/>
  <c r="N33" i="9" a="1"/>
  <c r="N33" i="9"/>
  <c r="N35" i="9" a="1"/>
  <c r="N35" i="9" s="1"/>
  <c r="N36" i="9" a="1"/>
  <c r="N36" i="9" s="1"/>
  <c r="N37" i="9" a="1"/>
  <c r="N37" i="9" s="1"/>
  <c r="N38" i="9" a="1"/>
  <c r="N38" i="9" s="1"/>
  <c r="N39" i="9" a="1"/>
  <c r="N39" i="9"/>
  <c r="N40" i="9" a="1"/>
  <c r="N40" i="9"/>
  <c r="N41" i="9" a="1"/>
  <c r="N41" i="9" s="1"/>
  <c r="N42" i="9" a="1"/>
  <c r="N42" i="9" s="1"/>
  <c r="N43" i="9" a="1"/>
  <c r="N43" i="9" s="1"/>
  <c r="N44" i="9" a="1"/>
  <c r="N44" i="9" s="1"/>
  <c r="N45" i="9" a="1"/>
  <c r="N45" i="9"/>
  <c r="N46" i="9" a="1"/>
  <c r="N46" i="9"/>
  <c r="N47" i="9" a="1"/>
  <c r="N47" i="9" s="1"/>
  <c r="N48" i="9" a="1"/>
  <c r="N48" i="9" s="1"/>
  <c r="N49" i="9" a="1"/>
  <c r="N49" i="9" s="1"/>
  <c r="N51" i="9" a="1"/>
  <c r="N51" i="9"/>
  <c r="N52" i="9" a="1"/>
  <c r="N52" i="9"/>
  <c r="N53" i="9" a="1"/>
  <c r="N53" i="9" s="1"/>
  <c r="N54" i="9" a="1"/>
  <c r="N54" i="9" s="1"/>
  <c r="N55" i="9" a="1"/>
  <c r="N55" i="9" s="1"/>
  <c r="N56" i="9" a="1"/>
  <c r="N56" i="9" s="1"/>
  <c r="N57" i="9" a="1"/>
  <c r="N57" i="9"/>
  <c r="N58" i="9" a="1"/>
  <c r="N58" i="9"/>
  <c r="N59" i="9" a="1"/>
  <c r="N59" i="9" s="1"/>
  <c r="N60" i="9" a="1"/>
  <c r="N60" i="9" s="1"/>
  <c r="N61" i="9" a="1"/>
  <c r="N61" i="9" s="1"/>
  <c r="N62" i="9" a="1"/>
  <c r="N62" i="9" s="1"/>
  <c r="N63" i="9" a="1"/>
  <c r="N63" i="9"/>
  <c r="N64" i="9" a="1"/>
  <c r="N64" i="9"/>
  <c r="N65" i="9" a="1"/>
  <c r="N65" i="9" s="1"/>
  <c r="N67" i="9" a="1"/>
  <c r="N67" i="9" s="1"/>
  <c r="N68" i="9" a="1"/>
  <c r="N68" i="9" s="1"/>
  <c r="N69" i="9" a="1"/>
  <c r="N69" i="9"/>
  <c r="N70" i="9" a="1"/>
  <c r="N70" i="9"/>
  <c r="N71" i="9" a="1"/>
  <c r="N71" i="9" s="1"/>
  <c r="N72" i="9" a="1"/>
  <c r="N72" i="9" s="1"/>
  <c r="N73" i="9" a="1"/>
  <c r="N73" i="9" s="1"/>
  <c r="N74" i="9" a="1"/>
  <c r="N74" i="9" s="1"/>
  <c r="N75" i="9" a="1"/>
  <c r="N75" i="9"/>
  <c r="N76" i="9" a="1"/>
  <c r="N76" i="9"/>
  <c r="N77" i="9" a="1"/>
  <c r="N77" i="9" s="1"/>
  <c r="N78" i="9" a="1"/>
  <c r="N78" i="9" s="1"/>
  <c r="N79" i="9" a="1"/>
  <c r="N79" i="9" s="1"/>
  <c r="N80" i="9" a="1"/>
  <c r="N80" i="9" s="1"/>
  <c r="N81" i="9" a="1"/>
  <c r="N81" i="9"/>
  <c r="N83" i="9" a="1"/>
  <c r="N83" i="9" s="1"/>
  <c r="N84" i="9" a="1"/>
  <c r="N84" i="9" s="1"/>
  <c r="N85" i="9" a="1"/>
  <c r="N85" i="9" s="1"/>
  <c r="N86" i="9" a="1"/>
  <c r="N86" i="9" s="1"/>
  <c r="N87" i="9" a="1"/>
  <c r="N87" i="9"/>
  <c r="N88" i="9" a="1"/>
  <c r="N88" i="9"/>
  <c r="N89" i="9" a="1"/>
  <c r="N89" i="9" s="1"/>
  <c r="N90" i="9" a="1"/>
  <c r="N90" i="9" s="1"/>
  <c r="N91" i="9" a="1"/>
  <c r="N91" i="9" s="1"/>
  <c r="N92" i="9" a="1"/>
  <c r="N92" i="9" s="1"/>
  <c r="N93" i="9" a="1"/>
  <c r="N93" i="9"/>
  <c r="N94" i="9" a="1"/>
  <c r="N94" i="9"/>
  <c r="N95" i="9" a="1"/>
  <c r="N95" i="9" s="1"/>
  <c r="N96" i="9" a="1"/>
  <c r="N96" i="9" s="1"/>
  <c r="N97" i="9" a="1"/>
  <c r="N97" i="9" s="1"/>
  <c r="N99" i="9" a="1"/>
  <c r="N99" i="9"/>
  <c r="N100" i="9" a="1"/>
  <c r="N100" i="9"/>
  <c r="N101" i="9" a="1"/>
  <c r="N101" i="9" s="1"/>
  <c r="N102" i="9" a="1"/>
  <c r="N102" i="9" s="1"/>
  <c r="N103" i="9" a="1"/>
  <c r="N103" i="9" s="1"/>
  <c r="N104" i="9" a="1"/>
  <c r="N104" i="9" s="1"/>
  <c r="N105" i="9" a="1"/>
  <c r="N105" i="9"/>
  <c r="N106" i="9" a="1"/>
  <c r="N106" i="9"/>
  <c r="N107" i="9" a="1"/>
  <c r="N107" i="9" s="1"/>
  <c r="N108" i="9" a="1"/>
  <c r="N108" i="9" s="1"/>
  <c r="N109" i="9" a="1"/>
  <c r="N109" i="9" s="1"/>
  <c r="N110" i="9" a="1"/>
  <c r="N110" i="9" s="1"/>
  <c r="N111" i="9" a="1"/>
  <c r="N111" i="9"/>
  <c r="N112" i="9" a="1"/>
  <c r="N112" i="9"/>
  <c r="N113" i="9" a="1"/>
  <c r="N113" i="9" s="1"/>
  <c r="N115" i="9" a="1"/>
  <c r="N115" i="9" s="1"/>
  <c r="N116" i="9" a="1"/>
  <c r="N116" i="9" s="1"/>
  <c r="N117" i="9" a="1"/>
  <c r="N117" i="9"/>
  <c r="N118" i="9" a="1"/>
  <c r="N118" i="9"/>
  <c r="N119" i="9" a="1"/>
  <c r="N119" i="9" s="1"/>
  <c r="N120" i="9" a="1"/>
  <c r="N120" i="9" s="1"/>
  <c r="N121" i="9" a="1"/>
  <c r="N121" i="9" s="1"/>
  <c r="N122" i="9" a="1"/>
  <c r="N122" i="9" s="1"/>
  <c r="N123" i="9" a="1"/>
  <c r="N123" i="9"/>
  <c r="N124" i="9" a="1"/>
  <c r="N124" i="9"/>
  <c r="N125" i="9" a="1"/>
  <c r="N125" i="9" s="1"/>
  <c r="N126" i="9" a="1"/>
  <c r="N126" i="9" s="1"/>
  <c r="N127" i="9" a="1"/>
  <c r="N127" i="9" s="1"/>
  <c r="N128" i="9" a="1"/>
  <c r="N128" i="9"/>
  <c r="N129" i="9" a="1"/>
  <c r="N129" i="9"/>
  <c r="N131" i="9" a="1"/>
  <c r="N131" i="9" s="1"/>
  <c r="N132" i="9" a="1"/>
  <c r="N132" i="9" s="1"/>
  <c r="N133" i="9" a="1"/>
  <c r="N133" i="9" s="1"/>
  <c r="N134" i="9" a="1"/>
  <c r="N134" i="9" s="1"/>
  <c r="N135" i="9" a="1"/>
  <c r="N135" i="9" s="1"/>
  <c r="N136" i="9" a="1"/>
  <c r="N136" i="9"/>
  <c r="N137" i="9" a="1"/>
  <c r="N137" i="9" s="1"/>
  <c r="N138" i="9" a="1"/>
  <c r="N138" i="9"/>
  <c r="N139" i="9" a="1"/>
  <c r="N139" i="9" s="1"/>
  <c r="N140" i="9" a="1"/>
  <c r="N140" i="9" s="1"/>
  <c r="N141" i="9" a="1"/>
  <c r="N141" i="9" s="1"/>
  <c r="N142" i="9" a="1"/>
  <c r="N142" i="9" s="1"/>
  <c r="N143" i="9" a="1"/>
  <c r="N143" i="9" s="1"/>
  <c r="N144" i="9" a="1"/>
  <c r="N144" i="9" s="1"/>
  <c r="N145" i="9" a="1"/>
  <c r="N145" i="9" s="1"/>
  <c r="N147" i="9" a="1"/>
  <c r="N147" i="9" s="1"/>
  <c r="N148" i="9" a="1"/>
  <c r="N148" i="9" s="1"/>
  <c r="N149" i="9" a="1"/>
  <c r="N149" i="9" s="1"/>
  <c r="N150" i="9" a="1"/>
  <c r="N150" i="9" s="1"/>
  <c r="N151" i="9" a="1"/>
  <c r="N151" i="9" s="1"/>
  <c r="N152" i="9" a="1"/>
  <c r="N152" i="9" s="1"/>
  <c r="N153" i="9" a="1"/>
  <c r="N153" i="9" s="1"/>
  <c r="N154" i="9" a="1"/>
  <c r="N154" i="9"/>
  <c r="N155" i="9" a="1"/>
  <c r="N155" i="9" s="1"/>
  <c r="N156" i="9" a="1"/>
  <c r="N156" i="9" s="1"/>
  <c r="N157" i="9" a="1"/>
  <c r="N157" i="9" s="1"/>
  <c r="N158" i="9" a="1"/>
  <c r="N158" i="9" s="1"/>
  <c r="N159" i="9" a="1"/>
  <c r="N159" i="9" s="1"/>
  <c r="N160" i="9" a="1"/>
  <c r="N160" i="9" s="1"/>
  <c r="N161" i="9" a="1"/>
  <c r="N161" i="9" s="1"/>
  <c r="N163" i="9" a="1"/>
  <c r="N163" i="9" s="1"/>
  <c r="N164" i="9" a="1"/>
  <c r="N164" i="9" s="1"/>
  <c r="N165" i="9" a="1"/>
  <c r="N165" i="9" s="1"/>
  <c r="N166" i="9" a="1"/>
  <c r="N166" i="9" s="1"/>
  <c r="N167" i="9" a="1"/>
  <c r="N167" i="9" s="1"/>
  <c r="N168" i="9" a="1"/>
  <c r="N168" i="9"/>
  <c r="N169" i="9" a="1"/>
  <c r="N169" i="9" s="1"/>
  <c r="N170" i="9" a="1"/>
  <c r="N170" i="9"/>
  <c r="N171" i="9" a="1"/>
  <c r="N171" i="9" s="1"/>
  <c r="N172" i="9" a="1"/>
  <c r="N172" i="9" s="1"/>
  <c r="N173" i="9" a="1"/>
  <c r="N173" i="9" s="1"/>
  <c r="N174" i="9" a="1"/>
  <c r="N174" i="9" s="1"/>
  <c r="N175" i="9" a="1"/>
  <c r="N175" i="9" s="1"/>
  <c r="N176" i="9" a="1"/>
  <c r="N176" i="9" s="1"/>
  <c r="N177" i="9" a="1"/>
  <c r="N177" i="9" s="1"/>
  <c r="N179" i="9" a="1"/>
  <c r="N179" i="9" s="1"/>
  <c r="N180" i="9" a="1"/>
  <c r="N180" i="9" s="1"/>
  <c r="N181" i="9" a="1"/>
  <c r="N181" i="9" s="1"/>
  <c r="N182" i="9" a="1"/>
  <c r="N182" i="9" s="1"/>
  <c r="N183" i="9" a="1"/>
  <c r="N183" i="9" s="1"/>
  <c r="N184" i="9" a="1"/>
  <c r="N184" i="9" s="1"/>
  <c r="N185" i="9" a="1"/>
  <c r="N185" i="9" s="1"/>
  <c r="N186" i="9" a="1"/>
  <c r="N186" i="9"/>
  <c r="N187" i="9" a="1"/>
  <c r="N187" i="9" s="1"/>
  <c r="N188" i="9" a="1"/>
  <c r="N188" i="9" s="1"/>
  <c r="N189" i="9" a="1"/>
  <c r="N189" i="9" s="1"/>
  <c r="N190" i="9" a="1"/>
  <c r="N190" i="9" s="1"/>
  <c r="N191" i="9" a="1"/>
  <c r="N191" i="9" s="1"/>
  <c r="N192" i="9" a="1"/>
  <c r="N192" i="9" s="1"/>
  <c r="N193" i="9" a="1"/>
  <c r="N193" i="9" s="1"/>
  <c r="N195" i="9" a="1"/>
  <c r="N195" i="9" s="1"/>
  <c r="N196" i="9" a="1"/>
  <c r="N196" i="9" s="1"/>
  <c r="N197" i="9" a="1"/>
  <c r="N197" i="9" s="1"/>
  <c r="N198" i="9" a="1"/>
  <c r="N198" i="9" s="1"/>
  <c r="N199" i="9" a="1"/>
  <c r="N199" i="9" s="1"/>
  <c r="N200" i="9" a="1"/>
  <c r="N200" i="9" s="1"/>
  <c r="N201" i="9" a="1"/>
  <c r="N201" i="9" s="1"/>
  <c r="N202" i="9" a="1"/>
  <c r="N202" i="9" s="1"/>
  <c r="N203" i="9" a="1"/>
  <c r="N203" i="9" s="1"/>
  <c r="N204" i="9" a="1"/>
  <c r="N204" i="9" s="1"/>
  <c r="N205" i="9" a="1"/>
  <c r="N205" i="9" s="1"/>
  <c r="N206" i="9" a="1"/>
  <c r="N206" i="9" s="1"/>
  <c r="N207" i="9" a="1"/>
  <c r="N207" i="9" s="1"/>
  <c r="N208" i="9" a="1"/>
  <c r="N208" i="9" s="1"/>
  <c r="N209" i="9" a="1"/>
  <c r="N209" i="9" s="1"/>
  <c r="N211" i="9" a="1"/>
  <c r="N211" i="9" s="1"/>
  <c r="N212" i="9" a="1"/>
  <c r="N212" i="9" s="1"/>
  <c r="N213" i="9" a="1"/>
  <c r="N213" i="9" s="1"/>
  <c r="N214" i="9" a="1"/>
  <c r="N214" i="9" s="1"/>
  <c r="N215" i="9" a="1"/>
  <c r="N215" i="9" s="1"/>
  <c r="N216" i="9" a="1"/>
  <c r="N216" i="9" s="1"/>
  <c r="N217" i="9" a="1"/>
  <c r="N217" i="9" s="1"/>
  <c r="N218" i="9" a="1"/>
  <c r="N218" i="9"/>
  <c r="N219" i="9" a="1"/>
  <c r="N219" i="9" s="1"/>
  <c r="N220" i="9" a="1"/>
  <c r="N220" i="9" s="1"/>
  <c r="N221" i="9" a="1"/>
  <c r="N221" i="9" s="1"/>
  <c r="N222" i="9" a="1"/>
  <c r="N222" i="9" s="1"/>
  <c r="N223" i="9" a="1"/>
  <c r="N223" i="9" s="1"/>
  <c r="N224" i="9" a="1"/>
  <c r="N224" i="9" s="1"/>
  <c r="N225" i="9" a="1"/>
  <c r="N225" i="9" s="1"/>
  <c r="N227" i="9" a="1"/>
  <c r="N227" i="9" s="1"/>
  <c r="N228" i="9" a="1"/>
  <c r="N228" i="9" s="1"/>
  <c r="N229" i="9" a="1"/>
  <c r="N229" i="9" s="1"/>
  <c r="N230" i="9" a="1"/>
  <c r="N230" i="9" s="1"/>
  <c r="N231" i="9" a="1"/>
  <c r="N231" i="9" s="1"/>
  <c r="N232" i="9" a="1"/>
  <c r="N232" i="9" s="1"/>
  <c r="N233" i="9" a="1"/>
  <c r="N233" i="9" s="1"/>
  <c r="N234" i="9" a="1"/>
  <c r="N234" i="9" s="1"/>
  <c r="N235" i="9" a="1"/>
  <c r="N235" i="9" s="1"/>
  <c r="N236" i="9" a="1"/>
  <c r="N236" i="9" s="1"/>
  <c r="N237" i="9" a="1"/>
  <c r="N237" i="9" s="1"/>
  <c r="N238" i="9" a="1"/>
  <c r="N238" i="9" s="1"/>
  <c r="N239" i="9" a="1"/>
  <c r="N239" i="9" s="1"/>
  <c r="N240" i="9" a="1"/>
  <c r="N240" i="9" s="1"/>
  <c r="N241" i="9" a="1"/>
  <c r="N241" i="9" s="1"/>
  <c r="N243" i="9" a="1"/>
  <c r="N243" i="9" s="1"/>
  <c r="N244" i="9" a="1"/>
  <c r="N244" i="9" s="1"/>
  <c r="N245" i="9" a="1"/>
  <c r="N245" i="9" s="1"/>
  <c r="N246" i="9" a="1"/>
  <c r="N246" i="9" s="1"/>
  <c r="N247" i="9" a="1"/>
  <c r="N247" i="9" s="1"/>
  <c r="N248" i="9" a="1"/>
  <c r="N248" i="9" s="1"/>
  <c r="N249" i="9" a="1"/>
  <c r="N249" i="9" s="1"/>
  <c r="N250" i="9" a="1"/>
  <c r="N250" i="9" s="1"/>
  <c r="N251" i="9" a="1"/>
  <c r="N251" i="9" s="1"/>
  <c r="N252" i="9" a="1"/>
  <c r="N252" i="9" s="1"/>
  <c r="N253" i="9" a="1"/>
  <c r="N253" i="9" s="1"/>
  <c r="N254" i="9" a="1"/>
  <c r="N254" i="9" s="1"/>
  <c r="N255" i="9" a="1"/>
  <c r="N255" i="9" s="1"/>
  <c r="N256" i="9" a="1"/>
  <c r="N256" i="9" s="1"/>
  <c r="N257" i="9" a="1"/>
  <c r="N257" i="9" s="1"/>
  <c r="N259" i="9" a="1"/>
  <c r="N259" i="9" s="1"/>
  <c r="N260" i="9" a="1"/>
  <c r="N260" i="9" s="1"/>
  <c r="N261" i="9" a="1"/>
  <c r="N261" i="9" s="1"/>
  <c r="N262" i="9" a="1"/>
  <c r="N262" i="9" s="1"/>
  <c r="N263" i="9" a="1"/>
  <c r="N263" i="9" s="1"/>
  <c r="N264" i="9" a="1"/>
  <c r="N264" i="9"/>
  <c r="N265" i="9" a="1"/>
  <c r="N265" i="9" s="1"/>
  <c r="N266" i="9" a="1"/>
  <c r="N266" i="9" s="1"/>
  <c r="N267" i="9" a="1"/>
  <c r="N267" i="9" s="1"/>
  <c r="N268" i="9" a="1"/>
  <c r="N268" i="9" s="1"/>
  <c r="N269" i="9" a="1"/>
  <c r="N269" i="9" s="1"/>
  <c r="N270" i="9" a="1"/>
  <c r="N270" i="9" s="1"/>
  <c r="N271" i="9" a="1"/>
  <c r="N271" i="9" s="1"/>
  <c r="N272" i="9" a="1"/>
  <c r="N272" i="9" s="1"/>
  <c r="N273" i="9" a="1"/>
  <c r="N273" i="9" s="1"/>
  <c r="N275" i="9" a="1"/>
  <c r="N275" i="9" s="1"/>
  <c r="N276" i="9" a="1"/>
  <c r="N276" i="9" s="1"/>
  <c r="N277" i="9" a="1"/>
  <c r="N277" i="9" s="1"/>
  <c r="N278" i="9" a="1"/>
  <c r="N278" i="9" s="1"/>
  <c r="N279" i="9" a="1"/>
  <c r="N279" i="9" s="1"/>
  <c r="N280" i="9" a="1"/>
  <c r="N280" i="9"/>
  <c r="N281" i="9" a="1"/>
  <c r="N281" i="9" s="1"/>
  <c r="N282" i="9" a="1"/>
  <c r="N282" i="9" s="1"/>
  <c r="N283" i="9" a="1"/>
  <c r="N283" i="9" s="1"/>
  <c r="N284" i="9" a="1"/>
  <c r="N284" i="9" s="1"/>
  <c r="N285" i="9" a="1"/>
  <c r="N285" i="9" s="1"/>
  <c r="N286" i="9" a="1"/>
  <c r="N286" i="9" s="1"/>
  <c r="N287" i="9" a="1"/>
  <c r="N287" i="9" s="1"/>
  <c r="N288" i="9" a="1"/>
  <c r="N288" i="9" s="1"/>
  <c r="N289" i="9" a="1"/>
  <c r="N289" i="9" s="1"/>
  <c r="N291" i="9" a="1"/>
  <c r="N291" i="9" s="1"/>
  <c r="N292" i="9" a="1"/>
  <c r="N292" i="9" s="1"/>
  <c r="N293" i="9" a="1"/>
  <c r="N293" i="9" s="1"/>
  <c r="N294" i="9" a="1"/>
  <c r="N294" i="9" s="1"/>
  <c r="N295" i="9" a="1"/>
  <c r="N295" i="9" s="1"/>
  <c r="N296" i="9" a="1"/>
  <c r="N296" i="9"/>
  <c r="N297" i="9" a="1"/>
  <c r="N297" i="9" s="1"/>
  <c r="N298" i="9" a="1"/>
  <c r="N298" i="9" s="1"/>
  <c r="N299" i="9" a="1"/>
  <c r="N299" i="9" s="1"/>
  <c r="N300" i="9" a="1"/>
  <c r="N300" i="9"/>
  <c r="N301" i="9" a="1"/>
  <c r="N301" i="9" s="1"/>
  <c r="N302" i="9" a="1"/>
  <c r="N302" i="9" s="1"/>
  <c r="N303" i="9" a="1"/>
  <c r="N303" i="9" s="1"/>
  <c r="N304" i="9" a="1"/>
  <c r="N304" i="9"/>
  <c r="N305" i="9" a="1"/>
  <c r="N305" i="9" s="1"/>
  <c r="N307" i="9" a="1"/>
  <c r="N307" i="9" s="1"/>
  <c r="N308" i="9" a="1"/>
  <c r="N308" i="9"/>
  <c r="N309" i="9" a="1"/>
  <c r="N309" i="9" s="1"/>
  <c r="N310" i="9" a="1"/>
  <c r="N310" i="9" s="1"/>
  <c r="N311" i="9" a="1"/>
  <c r="N311" i="9" s="1"/>
  <c r="N312" i="9" a="1"/>
  <c r="N312" i="9"/>
  <c r="N313" i="9" a="1"/>
  <c r="N313" i="9" s="1"/>
  <c r="N314" i="9" a="1"/>
  <c r="N314" i="9" s="1"/>
  <c r="N315" i="9" a="1"/>
  <c r="N315" i="9" s="1"/>
  <c r="N316" i="9" a="1"/>
  <c r="N316" i="9"/>
  <c r="N317" i="9" a="1"/>
  <c r="N317" i="9" s="1"/>
  <c r="N318" i="9" a="1"/>
  <c r="N318" i="9" s="1"/>
  <c r="N319" i="9" a="1"/>
  <c r="N319" i="9" s="1"/>
  <c r="N320" i="9" a="1"/>
  <c r="N320" i="9"/>
  <c r="N321" i="9" a="1"/>
  <c r="N321" i="9" s="1"/>
  <c r="N323" i="9" a="1"/>
  <c r="N323" i="9" s="1"/>
  <c r="N324" i="9" a="1"/>
  <c r="N324" i="9"/>
  <c r="N325" i="9" a="1"/>
  <c r="N325" i="9" s="1"/>
  <c r="N326" i="9" a="1"/>
  <c r="N326" i="9" s="1"/>
  <c r="N327" i="9" a="1"/>
  <c r="N327" i="9" s="1"/>
  <c r="N328" i="9" a="1"/>
  <c r="N328" i="9"/>
  <c r="N329" i="9" a="1"/>
  <c r="N329" i="9" s="1"/>
  <c r="N330" i="9" a="1"/>
  <c r="N330" i="9" s="1"/>
  <c r="N331" i="9" a="1"/>
  <c r="N331" i="9" s="1"/>
  <c r="N332" i="9" a="1"/>
  <c r="N332" i="9" s="1"/>
  <c r="N333" i="9" a="1"/>
  <c r="N333" i="9" s="1"/>
  <c r="N334" i="9" a="1"/>
  <c r="N334" i="9" s="1"/>
  <c r="N335" i="9" a="1"/>
  <c r="N335" i="9" s="1"/>
  <c r="N336" i="9" a="1"/>
  <c r="N336" i="9"/>
  <c r="N337" i="9" a="1"/>
  <c r="N337" i="9" s="1"/>
  <c r="N339" i="9" a="1"/>
  <c r="N339" i="9" s="1"/>
  <c r="N340" i="9" a="1"/>
  <c r="N340" i="9" s="1"/>
  <c r="N341" i="9" a="1"/>
  <c r="N341" i="9" s="1"/>
  <c r="N342" i="9" a="1"/>
  <c r="N342" i="9"/>
  <c r="N343" i="9" a="1"/>
  <c r="N343" i="9" s="1"/>
  <c r="N344" i="9" a="1"/>
  <c r="N344" i="9" s="1"/>
  <c r="N345" i="9" a="1"/>
  <c r="N345" i="9" s="1"/>
  <c r="N346" i="9" a="1"/>
  <c r="N346" i="9"/>
  <c r="N347" i="9" a="1"/>
  <c r="N347" i="9" s="1"/>
  <c r="N348" i="9" a="1"/>
  <c r="N348" i="9" s="1"/>
  <c r="N349" i="9" a="1"/>
  <c r="N349" i="9" s="1"/>
  <c r="N350" i="9" a="1"/>
  <c r="N350" i="9" s="1"/>
  <c r="N351" i="9" a="1"/>
  <c r="N351" i="9" s="1"/>
  <c r="N352" i="9" a="1"/>
  <c r="N352" i="9" s="1"/>
  <c r="N353" i="9" a="1"/>
  <c r="N353" i="9" s="1"/>
  <c r="N355" i="9" a="1"/>
  <c r="N355" i="9" s="1"/>
  <c r="N356" i="9" a="1"/>
  <c r="N356" i="9" s="1"/>
  <c r="N357" i="9" a="1"/>
  <c r="N357" i="9" s="1"/>
  <c r="N358" i="9" a="1"/>
  <c r="N358" i="9" s="1"/>
  <c r="N359" i="9" a="1"/>
  <c r="N359" i="9" s="1"/>
  <c r="N360" i="9" a="1"/>
  <c r="N360" i="9"/>
  <c r="N361" i="9" a="1"/>
  <c r="N361" i="9" s="1"/>
  <c r="N362" i="9" a="1"/>
  <c r="N362" i="9" s="1"/>
  <c r="N363" i="9" a="1"/>
  <c r="N363" i="9" s="1"/>
  <c r="N364" i="9" a="1"/>
  <c r="N364" i="9" s="1"/>
  <c r="N365" i="9" a="1"/>
  <c r="N365" i="9" s="1"/>
  <c r="N366" i="9" a="1"/>
  <c r="N366" i="9" s="1"/>
  <c r="N367" i="9" a="1"/>
  <c r="N367" i="9" s="1"/>
  <c r="N368" i="9" a="1"/>
  <c r="N368" i="9"/>
  <c r="N369" i="9" a="1"/>
  <c r="N369" i="9" s="1"/>
  <c r="N371" i="9" a="1"/>
  <c r="N371" i="9" s="1"/>
  <c r="N372" i="9" a="1"/>
  <c r="N372" i="9" s="1"/>
  <c r="N373" i="9" a="1"/>
  <c r="N373" i="9" s="1"/>
  <c r="N374" i="9" a="1"/>
  <c r="N374" i="9" s="1"/>
  <c r="N375" i="9" a="1"/>
  <c r="N375" i="9" s="1"/>
  <c r="N376" i="9" a="1"/>
  <c r="N376" i="9" s="1"/>
  <c r="N377" i="9" a="1"/>
  <c r="N377" i="9" s="1"/>
  <c r="N378" i="9" a="1"/>
  <c r="N378" i="9"/>
  <c r="N379" i="9" a="1"/>
  <c r="N379" i="9" s="1"/>
  <c r="N380" i="9" a="1"/>
  <c r="N380" i="9" s="1"/>
  <c r="N381" i="9" a="1"/>
  <c r="N381" i="9" s="1"/>
  <c r="N382" i="9" a="1"/>
  <c r="N382" i="9" s="1"/>
  <c r="N383" i="9" a="1"/>
  <c r="N383" i="9" s="1"/>
  <c r="N384" i="9" a="1"/>
  <c r="N384" i="9"/>
  <c r="N385" i="9" a="1"/>
  <c r="N385" i="9" s="1"/>
  <c r="N387" i="9" a="1"/>
  <c r="N387" i="9" s="1"/>
  <c r="N388" i="9" a="1"/>
  <c r="N388" i="9" s="1"/>
  <c r="N389" i="9" a="1"/>
  <c r="N389" i="9" s="1"/>
  <c r="N390" i="9" a="1"/>
  <c r="N390" i="9" s="1"/>
  <c r="N391" i="9" a="1"/>
  <c r="N391" i="9" s="1"/>
  <c r="N392" i="9" a="1"/>
  <c r="N392" i="9"/>
  <c r="N393" i="9" a="1"/>
  <c r="N393" i="9" s="1"/>
  <c r="N394" i="9" a="1"/>
  <c r="N394" i="9" s="1"/>
  <c r="N395" i="9" a="1"/>
  <c r="N395" i="9" s="1"/>
  <c r="N396" i="9" a="1"/>
  <c r="N396" i="9" s="1"/>
  <c r="N397" i="9" a="1"/>
  <c r="N397" i="9" s="1"/>
  <c r="N398" i="9" a="1"/>
  <c r="N398" i="9"/>
  <c r="N399" i="9" a="1"/>
  <c r="N399" i="9" s="1"/>
  <c r="N400" i="9" a="1"/>
  <c r="N400" i="9" s="1"/>
  <c r="N401" i="9" a="1"/>
  <c r="N401" i="9" s="1"/>
  <c r="N403" i="9" a="1"/>
  <c r="N403" i="9" s="1"/>
  <c r="N404" i="9" a="1"/>
  <c r="N404" i="9" s="1"/>
  <c r="N405" i="9" a="1"/>
  <c r="N405" i="9" s="1"/>
  <c r="N406" i="9" a="1"/>
  <c r="N406" i="9" s="1"/>
  <c r="N407" i="9" a="1"/>
  <c r="N407" i="9" s="1"/>
  <c r="N408" i="9" a="1"/>
  <c r="N408" i="9"/>
  <c r="N409" i="9" a="1"/>
  <c r="N409" i="9" s="1"/>
  <c r="N410" i="9" a="1"/>
  <c r="N410" i="9" s="1"/>
  <c r="N411" i="9" a="1"/>
  <c r="N411" i="9" s="1"/>
  <c r="N412" i="9" a="1"/>
  <c r="N412" i="9" s="1"/>
  <c r="N413" i="9" a="1"/>
  <c r="N413" i="9" s="1"/>
  <c r="N414" i="9" a="1"/>
  <c r="N414" i="9" s="1"/>
  <c r="N415" i="9" a="1"/>
  <c r="N415" i="9" s="1"/>
  <c r="N416" i="9" a="1"/>
  <c r="N416" i="9"/>
  <c r="N417" i="9" a="1"/>
  <c r="N417" i="9" s="1"/>
  <c r="N419" i="9" a="1"/>
  <c r="N419" i="9" s="1"/>
  <c r="N420" i="9" a="1"/>
  <c r="N420" i="9" s="1"/>
  <c r="N421" i="9" a="1"/>
  <c r="N421" i="9" s="1"/>
  <c r="N422" i="9" a="1"/>
  <c r="N422" i="9" s="1"/>
  <c r="N423" i="9" a="1"/>
  <c r="N423" i="9" s="1"/>
  <c r="N424" i="9" a="1"/>
  <c r="N424" i="9"/>
  <c r="N425" i="9" a="1"/>
  <c r="N425" i="9" s="1"/>
  <c r="N426" i="9" a="1"/>
  <c r="N426" i="9" s="1"/>
  <c r="N427" i="9" a="1"/>
  <c r="N427" i="9" s="1"/>
  <c r="N428" i="9" a="1"/>
  <c r="N428" i="9" s="1"/>
  <c r="N429" i="9" a="1"/>
  <c r="N429" i="9" s="1"/>
  <c r="N430" i="9" a="1"/>
  <c r="N430" i="9" s="1"/>
  <c r="N431" i="9" a="1"/>
  <c r="N431" i="9" s="1"/>
  <c r="N432" i="9" a="1"/>
  <c r="N432" i="9" s="1"/>
  <c r="N433" i="9" a="1"/>
  <c r="N433" i="9" s="1"/>
  <c r="N435" i="9" a="1"/>
  <c r="N435" i="9" s="1"/>
  <c r="N436" i="9" a="1"/>
  <c r="N436" i="9" s="1"/>
  <c r="N437" i="9" a="1"/>
  <c r="N437" i="9"/>
  <c r="N438" i="9" a="1"/>
  <c r="N438" i="9" s="1"/>
  <c r="N439" i="9" a="1"/>
  <c r="N439" i="9" s="1"/>
  <c r="N440" i="9" a="1"/>
  <c r="N440" i="9" s="1"/>
  <c r="N441" i="9" a="1"/>
  <c r="N441" i="9" s="1"/>
  <c r="N442" i="9" a="1"/>
  <c r="N442" i="9" s="1"/>
  <c r="N443" i="9" a="1"/>
  <c r="N443" i="9" s="1"/>
  <c r="N444" i="9" a="1"/>
  <c r="N444" i="9" s="1"/>
  <c r="N445" i="9" a="1"/>
  <c r="N445" i="9"/>
  <c r="N446" i="9" a="1"/>
  <c r="N446" i="9" s="1"/>
  <c r="N447" i="9" a="1"/>
  <c r="N447" i="9" s="1"/>
  <c r="N448" i="9" a="1"/>
  <c r="N448" i="9" s="1"/>
  <c r="N449" i="9" a="1"/>
  <c r="N449" i="9" s="1"/>
  <c r="N451" i="9" a="1"/>
  <c r="N451" i="9"/>
  <c r="N452" i="9" a="1"/>
  <c r="N452" i="9" s="1"/>
  <c r="N453" i="9" a="1"/>
  <c r="N453" i="9" s="1"/>
  <c r="N454" i="9" a="1"/>
  <c r="N454" i="9" s="1"/>
  <c r="N455" i="9" a="1"/>
  <c r="N455" i="9" s="1"/>
  <c r="N456" i="9" a="1"/>
  <c r="N456" i="9" s="1"/>
  <c r="N457" i="9" a="1"/>
  <c r="N457" i="9" s="1"/>
  <c r="N458" i="9" a="1"/>
  <c r="N458" i="9" s="1"/>
  <c r="N459" i="9" a="1"/>
  <c r="N459" i="9" s="1"/>
  <c r="N460" i="9" a="1"/>
  <c r="N460" i="9" s="1"/>
  <c r="N461" i="9" a="1"/>
  <c r="N461" i="9" s="1"/>
  <c r="N462" i="9" a="1"/>
  <c r="N462" i="9" s="1"/>
  <c r="N463" i="9" a="1"/>
  <c r="N463" i="9" s="1"/>
  <c r="N464" i="9" a="1"/>
  <c r="N464" i="9" s="1"/>
  <c r="N465" i="9" a="1"/>
  <c r="N465" i="9" s="1"/>
  <c r="N467" i="9" a="1"/>
  <c r="N467" i="9"/>
  <c r="N468" i="9" a="1"/>
  <c r="N468" i="9" s="1"/>
  <c r="N469" i="9" a="1"/>
  <c r="N469" i="9" s="1"/>
  <c r="N470" i="9" a="1"/>
  <c r="N470" i="9" s="1"/>
  <c r="N471" i="9" a="1"/>
  <c r="N471" i="9" s="1"/>
  <c r="N472" i="9" a="1"/>
  <c r="N472" i="9" s="1"/>
  <c r="N473" i="9" a="1"/>
  <c r="N473" i="9"/>
  <c r="N474" i="9" a="1"/>
  <c r="N474" i="9" s="1"/>
  <c r="N475" i="9" a="1"/>
  <c r="N475" i="9" s="1"/>
  <c r="N476" i="9" a="1"/>
  <c r="N476" i="9" s="1"/>
  <c r="N477" i="9" a="1"/>
  <c r="N477" i="9"/>
  <c r="N478" i="9" a="1"/>
  <c r="N478" i="9" s="1"/>
  <c r="N479" i="9" a="1"/>
  <c r="N479" i="9" s="1"/>
  <c r="N480" i="9" a="1"/>
  <c r="N480" i="9" s="1"/>
  <c r="N481" i="9" a="1"/>
  <c r="N481" i="9"/>
  <c r="N483" i="9" a="1"/>
  <c r="N483" i="9" s="1"/>
  <c r="N484" i="9" a="1"/>
  <c r="N484" i="9" s="1"/>
  <c r="N485" i="9" a="1"/>
  <c r="N485" i="9" s="1"/>
  <c r="N486" i="9" a="1"/>
  <c r="N486" i="9" s="1"/>
  <c r="N487" i="9" a="1"/>
  <c r="N487" i="9" s="1"/>
  <c r="N488" i="9" a="1"/>
  <c r="N488" i="9" s="1"/>
  <c r="N489" i="9" a="1"/>
  <c r="N489" i="9"/>
  <c r="N490" i="9" a="1"/>
  <c r="N490" i="9" s="1"/>
  <c r="N491" i="9" a="1"/>
  <c r="N491" i="9" s="1"/>
  <c r="N492" i="9" a="1"/>
  <c r="N492" i="9" s="1"/>
  <c r="N493" i="9" a="1"/>
  <c r="N493" i="9"/>
  <c r="N494" i="9" a="1"/>
  <c r="N494" i="9" s="1"/>
  <c r="N495" i="9" a="1"/>
  <c r="N495" i="9" s="1"/>
  <c r="N496" i="9" a="1"/>
  <c r="N496" i="9" s="1"/>
  <c r="N497" i="9" a="1"/>
  <c r="N497" i="9" s="1"/>
  <c r="N499" i="9" a="1"/>
  <c r="N499" i="9" s="1"/>
  <c r="N500" i="9" a="1"/>
  <c r="N500" i="9" s="1"/>
  <c r="N501" i="9" a="1"/>
  <c r="N501" i="9" s="1"/>
  <c r="N502" i="9" a="1"/>
  <c r="N502" i="9" s="1"/>
  <c r="N503" i="9" a="1"/>
  <c r="N503" i="9" s="1"/>
  <c r="N504" i="9" a="1"/>
  <c r="N504" i="9" s="1"/>
  <c r="N505" i="9" a="1"/>
  <c r="N505" i="9" s="1"/>
  <c r="N506" i="9" a="1"/>
  <c r="N506" i="9" s="1"/>
  <c r="N507" i="9" a="1"/>
  <c r="N507" i="9"/>
  <c r="N508" i="9" a="1"/>
  <c r="N508" i="9" s="1"/>
  <c r="N509" i="9" a="1"/>
  <c r="N509" i="9" s="1"/>
  <c r="N510" i="9" a="1"/>
  <c r="N510" i="9" s="1"/>
  <c r="N511" i="9" a="1"/>
  <c r="N511" i="9" s="1"/>
  <c r="N512" i="9" a="1"/>
  <c r="N512" i="9" s="1"/>
  <c r="N513" i="9" a="1"/>
  <c r="N513" i="9"/>
  <c r="N515" i="9" a="1"/>
  <c r="N515" i="9" s="1"/>
  <c r="N516" i="9" a="1"/>
  <c r="N516" i="9" s="1"/>
  <c r="N517" i="9" a="1"/>
  <c r="N517" i="9" s="1"/>
  <c r="N518" i="9" a="1"/>
  <c r="N518" i="9" s="1"/>
  <c r="N519" i="9" a="1"/>
  <c r="N519" i="9" s="1"/>
  <c r="N520" i="9" a="1"/>
  <c r="N520" i="9" s="1"/>
  <c r="N521" i="9" a="1"/>
  <c r="N521" i="9"/>
  <c r="N522" i="9" a="1"/>
  <c r="N522" i="9" s="1"/>
  <c r="N523" i="9" a="1"/>
  <c r="N523" i="9" s="1"/>
  <c r="N524" i="9" a="1"/>
  <c r="N524" i="9" s="1"/>
  <c r="N525" i="9" a="1"/>
  <c r="N525" i="9" s="1"/>
  <c r="N526" i="9" a="1"/>
  <c r="N526" i="9" s="1"/>
  <c r="N527" i="9" a="1"/>
  <c r="N527" i="9" s="1"/>
  <c r="N528" i="9" a="1"/>
  <c r="N528" i="9" s="1"/>
  <c r="N529" i="9" a="1"/>
  <c r="N529" i="9" s="1"/>
  <c r="N531" i="9" a="1"/>
  <c r="N531" i="9" s="1"/>
  <c r="N532" i="9" a="1"/>
  <c r="N532" i="9" s="1"/>
  <c r="N533" i="9" a="1"/>
  <c r="N533" i="9" s="1"/>
  <c r="N534" i="9" a="1"/>
  <c r="N534" i="9" s="1"/>
  <c r="N535" i="9" a="1"/>
  <c r="N535" i="9" s="1"/>
  <c r="N536" i="9" a="1"/>
  <c r="N536" i="9" s="1"/>
  <c r="N537" i="9" a="1"/>
  <c r="N537" i="9"/>
  <c r="N538" i="9" a="1"/>
  <c r="N538" i="9" s="1"/>
  <c r="N539" i="9" a="1"/>
  <c r="N539" i="9" s="1"/>
  <c r="N540" i="9" a="1"/>
  <c r="N540" i="9" s="1"/>
  <c r="N541" i="9" a="1"/>
  <c r="N541" i="9" s="1"/>
  <c r="N542" i="9" a="1"/>
  <c r="N542" i="9" s="1"/>
  <c r="N543" i="9" a="1"/>
  <c r="N543" i="9" s="1"/>
  <c r="N544" i="9" a="1"/>
  <c r="N544" i="9" s="1"/>
  <c r="N545" i="9" a="1"/>
  <c r="N545" i="9" s="1"/>
  <c r="N547" i="9" a="1"/>
  <c r="N547" i="9" s="1"/>
  <c r="N548" i="9" a="1"/>
  <c r="N548" i="9" s="1"/>
  <c r="N549" i="9" a="1"/>
  <c r="N549" i="9"/>
  <c r="N550" i="9" a="1"/>
  <c r="N550" i="9" s="1"/>
  <c r="N551" i="9" a="1"/>
  <c r="N551" i="9" s="1"/>
  <c r="N552" i="9" a="1"/>
  <c r="N552" i="9" s="1"/>
  <c r="N553" i="9" a="1"/>
  <c r="N553" i="9" s="1"/>
  <c r="N554" i="9" a="1"/>
  <c r="N554" i="9" s="1"/>
  <c r="N555" i="9" a="1"/>
  <c r="N555" i="9" s="1"/>
  <c r="N556" i="9" a="1"/>
  <c r="N556" i="9" s="1"/>
  <c r="N557" i="9" a="1"/>
  <c r="N557" i="9"/>
  <c r="N558" i="9" a="1"/>
  <c r="N558" i="9" s="1"/>
  <c r="N559" i="9" a="1"/>
  <c r="N559" i="9" s="1"/>
  <c r="N560" i="9" a="1"/>
  <c r="N560" i="9" s="1"/>
  <c r="N561" i="9" a="1"/>
  <c r="N561" i="9" s="1"/>
  <c r="N563" i="9" a="1"/>
  <c r="N563" i="9" s="1"/>
  <c r="N564" i="9" a="1"/>
  <c r="N564" i="9" s="1"/>
  <c r="N565" i="9" a="1"/>
  <c r="N565" i="9" s="1"/>
  <c r="N566" i="9" a="1"/>
  <c r="N566" i="9" s="1"/>
  <c r="N567" i="9" a="1"/>
  <c r="N567" i="9" s="1"/>
  <c r="N568" i="9" a="1"/>
  <c r="N568" i="9" s="1"/>
  <c r="N569" i="9" a="1"/>
  <c r="N569" i="9" s="1"/>
  <c r="N570" i="9" a="1"/>
  <c r="N570" i="9" s="1"/>
  <c r="N571" i="9" a="1"/>
  <c r="N571" i="9" s="1"/>
  <c r="N572" i="9" a="1"/>
  <c r="N572" i="9" s="1"/>
  <c r="N573" i="9" a="1"/>
  <c r="N573" i="9"/>
  <c r="N574" i="9" a="1"/>
  <c r="N574" i="9" s="1"/>
  <c r="N575" i="9" a="1"/>
  <c r="N575" i="9" s="1"/>
  <c r="N576" i="9" a="1"/>
  <c r="N576" i="9" s="1"/>
  <c r="N577" i="9" a="1"/>
  <c r="N577" i="9"/>
  <c r="N579" i="9" a="1"/>
  <c r="N579" i="9" s="1"/>
  <c r="N580" i="9" a="1"/>
  <c r="N580" i="9" s="1"/>
  <c r="N581" i="9" a="1"/>
  <c r="N581" i="9" s="1"/>
  <c r="N582" i="9" a="1"/>
  <c r="N582" i="9" s="1"/>
  <c r="N583" i="9" a="1"/>
  <c r="N583" i="9" s="1"/>
  <c r="N584" i="9" a="1"/>
  <c r="N584" i="9" s="1"/>
  <c r="N585" i="9" a="1"/>
  <c r="N585" i="9" s="1"/>
  <c r="N586" i="9" a="1"/>
  <c r="N586" i="9" s="1"/>
  <c r="N587" i="9" a="1"/>
  <c r="N587" i="9" s="1"/>
  <c r="N588" i="9" a="1"/>
  <c r="N588" i="9" s="1"/>
  <c r="N589" i="9" a="1"/>
  <c r="N589" i="9" s="1"/>
  <c r="N590" i="9" a="1"/>
  <c r="N590" i="9" s="1"/>
  <c r="N591" i="9" a="1"/>
  <c r="N591" i="9" s="1"/>
  <c r="N592" i="9" a="1"/>
  <c r="N592" i="9" s="1"/>
  <c r="N593" i="9" a="1"/>
  <c r="N593" i="9" s="1"/>
  <c r="N595" i="9" a="1"/>
  <c r="N595" i="9" s="1"/>
  <c r="N596" i="9" a="1"/>
  <c r="N596" i="9" s="1"/>
  <c r="N597" i="9" a="1"/>
  <c r="N597" i="9" s="1"/>
  <c r="N598" i="9" a="1"/>
  <c r="N598" i="9" s="1"/>
  <c r="N599" i="9" a="1"/>
  <c r="N599" i="9" s="1"/>
  <c r="N600" i="9" a="1"/>
  <c r="N600" i="9" s="1"/>
  <c r="N601" i="9" a="1"/>
  <c r="N601" i="9" s="1"/>
  <c r="N602" i="9" a="1"/>
  <c r="N602" i="9" s="1"/>
  <c r="N603" i="9" a="1"/>
  <c r="N603" i="9" s="1"/>
  <c r="N604" i="9" a="1"/>
  <c r="N604" i="9" s="1"/>
  <c r="N605" i="9" a="1"/>
  <c r="N605" i="9" s="1"/>
  <c r="N606" i="9" a="1"/>
  <c r="N606" i="9" s="1"/>
  <c r="N607" i="9" a="1"/>
  <c r="N607" i="9" s="1"/>
  <c r="N608" i="9" a="1"/>
  <c r="N608" i="9" s="1"/>
  <c r="N609" i="9" a="1"/>
  <c r="N609" i="9"/>
  <c r="N611" i="9" a="1"/>
  <c r="N611" i="9" s="1"/>
  <c r="N612" i="9" a="1"/>
  <c r="N612" i="9" s="1"/>
  <c r="N613" i="9" a="1"/>
  <c r="N613" i="9" s="1"/>
  <c r="N614" i="9" a="1"/>
  <c r="N614" i="9" s="1"/>
  <c r="N615" i="9" a="1"/>
  <c r="N615" i="9" s="1"/>
  <c r="N616" i="9" a="1"/>
  <c r="N616" i="9" s="1"/>
  <c r="N617" i="9" a="1"/>
  <c r="N617" i="9" s="1"/>
  <c r="N618" i="9" a="1"/>
  <c r="N618" i="9" s="1"/>
  <c r="N619" i="9" a="1"/>
  <c r="N619" i="9" s="1"/>
  <c r="N620" i="9" a="1"/>
  <c r="N620" i="9" s="1"/>
  <c r="N621" i="9" a="1"/>
  <c r="N621" i="9" s="1"/>
  <c r="N622" i="9" a="1"/>
  <c r="N622" i="9" s="1"/>
  <c r="N623" i="9" a="1"/>
  <c r="N623" i="9" s="1"/>
  <c r="N624" i="9" a="1"/>
  <c r="N624" i="9" s="1"/>
  <c r="N625" i="9" a="1"/>
  <c r="N625" i="9" s="1"/>
  <c r="N627" i="9" a="1"/>
  <c r="N627" i="9" s="1"/>
  <c r="N628" i="9" a="1"/>
  <c r="N628" i="9" s="1"/>
  <c r="N629" i="9" a="1"/>
  <c r="N629" i="9" s="1"/>
  <c r="N630" i="9" a="1"/>
  <c r="N630" i="9" s="1"/>
  <c r="N631" i="9" a="1"/>
  <c r="N631" i="9" s="1"/>
  <c r="N632" i="9" a="1"/>
  <c r="N632" i="9" s="1"/>
  <c r="N633" i="9" a="1"/>
  <c r="N633" i="9" s="1"/>
  <c r="N634" i="9" a="1"/>
  <c r="N634" i="9" s="1"/>
  <c r="N635" i="9" a="1"/>
  <c r="N635" i="9" s="1"/>
  <c r="N636" i="9" a="1"/>
  <c r="N636" i="9" s="1"/>
  <c r="N637" i="9" a="1"/>
  <c r="N637" i="9" s="1"/>
  <c r="N638" i="9" a="1"/>
  <c r="N638" i="9" s="1"/>
  <c r="N639" i="9" a="1"/>
  <c r="N639" i="9" s="1"/>
  <c r="N640" i="9" a="1"/>
  <c r="N640" i="9" s="1"/>
  <c r="N641" i="9" a="1"/>
  <c r="N641" i="9"/>
  <c r="N643" i="9" a="1"/>
  <c r="N643" i="9" s="1"/>
  <c r="N644" i="9" a="1"/>
  <c r="N644" i="9" s="1"/>
  <c r="N645" i="9" a="1"/>
  <c r="N645" i="9" s="1"/>
  <c r="N646" i="9" a="1"/>
  <c r="N646" i="9" s="1"/>
  <c r="N647" i="9" a="1"/>
  <c r="N647" i="9" s="1"/>
  <c r="N648" i="9" a="1"/>
  <c r="N648" i="9" s="1"/>
  <c r="N649" i="9" a="1"/>
  <c r="N649" i="9" s="1"/>
  <c r="N650" i="9" a="1"/>
  <c r="N650" i="9" s="1"/>
  <c r="N651" i="9" a="1"/>
  <c r="N651" i="9" s="1"/>
  <c r="N652" i="9" a="1"/>
  <c r="N652" i="9" s="1"/>
  <c r="N653" i="9" a="1"/>
  <c r="N653" i="9" s="1"/>
  <c r="N654" i="9" a="1"/>
  <c r="N654" i="9" s="1"/>
  <c r="N655" i="9" a="1"/>
  <c r="N655" i="9" s="1"/>
  <c r="N656" i="9" a="1"/>
  <c r="N656" i="9" s="1"/>
  <c r="N657" i="9" a="1"/>
  <c r="N657" i="9" s="1"/>
  <c r="N659" i="9" a="1"/>
  <c r="N659" i="9" s="1"/>
  <c r="N660" i="9" a="1"/>
  <c r="N660" i="9" s="1"/>
  <c r="N661" i="9" a="1"/>
  <c r="N661" i="9" s="1"/>
  <c r="N662" i="9" a="1"/>
  <c r="N662" i="9" s="1"/>
  <c r="N663" i="9" a="1"/>
  <c r="N663" i="9" s="1"/>
  <c r="N664" i="9" a="1"/>
  <c r="N664" i="9" s="1"/>
  <c r="N665" i="9" a="1"/>
  <c r="N665" i="9" s="1"/>
  <c r="N666" i="9" a="1"/>
  <c r="N666" i="9" s="1"/>
  <c r="N667" i="9" a="1"/>
  <c r="N667" i="9" s="1"/>
  <c r="N668" i="9" a="1"/>
  <c r="N668" i="9" s="1"/>
  <c r="N669" i="9" a="1"/>
  <c r="N669" i="9" s="1"/>
  <c r="N670" i="9" a="1"/>
  <c r="N670" i="9" s="1"/>
  <c r="N671" i="9" a="1"/>
  <c r="N671" i="9" s="1"/>
  <c r="N672" i="9" a="1"/>
  <c r="N672" i="9" s="1"/>
  <c r="N673" i="9" a="1"/>
  <c r="N673" i="9"/>
  <c r="N675" i="9" a="1"/>
  <c r="N675" i="9" s="1"/>
  <c r="N676" i="9" a="1"/>
  <c r="N676" i="9" s="1"/>
  <c r="N677" i="9" a="1"/>
  <c r="N677" i="9" s="1"/>
  <c r="N678" i="9" a="1"/>
  <c r="N678" i="9" s="1"/>
  <c r="N679" i="9" a="1"/>
  <c r="N679" i="9" s="1"/>
  <c r="N680" i="9" a="1"/>
  <c r="N680" i="9" s="1"/>
  <c r="N681" i="9" a="1"/>
  <c r="N681" i="9" s="1"/>
  <c r="N682" i="9" a="1"/>
  <c r="N682" i="9" s="1"/>
  <c r="N683" i="9" a="1"/>
  <c r="N683" i="9" s="1"/>
  <c r="N684" i="9" a="1"/>
  <c r="N684" i="9" s="1"/>
  <c r="N685" i="9" a="1"/>
  <c r="N685" i="9" s="1"/>
  <c r="N686" i="9" a="1"/>
  <c r="N686" i="9" s="1"/>
  <c r="N687" i="9" a="1"/>
  <c r="N687" i="9" s="1"/>
  <c r="N688" i="9" a="1"/>
  <c r="N688" i="9" s="1"/>
  <c r="N689" i="9" a="1"/>
  <c r="N689" i="9" s="1"/>
  <c r="N691" i="9" a="1"/>
  <c r="N691" i="9" s="1"/>
  <c r="N692" i="9" a="1"/>
  <c r="N692" i="9" s="1"/>
  <c r="N693" i="9" a="1"/>
  <c r="N693" i="9" s="1"/>
  <c r="N694" i="9" a="1"/>
  <c r="N694" i="9" s="1"/>
  <c r="N695" i="9" a="1"/>
  <c r="N695" i="9" s="1"/>
  <c r="N696" i="9" a="1"/>
  <c r="N696" i="9" s="1"/>
  <c r="N697" i="9" a="1"/>
  <c r="N697" i="9" s="1"/>
  <c r="N698" i="9" a="1"/>
  <c r="N698" i="9" s="1"/>
  <c r="N699" i="9" a="1"/>
  <c r="N699" i="9" s="1"/>
  <c r="N700" i="9" a="1"/>
  <c r="N700" i="9" s="1"/>
  <c r="N701" i="9" a="1"/>
  <c r="N701" i="9" s="1"/>
  <c r="N702" i="9" a="1"/>
  <c r="N702" i="9" s="1"/>
  <c r="N703" i="9" a="1"/>
  <c r="N703" i="9" s="1"/>
  <c r="N704" i="9" a="1"/>
  <c r="N704" i="9" s="1"/>
  <c r="N705" i="9" a="1"/>
  <c r="N705" i="9"/>
  <c r="N707" i="9" a="1"/>
  <c r="N707" i="9" s="1"/>
  <c r="N708" i="9" a="1"/>
  <c r="N708" i="9" s="1"/>
  <c r="N709" i="9" a="1"/>
  <c r="N709" i="9" s="1"/>
  <c r="N710" i="9" a="1"/>
  <c r="N710" i="9" s="1"/>
  <c r="N711" i="9" a="1"/>
  <c r="N711" i="9" s="1"/>
  <c r="N712" i="9" a="1"/>
  <c r="N712" i="9" s="1"/>
  <c r="N713" i="9" a="1"/>
  <c r="N713" i="9" s="1"/>
  <c r="N714" i="9" a="1"/>
  <c r="N714" i="9" s="1"/>
  <c r="N715" i="9" a="1"/>
  <c r="N715" i="9" s="1"/>
  <c r="N716" i="9" a="1"/>
  <c r="N716" i="9" s="1"/>
  <c r="N717" i="9" a="1"/>
  <c r="N717" i="9" s="1"/>
  <c r="N718" i="9" a="1"/>
  <c r="N718" i="9" s="1"/>
  <c r="N719" i="9" a="1"/>
  <c r="N719" i="9" s="1"/>
  <c r="N720" i="9" a="1"/>
  <c r="N720" i="9" s="1"/>
  <c r="N721" i="9" a="1"/>
  <c r="N721" i="9" s="1"/>
  <c r="N723" i="9" a="1"/>
  <c r="N723" i="9" s="1"/>
  <c r="N724" i="9" a="1"/>
  <c r="N724" i="9" s="1"/>
  <c r="N725" i="9" a="1"/>
  <c r="N725" i="9" s="1"/>
  <c r="N726" i="9" a="1"/>
  <c r="N726" i="9" s="1"/>
  <c r="N727" i="9" a="1"/>
  <c r="N727" i="9" s="1"/>
  <c r="N728" i="9" a="1"/>
  <c r="N728" i="9" s="1"/>
  <c r="N729" i="9" a="1"/>
  <c r="N729" i="9" s="1"/>
  <c r="N730" i="9" a="1"/>
  <c r="N730" i="9" s="1"/>
  <c r="N731" i="9" a="1"/>
  <c r="N731" i="9" s="1"/>
  <c r="N732" i="9" a="1"/>
  <c r="N732" i="9" s="1"/>
  <c r="N733" i="9" a="1"/>
  <c r="N733" i="9" s="1"/>
  <c r="N734" i="9" a="1"/>
  <c r="N734" i="9" s="1"/>
  <c r="N735" i="9" a="1"/>
  <c r="N735" i="9" s="1"/>
  <c r="N736" i="9" a="1"/>
  <c r="N736" i="9" s="1"/>
  <c r="N737" i="9" a="1"/>
  <c r="N737" i="9"/>
  <c r="N739" i="9" a="1"/>
  <c r="N739" i="9" s="1"/>
  <c r="N740" i="9" a="1"/>
  <c r="N740" i="9" s="1"/>
  <c r="N741" i="9" a="1"/>
  <c r="N741" i="9" s="1"/>
  <c r="N742" i="9" a="1"/>
  <c r="N742" i="9" s="1"/>
  <c r="N743" i="9" a="1"/>
  <c r="N743" i="9" s="1"/>
  <c r="N744" i="9" a="1"/>
  <c r="N744" i="9" s="1"/>
  <c r="N745" i="9" a="1"/>
  <c r="N745" i="9" s="1"/>
  <c r="N746" i="9" a="1"/>
  <c r="N746" i="9" s="1"/>
  <c r="N747" i="9" a="1"/>
  <c r="N747" i="9" s="1"/>
  <c r="N748" i="9" a="1"/>
  <c r="N748" i="9" s="1"/>
  <c r="N749" i="9" a="1"/>
  <c r="N749" i="9" s="1"/>
  <c r="N750" i="9" a="1"/>
  <c r="N750" i="9" s="1"/>
  <c r="N751" i="9" a="1"/>
  <c r="N751" i="9" s="1"/>
  <c r="N752" i="9" a="1"/>
  <c r="N752" i="9" s="1"/>
  <c r="N753" i="9" a="1"/>
  <c r="N753" i="9" s="1"/>
  <c r="N755" i="9" a="1"/>
  <c r="N755" i="9" s="1"/>
  <c r="N756" i="9" a="1"/>
  <c r="N756" i="9" s="1"/>
  <c r="N757" i="9" a="1"/>
  <c r="N757" i="9"/>
  <c r="N758" i="9" a="1"/>
  <c r="N758" i="9" s="1"/>
  <c r="N759" i="9" a="1"/>
  <c r="N759" i="9" s="1"/>
  <c r="N760" i="9" a="1"/>
  <c r="N760" i="9" s="1"/>
  <c r="N761" i="9" a="1"/>
  <c r="N761" i="9" s="1"/>
  <c r="N762" i="9" a="1"/>
  <c r="N762" i="9" s="1"/>
  <c r="N763" i="9" a="1"/>
  <c r="N763" i="9" s="1"/>
  <c r="N764" i="9" a="1"/>
  <c r="N764" i="9" s="1"/>
  <c r="N765" i="9" a="1"/>
  <c r="N765" i="9"/>
  <c r="N766" i="9" a="1"/>
  <c r="N766" i="9" s="1"/>
  <c r="N767" i="9" a="1"/>
  <c r="N767" i="9" s="1"/>
  <c r="N768" i="9" a="1"/>
  <c r="N768" i="9" s="1"/>
  <c r="N769" i="9" a="1"/>
  <c r="N769" i="9" s="1"/>
  <c r="N771" i="9" a="1"/>
  <c r="N771" i="9" s="1"/>
  <c r="N772" i="9" a="1"/>
  <c r="N772" i="9" s="1"/>
  <c r="N773" i="9" a="1"/>
  <c r="N773" i="9"/>
  <c r="N774" i="9" a="1"/>
  <c r="N774" i="9" s="1"/>
  <c r="N775" i="9" a="1"/>
  <c r="N775" i="9" s="1"/>
  <c r="N776" i="9" a="1"/>
  <c r="N776" i="9" s="1"/>
  <c r="N777" i="9" a="1"/>
  <c r="N777" i="9" s="1"/>
  <c r="N778" i="9" a="1"/>
  <c r="N778" i="9" s="1"/>
  <c r="N779" i="9" a="1"/>
  <c r="N779" i="9" s="1"/>
  <c r="N780" i="9" a="1"/>
  <c r="N780" i="9" s="1"/>
  <c r="N781" i="9" a="1"/>
  <c r="N781" i="9"/>
  <c r="N782" i="9" a="1"/>
  <c r="N782" i="9" s="1"/>
  <c r="N783" i="9" a="1"/>
  <c r="N783" i="9" s="1"/>
  <c r="N784" i="9" a="1"/>
  <c r="N784" i="9" s="1"/>
  <c r="N785" i="9" a="1"/>
  <c r="N785" i="9" s="1"/>
  <c r="N787" i="9" a="1"/>
  <c r="N787" i="9" s="1"/>
  <c r="N788" i="9" a="1"/>
  <c r="N788" i="9" s="1"/>
  <c r="N789" i="9" a="1"/>
  <c r="N789" i="9"/>
  <c r="N790" i="9" a="1"/>
  <c r="N790" i="9" s="1"/>
  <c r="N791" i="9" a="1"/>
  <c r="N791" i="9" s="1"/>
  <c r="N792" i="9" a="1"/>
  <c r="N792" i="9" s="1"/>
  <c r="N793" i="9" a="1"/>
  <c r="N793" i="9" s="1"/>
  <c r="N794" i="9" a="1"/>
  <c r="N794" i="9" s="1"/>
  <c r="N795" i="9" a="1"/>
  <c r="N795" i="9" s="1"/>
  <c r="N796" i="9" a="1"/>
  <c r="N796" i="9" s="1"/>
  <c r="N797" i="9" a="1"/>
  <c r="N797" i="9"/>
  <c r="N798" i="9" a="1"/>
  <c r="N798" i="9" s="1"/>
  <c r="N799" i="9" a="1"/>
  <c r="N799" i="9" s="1"/>
  <c r="N800" i="9" a="1"/>
  <c r="N800" i="9" s="1"/>
  <c r="N801" i="9" a="1"/>
  <c r="N801" i="9" s="1"/>
  <c r="N803" i="9" a="1"/>
  <c r="N803" i="9" s="1"/>
  <c r="N804" i="9" a="1"/>
  <c r="N804" i="9" s="1"/>
  <c r="N805" i="9" a="1"/>
  <c r="N805" i="9"/>
  <c r="N806" i="9" a="1"/>
  <c r="N806" i="9" s="1"/>
  <c r="N807" i="9" a="1"/>
  <c r="N807" i="9" s="1"/>
  <c r="N808" i="9" a="1"/>
  <c r="N808" i="9" s="1"/>
  <c r="N809" i="9" a="1"/>
  <c r="N809" i="9" s="1"/>
  <c r="N810" i="9" a="1"/>
  <c r="N810" i="9" s="1"/>
  <c r="N811" i="9" a="1"/>
  <c r="N811" i="9" s="1"/>
  <c r="N812" i="9" a="1"/>
  <c r="N812" i="9" s="1"/>
  <c r="N813" i="9" a="1"/>
  <c r="N813" i="9"/>
  <c r="N814" i="9" a="1"/>
  <c r="N814" i="9" s="1"/>
  <c r="N815" i="9" a="1"/>
  <c r="N815" i="9" s="1"/>
  <c r="N816" i="9" a="1"/>
  <c r="N816" i="9" s="1"/>
  <c r="N817" i="9" a="1"/>
  <c r="N817" i="9" s="1"/>
  <c r="N819" i="9" a="1"/>
  <c r="N819" i="9" s="1"/>
  <c r="N820" i="9" a="1"/>
  <c r="N820" i="9" s="1"/>
  <c r="N821" i="9" a="1"/>
  <c r="N821" i="9"/>
  <c r="N822" i="9" a="1"/>
  <c r="N822" i="9" s="1"/>
  <c r="N823" i="9" a="1"/>
  <c r="N823" i="9" s="1"/>
  <c r="N824" i="9" a="1"/>
  <c r="N824" i="9" s="1"/>
  <c r="N825" i="9" a="1"/>
  <c r="N825" i="9" s="1"/>
  <c r="N826" i="9" a="1"/>
  <c r="N826" i="9" s="1"/>
  <c r="N827" i="9" a="1"/>
  <c r="N827" i="9" s="1"/>
  <c r="N828" i="9" a="1"/>
  <c r="N828" i="9" s="1"/>
  <c r="N829" i="9" a="1"/>
  <c r="N829" i="9"/>
  <c r="N830" i="9" a="1"/>
  <c r="N830" i="9" s="1"/>
  <c r="N831" i="9" a="1"/>
  <c r="N831" i="9" s="1"/>
  <c r="N832" i="9" a="1"/>
  <c r="N832" i="9" s="1"/>
  <c r="N833" i="9" a="1"/>
  <c r="N833" i="9" s="1"/>
  <c r="N835" i="9" a="1"/>
  <c r="N835" i="9" s="1"/>
  <c r="N836" i="9" a="1"/>
  <c r="N836" i="9" s="1"/>
  <c r="N837" i="9" a="1"/>
  <c r="N837" i="9"/>
  <c r="N838" i="9" a="1"/>
  <c r="N838" i="9" s="1"/>
  <c r="N839" i="9" a="1"/>
  <c r="N839" i="9" s="1"/>
  <c r="N840" i="9" a="1"/>
  <c r="N840" i="9" s="1"/>
  <c r="N841" i="9" a="1"/>
  <c r="N841" i="9" s="1"/>
  <c r="N842" i="9" a="1"/>
  <c r="N842" i="9" s="1"/>
  <c r="N843" i="9" a="1"/>
  <c r="N843" i="9" s="1"/>
  <c r="N844" i="9" a="1"/>
  <c r="N844" i="9" s="1"/>
  <c r="N845" i="9" a="1"/>
  <c r="N845" i="9"/>
  <c r="N846" i="9" a="1"/>
  <c r="N846" i="9" s="1"/>
  <c r="N847" i="9" a="1"/>
  <c r="N847" i="9" s="1"/>
  <c r="N848" i="9" a="1"/>
  <c r="N848" i="9" s="1"/>
  <c r="N849" i="9" a="1"/>
  <c r="N849" i="9" s="1"/>
  <c r="N851" i="9" a="1"/>
  <c r="N851" i="9" s="1"/>
  <c r="N852" i="9" a="1"/>
  <c r="N852" i="9" s="1"/>
  <c r="N853" i="9" a="1"/>
  <c r="N853" i="9"/>
  <c r="N854" i="9" a="1"/>
  <c r="N854" i="9" s="1"/>
  <c r="N855" i="9" a="1"/>
  <c r="N855" i="9" s="1"/>
  <c r="N856" i="9" a="1"/>
  <c r="N856" i="9" s="1"/>
  <c r="N857" i="9" a="1"/>
  <c r="N857" i="9" s="1"/>
  <c r="N858" i="9" a="1"/>
  <c r="N858" i="9" s="1"/>
  <c r="N859" i="9" a="1"/>
  <c r="N859" i="9" s="1"/>
  <c r="N860" i="9" a="1"/>
  <c r="N860" i="9" s="1"/>
  <c r="N861" i="9" a="1"/>
  <c r="N861" i="9" s="1"/>
  <c r="N862" i="9" a="1"/>
  <c r="N862" i="9" s="1"/>
  <c r="N863" i="9" a="1"/>
  <c r="N863" i="9" s="1"/>
  <c r="N864" i="9" a="1"/>
  <c r="N864" i="9" s="1"/>
  <c r="N865" i="9" a="1"/>
  <c r="N865" i="9" s="1"/>
  <c r="N867" i="9" a="1"/>
  <c r="N867" i="9"/>
  <c r="N868" i="9" a="1"/>
  <c r="N868" i="9" s="1"/>
  <c r="N869" i="9" a="1"/>
  <c r="N869" i="9" s="1"/>
  <c r="N870" i="9" a="1"/>
  <c r="N870" i="9" s="1"/>
  <c r="N871" i="9" a="1"/>
  <c r="N871" i="9" s="1"/>
  <c r="N872" i="9" a="1"/>
  <c r="N872" i="9" s="1"/>
  <c r="N873" i="9" a="1"/>
  <c r="N873" i="9" s="1"/>
  <c r="N874" i="9" a="1"/>
  <c r="N874" i="9" s="1"/>
  <c r="N875" i="9" a="1"/>
  <c r="N875" i="9"/>
  <c r="N876" i="9" a="1"/>
  <c r="N876" i="9" s="1"/>
  <c r="N877" i="9" a="1"/>
  <c r="N877" i="9" s="1"/>
  <c r="N878" i="9" a="1"/>
  <c r="N878" i="9" s="1"/>
  <c r="N879" i="9" a="1"/>
  <c r="N879" i="9" s="1"/>
  <c r="N880" i="9" a="1"/>
  <c r="N880" i="9" s="1"/>
  <c r="N881" i="9" a="1"/>
  <c r="N881" i="9"/>
  <c r="N883" i="9" a="1"/>
  <c r="N883" i="9" s="1"/>
  <c r="N884" i="9" a="1"/>
  <c r="N884" i="9" s="1"/>
  <c r="N885" i="9" a="1"/>
  <c r="N885" i="9" s="1"/>
  <c r="N886" i="9" a="1"/>
  <c r="N886" i="9" s="1"/>
  <c r="N887" i="9" a="1"/>
  <c r="N887" i="9" s="1"/>
  <c r="N888" i="9" a="1"/>
  <c r="N888" i="9" s="1"/>
  <c r="N889" i="9" a="1"/>
  <c r="N889" i="9" s="1"/>
  <c r="N890" i="9" a="1"/>
  <c r="N890" i="9" s="1"/>
  <c r="N891" i="9" a="1"/>
  <c r="N891" i="9"/>
  <c r="N892" i="9" a="1"/>
  <c r="N892" i="9" s="1"/>
  <c r="N893" i="9" a="1"/>
  <c r="N893" i="9" s="1"/>
  <c r="N894" i="9" a="1"/>
  <c r="N894" i="9" s="1"/>
  <c r="N895" i="9" a="1"/>
  <c r="N895" i="9" s="1"/>
  <c r="N896" i="9" a="1"/>
  <c r="N896" i="9" s="1"/>
  <c r="N897" i="9" a="1"/>
  <c r="N897" i="9" s="1"/>
  <c r="N899" i="9" a="1"/>
  <c r="N899" i="9"/>
  <c r="N900" i="9" a="1"/>
  <c r="N900" i="9" s="1"/>
  <c r="N901" i="9" a="1"/>
  <c r="N901" i="9" s="1"/>
  <c r="N902" i="9" a="1"/>
  <c r="N902" i="9" s="1"/>
  <c r="N903" i="9" a="1"/>
  <c r="N903" i="9" s="1"/>
  <c r="N904" i="9" a="1"/>
  <c r="N904" i="9" s="1"/>
  <c r="N905" i="9" a="1"/>
  <c r="N905" i="9" s="1"/>
  <c r="N906" i="9" a="1"/>
  <c r="N906" i="9" s="1"/>
  <c r="N907" i="9" a="1"/>
  <c r="N907" i="9" s="1"/>
  <c r="N908" i="9" a="1"/>
  <c r="N908" i="9" s="1"/>
  <c r="N909" i="9" a="1"/>
  <c r="N909" i="9" s="1"/>
  <c r="N910" i="9" a="1"/>
  <c r="N910" i="9" s="1"/>
  <c r="N911" i="9" a="1"/>
  <c r="N911" i="9" s="1"/>
  <c r="N912" i="9" a="1"/>
  <c r="N912" i="9" s="1"/>
  <c r="N913" i="9" a="1"/>
  <c r="N913" i="9" s="1"/>
  <c r="N915" i="9" a="1"/>
  <c r="N915" i="9"/>
  <c r="N916" i="9" a="1"/>
  <c r="N916" i="9" s="1"/>
  <c r="N917" i="9" a="1"/>
  <c r="N917" i="9" s="1"/>
  <c r="N918" i="9" a="1"/>
  <c r="N918" i="9" s="1"/>
  <c r="N919" i="9" a="1"/>
  <c r="N919" i="9" s="1"/>
  <c r="N920" i="9" a="1"/>
  <c r="N920" i="9" s="1"/>
  <c r="N921" i="9" a="1"/>
  <c r="N921" i="9" s="1"/>
  <c r="N922" i="9" a="1"/>
  <c r="N922" i="9" s="1"/>
  <c r="N923" i="9" a="1"/>
  <c r="N923" i="9"/>
  <c r="N924" i="9" a="1"/>
  <c r="N924" i="9" s="1"/>
  <c r="N925" i="9" a="1"/>
  <c r="N925" i="9" s="1"/>
  <c r="N926" i="9" a="1"/>
  <c r="N926" i="9" s="1"/>
  <c r="N927" i="9" a="1"/>
  <c r="N927" i="9" s="1"/>
  <c r="N928" i="9" a="1"/>
  <c r="N928" i="9" s="1"/>
  <c r="N929" i="9" a="1"/>
  <c r="N929" i="9"/>
  <c r="N931" i="9" a="1"/>
  <c r="N931" i="9" s="1"/>
  <c r="N932" i="9" a="1"/>
  <c r="N932" i="9" s="1"/>
  <c r="N933" i="9" a="1"/>
  <c r="N933" i="9" s="1"/>
  <c r="N934" i="9" a="1"/>
  <c r="N934" i="9" s="1"/>
  <c r="N935" i="9" a="1"/>
  <c r="N935" i="9" s="1"/>
  <c r="N936" i="9" a="1"/>
  <c r="N936" i="9" s="1"/>
  <c r="N937" i="9" a="1"/>
  <c r="N937" i="9" s="1"/>
  <c r="N938" i="9" a="1"/>
  <c r="N938" i="9" s="1"/>
  <c r="N939" i="9" a="1"/>
  <c r="N939" i="9"/>
  <c r="N940" i="9" a="1"/>
  <c r="N940" i="9" s="1"/>
  <c r="N941" i="9" a="1"/>
  <c r="N941" i="9" s="1"/>
  <c r="N942" i="9" a="1"/>
  <c r="N942" i="9" s="1"/>
  <c r="N943" i="9" a="1"/>
  <c r="N943" i="9" s="1"/>
  <c r="N944" i="9" a="1"/>
  <c r="N944" i="9" s="1"/>
  <c r="N945" i="9" a="1"/>
  <c r="N945" i="9" s="1"/>
  <c r="N947" i="9" a="1"/>
  <c r="N947" i="9"/>
  <c r="N948" i="9" a="1"/>
  <c r="N948" i="9" s="1"/>
  <c r="N949" i="9" a="1"/>
  <c r="N949" i="9" s="1"/>
  <c r="N950" i="9" a="1"/>
  <c r="N950" i="9" s="1"/>
  <c r="N951" i="9" a="1"/>
  <c r="N951" i="9" s="1"/>
  <c r="N952" i="9" a="1"/>
  <c r="N952" i="9" s="1"/>
  <c r="N953" i="9" a="1"/>
  <c r="N953" i="9" s="1"/>
  <c r="N954" i="9" a="1"/>
  <c r="N954" i="9" s="1"/>
  <c r="N955" i="9" a="1"/>
  <c r="N955" i="9" s="1"/>
  <c r="N956" i="9" a="1"/>
  <c r="N956" i="9" s="1"/>
  <c r="N957" i="9" a="1"/>
  <c r="N957" i="9" s="1"/>
  <c r="N958" i="9" a="1"/>
  <c r="N958" i="9" s="1"/>
  <c r="N959" i="9" a="1"/>
  <c r="N959" i="9" s="1"/>
  <c r="N960" i="9" a="1"/>
  <c r="N960" i="9" s="1"/>
  <c r="N961" i="9" a="1"/>
  <c r="N961" i="9" s="1"/>
  <c r="N963" i="9" a="1"/>
  <c r="N963" i="9"/>
  <c r="N964" i="9" a="1"/>
  <c r="N964" i="9" s="1"/>
  <c r="N965" i="9" a="1"/>
  <c r="N965" i="9" s="1"/>
  <c r="N966" i="9" a="1"/>
  <c r="N966" i="9" s="1"/>
  <c r="N967" i="9" a="1"/>
  <c r="N967" i="9" s="1"/>
  <c r="N968" i="9" a="1"/>
  <c r="N968" i="9" s="1"/>
  <c r="N969" i="9" a="1"/>
  <c r="N969" i="9" s="1"/>
  <c r="N970" i="9" a="1"/>
  <c r="N970" i="9" s="1"/>
  <c r="N971" i="9" a="1"/>
  <c r="N971" i="9"/>
  <c r="N972" i="9" a="1"/>
  <c r="N972" i="9" s="1"/>
  <c r="N973" i="9" a="1"/>
  <c r="N973" i="9" s="1"/>
  <c r="N974" i="9" a="1"/>
  <c r="N974" i="9" s="1"/>
  <c r="N975" i="9" a="1"/>
  <c r="N975" i="9" s="1"/>
  <c r="N976" i="9" a="1"/>
  <c r="N976" i="9" s="1"/>
  <c r="N977" i="9" a="1"/>
  <c r="N977" i="9"/>
  <c r="N979" i="9" a="1"/>
  <c r="N979" i="9" s="1"/>
  <c r="N980" i="9" a="1"/>
  <c r="N980" i="9" s="1"/>
  <c r="N981" i="9" a="1"/>
  <c r="N981" i="9" s="1"/>
  <c r="N982" i="9" a="1"/>
  <c r="N982" i="9" s="1"/>
  <c r="N983" i="9" a="1"/>
  <c r="N983" i="9" s="1"/>
  <c r="N984" i="9" a="1"/>
  <c r="N984" i="9" s="1"/>
  <c r="N985" i="9" a="1"/>
  <c r="N985" i="9" s="1"/>
  <c r="N986" i="9" a="1"/>
  <c r="N986" i="9" s="1"/>
  <c r="N987" i="9" a="1"/>
  <c r="N987" i="9"/>
  <c r="N988" i="9" a="1"/>
  <c r="N988" i="9" s="1"/>
  <c r="N989" i="9" a="1"/>
  <c r="N989" i="9" s="1"/>
  <c r="N990" i="9" a="1"/>
  <c r="N990" i="9" s="1"/>
  <c r="N991" i="9" a="1"/>
  <c r="N991" i="9" s="1"/>
  <c r="N992" i="9" a="1"/>
  <c r="N992" i="9" s="1"/>
  <c r="N993" i="9" a="1"/>
  <c r="N993" i="9" s="1"/>
  <c r="N995" i="9" a="1"/>
  <c r="N995" i="9"/>
  <c r="N996" i="9" a="1"/>
  <c r="N996" i="9" s="1"/>
  <c r="N997" i="9" a="1"/>
  <c r="N997" i="9" s="1"/>
  <c r="N998" i="9" a="1"/>
  <c r="N998" i="9" s="1"/>
  <c r="N999" i="9" a="1"/>
  <c r="N999" i="9" s="1"/>
  <c r="N1000" i="9" a="1"/>
  <c r="N1000" i="9" s="1"/>
  <c r="N1001" i="9" a="1"/>
  <c r="N1001" i="9" s="1"/>
  <c r="N1002" i="9" a="1"/>
  <c r="N1002" i="9" s="1"/>
  <c r="N1003" i="9" a="1"/>
  <c r="N1003" i="9" s="1"/>
  <c r="N1004" i="9" a="1"/>
  <c r="N1004" i="9" s="1"/>
  <c r="N1005" i="9" a="1"/>
  <c r="N1005" i="9" s="1"/>
  <c r="N1006" i="9" a="1"/>
  <c r="N1006" i="9" s="1"/>
  <c r="N1007" i="9" a="1"/>
  <c r="N1007" i="9" s="1"/>
  <c r="N1008" i="9" a="1"/>
  <c r="N1008" i="9" s="1"/>
  <c r="N1009" i="9" a="1"/>
  <c r="N1009" i="9" s="1"/>
  <c r="N1011" i="9" a="1"/>
  <c r="N1011" i="9"/>
  <c r="N1012" i="9" a="1"/>
  <c r="N1012" i="9" s="1"/>
  <c r="N1013" i="9" a="1"/>
  <c r="N1013" i="9" s="1"/>
  <c r="N1014" i="9" a="1"/>
  <c r="N1014" i="9" s="1"/>
  <c r="N1015" i="9" a="1"/>
  <c r="N1015" i="9" s="1"/>
  <c r="N1016" i="9" a="1"/>
  <c r="N1016" i="9" s="1"/>
  <c r="N1017" i="9" a="1"/>
  <c r="N1017" i="9" s="1"/>
  <c r="N1018" i="9" a="1"/>
  <c r="N1018" i="9" s="1"/>
  <c r="N1019" i="9" a="1"/>
  <c r="N1019" i="9"/>
  <c r="N1020" i="9" a="1"/>
  <c r="N1020" i="9" s="1"/>
  <c r="N1021" i="9" a="1"/>
  <c r="N1021" i="9" s="1"/>
  <c r="N1022" i="9" a="1"/>
  <c r="N1022" i="9" s="1"/>
  <c r="N1023" i="9" a="1"/>
  <c r="N1023" i="9" s="1"/>
  <c r="N1024" i="9" a="1"/>
  <c r="N1024" i="9" s="1"/>
  <c r="N1025" i="9" a="1"/>
  <c r="N1025" i="9"/>
  <c r="N1027" i="9" a="1"/>
  <c r="N1027" i="9" s="1"/>
  <c r="N1028" i="9" a="1"/>
  <c r="N1028" i="9" s="1"/>
  <c r="N1029" i="9" a="1"/>
  <c r="N1029" i="9" s="1"/>
  <c r="N1030" i="9" a="1"/>
  <c r="N1030" i="9" s="1"/>
  <c r="N1031" i="9" a="1"/>
  <c r="N1031" i="9" s="1"/>
  <c r="N1032" i="9" a="1"/>
  <c r="N1032" i="9" s="1"/>
  <c r="N1033" i="9" a="1"/>
  <c r="N1033" i="9" s="1"/>
  <c r="N1034" i="9" a="1"/>
  <c r="N1034" i="9" s="1"/>
  <c r="N1035" i="9" a="1"/>
  <c r="N1035" i="9"/>
  <c r="N1036" i="9" a="1"/>
  <c r="N1036" i="9" s="1"/>
  <c r="N1037" i="9" a="1"/>
  <c r="N1037" i="9" s="1"/>
  <c r="N1038" i="9" a="1"/>
  <c r="N1038" i="9" s="1"/>
  <c r="N1039" i="9" a="1"/>
  <c r="N1039" i="9" s="1"/>
  <c r="N1040" i="9" a="1"/>
  <c r="N1040" i="9" s="1"/>
  <c r="N1041" i="9" a="1"/>
  <c r="N1041" i="9" s="1"/>
  <c r="N1043" i="9" a="1"/>
  <c r="N1043" i="9"/>
  <c r="N1044" i="9" a="1"/>
  <c r="N1044" i="9" s="1"/>
  <c r="N1045" i="9" a="1"/>
  <c r="N1045" i="9" s="1"/>
  <c r="N1046" i="9" a="1"/>
  <c r="N1046" i="9" s="1"/>
  <c r="N1047" i="9" a="1"/>
  <c r="N1047" i="9" s="1"/>
  <c r="N1048" i="9" a="1"/>
  <c r="N1048" i="9" s="1"/>
  <c r="N1049" i="9" a="1"/>
  <c r="N1049" i="9" s="1"/>
  <c r="N1050" i="9" a="1"/>
  <c r="N1050" i="9" s="1"/>
  <c r="N1051" i="9" a="1"/>
  <c r="N1051" i="9" s="1"/>
  <c r="N1052" i="9" a="1"/>
  <c r="N1052" i="9" s="1"/>
  <c r="N1053" i="9" a="1"/>
  <c r="N1053" i="9" s="1"/>
  <c r="N1054" i="9" a="1"/>
  <c r="N1054" i="9" s="1"/>
  <c r="N1055" i="9" a="1"/>
  <c r="N1055" i="9" s="1"/>
  <c r="N1056" i="9" a="1"/>
  <c r="N1056" i="9" s="1"/>
  <c r="N1057" i="9" a="1"/>
  <c r="N1057" i="9" s="1"/>
  <c r="N1059" i="9" a="1"/>
  <c r="N1059" i="9"/>
  <c r="N1060" i="9" a="1"/>
  <c r="N1060" i="9" s="1"/>
  <c r="N1061" i="9" a="1"/>
  <c r="N1061" i="9" s="1"/>
  <c r="N1062" i="9" a="1"/>
  <c r="N1062" i="9" s="1"/>
  <c r="N1063" i="9" a="1"/>
  <c r="N1063" i="9" s="1"/>
  <c r="N1064" i="9" a="1"/>
  <c r="N1064" i="9" s="1"/>
  <c r="N1065" i="9" a="1"/>
  <c r="N1065" i="9" s="1"/>
  <c r="N1066" i="9" a="1"/>
  <c r="N1066" i="9" s="1"/>
  <c r="N1067" i="9" a="1"/>
  <c r="N1067" i="9"/>
  <c r="N1068" i="9" a="1"/>
  <c r="N1068" i="9" s="1"/>
  <c r="N1069" i="9" a="1"/>
  <c r="N1069" i="9" s="1"/>
  <c r="N1070" i="9" a="1"/>
  <c r="N1070" i="9" s="1"/>
  <c r="N1071" i="9" a="1"/>
  <c r="N1071" i="9" s="1"/>
  <c r="N1072" i="9" a="1"/>
  <c r="N1072" i="9" s="1"/>
  <c r="N1073" i="9" a="1"/>
  <c r="N1073" i="9"/>
  <c r="N1075" i="9" a="1"/>
  <c r="N1075" i="9" s="1"/>
  <c r="N1076" i="9" a="1"/>
  <c r="N1076" i="9" s="1"/>
  <c r="N1077" i="9" a="1"/>
  <c r="N1077" i="9" s="1"/>
  <c r="N1078" i="9" a="1"/>
  <c r="N1078" i="9" s="1"/>
  <c r="N1079" i="9" a="1"/>
  <c r="N1079" i="9" s="1"/>
  <c r="N1080" i="9" a="1"/>
  <c r="N1080" i="9" s="1"/>
  <c r="N1081" i="9" a="1"/>
  <c r="N1081" i="9" s="1"/>
  <c r="N1082" i="9" a="1"/>
  <c r="N1082" i="9" s="1"/>
  <c r="N1083" i="9" a="1"/>
  <c r="N1083" i="9"/>
  <c r="N1084" i="9" a="1"/>
  <c r="N1084" i="9" s="1"/>
  <c r="N1085" i="9" a="1"/>
  <c r="N1085" i="9" s="1"/>
  <c r="N1086" i="9" a="1"/>
  <c r="N1086" i="9" s="1"/>
  <c r="N1087" i="9" a="1"/>
  <c r="N1087" i="9" s="1"/>
  <c r="N1088" i="9" a="1"/>
  <c r="N1088" i="9" s="1"/>
  <c r="N1089" i="9" a="1"/>
  <c r="N1089" i="9" s="1"/>
  <c r="N1091" i="9" a="1"/>
  <c r="N1091" i="9"/>
  <c r="N1092" i="9" a="1"/>
  <c r="N1092" i="9" s="1"/>
  <c r="N1093" i="9" a="1"/>
  <c r="N1093" i="9" s="1"/>
  <c r="N1094" i="9" a="1"/>
  <c r="N1094" i="9" s="1"/>
  <c r="N1095" i="9" a="1"/>
  <c r="N1095" i="9" s="1"/>
  <c r="N1096" i="9" a="1"/>
  <c r="N1096" i="9" s="1"/>
  <c r="N1097" i="9" a="1"/>
  <c r="N1097" i="9" s="1"/>
  <c r="N1098" i="9" a="1"/>
  <c r="N1098" i="9" s="1"/>
  <c r="N1099" i="9" a="1"/>
  <c r="N1099" i="9" s="1"/>
  <c r="N1100" i="9" a="1"/>
  <c r="N1100" i="9" s="1"/>
  <c r="N1101" i="9" a="1"/>
  <c r="N1101" i="9" s="1"/>
  <c r="N1102" i="9" a="1"/>
  <c r="N1102" i="9" s="1"/>
  <c r="N1103" i="9" a="1"/>
  <c r="N1103" i="9" s="1"/>
  <c r="N1104" i="9" a="1"/>
  <c r="N1104" i="9" s="1"/>
  <c r="N1105" i="9" a="1"/>
  <c r="N1105" i="9" s="1"/>
  <c r="N1107" i="9" a="1"/>
  <c r="N1107" i="9"/>
  <c r="N1108" i="9" a="1"/>
  <c r="N1108" i="9" s="1"/>
  <c r="N1109" i="9" a="1"/>
  <c r="N1109" i="9" s="1"/>
  <c r="N1110" i="9" a="1"/>
  <c r="N1110" i="9" s="1"/>
  <c r="N1111" i="9" a="1"/>
  <c r="N1111" i="9" s="1"/>
  <c r="N1112" i="9" a="1"/>
  <c r="N1112" i="9" s="1"/>
  <c r="N1113" i="9" a="1"/>
  <c r="N1113" i="9" s="1"/>
  <c r="N1114" i="9" a="1"/>
  <c r="N1114" i="9" s="1"/>
  <c r="N1115" i="9" a="1"/>
  <c r="N1115" i="9"/>
  <c r="N1116" i="9" a="1"/>
  <c r="N1116" i="9" s="1"/>
  <c r="N1117" i="9" a="1"/>
  <c r="N1117" i="9" s="1"/>
  <c r="N1118" i="9" a="1"/>
  <c r="N1118" i="9" s="1"/>
  <c r="N1119" i="9" a="1"/>
  <c r="N1119" i="9" s="1"/>
  <c r="N1120" i="9" a="1"/>
  <c r="N1120" i="9" s="1"/>
  <c r="N1121" i="9" a="1"/>
  <c r="N1121" i="9"/>
  <c r="N1123" i="9" a="1"/>
  <c r="N1123" i="9" s="1"/>
  <c r="N1124" i="9" a="1"/>
  <c r="N1124" i="9" s="1"/>
  <c r="N1125" i="9" a="1"/>
  <c r="N1125" i="9" s="1"/>
  <c r="N1126" i="9" a="1"/>
  <c r="N1126" i="9" s="1"/>
  <c r="N1127" i="9" a="1"/>
  <c r="N1127" i="9" s="1"/>
  <c r="N1128" i="9" a="1"/>
  <c r="N1128" i="9" s="1"/>
  <c r="N1129" i="9" a="1"/>
  <c r="N1129" i="9" s="1"/>
  <c r="N1130" i="9" a="1"/>
  <c r="N1130" i="9" s="1"/>
  <c r="N1131" i="9" a="1"/>
  <c r="N1131" i="9" s="1"/>
  <c r="N1132" i="9" a="1"/>
  <c r="N1132" i="9" s="1"/>
  <c r="N1133" i="9" a="1"/>
  <c r="N1133" i="9" s="1"/>
  <c r="N1134" i="9" a="1"/>
  <c r="N1134" i="9" s="1"/>
  <c r="N1135" i="9" a="1"/>
  <c r="N1135" i="9" s="1"/>
  <c r="N1136" i="9" a="1"/>
  <c r="N1136" i="9" s="1"/>
  <c r="N1137" i="9" a="1"/>
  <c r="N1137" i="9" s="1"/>
  <c r="N1139" i="9" a="1"/>
  <c r="N1139" i="9"/>
  <c r="N1140" i="9" a="1"/>
  <c r="N1140" i="9" s="1"/>
  <c r="N1141" i="9" a="1"/>
  <c r="N1141" i="9" s="1"/>
  <c r="N1142" i="9" a="1"/>
  <c r="N1142" i="9" s="1"/>
  <c r="N1143" i="9" a="1"/>
  <c r="N1143" i="9" s="1"/>
  <c r="N1144" i="9" a="1"/>
  <c r="N1144" i="9" s="1"/>
  <c r="N1145" i="9" a="1"/>
  <c r="N1145" i="9" s="1"/>
  <c r="N1146" i="9" a="1"/>
  <c r="N1146" i="9" s="1"/>
  <c r="N1147" i="9" a="1"/>
  <c r="N1147" i="9" s="1"/>
  <c r="N1148" i="9" a="1"/>
  <c r="N1148" i="9" s="1"/>
  <c r="N1149" i="9" a="1"/>
  <c r="N1149" i="9" s="1"/>
  <c r="N1150" i="9" a="1"/>
  <c r="N1150" i="9" s="1"/>
  <c r="N1151" i="9" a="1"/>
  <c r="N1151" i="9" s="1"/>
  <c r="N1152" i="9" a="1"/>
  <c r="N1152" i="9" s="1"/>
  <c r="N1153" i="9" a="1"/>
  <c r="N1153" i="9" s="1"/>
  <c r="N1155" i="9" a="1"/>
  <c r="N1155" i="9"/>
  <c r="N1156" i="9" a="1"/>
  <c r="N1156" i="9" s="1"/>
  <c r="N1157" i="9" a="1"/>
  <c r="N1157" i="9" s="1"/>
  <c r="N1158" i="9" a="1"/>
  <c r="N1158" i="9" s="1"/>
  <c r="N1159" i="9" a="1"/>
  <c r="N1159" i="9" s="1"/>
  <c r="N1160" i="9" a="1"/>
  <c r="N1160" i="9" s="1"/>
  <c r="N1161" i="9" a="1"/>
  <c r="N1161" i="9" s="1"/>
  <c r="N1162" i="9" a="1"/>
  <c r="N1162" i="9" s="1"/>
  <c r="N1163" i="9" a="1"/>
  <c r="N1163" i="9"/>
  <c r="N1164" i="9" a="1"/>
  <c r="N1164" i="9" s="1"/>
  <c r="N1165" i="9" a="1"/>
  <c r="N1165" i="9" s="1"/>
  <c r="N1166" i="9" a="1"/>
  <c r="N1166" i="9" s="1"/>
  <c r="N1167" i="9" a="1"/>
  <c r="N1167" i="9" s="1"/>
  <c r="N1168" i="9" a="1"/>
  <c r="N1168" i="9" s="1"/>
  <c r="N1169" i="9" a="1"/>
  <c r="N1169" i="9"/>
  <c r="N1171" i="9" a="1"/>
  <c r="N1171" i="9" s="1"/>
  <c r="N1172" i="9" a="1"/>
  <c r="N1172" i="9" s="1"/>
  <c r="N1173" i="9" a="1"/>
  <c r="N1173" i="9" s="1"/>
  <c r="N1174" i="9" a="1"/>
  <c r="N1174" i="9" s="1"/>
  <c r="N1175" i="9" a="1"/>
  <c r="N1175" i="9" s="1"/>
  <c r="N1176" i="9" a="1"/>
  <c r="N1176" i="9" s="1"/>
  <c r="N1177" i="9" a="1"/>
  <c r="N1177" i="9" s="1"/>
  <c r="N1178" i="9" a="1"/>
  <c r="N1178" i="9" s="1"/>
  <c r="N1179" i="9" a="1"/>
  <c r="N1179" i="9"/>
  <c r="N1180" i="9" a="1"/>
  <c r="N1180" i="9" s="1"/>
  <c r="N1181" i="9" a="1"/>
  <c r="N1181" i="9" s="1"/>
  <c r="N1182" i="9" a="1"/>
  <c r="N1182" i="9" s="1"/>
  <c r="N1183" i="9" a="1"/>
  <c r="N1183" i="9" s="1"/>
  <c r="N1184" i="9" a="1"/>
  <c r="N1184" i="9" s="1"/>
  <c r="N1185" i="9" a="1"/>
  <c r="N1185" i="9" s="1"/>
  <c r="N1187" i="9" a="1"/>
  <c r="N1187" i="9"/>
  <c r="N1188" i="9" a="1"/>
  <c r="N1188" i="9" s="1"/>
  <c r="N1189" i="9" a="1"/>
  <c r="N1189" i="9" s="1"/>
  <c r="N1190" i="9" a="1"/>
  <c r="N1190" i="9" s="1"/>
  <c r="N1191" i="9" a="1"/>
  <c r="N1191" i="9" s="1"/>
  <c r="N1192" i="9" a="1"/>
  <c r="N1192" i="9" s="1"/>
  <c r="N1193" i="9" a="1"/>
  <c r="N1193" i="9" s="1"/>
  <c r="N1194" i="9" a="1"/>
  <c r="N1194" i="9" s="1"/>
  <c r="N1195" i="9" a="1"/>
  <c r="N1195" i="9" s="1"/>
  <c r="N1196" i="9" a="1"/>
  <c r="N1196" i="9" s="1"/>
  <c r="N1197" i="9" a="1"/>
  <c r="N1197" i="9" s="1"/>
  <c r="N1198" i="9" a="1"/>
  <c r="N1198" i="9" s="1"/>
  <c r="N1199" i="9" a="1"/>
  <c r="N1199" i="9" s="1"/>
  <c r="N1200" i="9" a="1"/>
  <c r="N1200" i="9" s="1"/>
  <c r="N1201" i="9" a="1"/>
  <c r="N1201" i="9" s="1"/>
  <c r="N1203" i="9" a="1"/>
  <c r="N1203" i="9"/>
  <c r="N1204" i="9" a="1"/>
  <c r="N1204" i="9" s="1"/>
  <c r="N1205" i="9" a="1"/>
  <c r="N1205" i="9" s="1"/>
  <c r="N1206" i="9" a="1"/>
  <c r="N1206" i="9" s="1"/>
  <c r="N1207" i="9" a="1"/>
  <c r="N1207" i="9" s="1"/>
  <c r="N1208" i="9" a="1"/>
  <c r="N1208" i="9" s="1"/>
  <c r="N1209" i="9" a="1"/>
  <c r="N1209" i="9"/>
  <c r="N1210" i="9" a="1"/>
  <c r="N1210" i="9" s="1"/>
  <c r="N1211" i="9" a="1"/>
  <c r="N1211" i="9"/>
  <c r="N1212" i="9" a="1"/>
  <c r="N1212" i="9" s="1"/>
  <c r="N1213" i="9" a="1"/>
  <c r="N1213" i="9" s="1"/>
  <c r="N1214" i="9" a="1"/>
  <c r="N1214" i="9" s="1"/>
  <c r="N1215" i="9" a="1"/>
  <c r="N1215" i="9" s="1"/>
  <c r="N1216" i="9" a="1"/>
  <c r="N1216" i="9" s="1"/>
  <c r="N1217" i="9" a="1"/>
  <c r="N1217" i="9"/>
  <c r="N1219" i="9" a="1"/>
  <c r="N1219" i="9" s="1"/>
  <c r="N1220" i="9" a="1"/>
  <c r="N1220" i="9" s="1"/>
  <c r="N1221" i="9" a="1"/>
  <c r="N1221" i="9" s="1"/>
  <c r="N1222" i="9" a="1"/>
  <c r="N1222" i="9" s="1"/>
  <c r="N1223" i="9" a="1"/>
  <c r="N1223" i="9" s="1"/>
  <c r="N1224" i="9" a="1"/>
  <c r="N1224" i="9" s="1"/>
  <c r="N1225" i="9" a="1"/>
  <c r="N1225" i="9" s="1"/>
  <c r="N1226" i="9" a="1"/>
  <c r="N1226" i="9" s="1"/>
  <c r="N1227" i="9" a="1"/>
  <c r="N1227" i="9"/>
  <c r="N1228" i="9" a="1"/>
  <c r="N1228" i="9" s="1"/>
  <c r="N1229" i="9" a="1"/>
  <c r="N1229" i="9" s="1"/>
  <c r="N1230" i="9" a="1"/>
  <c r="N1230" i="9" s="1"/>
  <c r="N1231" i="9" a="1"/>
  <c r="N1231" i="9" s="1"/>
  <c r="N1232" i="9" a="1"/>
  <c r="N1232" i="9" s="1"/>
  <c r="N1233" i="9" a="1"/>
  <c r="N1233" i="9" s="1"/>
  <c r="N1235" i="9" a="1"/>
  <c r="N1235" i="9"/>
  <c r="N1236" i="9" a="1"/>
  <c r="N1236" i="9" s="1"/>
  <c r="N1237" i="9" a="1"/>
  <c r="N1237" i="9" s="1"/>
  <c r="N1238" i="9" a="1"/>
  <c r="N1238" i="9" s="1"/>
  <c r="N1239" i="9" a="1"/>
  <c r="N1239" i="9" s="1"/>
  <c r="N1240" i="9" a="1"/>
  <c r="N1240" i="9" s="1"/>
  <c r="N1241" i="9" a="1"/>
  <c r="N1241" i="9" s="1"/>
  <c r="N1242" i="9" a="1"/>
  <c r="N1242" i="9" s="1"/>
  <c r="N1243" i="9" a="1"/>
  <c r="N1243" i="9" s="1"/>
  <c r="N1244" i="9" a="1"/>
  <c r="N1244" i="9" s="1"/>
  <c r="N1245" i="9" a="1"/>
  <c r="N1245" i="9" s="1"/>
  <c r="N1246" i="9" a="1"/>
  <c r="N1246" i="9" s="1"/>
  <c r="N1247" i="9" a="1"/>
  <c r="N1247" i="9" s="1"/>
  <c r="N1248" i="9" a="1"/>
  <c r="N1248" i="9" s="1"/>
  <c r="N1249" i="9" a="1"/>
  <c r="N1249" i="9" s="1"/>
  <c r="N1251" i="9" a="1"/>
  <c r="N1251" i="9"/>
  <c r="N1252" i="9" a="1"/>
  <c r="N1252" i="9" s="1"/>
  <c r="N1253" i="9" a="1"/>
  <c r="N1253" i="9" s="1"/>
  <c r="N1254" i="9" a="1"/>
  <c r="N1254" i="9" s="1"/>
  <c r="N1255" i="9" a="1"/>
  <c r="N1255" i="9" s="1"/>
  <c r="N1256" i="9" a="1"/>
  <c r="N1256" i="9" s="1"/>
  <c r="N1257" i="9" a="1"/>
  <c r="N1257" i="9" s="1"/>
  <c r="N1258" i="9" a="1"/>
  <c r="N1258" i="9" s="1"/>
  <c r="N1259" i="9" a="1"/>
  <c r="N1259" i="9"/>
  <c r="N1260" i="9" a="1"/>
  <c r="N1260" i="9" s="1"/>
  <c r="N1261" i="9" a="1"/>
  <c r="N1261" i="9" s="1"/>
  <c r="N1262" i="9" a="1"/>
  <c r="N1262" i="9" s="1"/>
  <c r="N1263" i="9" a="1"/>
  <c r="N1263" i="9" s="1"/>
  <c r="N1264" i="9" a="1"/>
  <c r="N1264" i="9" s="1"/>
  <c r="N1265" i="9" a="1"/>
  <c r="N1265" i="9"/>
  <c r="N1267" i="9" a="1"/>
  <c r="N1267" i="9" s="1"/>
  <c r="N1268" i="9" a="1"/>
  <c r="N1268" i="9" s="1"/>
  <c r="N1269" i="9" a="1"/>
  <c r="N1269" i="9" s="1"/>
  <c r="N1270" i="9" a="1"/>
  <c r="N1270" i="9" s="1"/>
  <c r="N1271" i="9" a="1"/>
  <c r="N1271" i="9" s="1"/>
  <c r="N1272" i="9" a="1"/>
  <c r="N1272" i="9" s="1"/>
  <c r="N1273" i="9" a="1"/>
  <c r="N1273" i="9" s="1"/>
  <c r="N1274" i="9" a="1"/>
  <c r="N1274" i="9" s="1"/>
  <c r="N1275" i="9" a="1"/>
  <c r="N1275" i="9" s="1"/>
  <c r="N1276" i="9" a="1"/>
  <c r="N1276" i="9" s="1"/>
  <c r="N1277" i="9" a="1"/>
  <c r="N1277" i="9" s="1"/>
  <c r="N1278" i="9" a="1"/>
  <c r="N1278" i="9" s="1"/>
  <c r="N1279" i="9" a="1"/>
  <c r="N1279" i="9" s="1"/>
  <c r="N1280" i="9" a="1"/>
  <c r="N1280" i="9" s="1"/>
  <c r="N1281" i="9" a="1"/>
  <c r="N1281" i="9" s="1"/>
  <c r="N1283" i="9" a="1"/>
  <c r="N1283" i="9"/>
  <c r="N1284" i="9" a="1"/>
  <c r="N1284" i="9" s="1"/>
  <c r="N1285" i="9" a="1"/>
  <c r="N1285" i="9" s="1"/>
  <c r="N1286" i="9" a="1"/>
  <c r="N1286" i="9" s="1"/>
  <c r="N1287" i="9" a="1"/>
  <c r="N1287" i="9"/>
  <c r="N1288" i="9" a="1"/>
  <c r="N1288" i="9" s="1"/>
  <c r="N1289" i="9" a="1"/>
  <c r="N1289" i="9" s="1"/>
  <c r="N1290" i="9" a="1"/>
  <c r="N1290" i="9" s="1"/>
  <c r="N1291" i="9" a="1"/>
  <c r="N1291" i="9"/>
  <c r="N1292" i="9" a="1"/>
  <c r="N1292" i="9" s="1"/>
  <c r="N1293" i="9" a="1"/>
  <c r="N1293" i="9" s="1"/>
  <c r="N1294" i="9" a="1"/>
  <c r="N1294" i="9" s="1"/>
  <c r="N1295" i="9" a="1"/>
  <c r="N1295" i="9" s="1"/>
  <c r="N1296" i="9" a="1"/>
  <c r="N1296" i="9" s="1"/>
  <c r="N1297" i="9" a="1"/>
  <c r="N1297" i="9"/>
  <c r="N1299" i="9" a="1"/>
  <c r="N1299" i="9" s="1"/>
  <c r="N1300" i="9" a="1"/>
  <c r="N1300" i="9" s="1"/>
  <c r="N1301" i="9" a="1"/>
  <c r="N1301" i="9" s="1"/>
  <c r="N1302" i="9" a="1"/>
  <c r="N1302" i="9" s="1"/>
  <c r="N1303" i="9" a="1"/>
  <c r="N1303" i="9" s="1"/>
  <c r="N1304" i="9" a="1"/>
  <c r="N1304" i="9" s="1"/>
  <c r="N1305" i="9" a="1"/>
  <c r="N1305" i="9"/>
  <c r="N1306" i="9" a="1"/>
  <c r="N1306" i="9" s="1"/>
  <c r="N1307" i="9" a="1"/>
  <c r="N1307" i="9" s="1"/>
  <c r="N1308" i="9" a="1"/>
  <c r="N1308" i="9" s="1"/>
  <c r="N1309" i="9" a="1"/>
  <c r="N1309" i="9" s="1"/>
  <c r="N1310" i="9" a="1"/>
  <c r="N1310" i="9" s="1"/>
  <c r="N1311" i="9" a="1"/>
  <c r="N1311" i="9"/>
  <c r="N1312" i="9" a="1"/>
  <c r="N1312" i="9" s="1"/>
  <c r="N1313" i="9" a="1"/>
  <c r="N1313" i="9" s="1"/>
  <c r="N1315" i="9" a="1"/>
  <c r="N1315" i="9"/>
  <c r="N1316" i="9" a="1"/>
  <c r="N1316" i="9" s="1"/>
  <c r="N1317" i="9" a="1"/>
  <c r="N1317" i="9" s="1"/>
  <c r="N1318" i="9" a="1"/>
  <c r="N1318" i="9" s="1"/>
  <c r="N1319" i="9" a="1"/>
  <c r="N1319" i="9" s="1"/>
  <c r="N1320" i="9" a="1"/>
  <c r="N1320" i="9" s="1"/>
  <c r="N1321" i="9" a="1"/>
  <c r="N1321" i="9" s="1"/>
  <c r="N1322" i="9" a="1"/>
  <c r="N1322" i="9" s="1"/>
  <c r="N1323" i="9" a="1"/>
  <c r="N1323" i="9" s="1"/>
  <c r="N1324" i="9" a="1"/>
  <c r="N1324" i="9" s="1"/>
  <c r="N1325" i="9" a="1"/>
  <c r="N1325" i="9" s="1"/>
  <c r="N1326" i="9" a="1"/>
  <c r="N1326" i="9" s="1"/>
  <c r="N1327" i="9" a="1"/>
  <c r="N1327" i="9" s="1"/>
  <c r="N1328" i="9" a="1"/>
  <c r="N1328" i="9" s="1"/>
  <c r="N1329" i="9" a="1"/>
  <c r="N1329" i="9"/>
  <c r="N1331" i="9" a="1"/>
  <c r="N1331" i="9" s="1"/>
  <c r="N1332" i="9" a="1"/>
  <c r="N1332" i="9" s="1"/>
  <c r="N1333" i="9" a="1"/>
  <c r="N1333" i="9" s="1"/>
  <c r="N1334" i="9" a="1"/>
  <c r="N1334" i="9" s="1"/>
  <c r="N1335" i="9" a="1"/>
  <c r="N1335" i="9"/>
  <c r="N1336" i="9" a="1"/>
  <c r="N1336" i="9" s="1"/>
  <c r="N1337" i="9" a="1"/>
  <c r="N1337" i="9" s="1"/>
  <c r="N1338" i="9" a="1"/>
  <c r="N1338" i="9" s="1"/>
  <c r="N1339" i="9" a="1"/>
  <c r="N1339" i="9"/>
  <c r="N1340" i="9" a="1"/>
  <c r="N1340" i="9" s="1"/>
  <c r="N1341" i="9" a="1"/>
  <c r="N1341" i="9" s="1"/>
  <c r="N1342" i="9" a="1"/>
  <c r="N1342" i="9" s="1"/>
  <c r="N1343" i="9" a="1"/>
  <c r="N1343" i="9" s="1"/>
  <c r="N1344" i="9" a="1"/>
  <c r="N1344" i="9" s="1"/>
  <c r="N1345" i="9" a="1"/>
  <c r="N1345" i="9" s="1"/>
  <c r="N1347" i="9" a="1"/>
  <c r="N1347" i="9"/>
  <c r="N1348" i="9" a="1"/>
  <c r="N1348" i="9" s="1"/>
  <c r="N1349" i="9" a="1"/>
  <c r="N1349" i="9" s="1"/>
  <c r="N1350" i="9" a="1"/>
  <c r="N1350" i="9" s="1"/>
  <c r="N1351" i="9" a="1"/>
  <c r="N1351" i="9"/>
  <c r="N1352" i="9" a="1"/>
  <c r="N1352" i="9" s="1"/>
  <c r="N1353" i="9" a="1"/>
  <c r="N1353" i="9" s="1"/>
  <c r="N1354" i="9" a="1"/>
  <c r="N1354" i="9" s="1"/>
  <c r="N1355" i="9" a="1"/>
  <c r="N1355" i="9" s="1"/>
  <c r="N1356" i="9" a="1"/>
  <c r="N1356" i="9" s="1"/>
  <c r="N1357" i="9" a="1"/>
  <c r="N1357" i="9" s="1"/>
  <c r="N1358" i="9" a="1"/>
  <c r="N1358" i="9" s="1"/>
  <c r="N1359" i="9" a="1"/>
  <c r="N1359" i="9" s="1"/>
  <c r="N1360" i="9" a="1"/>
  <c r="N1360" i="9" s="1"/>
  <c r="N1361" i="9" a="1"/>
  <c r="N1361" i="9" s="1"/>
  <c r="N1363" i="9" a="1"/>
  <c r="N1363" i="9" s="1"/>
  <c r="N1364" i="9" a="1"/>
  <c r="N1364" i="9" s="1"/>
  <c r="N1365" i="9" a="1"/>
  <c r="N1365" i="9" s="1"/>
  <c r="N1366" i="9" a="1"/>
  <c r="N1366" i="9" s="1"/>
  <c r="N1367" i="9" a="1"/>
  <c r="N1367" i="9" s="1"/>
  <c r="N1368" i="9" a="1"/>
  <c r="N1368" i="9" s="1"/>
  <c r="N1369" i="9" a="1"/>
  <c r="N1369" i="9"/>
  <c r="N1370" i="9" a="1"/>
  <c r="N1370" i="9" s="1"/>
  <c r="N1371" i="9" a="1"/>
  <c r="N1371" i="9" s="1"/>
  <c r="N1372" i="9" a="1"/>
  <c r="N1372" i="9" s="1"/>
  <c r="N1373" i="9" a="1"/>
  <c r="N1373" i="9" s="1"/>
  <c r="N1374" i="9" a="1"/>
  <c r="N1374" i="9" s="1"/>
  <c r="N1375" i="9" a="1"/>
  <c r="N1375" i="9" s="1"/>
  <c r="N1376" i="9" a="1"/>
  <c r="N1376" i="9" s="1"/>
  <c r="N1377" i="9" a="1"/>
  <c r="N1377" i="9" s="1"/>
  <c r="N1379" i="9" a="1"/>
  <c r="N1379" i="9"/>
  <c r="N1380" i="9" a="1"/>
  <c r="N1380" i="9" s="1"/>
  <c r="N1381" i="9" a="1"/>
  <c r="N1381" i="9" s="1"/>
  <c r="N1382" i="9" a="1"/>
  <c r="N1382" i="9" s="1"/>
  <c r="N1383" i="9" a="1"/>
  <c r="N1383" i="9" s="1"/>
  <c r="N1384" i="9" a="1"/>
  <c r="N1384" i="9" s="1"/>
  <c r="N1385" i="9" a="1"/>
  <c r="N1385" i="9"/>
  <c r="N1386" i="9" a="1"/>
  <c r="N1386" i="9" s="1"/>
  <c r="N1387" i="9" a="1"/>
  <c r="N1387" i="9" s="1"/>
  <c r="N1388" i="9" a="1"/>
  <c r="N1388" i="9" s="1"/>
  <c r="N1389" i="9" a="1"/>
  <c r="N1389" i="9" s="1"/>
  <c r="N1390" i="9" a="1"/>
  <c r="N1390" i="9" s="1"/>
  <c r="N1391" i="9" a="1"/>
  <c r="N1391" i="9" s="1"/>
  <c r="N1392" i="9" a="1"/>
  <c r="N1392" i="9" s="1"/>
  <c r="N1393" i="9" a="1"/>
  <c r="N1393" i="9"/>
  <c r="N1395" i="9" a="1"/>
  <c r="N1395" i="9" s="1"/>
  <c r="N1396" i="9" a="1"/>
  <c r="N1396" i="9" s="1"/>
  <c r="N1397" i="9" a="1"/>
  <c r="N1397" i="9" s="1"/>
  <c r="N1398" i="9" a="1"/>
  <c r="N1398" i="9" s="1"/>
  <c r="N1399" i="9" a="1"/>
  <c r="N1399" i="9"/>
  <c r="N1400" i="9" a="1"/>
  <c r="N1400" i="9" s="1"/>
  <c r="N1401" i="9" a="1"/>
  <c r="N1401" i="9"/>
  <c r="N1402" i="9" a="1"/>
  <c r="N1402" i="9" s="1"/>
  <c r="N1403" i="9" a="1"/>
  <c r="N1403" i="9" s="1"/>
  <c r="N1404" i="9" a="1"/>
  <c r="N1404" i="9" s="1"/>
  <c r="N1405" i="9" a="1"/>
  <c r="N1405" i="9" s="1"/>
  <c r="N1406" i="9" a="1"/>
  <c r="N1406" i="9" s="1"/>
  <c r="N1407" i="9" a="1"/>
  <c r="N1407" i="9" s="1"/>
  <c r="N1408" i="9" a="1"/>
  <c r="N1408" i="9" s="1"/>
  <c r="N1409" i="9" a="1"/>
  <c r="N1409" i="9" s="1"/>
  <c r="N1411" i="9" a="1"/>
  <c r="N1411" i="9"/>
  <c r="N1412" i="9" a="1"/>
  <c r="N1412" i="9" s="1"/>
  <c r="N1413" i="9" a="1"/>
  <c r="N1413" i="9" s="1"/>
  <c r="N1414" i="9" a="1"/>
  <c r="N1414" i="9" s="1"/>
  <c r="N1415" i="9" a="1"/>
  <c r="N1415" i="9"/>
  <c r="N1416" i="9" a="1"/>
  <c r="N1416" i="9" s="1"/>
  <c r="N1417" i="9" a="1"/>
  <c r="N1417" i="9"/>
  <c r="N1418" i="9" a="1"/>
  <c r="N1418" i="9" s="1"/>
  <c r="N1419" i="9" a="1"/>
  <c r="N1419" i="9"/>
  <c r="N1420" i="9" a="1"/>
  <c r="N1420" i="9" s="1"/>
  <c r="N1421" i="9" a="1"/>
  <c r="N1421" i="9" s="1"/>
  <c r="N1422" i="9" a="1"/>
  <c r="N1422" i="9" s="1"/>
  <c r="N1423" i="9" a="1"/>
  <c r="N1423" i="9" s="1"/>
  <c r="N1424" i="9" a="1"/>
  <c r="N1424" i="9" s="1"/>
  <c r="N1425" i="9" a="1"/>
  <c r="N1425" i="9"/>
  <c r="N1427" i="9" a="1"/>
  <c r="N1427" i="9" s="1"/>
  <c r="N1428" i="9" a="1"/>
  <c r="N1428" i="9" s="1"/>
  <c r="N1429" i="9" a="1"/>
  <c r="N1429" i="9" s="1"/>
  <c r="N1430" i="9" a="1"/>
  <c r="N1430" i="9" s="1"/>
  <c r="N1431" i="9" a="1"/>
  <c r="N1431" i="9" s="1"/>
  <c r="N1432" i="9" a="1"/>
  <c r="N1432" i="9" s="1"/>
  <c r="N1433" i="9" a="1"/>
  <c r="N1433" i="9" s="1"/>
  <c r="N1434" i="9" a="1"/>
  <c r="N1434" i="9" s="1"/>
  <c r="N1435" i="9" a="1"/>
  <c r="N1435" i="9" s="1"/>
  <c r="N1436" i="9" a="1"/>
  <c r="N1436" i="9" s="1"/>
  <c r="N1437" i="9" a="1"/>
  <c r="N1437" i="9" s="1"/>
  <c r="N1438" i="9" a="1"/>
  <c r="N1438" i="9" s="1"/>
  <c r="N1439" i="9" a="1"/>
  <c r="N1439" i="9" s="1"/>
  <c r="N1440" i="9" a="1"/>
  <c r="N1440" i="9" s="1"/>
  <c r="N1441" i="9" a="1"/>
  <c r="N1441" i="9"/>
  <c r="N1443" i="9" a="1"/>
  <c r="N1443" i="9"/>
  <c r="N1444" i="9" a="1"/>
  <c r="N1444" i="9" s="1"/>
  <c r="N1445" i="9" a="1"/>
  <c r="N1445" i="9" s="1"/>
  <c r="N1446" i="9" a="1"/>
  <c r="N1446" i="9" s="1"/>
  <c r="N1447" i="9" a="1"/>
  <c r="N1447" i="9"/>
  <c r="N1448" i="9" a="1"/>
  <c r="N1448" i="9" s="1"/>
  <c r="N1449" i="9" a="1"/>
  <c r="N1449" i="9" s="1"/>
  <c r="N1450" i="9" a="1"/>
  <c r="N1450" i="9" s="1"/>
  <c r="N1451" i="9" a="1"/>
  <c r="N1451" i="9" s="1"/>
  <c r="N1452" i="9" a="1"/>
  <c r="N1452" i="9" s="1"/>
  <c r="N1453" i="9" a="1"/>
  <c r="N1453" i="9" s="1"/>
  <c r="N1454" i="9" a="1"/>
  <c r="N1454" i="9" s="1"/>
  <c r="N1455" i="9" a="1"/>
  <c r="N1455" i="9"/>
  <c r="N1456" i="9" a="1"/>
  <c r="N1456" i="9" s="1"/>
  <c r="N1457" i="9" a="1"/>
  <c r="N1457" i="9"/>
  <c r="N1459" i="9" a="1"/>
  <c r="N1459" i="9" s="1"/>
  <c r="N1460" i="9" a="1"/>
  <c r="N1460" i="9" s="1"/>
  <c r="N1461" i="9" a="1"/>
  <c r="N1461" i="9" s="1"/>
  <c r="N1462" i="9" a="1"/>
  <c r="N1462" i="9" s="1"/>
  <c r="N1463" i="9" a="1"/>
  <c r="N1463" i="9" s="1"/>
  <c r="N1464" i="9" a="1"/>
  <c r="N1464" i="9" s="1"/>
  <c r="N1465" i="9" a="1"/>
  <c r="N1465" i="9"/>
  <c r="N1466" i="9" a="1"/>
  <c r="N1466" i="9" s="1"/>
  <c r="N1467" i="9" a="1"/>
  <c r="N1467" i="9" s="1"/>
  <c r="N1468" i="9" a="1"/>
  <c r="N1468" i="9" s="1"/>
  <c r="N1469" i="9" a="1"/>
  <c r="N1469" i="9" s="1"/>
  <c r="N1470" i="9" a="1"/>
  <c r="N1470" i="9" s="1"/>
  <c r="N1471" i="9" a="1"/>
  <c r="N1471" i="9" s="1"/>
  <c r="N1472" i="9" a="1"/>
  <c r="N1472" i="9" s="1"/>
  <c r="N1473" i="9" a="1"/>
  <c r="N1473" i="9" s="1"/>
  <c r="N1475" i="9" a="1"/>
  <c r="N1475" i="9"/>
  <c r="N1476" i="9" a="1"/>
  <c r="N1476" i="9" s="1"/>
  <c r="N1477" i="9" a="1"/>
  <c r="N1477" i="9" s="1"/>
  <c r="N1478" i="9" a="1"/>
  <c r="N1478" i="9" s="1"/>
  <c r="N1479" i="9" a="1"/>
  <c r="N1479" i="9" s="1"/>
  <c r="N1480" i="9" a="1"/>
  <c r="N1480" i="9" s="1"/>
  <c r="N1481" i="9" a="1"/>
  <c r="N1481" i="9" s="1"/>
  <c r="N1482" i="9" a="1"/>
  <c r="N1482" i="9" s="1"/>
  <c r="N1483" i="9" a="1"/>
  <c r="N1483" i="9"/>
  <c r="N1484" i="9" a="1"/>
  <c r="N1484" i="9" s="1"/>
  <c r="N1485" i="9" a="1"/>
  <c r="N1485" i="9" s="1"/>
  <c r="N1486" i="9" a="1"/>
  <c r="N1486" i="9" s="1"/>
  <c r="N1487" i="9" a="1"/>
  <c r="N1487" i="9"/>
  <c r="N1488" i="9" a="1"/>
  <c r="N1488" i="9" s="1"/>
  <c r="N1489" i="9" a="1"/>
  <c r="N1489" i="9"/>
  <c r="N1491" i="9" a="1"/>
  <c r="N1491" i="9"/>
  <c r="N1492" i="9" a="1"/>
  <c r="N1492" i="9" s="1"/>
  <c r="N1493" i="9" a="1"/>
  <c r="N1493" i="9" s="1"/>
  <c r="N1494" i="9" a="1"/>
  <c r="N1494" i="9" s="1"/>
  <c r="N1495" i="9" a="1"/>
  <c r="N1495" i="9" s="1"/>
  <c r="N1496" i="9" a="1"/>
  <c r="N1496" i="9" s="1"/>
  <c r="N1497" i="9" a="1"/>
  <c r="N1497" i="9"/>
  <c r="N1498" i="9" a="1"/>
  <c r="N1498" i="9" s="1"/>
  <c r="N1499" i="9" a="1"/>
  <c r="N1499" i="9" s="1"/>
  <c r="N1500" i="9" a="1"/>
  <c r="N1500" i="9" s="1"/>
  <c r="N1501" i="9" a="1"/>
  <c r="N1501" i="9" s="1"/>
  <c r="N1502" i="9" a="1"/>
  <c r="N1502" i="9" s="1"/>
  <c r="N1503" i="9" a="1"/>
  <c r="N1503" i="9" s="1"/>
  <c r="N1504" i="9" a="1"/>
  <c r="N1504" i="9" s="1"/>
  <c r="N1505" i="9" a="1"/>
  <c r="N1505" i="9" s="1"/>
  <c r="N1507" i="9" a="1"/>
  <c r="N1507" i="9" s="1"/>
  <c r="N1508" i="9" a="1"/>
  <c r="N1508" i="9" s="1"/>
  <c r="N1509" i="9" a="1"/>
  <c r="N1509" i="9" s="1"/>
  <c r="N1510" i="9" a="1"/>
  <c r="N1510" i="9" s="1"/>
  <c r="N1511" i="9" a="1"/>
  <c r="N1511" i="9"/>
  <c r="N1512" i="9" a="1"/>
  <c r="N1512" i="9" s="1"/>
  <c r="N1513" i="9" a="1"/>
  <c r="N1513" i="9" s="1"/>
  <c r="N1514" i="9" a="1"/>
  <c r="N1514" i="9" s="1"/>
  <c r="N1515" i="9" a="1"/>
  <c r="N1515" i="9" s="1"/>
  <c r="N1516" i="9" a="1"/>
  <c r="N1516" i="9" s="1"/>
  <c r="N1517" i="9" a="1"/>
  <c r="N1517" i="9" s="1"/>
  <c r="N1518" i="9" a="1"/>
  <c r="N1518" i="9" s="1"/>
  <c r="N1519" i="9" a="1"/>
  <c r="N1519" i="9" s="1"/>
  <c r="N1520" i="9" a="1"/>
  <c r="N1520" i="9" s="1"/>
  <c r="N1521" i="9" a="1"/>
  <c r="N1521" i="9" s="1"/>
  <c r="N1523" i="9" a="1"/>
  <c r="N1523" i="9" s="1"/>
  <c r="N1524" i="9" a="1"/>
  <c r="N1524" i="9" s="1"/>
  <c r="N1525" i="9" a="1"/>
  <c r="N1525" i="9" s="1"/>
  <c r="N1526" i="9" a="1"/>
  <c r="N1526" i="9" s="1"/>
  <c r="N1527" i="9" a="1"/>
  <c r="N1527" i="9"/>
  <c r="N1528" i="9" a="1"/>
  <c r="N1528" i="9" s="1"/>
  <c r="N1529" i="9" a="1"/>
  <c r="N1529" i="9" s="1"/>
  <c r="N1530" i="9" a="1"/>
  <c r="N1530" i="9" s="1"/>
  <c r="N1531" i="9" a="1"/>
  <c r="N1531" i="9" s="1"/>
  <c r="N1532" i="9" a="1"/>
  <c r="N1532" i="9" s="1"/>
  <c r="N1533" i="9" a="1"/>
  <c r="N1533" i="9" s="1"/>
  <c r="N1534" i="9" a="1"/>
  <c r="N1534" i="9" s="1"/>
  <c r="N1535" i="9" a="1"/>
  <c r="N1535" i="9"/>
  <c r="N1536" i="9" a="1"/>
  <c r="N1536" i="9" s="1"/>
  <c r="N1537" i="9" a="1"/>
  <c r="N1537" i="9" s="1"/>
  <c r="N1539" i="9" a="1"/>
  <c r="N1539" i="9" s="1"/>
  <c r="N1540" i="9" a="1"/>
  <c r="N1540" i="9" s="1"/>
  <c r="N1541" i="9" a="1"/>
  <c r="N1541" i="9" s="1"/>
  <c r="N1542" i="9" a="1"/>
  <c r="N1542" i="9" s="1"/>
  <c r="N1543" i="9" a="1"/>
  <c r="N1543" i="9"/>
  <c r="N1544" i="9" a="1"/>
  <c r="N1544" i="9" s="1"/>
  <c r="N1545" i="9" a="1"/>
  <c r="N1545" i="9" s="1"/>
  <c r="N1546" i="9" a="1"/>
  <c r="N1546" i="9" s="1"/>
  <c r="N1547" i="9" a="1"/>
  <c r="N1547" i="9" s="1"/>
  <c r="N1548" i="9" a="1"/>
  <c r="N1548" i="9"/>
  <c r="N1549" i="9" a="1"/>
  <c r="N1549" i="9" s="1"/>
  <c r="N1550" i="9" a="1"/>
  <c r="N1550" i="9"/>
  <c r="N1551" i="9" a="1"/>
  <c r="N1551" i="9" s="1"/>
  <c r="N1552" i="9" a="1"/>
  <c r="N1552" i="9"/>
  <c r="N1553" i="9" a="1"/>
  <c r="N1553" i="9" s="1"/>
  <c r="N1555" i="9" a="1"/>
  <c r="N1555" i="9" s="1"/>
  <c r="N1556" i="9" a="1"/>
  <c r="N1556" i="9" s="1"/>
  <c r="N1557" i="9" a="1"/>
  <c r="N1557" i="9" s="1"/>
  <c r="N1558" i="9" a="1"/>
  <c r="N1558" i="9"/>
  <c r="N1559" i="9" a="1"/>
  <c r="N1559" i="9" s="1"/>
  <c r="N1560" i="9" a="1"/>
  <c r="N1560" i="9" s="1"/>
  <c r="N1561" i="9" a="1"/>
  <c r="N1561" i="9" s="1"/>
  <c r="N1562" i="9" a="1"/>
  <c r="N1562" i="9"/>
  <c r="N1563" i="9" a="1"/>
  <c r="N1563" i="9" s="1"/>
  <c r="N1564" i="9" a="1"/>
  <c r="N1564" i="9" s="1"/>
  <c r="N1565" i="9" a="1"/>
  <c r="N1565" i="9" s="1"/>
  <c r="N1566" i="9" a="1"/>
  <c r="N1566" i="9"/>
  <c r="N1567" i="9" a="1"/>
  <c r="N1567" i="9" s="1"/>
  <c r="N1568" i="9" a="1"/>
  <c r="N1568" i="9" s="1"/>
  <c r="N1569" i="9" a="1"/>
  <c r="N1569" i="9" s="1"/>
  <c r="N1571" i="9" a="1"/>
  <c r="N1571" i="9" s="1"/>
  <c r="N1572" i="9" a="1"/>
  <c r="N1572" i="9"/>
  <c r="N1573" i="9" a="1"/>
  <c r="N1573" i="9" s="1"/>
  <c r="N1574" i="9" a="1"/>
  <c r="N1574" i="9"/>
  <c r="N1575" i="9" a="1"/>
  <c r="N1575" i="9" s="1"/>
  <c r="N1576" i="9" a="1"/>
  <c r="N1576" i="9"/>
  <c r="N1577" i="9" a="1"/>
  <c r="N1577" i="9" s="1"/>
  <c r="N1578" i="9" a="1"/>
  <c r="N1578" i="9"/>
  <c r="N1579" i="9" a="1"/>
  <c r="N1579" i="9" s="1"/>
  <c r="N1580" i="9" a="1"/>
  <c r="N1580" i="9"/>
  <c r="N1581" i="9" a="1"/>
  <c r="N1581" i="9" s="1"/>
  <c r="N1582" i="9" a="1"/>
  <c r="N1582" i="9"/>
  <c r="N1583" i="9" a="1"/>
  <c r="N1583" i="9" s="1"/>
  <c r="N1584" i="9" a="1"/>
  <c r="N1584" i="9"/>
  <c r="N1585" i="9" a="1"/>
  <c r="N1585" i="9" s="1"/>
  <c r="N1587" i="9" a="1"/>
  <c r="N1587" i="9" s="1"/>
  <c r="N1588" i="9" a="1"/>
  <c r="N1588" i="9"/>
  <c r="N1589" i="9" a="1"/>
  <c r="N1589" i="9" s="1"/>
  <c r="N1590" i="9" a="1"/>
  <c r="N1590" i="9"/>
  <c r="N1591" i="9" a="1"/>
  <c r="N1591" i="9" s="1"/>
  <c r="N1592" i="9" a="1"/>
  <c r="N1592" i="9"/>
  <c r="N1593" i="9" a="1"/>
  <c r="N1593" i="9" s="1"/>
  <c r="N1594" i="9" a="1"/>
  <c r="N1594" i="9"/>
  <c r="N1595" i="9" a="1"/>
  <c r="N1595" i="9" s="1"/>
  <c r="N1596" i="9" a="1"/>
  <c r="N1596" i="9"/>
  <c r="N1597" i="9" a="1"/>
  <c r="N1597" i="9" s="1"/>
  <c r="N1598" i="9" a="1"/>
  <c r="N1598" i="9"/>
  <c r="N1599" i="9" a="1"/>
  <c r="N1599" i="9" s="1"/>
  <c r="N1600" i="9" a="1"/>
  <c r="N1600" i="9"/>
  <c r="N1601" i="9" a="1"/>
  <c r="N1601" i="9" s="1"/>
  <c r="N1603" i="9" a="1"/>
  <c r="N1603" i="9" s="1"/>
  <c r="N1604" i="9" a="1"/>
  <c r="N1604" i="9" s="1"/>
  <c r="N1605" i="9" a="1"/>
  <c r="N1605" i="9" s="1"/>
  <c r="N1606" i="9" a="1"/>
  <c r="N1606" i="9"/>
  <c r="N1607" i="9" a="1"/>
  <c r="N1607" i="9" s="1"/>
  <c r="N1608" i="9" a="1"/>
  <c r="N1608" i="9" s="1"/>
  <c r="N1609" i="9" a="1"/>
  <c r="N1609" i="9" s="1"/>
  <c r="N1610" i="9" a="1"/>
  <c r="N1610" i="9"/>
  <c r="N1611" i="9" a="1"/>
  <c r="N1611" i="9" s="1"/>
  <c r="N1612" i="9" a="1"/>
  <c r="N1612" i="9" s="1"/>
  <c r="N1613" i="9" a="1"/>
  <c r="N1613" i="9" s="1"/>
  <c r="N1614" i="9" a="1"/>
  <c r="N1614" i="9"/>
  <c r="N1615" i="9" a="1"/>
  <c r="N1615" i="9" s="1"/>
  <c r="N1616" i="9" a="1"/>
  <c r="N1616" i="9" s="1"/>
  <c r="N1617" i="9" a="1"/>
  <c r="N1617" i="9" s="1"/>
  <c r="N1619" i="9" a="1"/>
  <c r="N1619" i="9" s="1"/>
  <c r="N1620" i="9" a="1"/>
  <c r="N1620" i="9"/>
  <c r="N1621" i="9" a="1"/>
  <c r="N1621" i="9" s="1"/>
  <c r="N1622" i="9" a="1"/>
  <c r="N1622" i="9"/>
  <c r="N1623" i="9" a="1"/>
  <c r="N1623" i="9" s="1"/>
  <c r="N1624" i="9" a="1"/>
  <c r="N1624" i="9"/>
  <c r="N1625" i="9" a="1"/>
  <c r="N1625" i="9" s="1"/>
  <c r="N1626" i="9" a="1"/>
  <c r="N1626" i="9"/>
  <c r="N1627" i="9" a="1"/>
  <c r="N1627" i="9" s="1"/>
  <c r="N1628" i="9" a="1"/>
  <c r="N1628" i="9"/>
  <c r="N1629" i="9" a="1"/>
  <c r="N1629" i="9" s="1"/>
  <c r="N1630" i="9" a="1"/>
  <c r="N1630" i="9"/>
  <c r="N1631" i="9" a="1"/>
  <c r="N1631" i="9" s="1"/>
  <c r="N1632" i="9" a="1"/>
  <c r="N1632" i="9"/>
  <c r="N1633" i="9" a="1"/>
  <c r="N1633" i="9" s="1"/>
  <c r="N1635" i="9" a="1"/>
  <c r="N1635" i="9" s="1"/>
  <c r="N1636" i="9" a="1"/>
  <c r="N1636" i="9"/>
  <c r="N1637" i="9" a="1"/>
  <c r="N1637" i="9" s="1"/>
  <c r="N1638" i="9" a="1"/>
  <c r="N1638" i="9"/>
  <c r="N1639" i="9" a="1"/>
  <c r="N1639" i="9" s="1"/>
  <c r="N1640" i="9" a="1"/>
  <c r="N1640" i="9"/>
  <c r="N1641" i="9" a="1"/>
  <c r="N1641" i="9" s="1"/>
  <c r="N1642" i="9" a="1"/>
  <c r="N1642" i="9"/>
  <c r="N1643" i="9" a="1"/>
  <c r="N1643" i="9" s="1"/>
  <c r="N1644" i="9" a="1"/>
  <c r="N1644" i="9"/>
  <c r="N1645" i="9" a="1"/>
  <c r="N1645" i="9" s="1"/>
  <c r="N1646" i="9" a="1"/>
  <c r="N1646" i="9"/>
  <c r="N1647" i="9" a="1"/>
  <c r="N1647" i="9" s="1"/>
  <c r="N1648" i="9" a="1"/>
  <c r="N1648" i="9"/>
  <c r="N1649" i="9" a="1"/>
  <c r="N1649" i="9" s="1"/>
  <c r="N1651" i="9" a="1"/>
  <c r="N1651" i="9" s="1"/>
  <c r="N1652" i="9" a="1"/>
  <c r="N1652" i="9" s="1"/>
  <c r="N1653" i="9" a="1"/>
  <c r="N1653" i="9" s="1"/>
  <c r="N1654" i="9" a="1"/>
  <c r="N1654" i="9"/>
  <c r="N1655" i="9" a="1"/>
  <c r="N1655" i="9" s="1"/>
  <c r="N1656" i="9" a="1"/>
  <c r="N1656" i="9" s="1"/>
  <c r="N1657" i="9" a="1"/>
  <c r="N1657" i="9" s="1"/>
  <c r="N1658" i="9" a="1"/>
  <c r="N1658" i="9"/>
  <c r="N1659" i="9" a="1"/>
  <c r="N1659" i="9" s="1"/>
  <c r="N1660" i="9" a="1"/>
  <c r="N1660" i="9" s="1"/>
  <c r="N1661" i="9" a="1"/>
  <c r="N1661" i="9" s="1"/>
  <c r="N1662" i="9" a="1"/>
  <c r="N1662" i="9"/>
  <c r="N1663" i="9" a="1"/>
  <c r="N1663" i="9" s="1"/>
  <c r="N1664" i="9" a="1"/>
  <c r="N1664" i="9" s="1"/>
  <c r="N1665" i="9" a="1"/>
  <c r="N1665" i="9" s="1"/>
  <c r="N1667" i="9" a="1"/>
  <c r="N1667" i="9" s="1"/>
  <c r="N1668" i="9" a="1"/>
  <c r="N1668" i="9"/>
  <c r="N1669" i="9" a="1"/>
  <c r="N1669" i="9" s="1"/>
  <c r="N1670" i="9" a="1"/>
  <c r="N1670" i="9"/>
  <c r="N1671" i="9" a="1"/>
  <c r="N1671" i="9" s="1"/>
  <c r="N1672" i="9" a="1"/>
  <c r="N1672" i="9"/>
  <c r="N1673" i="9" a="1"/>
  <c r="N1673" i="9" s="1"/>
  <c r="N1674" i="9" a="1"/>
  <c r="N1674" i="9"/>
  <c r="N1675" i="9" a="1"/>
  <c r="N1675" i="9" s="1"/>
  <c r="N1676" i="9" a="1"/>
  <c r="N1676" i="9"/>
  <c r="N1677" i="9" a="1"/>
  <c r="N1677" i="9" s="1"/>
  <c r="N1678" i="9" a="1"/>
  <c r="N1678" i="9"/>
  <c r="N1679" i="9" a="1"/>
  <c r="N1679" i="9" s="1"/>
  <c r="N1680" i="9" a="1"/>
  <c r="N1680" i="9"/>
  <c r="N1681" i="9" a="1"/>
  <c r="N1681" i="9" s="1"/>
  <c r="N1683" i="9" a="1"/>
  <c r="N1683" i="9" s="1"/>
  <c r="N1684" i="9" a="1"/>
  <c r="N1684" i="9"/>
  <c r="N1685" i="9" a="1"/>
  <c r="N1685" i="9" s="1"/>
  <c r="N1686" i="9" a="1"/>
  <c r="N1686" i="9"/>
  <c r="N1687" i="9" a="1"/>
  <c r="N1687" i="9" s="1"/>
  <c r="N1688" i="9" a="1"/>
  <c r="N1688" i="9"/>
  <c r="N1689" i="9" a="1"/>
  <c r="N1689" i="9" s="1"/>
  <c r="N1690" i="9" a="1"/>
  <c r="N1690" i="9"/>
  <c r="N1691" i="9" a="1"/>
  <c r="N1691" i="9" s="1"/>
  <c r="N1692" i="9" a="1"/>
  <c r="N1692" i="9"/>
  <c r="N1693" i="9" a="1"/>
  <c r="N1693" i="9" s="1"/>
  <c r="N1694" i="9" a="1"/>
  <c r="N1694" i="9"/>
  <c r="N1695" i="9" a="1"/>
  <c r="N1695" i="9" s="1"/>
  <c r="N1696" i="9" a="1"/>
  <c r="N1696" i="9"/>
  <c r="N1697" i="9" a="1"/>
  <c r="N1697" i="9" s="1"/>
  <c r="N1699" i="9" a="1"/>
  <c r="N1699" i="9" s="1"/>
  <c r="N1700" i="9" a="1"/>
  <c r="N1700" i="9" s="1"/>
  <c r="N1701" i="9" a="1"/>
  <c r="N1701" i="9" s="1"/>
  <c r="N1702" i="9" a="1"/>
  <c r="N1702" i="9"/>
  <c r="N1703" i="9" a="1"/>
  <c r="N1703" i="9" s="1"/>
  <c r="N1704" i="9" a="1"/>
  <c r="N1704" i="9" s="1"/>
  <c r="N1705" i="9" a="1"/>
  <c r="N1705" i="9" s="1"/>
  <c r="N1706" i="9" a="1"/>
  <c r="N1706" i="9"/>
  <c r="N1707" i="9" a="1"/>
  <c r="N1707" i="9" s="1"/>
  <c r="N1708" i="9" a="1"/>
  <c r="N1708" i="9" s="1"/>
  <c r="N1709" i="9" a="1"/>
  <c r="N1709" i="9" s="1"/>
  <c r="N1710" i="9" a="1"/>
  <c r="N1710" i="9"/>
  <c r="N1711" i="9" a="1"/>
  <c r="N1711" i="9" s="1"/>
  <c r="N1712" i="9" a="1"/>
  <c r="N1712" i="9" s="1"/>
  <c r="N1713" i="9" a="1"/>
  <c r="N1713" i="9" s="1"/>
  <c r="N1715" i="9" a="1"/>
  <c r="N1715" i="9" s="1"/>
  <c r="N1716" i="9" a="1"/>
  <c r="N1716" i="9"/>
  <c r="N1717" i="9" a="1"/>
  <c r="N1717" i="9" s="1"/>
  <c r="N1718" i="9" a="1"/>
  <c r="N1718" i="9"/>
  <c r="N1719" i="9" a="1"/>
  <c r="N1719" i="9" s="1"/>
  <c r="N1720" i="9" a="1"/>
  <c r="N1720" i="9"/>
  <c r="N1721" i="9" a="1"/>
  <c r="N1721" i="9" s="1"/>
  <c r="N1722" i="9" a="1"/>
  <c r="N1722" i="9" s="1"/>
  <c r="N1723" i="9" a="1"/>
  <c r="N1723" i="9" s="1"/>
  <c r="N1724" i="9" a="1"/>
  <c r="N1724" i="9" s="1"/>
  <c r="N1725" i="9" a="1"/>
  <c r="N1725" i="9" s="1"/>
  <c r="N1726" i="9" a="1"/>
  <c r="N1726" i="9" s="1"/>
  <c r="N1727" i="9" a="1"/>
  <c r="N1727" i="9" s="1"/>
  <c r="N1728" i="9" a="1"/>
  <c r="N1728" i="9"/>
  <c r="N1729" i="9" a="1"/>
  <c r="N1729" i="9" s="1"/>
  <c r="N1731" i="9" a="1"/>
  <c r="N1731" i="9" s="1"/>
  <c r="N1732" i="9" a="1"/>
  <c r="N1732" i="9"/>
  <c r="N1733" i="9" a="1"/>
  <c r="N1733" i="9" s="1"/>
  <c r="N1734" i="9" a="1"/>
  <c r="N1734" i="9" s="1"/>
  <c r="N1735" i="9" a="1"/>
  <c r="N1735" i="9" s="1"/>
  <c r="N1736" i="9" a="1"/>
  <c r="N1736" i="9" s="1"/>
  <c r="N1737" i="9" a="1"/>
  <c r="N1737" i="9" s="1"/>
  <c r="N1738" i="9" a="1"/>
  <c r="N1738" i="9" s="1"/>
  <c r="N1739" i="9" a="1"/>
  <c r="N1739" i="9" s="1"/>
  <c r="N1740" i="9" a="1"/>
  <c r="N1740" i="9" s="1"/>
  <c r="N1741" i="9" a="1"/>
  <c r="N1741" i="9" s="1"/>
  <c r="N1742" i="9" a="1"/>
  <c r="N1742" i="9" s="1"/>
  <c r="N1743" i="9" a="1"/>
  <c r="N1743" i="9" s="1"/>
  <c r="N1744" i="9" a="1"/>
  <c r="N1744" i="9"/>
  <c r="N1745" i="9" a="1"/>
  <c r="N1745" i="9" s="1"/>
  <c r="N1747" i="9" a="1"/>
  <c r="N1747" i="9" s="1"/>
  <c r="N1748" i="9" a="1"/>
  <c r="N1748" i="9" s="1"/>
  <c r="N1749" i="9" a="1"/>
  <c r="N1749" i="9" s="1"/>
  <c r="N1750" i="9" a="1"/>
  <c r="N1750" i="9" s="1"/>
  <c r="N1751" i="9" a="1"/>
  <c r="N1751" i="9" s="1"/>
  <c r="N1752" i="9" a="1"/>
  <c r="N1752" i="9"/>
  <c r="N1753" i="9" a="1"/>
  <c r="N1753" i="9" s="1"/>
  <c r="N1754" i="9" a="1"/>
  <c r="N1754" i="9" s="1"/>
  <c r="N1755" i="9" a="1"/>
  <c r="N1755" i="9" s="1"/>
  <c r="N1756" i="9" a="1"/>
  <c r="N1756" i="9"/>
  <c r="N1757" i="9" a="1"/>
  <c r="N1757" i="9" s="1"/>
  <c r="N1758" i="9" a="1"/>
  <c r="N1758" i="9" s="1"/>
  <c r="N1759" i="9" a="1"/>
  <c r="N1759" i="9" s="1"/>
  <c r="N1760" i="9" a="1"/>
  <c r="N1760" i="9" s="1"/>
  <c r="N1761" i="9" a="1"/>
  <c r="N1761" i="9" s="1"/>
  <c r="N1763" i="9" a="1"/>
  <c r="N1763" i="9" s="1"/>
  <c r="N1764" i="9" a="1"/>
  <c r="N1764" i="9" s="1"/>
  <c r="N1765" i="9" a="1"/>
  <c r="N1765" i="9" s="1"/>
  <c r="N1766" i="9" a="1"/>
  <c r="N1766" i="9" s="1"/>
  <c r="N1767" i="9" a="1"/>
  <c r="N1767" i="9" s="1"/>
  <c r="N1768" i="9" a="1"/>
  <c r="N1768" i="9" s="1"/>
  <c r="N1769" i="9" a="1"/>
  <c r="N1769" i="9" s="1"/>
  <c r="N1770" i="9" a="1"/>
  <c r="N1770" i="9" s="1"/>
  <c r="N1771" i="9" a="1"/>
  <c r="N1771" i="9" s="1"/>
  <c r="N1772" i="9" a="1"/>
  <c r="N1772" i="9"/>
  <c r="N1773" i="9" a="1"/>
  <c r="N1773" i="9" s="1"/>
  <c r="N1774" i="9" a="1"/>
  <c r="N1774" i="9" s="1"/>
  <c r="N1775" i="9" a="1"/>
  <c r="N1775" i="9" s="1"/>
  <c r="N1776" i="9" a="1"/>
  <c r="N1776" i="9" s="1"/>
  <c r="N1777" i="9" a="1"/>
  <c r="N1777" i="9" s="1"/>
  <c r="N1779" i="9" a="1"/>
  <c r="N1779" i="9" s="1"/>
  <c r="N1780" i="9" a="1"/>
  <c r="N1780" i="9"/>
  <c r="N1781" i="9" a="1"/>
  <c r="N1781" i="9" s="1"/>
  <c r="N1782" i="9" a="1"/>
  <c r="N1782" i="9" s="1"/>
  <c r="N1783" i="9" a="1"/>
  <c r="N1783" i="9" s="1"/>
  <c r="N1784" i="9" a="1"/>
  <c r="N1784" i="9" s="1"/>
  <c r="N1785" i="9" a="1"/>
  <c r="N1785" i="9" s="1"/>
  <c r="N1786" i="9" a="1"/>
  <c r="N1786" i="9" s="1"/>
  <c r="N1787" i="9" a="1"/>
  <c r="N1787" i="9" s="1"/>
  <c r="N1788" i="9" a="1"/>
  <c r="N1788" i="9" s="1"/>
  <c r="N1789" i="9" a="1"/>
  <c r="N1789" i="9" s="1"/>
  <c r="N1790" i="9" a="1"/>
  <c r="N1790" i="9" s="1"/>
  <c r="N1791" i="9" a="1"/>
  <c r="N1791" i="9" s="1"/>
  <c r="N1792" i="9" a="1"/>
  <c r="N1792" i="9"/>
  <c r="N1793" i="9" a="1"/>
  <c r="N1793" i="9" s="1"/>
  <c r="N1795" i="9" a="1"/>
  <c r="N1795" i="9" s="1"/>
  <c r="N1796" i="9" a="1"/>
  <c r="N1796" i="9"/>
  <c r="N1797" i="9" a="1"/>
  <c r="N1797" i="9" s="1"/>
  <c r="N1798" i="9" a="1"/>
  <c r="N1798" i="9" s="1"/>
  <c r="N1799" i="9" a="1"/>
  <c r="N1799" i="9" s="1"/>
  <c r="N1800" i="9" a="1"/>
  <c r="N1800" i="9"/>
  <c r="N1801" i="9" a="1"/>
  <c r="N1801" i="9" s="1"/>
  <c r="N1802" i="9" a="1"/>
  <c r="N1802" i="9" s="1"/>
  <c r="N1803" i="9" a="1"/>
  <c r="N1803" i="9" s="1"/>
  <c r="N1804" i="9" a="1"/>
  <c r="N1804" i="9"/>
  <c r="N1805" i="9" a="1"/>
  <c r="N1805" i="9" s="1"/>
  <c r="N1806" i="9" a="1"/>
  <c r="N1806" i="9" s="1"/>
  <c r="N1807" i="9" a="1"/>
  <c r="N1807" i="9" s="1"/>
  <c r="N1808" i="9" a="1"/>
  <c r="N1808" i="9" s="1"/>
  <c r="N1809" i="9" a="1"/>
  <c r="N1809" i="9" s="1"/>
  <c r="N1811" i="9" a="1"/>
  <c r="N1811" i="9" s="1"/>
  <c r="N1812" i="9" a="1"/>
  <c r="N1812" i="9" s="1"/>
  <c r="N1813" i="9" a="1"/>
  <c r="N1813" i="9" s="1"/>
  <c r="N1814" i="9" a="1"/>
  <c r="N1814" i="9" s="1"/>
  <c r="N1815" i="9" a="1"/>
  <c r="N1815" i="9" s="1"/>
  <c r="N1816" i="9" a="1"/>
  <c r="N1816" i="9"/>
  <c r="N1817" i="9" a="1"/>
  <c r="N1817" i="9" s="1"/>
  <c r="N1818" i="9" a="1"/>
  <c r="N1818" i="9" s="1"/>
  <c r="N1819" i="9" a="1"/>
  <c r="N1819" i="9" s="1"/>
  <c r="N1820" i="9" a="1"/>
  <c r="N1820" i="9" s="1"/>
  <c r="N1821" i="9" a="1"/>
  <c r="N1821" i="9" s="1"/>
  <c r="N1822" i="9" a="1"/>
  <c r="N1822" i="9" s="1"/>
  <c r="N1823" i="9" a="1"/>
  <c r="N1823" i="9" s="1"/>
  <c r="N1824" i="9" a="1"/>
  <c r="N1824" i="9"/>
  <c r="N1825" i="9" a="1"/>
  <c r="N1825" i="9" s="1"/>
  <c r="N1827" i="9" a="1"/>
  <c r="N1827" i="9" s="1"/>
  <c r="N1828" i="9" a="1"/>
  <c r="N1828" i="9"/>
  <c r="N1829" i="9" a="1"/>
  <c r="N1829" i="9" s="1"/>
  <c r="N1830" i="9" a="1"/>
  <c r="N1830" i="9" s="1"/>
  <c r="N1831" i="9" a="1"/>
  <c r="N1831" i="9" s="1"/>
  <c r="N1832" i="9" a="1"/>
  <c r="N1832" i="9" s="1"/>
  <c r="N1833" i="9" a="1"/>
  <c r="N1833" i="9" s="1"/>
  <c r="N1834" i="9" a="1"/>
  <c r="N1834" i="9" s="1"/>
  <c r="N1835" i="9" a="1"/>
  <c r="N1835" i="9" s="1"/>
  <c r="N1836" i="9" a="1"/>
  <c r="N1836" i="9"/>
  <c r="N1837" i="9" a="1"/>
  <c r="N1837" i="9" s="1"/>
  <c r="N1838" i="9" a="1"/>
  <c r="N1838" i="9" s="1"/>
  <c r="N1839" i="9" a="1"/>
  <c r="N1839" i="9" s="1"/>
  <c r="N1840" i="9" a="1"/>
  <c r="N1840" i="9" s="1"/>
  <c r="N1841" i="9" a="1"/>
  <c r="N1841" i="9" s="1"/>
  <c r="N1843" i="9" a="1"/>
  <c r="N1843" i="9" s="1"/>
  <c r="N1844" i="9" a="1"/>
  <c r="N1844" i="9"/>
  <c r="N1845" i="9" a="1"/>
  <c r="N1845" i="9" s="1"/>
  <c r="N1846" i="9" a="1"/>
  <c r="N1846" i="9" s="1"/>
  <c r="N1847" i="9" a="1"/>
  <c r="N1847" i="9" s="1"/>
  <c r="N1848" i="9" a="1"/>
  <c r="N1848" i="9" s="1"/>
  <c r="N1849" i="9" a="1"/>
  <c r="N1849" i="9" s="1"/>
  <c r="N1850" i="9" a="1"/>
  <c r="N1850" i="9" s="1"/>
  <c r="N1851" i="9" a="1"/>
  <c r="N1851" i="9" s="1"/>
  <c r="N1852" i="9" a="1"/>
  <c r="N1852" i="9"/>
  <c r="N1853" i="9" a="1"/>
  <c r="N1853" i="9" s="1"/>
  <c r="N1854" i="9" a="1"/>
  <c r="N1854" i="9" s="1"/>
  <c r="N1855" i="9" a="1"/>
  <c r="N1855" i="9" s="1"/>
  <c r="N1856" i="9" a="1"/>
  <c r="N1856" i="9" s="1"/>
  <c r="N1857" i="9" a="1"/>
  <c r="N1857" i="9" s="1"/>
  <c r="N1859" i="9" a="1"/>
  <c r="N1859" i="9" s="1"/>
  <c r="N1860" i="9" a="1"/>
  <c r="N1860" i="9" s="1"/>
  <c r="N1861" i="9" a="1"/>
  <c r="N1861" i="9" s="1"/>
  <c r="N1862" i="9" a="1"/>
  <c r="N1862" i="9" s="1"/>
  <c r="N1863" i="9" a="1"/>
  <c r="N1863" i="9" s="1"/>
  <c r="N1864" i="9" a="1"/>
  <c r="N1864" i="9" s="1"/>
  <c r="N1865" i="9" a="1"/>
  <c r="N1865" i="9" s="1"/>
  <c r="N1866" i="9" a="1"/>
  <c r="N1866" i="9" s="1"/>
  <c r="N1867" i="9" a="1"/>
  <c r="N1867" i="9" s="1"/>
  <c r="N1868" i="9" a="1"/>
  <c r="N1868" i="9"/>
  <c r="N1869" i="9" a="1"/>
  <c r="N1869" i="9" s="1"/>
  <c r="N1870" i="9" a="1"/>
  <c r="N1870" i="9" s="1"/>
  <c r="N1871" i="9" a="1"/>
  <c r="N1871" i="9" s="1"/>
  <c r="N1872" i="9" a="1"/>
  <c r="N1872" i="9"/>
  <c r="N1873" i="9" a="1"/>
  <c r="N1873" i="9" s="1"/>
  <c r="N1875" i="9" a="1"/>
  <c r="N1875" i="9" s="1"/>
  <c r="N1876" i="9" a="1"/>
  <c r="N1876" i="9"/>
  <c r="N1877" i="9" a="1"/>
  <c r="N1877" i="9" s="1"/>
  <c r="N1878" i="9" a="1"/>
  <c r="N1878" i="9" s="1"/>
  <c r="N1879" i="9" a="1"/>
  <c r="N1879" i="9" s="1"/>
  <c r="N1880" i="9" a="1"/>
  <c r="N1880" i="9" s="1"/>
  <c r="N1881" i="9" a="1"/>
  <c r="N1881" i="9" s="1"/>
  <c r="N1882" i="9" a="1"/>
  <c r="N1882" i="9" s="1"/>
  <c r="N1883" i="9" a="1"/>
  <c r="N1883" i="9" s="1"/>
  <c r="N1884" i="9" a="1"/>
  <c r="N1884" i="9" s="1"/>
  <c r="N1885" i="9" a="1"/>
  <c r="N1885" i="9" s="1"/>
  <c r="N1886" i="9" a="1"/>
  <c r="N1886" i="9" s="1"/>
  <c r="N1887" i="9" a="1"/>
  <c r="N1887" i="9" s="1"/>
  <c r="N1888" i="9" a="1"/>
  <c r="N1888" i="9"/>
  <c r="N1889" i="9" a="1"/>
  <c r="N1889" i="9" s="1"/>
  <c r="N1891" i="9" a="1"/>
  <c r="N1891" i="9" s="1"/>
  <c r="N1892" i="9" a="1"/>
  <c r="N1892" i="9" s="1"/>
  <c r="N1893" i="9" a="1"/>
  <c r="N1893" i="9" s="1"/>
  <c r="N1894" i="9" a="1"/>
  <c r="N1894" i="9" s="1"/>
  <c r="N1895" i="9" a="1"/>
  <c r="N1895" i="9" s="1"/>
  <c r="N1896" i="9" a="1"/>
  <c r="N1896" i="9"/>
  <c r="N1897" i="9" a="1"/>
  <c r="N1897" i="9" s="1"/>
  <c r="N1898" i="9" a="1"/>
  <c r="N1898" i="9" s="1"/>
  <c r="N1899" i="9" a="1"/>
  <c r="N1899" i="9" s="1"/>
  <c r="N1900" i="9" a="1"/>
  <c r="N1900" i="9"/>
  <c r="N1901" i="9" a="1"/>
  <c r="N1901" i="9" s="1"/>
  <c r="N1902" i="9" a="1"/>
  <c r="N1902" i="9" s="1"/>
  <c r="N1903" i="9" a="1"/>
  <c r="N1903" i="9" s="1"/>
  <c r="N1904" i="9" a="1"/>
  <c r="N1904" i="9" s="1"/>
  <c r="N1905" i="9" a="1"/>
  <c r="N1905" i="9" s="1"/>
  <c r="N1907" i="9" a="1"/>
  <c r="N1907" i="9" s="1"/>
  <c r="N1908" i="9" a="1"/>
  <c r="N1908" i="9" s="1"/>
  <c r="N1909" i="9" a="1"/>
  <c r="N1909" i="9" s="1"/>
  <c r="N1910" i="9" a="1"/>
  <c r="N1910" i="9" s="1"/>
  <c r="N1911" i="9" a="1"/>
  <c r="N1911" i="9" s="1"/>
  <c r="N1912" i="9" a="1"/>
  <c r="N1912" i="9" s="1"/>
  <c r="N1913" i="9" a="1"/>
  <c r="N1913" i="9" s="1"/>
  <c r="N1914" i="9" a="1"/>
  <c r="N1914" i="9" s="1"/>
  <c r="N1915" i="9" a="1"/>
  <c r="N1915" i="9" s="1"/>
  <c r="N1916" i="9" a="1"/>
  <c r="N1916" i="9"/>
  <c r="N1917" i="9" a="1"/>
  <c r="N1917" i="9" s="1"/>
  <c r="N1918" i="9" a="1"/>
  <c r="N1918" i="9" s="1"/>
  <c r="N1919" i="9" a="1"/>
  <c r="N1919" i="9" s="1"/>
  <c r="N1920" i="9" a="1"/>
  <c r="N1920" i="9" s="1"/>
  <c r="N1921" i="9" a="1"/>
  <c r="N1921" i="9" s="1"/>
  <c r="N1923" i="9" a="1"/>
  <c r="N1923" i="9" s="1"/>
  <c r="N1924" i="9" a="1"/>
  <c r="N1924" i="9"/>
  <c r="N1925" i="9" a="1"/>
  <c r="N1925" i="9" s="1"/>
  <c r="N1926" i="9" a="1"/>
  <c r="N1926" i="9" s="1"/>
  <c r="N1927" i="9" a="1"/>
  <c r="N1927" i="9" s="1"/>
  <c r="N1928" i="9" a="1"/>
  <c r="N1928" i="9" s="1"/>
  <c r="N1929" i="9" a="1"/>
  <c r="N1929" i="9" s="1"/>
  <c r="N1930" i="9" a="1"/>
  <c r="N1930" i="9" s="1"/>
  <c r="N1931" i="9" a="1"/>
  <c r="N1931" i="9" s="1"/>
  <c r="N1932" i="9" a="1"/>
  <c r="N1932" i="9" s="1"/>
  <c r="N1933" i="9" a="1"/>
  <c r="N1933" i="9" s="1"/>
  <c r="N1934" i="9" a="1"/>
  <c r="N1934" i="9" s="1"/>
  <c r="N1935" i="9" a="1"/>
  <c r="N1935" i="9" s="1"/>
  <c r="N1936" i="9" a="1"/>
  <c r="N1936" i="9"/>
  <c r="N1937" i="9" a="1"/>
  <c r="N1937" i="9" s="1"/>
  <c r="N1939" i="9" a="1"/>
  <c r="N1939" i="9" s="1"/>
  <c r="N1940" i="9" a="1"/>
  <c r="N1940" i="9"/>
  <c r="N1941" i="9" a="1"/>
  <c r="N1941" i="9" s="1"/>
  <c r="N1942" i="9" a="1"/>
  <c r="N1942" i="9" s="1"/>
  <c r="N1943" i="9" a="1"/>
  <c r="N1943" i="9" s="1"/>
  <c r="N1944" i="9" a="1"/>
  <c r="N1944" i="9"/>
  <c r="N1945" i="9" a="1"/>
  <c r="N1945" i="9" s="1"/>
  <c r="N1946" i="9" a="1"/>
  <c r="N1946" i="9" s="1"/>
  <c r="N1947" i="9" a="1"/>
  <c r="N1947" i="9" s="1"/>
  <c r="N1948" i="9" a="1"/>
  <c r="N1948" i="9"/>
  <c r="N1949" i="9" a="1"/>
  <c r="N1949" i="9" s="1"/>
  <c r="N1950" i="9" a="1"/>
  <c r="N1950" i="9" s="1"/>
  <c r="N1951" i="9" a="1"/>
  <c r="N1951" i="9" s="1"/>
  <c r="N1952" i="9" a="1"/>
  <c r="N1952" i="9" s="1"/>
  <c r="N1953" i="9" a="1"/>
  <c r="N1953" i="9" s="1"/>
  <c r="N1955" i="9" a="1"/>
  <c r="N1955" i="9" s="1"/>
  <c r="N1956" i="9" a="1"/>
  <c r="N1956" i="9" s="1"/>
  <c r="N1957" i="9" a="1"/>
  <c r="N1957" i="9" s="1"/>
  <c r="N1958" i="9" a="1"/>
  <c r="N1958" i="9" s="1"/>
  <c r="N1959" i="9" a="1"/>
  <c r="N1959" i="9" s="1"/>
  <c r="N1960" i="9" a="1"/>
  <c r="N1960" i="9" s="1"/>
  <c r="N1961" i="9" a="1"/>
  <c r="N1961" i="9" s="1"/>
  <c r="N1962" i="9" a="1"/>
  <c r="N1962" i="9" s="1"/>
  <c r="N1963" i="9" a="1"/>
  <c r="N1963" i="9" s="1"/>
  <c r="N1964" i="9" a="1"/>
  <c r="N1964" i="9" s="1"/>
  <c r="N1965" i="9" a="1"/>
  <c r="N1965" i="9" s="1"/>
  <c r="N1966" i="9" a="1"/>
  <c r="N1966" i="9" s="1"/>
  <c r="N1967" i="9" a="1"/>
  <c r="N1967" i="9" s="1"/>
  <c r="N1968" i="9" a="1"/>
  <c r="N1968" i="9" s="1"/>
  <c r="N1969" i="9" a="1"/>
  <c r="N1969" i="9" s="1"/>
  <c r="N1971" i="9" a="1"/>
  <c r="N1971" i="9" s="1"/>
  <c r="N1972" i="9" a="1"/>
  <c r="N1972" i="9"/>
  <c r="N1973" i="9" a="1"/>
  <c r="N1973" i="9" s="1"/>
  <c r="N1974" i="9" a="1"/>
  <c r="N1974" i="9" s="1"/>
  <c r="N1975" i="9" a="1"/>
  <c r="N1975" i="9" s="1"/>
  <c r="N1976" i="9" a="1"/>
  <c r="N1976" i="9" s="1"/>
  <c r="N1977" i="9" a="1"/>
  <c r="N1977" i="9" s="1"/>
  <c r="N1978" i="9" a="1"/>
  <c r="N1978" i="9" s="1"/>
  <c r="N1979" i="9" a="1"/>
  <c r="N1979" i="9" s="1"/>
  <c r="N1980" i="9" a="1"/>
  <c r="N1980" i="9" s="1"/>
  <c r="N1981" i="9" a="1"/>
  <c r="N1981" i="9" s="1"/>
  <c r="N1982" i="9" a="1"/>
  <c r="N1982" i="9" s="1"/>
  <c r="N1983" i="9" a="1"/>
  <c r="N1983" i="9" s="1"/>
  <c r="N1984" i="9" a="1"/>
  <c r="N1984" i="9" s="1"/>
  <c r="N1985" i="9" a="1"/>
  <c r="N1985" i="9" s="1"/>
  <c r="N1987" i="9" a="1"/>
  <c r="N1987" i="9" s="1"/>
  <c r="N1988" i="9" a="1"/>
  <c r="N1988" i="9"/>
  <c r="N1989" i="9" a="1"/>
  <c r="N1989" i="9" s="1"/>
  <c r="N1990" i="9" a="1"/>
  <c r="N1990" i="9" s="1"/>
  <c r="N1991" i="9" a="1"/>
  <c r="N1991" i="9" s="1"/>
  <c r="N1992" i="9" a="1"/>
  <c r="N1992" i="9" s="1"/>
  <c r="N1993" i="9" a="1"/>
  <c r="N1993" i="9" s="1"/>
  <c r="N1994" i="9" a="1"/>
  <c r="N1994" i="9" s="1"/>
  <c r="N1995" i="9" a="1"/>
  <c r="N1995" i="9" s="1"/>
  <c r="N1996" i="9" a="1"/>
  <c r="N1996" i="9"/>
  <c r="N1997" i="9" a="1"/>
  <c r="N1997" i="9" s="1"/>
  <c r="N1998" i="9" a="1"/>
  <c r="N1998" i="9" s="1"/>
  <c r="N1999" i="9" a="1"/>
  <c r="N1999" i="9" s="1"/>
  <c r="N2000" i="9" a="1"/>
  <c r="N2000" i="9" s="1"/>
  <c r="N2001" i="9" a="1"/>
  <c r="N2001" i="9" s="1"/>
  <c r="N2003" i="9" a="1"/>
  <c r="N2003" i="9" s="1"/>
  <c r="N2004" i="9" a="1"/>
  <c r="N2004" i="9" s="1"/>
  <c r="N2005" i="9" a="1"/>
  <c r="N2005" i="9" s="1"/>
  <c r="N2006" i="9" a="1"/>
  <c r="N2006" i="9" s="1"/>
  <c r="N2007" i="9" a="1"/>
  <c r="N2007" i="9" s="1"/>
  <c r="N2008" i="9" a="1"/>
  <c r="N2008" i="9" s="1"/>
  <c r="N2009" i="9" a="1"/>
  <c r="N2009" i="9" s="1"/>
  <c r="N2010" i="9" a="1"/>
  <c r="N2010" i="9" s="1"/>
  <c r="N2011" i="9" a="1"/>
  <c r="N2011" i="9" s="1"/>
  <c r="N2012" i="9" a="1"/>
  <c r="N2012" i="9"/>
  <c r="N2013" i="9" a="1"/>
  <c r="N2013" i="9" s="1"/>
  <c r="N2014" i="9" a="1"/>
  <c r="N2014" i="9" s="1"/>
  <c r="N2015" i="9" a="1"/>
  <c r="N2015" i="9" s="1"/>
  <c r="N2016" i="9" a="1"/>
  <c r="N2016" i="9"/>
  <c r="N2017" i="9" a="1"/>
  <c r="N2017" i="9" s="1"/>
  <c r="N2019" i="9" a="1"/>
  <c r="N2019" i="9" s="1"/>
  <c r="N2020" i="9" a="1"/>
  <c r="N2020" i="9"/>
  <c r="N2021" i="9" a="1"/>
  <c r="N2021" i="9" s="1"/>
  <c r="N2022" i="9" a="1"/>
  <c r="N2022" i="9" s="1"/>
  <c r="N2023" i="9" a="1"/>
  <c r="N2023" i="9" s="1"/>
  <c r="N2024" i="9" a="1"/>
  <c r="N2024" i="9" s="1"/>
  <c r="N2025" i="9" a="1"/>
  <c r="N2025" i="9" s="1"/>
  <c r="N2026" i="9" a="1"/>
  <c r="N2026" i="9" s="1"/>
  <c r="N2027" i="9" a="1"/>
  <c r="N2027" i="9" s="1"/>
  <c r="N2028" i="9" a="1"/>
  <c r="N2028" i="9" s="1"/>
  <c r="N2029" i="9" a="1"/>
  <c r="N2029" i="9" s="1"/>
  <c r="N2030" i="9" a="1"/>
  <c r="N2030" i="9" s="1"/>
  <c r="N2031" i="9" a="1"/>
  <c r="N2031" i="9" s="1"/>
  <c r="N2032" i="9" a="1"/>
  <c r="N2032" i="9"/>
  <c r="N2033" i="9" a="1"/>
  <c r="N2033" i="9" s="1"/>
  <c r="N2035" i="9" a="1"/>
  <c r="N2035" i="9" s="1"/>
  <c r="N2036" i="9" a="1"/>
  <c r="N2036" i="9" s="1"/>
  <c r="N2037" i="9" a="1"/>
  <c r="N2037" i="9" s="1"/>
  <c r="N2038" i="9" a="1"/>
  <c r="N2038" i="9" s="1"/>
  <c r="N2039" i="9" a="1"/>
  <c r="N2039" i="9" s="1"/>
  <c r="N2040" i="9" a="1"/>
  <c r="N2040" i="9" s="1"/>
  <c r="N2041" i="9" a="1"/>
  <c r="N2041" i="9" s="1"/>
  <c r="N2042" i="9" a="1"/>
  <c r="N2042" i="9" s="1"/>
  <c r="N2043" i="9" a="1"/>
  <c r="N2043" i="9" s="1"/>
  <c r="N2044" i="9" a="1"/>
  <c r="N2044" i="9"/>
  <c r="N2045" i="9" a="1"/>
  <c r="N2045" i="9" s="1"/>
  <c r="N2046" i="9" a="1"/>
  <c r="N2046" i="9" s="1"/>
  <c r="N2047" i="9" a="1"/>
  <c r="N2047" i="9" s="1"/>
  <c r="N2048" i="9" a="1"/>
  <c r="N2048" i="9" s="1"/>
  <c r="N2049" i="9" a="1"/>
  <c r="N2049" i="9" s="1"/>
  <c r="N2051" i="9" a="1"/>
  <c r="N2051" i="9" s="1"/>
  <c r="N2052" i="9" a="1"/>
  <c r="N2052" i="9" s="1"/>
  <c r="N2053" i="9" a="1"/>
  <c r="N2053" i="9" s="1"/>
  <c r="N2054" i="9" a="1"/>
  <c r="N2054" i="9" s="1"/>
  <c r="N2055" i="9" a="1"/>
  <c r="N2055" i="9" s="1"/>
  <c r="N2056" i="9" a="1"/>
  <c r="N2056" i="9" s="1"/>
  <c r="N2057" i="9" a="1"/>
  <c r="N2057" i="9" s="1"/>
  <c r="N2058" i="9" a="1"/>
  <c r="N2058" i="9" s="1"/>
  <c r="N2059" i="9" a="1"/>
  <c r="N2059" i="9" s="1"/>
  <c r="N2060" i="9" a="1"/>
  <c r="N2060" i="9"/>
  <c r="N2061" i="9" a="1"/>
  <c r="N2061" i="9" s="1"/>
  <c r="N2062" i="9" a="1"/>
  <c r="N2062" i="9" s="1"/>
  <c r="N2063" i="9" a="1"/>
  <c r="N2063" i="9" s="1"/>
  <c r="N2064" i="9" a="1"/>
  <c r="N2064" i="9" s="1"/>
  <c r="N2065" i="9" a="1"/>
  <c r="N2065" i="9" s="1"/>
  <c r="N2067" i="9" a="1"/>
  <c r="N2067" i="9" s="1"/>
  <c r="N2068" i="9" a="1"/>
  <c r="N2068" i="9"/>
  <c r="N2069" i="9" a="1"/>
  <c r="N2069" i="9" s="1"/>
  <c r="N2070" i="9" a="1"/>
  <c r="N2070" i="9" s="1"/>
  <c r="N2071" i="9" a="1"/>
  <c r="N2071" i="9" s="1"/>
  <c r="N2072" i="9" a="1"/>
  <c r="N2072" i="9" s="1"/>
  <c r="N2073" i="9" a="1"/>
  <c r="N2073" i="9" s="1"/>
  <c r="N2074" i="9" a="1"/>
  <c r="N2074" i="9" s="1"/>
  <c r="N2075" i="9" a="1"/>
  <c r="N2075" i="9" s="1"/>
  <c r="N2076" i="9" a="1"/>
  <c r="N2076" i="9" s="1"/>
  <c r="N2077" i="9" a="1"/>
  <c r="N2077" i="9" s="1"/>
  <c r="N2078" i="9" a="1"/>
  <c r="N2078" i="9" s="1"/>
  <c r="N2079" i="9" a="1"/>
  <c r="N2079" i="9" s="1"/>
  <c r="N2080" i="9" a="1"/>
  <c r="N2080" i="9"/>
  <c r="N2081" i="9" a="1"/>
  <c r="N2081" i="9" s="1"/>
  <c r="N2083" i="9" a="1"/>
  <c r="N2083" i="9" s="1"/>
  <c r="N2084" i="9" a="1"/>
  <c r="N2084" i="9"/>
  <c r="N2085" i="9" a="1"/>
  <c r="N2085" i="9" s="1"/>
  <c r="N2086" i="9" a="1"/>
  <c r="N2086" i="9" s="1"/>
  <c r="N2087" i="9" a="1"/>
  <c r="N2087" i="9" s="1"/>
  <c r="N2088" i="9" a="1"/>
  <c r="N2088" i="9"/>
  <c r="N2089" i="9" a="1"/>
  <c r="N2089" i="9" s="1"/>
  <c r="N2090" i="9" a="1"/>
  <c r="N2090" i="9" s="1"/>
  <c r="N2091" i="9" a="1"/>
  <c r="N2091" i="9" s="1"/>
  <c r="N2092" i="9" a="1"/>
  <c r="N2092" i="9"/>
  <c r="N2093" i="9" a="1"/>
  <c r="N2093" i="9" s="1"/>
  <c r="N2094" i="9" a="1"/>
  <c r="N2094" i="9" s="1"/>
  <c r="N2095" i="9" a="1"/>
  <c r="N2095" i="9" s="1"/>
  <c r="N2096" i="9" a="1"/>
  <c r="N2096" i="9" s="1"/>
  <c r="N2097" i="9" a="1"/>
  <c r="N2097" i="9" s="1"/>
  <c r="N2099" i="9" a="1"/>
  <c r="N2099" i="9" s="1"/>
  <c r="N2100" i="9" a="1"/>
  <c r="N2100" i="9" s="1"/>
  <c r="N2101" i="9" a="1"/>
  <c r="N2101" i="9" s="1"/>
  <c r="N2102" i="9" a="1"/>
  <c r="N2102" i="9" s="1"/>
  <c r="N2103" i="9" a="1"/>
  <c r="N2103" i="9" s="1"/>
  <c r="N2104" i="9" a="1"/>
  <c r="N2104" i="9" s="1"/>
  <c r="N2105" i="9" a="1"/>
  <c r="N2105" i="9" s="1"/>
  <c r="N2106" i="9" a="1"/>
  <c r="N2106" i="9" s="1"/>
  <c r="N2107" i="9" a="1"/>
  <c r="N2107" i="9" s="1"/>
  <c r="N2108" i="9" a="1"/>
  <c r="N2108" i="9" s="1"/>
  <c r="N2109" i="9" a="1"/>
  <c r="N2109" i="9" s="1"/>
  <c r="N2110" i="9" a="1"/>
  <c r="N2110" i="9" s="1"/>
  <c r="N2111" i="9" a="1"/>
  <c r="N2111" i="9" s="1"/>
  <c r="N2112" i="9" a="1"/>
  <c r="N2112" i="9" s="1"/>
  <c r="N2113" i="9" a="1"/>
  <c r="N2113" i="9" s="1"/>
  <c r="N2115" i="9" a="1"/>
  <c r="N2115" i="9" s="1"/>
  <c r="N2116" i="9" a="1"/>
  <c r="N2116" i="9"/>
  <c r="N2117" i="9" a="1"/>
  <c r="N2117" i="9" s="1"/>
  <c r="N2118" i="9" a="1"/>
  <c r="N2118" i="9" s="1"/>
  <c r="N2119" i="9" a="1"/>
  <c r="N2119" i="9" s="1"/>
  <c r="N2120" i="9" a="1"/>
  <c r="N2120" i="9" s="1"/>
  <c r="N2121" i="9" a="1"/>
  <c r="N2121" i="9" s="1"/>
  <c r="N2122" i="9" a="1"/>
  <c r="N2122" i="9" s="1"/>
  <c r="N2123" i="9" a="1"/>
  <c r="N2123" i="9" s="1"/>
  <c r="N2124" i="9" a="1"/>
  <c r="N2124" i="9" s="1"/>
  <c r="N2125" i="9" a="1"/>
  <c r="N2125" i="9" s="1"/>
  <c r="N2126" i="9" a="1"/>
  <c r="N2126" i="9" s="1"/>
  <c r="N2127" i="9" a="1"/>
  <c r="N2127" i="9" s="1"/>
  <c r="N2128" i="9" a="1"/>
  <c r="N2128" i="9" s="1"/>
  <c r="N2129" i="9" a="1"/>
  <c r="N2129" i="9" s="1"/>
  <c r="N2131" i="9" a="1"/>
  <c r="N2131" i="9" s="1"/>
  <c r="N2132" i="9" a="1"/>
  <c r="N2132" i="9"/>
  <c r="N2133" i="9" a="1"/>
  <c r="N2133" i="9" s="1"/>
  <c r="N2134" i="9" a="1"/>
  <c r="N2134" i="9" s="1"/>
  <c r="N2135" i="9" a="1"/>
  <c r="N2135" i="9" s="1"/>
  <c r="N2136" i="9" a="1"/>
  <c r="N2136" i="9" s="1"/>
  <c r="N2137" i="9" a="1"/>
  <c r="N2137" i="9" s="1"/>
  <c r="N2138" i="9" a="1"/>
  <c r="N2138" i="9" s="1"/>
  <c r="N2139" i="9" a="1"/>
  <c r="N2139" i="9" s="1"/>
  <c r="N2140" i="9" a="1"/>
  <c r="N2140" i="9"/>
  <c r="N2141" i="9" a="1"/>
  <c r="N2141" i="9" s="1"/>
  <c r="N2142" i="9" a="1"/>
  <c r="N2142" i="9" s="1"/>
  <c r="N2143" i="9" a="1"/>
  <c r="N2143" i="9" s="1"/>
  <c r="N2144" i="9" a="1"/>
  <c r="N2144" i="9" s="1"/>
  <c r="N2145" i="9" a="1"/>
  <c r="N2145" i="9" s="1"/>
  <c r="N2147" i="9" a="1"/>
  <c r="N2147" i="9" s="1"/>
  <c r="N2148" i="9" a="1"/>
  <c r="N2148" i="9" s="1"/>
  <c r="N2149" i="9" a="1"/>
  <c r="N2149" i="9" s="1"/>
  <c r="N2150" i="9" a="1"/>
  <c r="N2150" i="9" s="1"/>
  <c r="N2151" i="9" a="1"/>
  <c r="N2151" i="9" s="1"/>
  <c r="N2152" i="9" a="1"/>
  <c r="N2152" i="9" s="1"/>
  <c r="N2153" i="9" a="1"/>
  <c r="N2153" i="9" s="1"/>
  <c r="N2154" i="9" a="1"/>
  <c r="N2154" i="9" s="1"/>
  <c r="N2155" i="9" a="1"/>
  <c r="N2155" i="9" s="1"/>
  <c r="N2156" i="9" a="1"/>
  <c r="N2156" i="9"/>
  <c r="N2157" i="9" a="1"/>
  <c r="N2157" i="9" s="1"/>
  <c r="N2158" i="9" a="1"/>
  <c r="N2158" i="9" s="1"/>
  <c r="N2159" i="9" a="1"/>
  <c r="N2159" i="9" s="1"/>
  <c r="N2160" i="9" a="1"/>
  <c r="N2160" i="9"/>
  <c r="N2161" i="9" a="1"/>
  <c r="N2161" i="9" s="1"/>
  <c r="N2163" i="9" a="1"/>
  <c r="N2163" i="9" s="1"/>
  <c r="N2164" i="9" a="1"/>
  <c r="N2164" i="9"/>
  <c r="N2165" i="9" a="1"/>
  <c r="N2165" i="9" s="1"/>
  <c r="N2166" i="9" a="1"/>
  <c r="N2166" i="9" s="1"/>
  <c r="N2167" i="9" a="1"/>
  <c r="N2167" i="9" s="1"/>
  <c r="N2168" i="9" a="1"/>
  <c r="N2168" i="9" s="1"/>
  <c r="N2169" i="9" a="1"/>
  <c r="N2169" i="9" s="1"/>
  <c r="N2170" i="9" a="1"/>
  <c r="N2170" i="9" s="1"/>
  <c r="N2171" i="9" a="1"/>
  <c r="N2171" i="9" s="1"/>
  <c r="N2172" i="9" a="1"/>
  <c r="N2172" i="9" s="1"/>
  <c r="N2173" i="9" a="1"/>
  <c r="N2173" i="9" s="1"/>
  <c r="N2174" i="9" a="1"/>
  <c r="N2174" i="9" s="1"/>
  <c r="N2175" i="9" a="1"/>
  <c r="N2175" i="9" s="1"/>
  <c r="N2176" i="9" a="1"/>
  <c r="N2176" i="9"/>
  <c r="N2177" i="9" a="1"/>
  <c r="N2177" i="9" s="1"/>
  <c r="N2179" i="9" a="1"/>
  <c r="N2179" i="9" s="1"/>
  <c r="N2180" i="9" a="1"/>
  <c r="N2180" i="9" s="1"/>
  <c r="N2181" i="9" a="1"/>
  <c r="N2181" i="9" s="1"/>
  <c r="N2182" i="9" a="1"/>
  <c r="N2182" i="9" s="1"/>
  <c r="N2183" i="9" a="1"/>
  <c r="N2183" i="9" s="1"/>
  <c r="N2184" i="9" a="1"/>
  <c r="N2184" i="9" s="1"/>
  <c r="N2185" i="9" a="1"/>
  <c r="N2185" i="9" s="1"/>
  <c r="N2186" i="9" a="1"/>
  <c r="N2186" i="9" s="1"/>
  <c r="N2187" i="9" a="1"/>
  <c r="N2187" i="9" s="1"/>
  <c r="N2188" i="9" a="1"/>
  <c r="N2188" i="9"/>
  <c r="N2189" i="9" a="1"/>
  <c r="N2189" i="9" s="1"/>
  <c r="N2190" i="9" a="1"/>
  <c r="N2190" i="9" s="1"/>
  <c r="N2191" i="9" a="1"/>
  <c r="N2191" i="9" s="1"/>
  <c r="N2192" i="9" a="1"/>
  <c r="N2192" i="9" s="1"/>
  <c r="N2193" i="9" a="1"/>
  <c r="N2193" i="9" s="1"/>
  <c r="N2195" i="9" a="1"/>
  <c r="N2195" i="9" s="1"/>
  <c r="N2196" i="9" a="1"/>
  <c r="N2196" i="9" s="1"/>
  <c r="N2197" i="9" a="1"/>
  <c r="N2197" i="9" s="1"/>
  <c r="N2198" i="9" a="1"/>
  <c r="N2198" i="9" s="1"/>
  <c r="N2199" i="9" a="1"/>
  <c r="N2199" i="9" s="1"/>
  <c r="N2200" i="9" a="1"/>
  <c r="N2200" i="9" s="1"/>
  <c r="N2201" i="9" a="1"/>
  <c r="N2201" i="9" s="1"/>
  <c r="N2202" i="9" a="1"/>
  <c r="N2202" i="9" s="1"/>
  <c r="N2203" i="9" a="1"/>
  <c r="N2203" i="9" s="1"/>
  <c r="N2204" i="9" a="1"/>
  <c r="N2204" i="9"/>
  <c r="N2205" i="9" a="1"/>
  <c r="N2205" i="9" s="1"/>
  <c r="N2206" i="9" a="1"/>
  <c r="N2206" i="9" s="1"/>
  <c r="N2207" i="9" a="1"/>
  <c r="N2207" i="9" s="1"/>
  <c r="N2208" i="9" a="1"/>
  <c r="N2208" i="9" s="1"/>
  <c r="N2209" i="9" a="1"/>
  <c r="N2209" i="9" s="1"/>
  <c r="N2211" i="9" a="1"/>
  <c r="N2211" i="9" s="1"/>
  <c r="N2212" i="9" a="1"/>
  <c r="N2212" i="9"/>
  <c r="N2213" i="9" a="1"/>
  <c r="N2213" i="9" s="1"/>
  <c r="N2214" i="9" a="1"/>
  <c r="N2214" i="9" s="1"/>
  <c r="N2215" i="9" a="1"/>
  <c r="N2215" i="9" s="1"/>
  <c r="N2216" i="9" a="1"/>
  <c r="N2216" i="9" s="1"/>
  <c r="N2217" i="9" a="1"/>
  <c r="N2217" i="9" s="1"/>
  <c r="N2218" i="9" a="1"/>
  <c r="N2218" i="9" s="1"/>
  <c r="N2219" i="9" a="1"/>
  <c r="N2219" i="9" s="1"/>
  <c r="N2220" i="9" a="1"/>
  <c r="N2220" i="9" s="1"/>
  <c r="N2221" i="9" a="1"/>
  <c r="N2221" i="9" s="1"/>
  <c r="N2222" i="9" a="1"/>
  <c r="N2222" i="9" s="1"/>
  <c r="N2223" i="9" a="1"/>
  <c r="N2223" i="9" s="1"/>
  <c r="N2224" i="9" a="1"/>
  <c r="N2224" i="9"/>
  <c r="N2225" i="9" a="1"/>
  <c r="N2225" i="9" s="1"/>
  <c r="N2227" i="9" a="1"/>
  <c r="N2227" i="9" s="1"/>
  <c r="N2228" i="9" a="1"/>
  <c r="N2228" i="9"/>
  <c r="N2229" i="9" a="1"/>
  <c r="N2229" i="9" s="1"/>
  <c r="N2230" i="9" a="1"/>
  <c r="N2230" i="9" s="1"/>
  <c r="N2231" i="9" a="1"/>
  <c r="N2231" i="9" s="1"/>
  <c r="N2232" i="9" a="1"/>
  <c r="N2232" i="9"/>
  <c r="N2233" i="9" a="1"/>
  <c r="N2233" i="9" s="1"/>
  <c r="N2234" i="9" a="1"/>
  <c r="N2234" i="9" s="1"/>
  <c r="N2235" i="9" a="1"/>
  <c r="N2235" i="9" s="1"/>
  <c r="N2236" i="9" a="1"/>
  <c r="N2236" i="9"/>
  <c r="N2237" i="9" a="1"/>
  <c r="N2237" i="9" s="1"/>
  <c r="N2238" i="9" a="1"/>
  <c r="N2238" i="9" s="1"/>
  <c r="N2239" i="9" a="1"/>
  <c r="N2239" i="9" s="1"/>
  <c r="N2240" i="9" a="1"/>
  <c r="N2240" i="9" s="1"/>
  <c r="N2241" i="9" a="1"/>
  <c r="N2241" i="9" s="1"/>
  <c r="N2243" i="9" a="1"/>
  <c r="N2243" i="9" s="1"/>
  <c r="N2244" i="9" a="1"/>
  <c r="N2244" i="9" s="1"/>
  <c r="N2245" i="9" a="1"/>
  <c r="N2245" i="9" s="1"/>
  <c r="N2246" i="9" a="1"/>
  <c r="N2246" i="9" s="1"/>
  <c r="N2247" i="9" a="1"/>
  <c r="N2247" i="9" s="1"/>
  <c r="N2248" i="9" a="1"/>
  <c r="N2248" i="9" s="1"/>
  <c r="N2249" i="9" a="1"/>
  <c r="N2249" i="9" s="1"/>
  <c r="N2250" i="9" a="1"/>
  <c r="N2250" i="9" s="1"/>
  <c r="N2251" i="9" a="1"/>
  <c r="N2251" i="9" s="1"/>
  <c r="N2252" i="9" a="1"/>
  <c r="N2252" i="9" s="1"/>
  <c r="N2253" i="9" a="1"/>
  <c r="N2253" i="9" s="1"/>
  <c r="N2254" i="9" a="1"/>
  <c r="N2254" i="9" s="1"/>
  <c r="N2255" i="9" a="1"/>
  <c r="N2255" i="9" s="1"/>
  <c r="N2256" i="9" a="1"/>
  <c r="N2256" i="9" s="1"/>
  <c r="N2257" i="9" a="1"/>
  <c r="N2257" i="9" s="1"/>
  <c r="N2259" i="9" a="1"/>
  <c r="N2259" i="9" s="1"/>
  <c r="N2260" i="9" a="1"/>
  <c r="N2260" i="9"/>
  <c r="N2261" i="9" a="1"/>
  <c r="N2261" i="9" s="1"/>
  <c r="N2262" i="9" a="1"/>
  <c r="N2262" i="9" s="1"/>
  <c r="N2263" i="9" a="1"/>
  <c r="N2263" i="9" s="1"/>
  <c r="N2264" i="9" a="1"/>
  <c r="N2264" i="9" s="1"/>
  <c r="N2265" i="9" a="1"/>
  <c r="N2265" i="9" s="1"/>
  <c r="N2266" i="9" a="1"/>
  <c r="N2266" i="9" s="1"/>
  <c r="N2267" i="9" a="1"/>
  <c r="N2267" i="9" s="1"/>
  <c r="N2268" i="9" a="1"/>
  <c r="N2268" i="9" s="1"/>
  <c r="N2269" i="9" a="1"/>
  <c r="N2269" i="9" s="1"/>
  <c r="N2270" i="9" a="1"/>
  <c r="N2270" i="9" s="1"/>
  <c r="N2271" i="9" a="1"/>
  <c r="N2271" i="9" s="1"/>
  <c r="N2272" i="9" a="1"/>
  <c r="N2272" i="9" s="1"/>
  <c r="N2273" i="9" a="1"/>
  <c r="N2273" i="9" s="1"/>
  <c r="N2275" i="9" a="1"/>
  <c r="N2275" i="9" s="1"/>
  <c r="N2276" i="9" a="1"/>
  <c r="N2276" i="9"/>
  <c r="N2277" i="9" a="1"/>
  <c r="N2277" i="9" s="1"/>
  <c r="N2278" i="9" a="1"/>
  <c r="N2278" i="9" s="1"/>
  <c r="N2279" i="9" a="1"/>
  <c r="N2279" i="9" s="1"/>
  <c r="N2280" i="9" a="1"/>
  <c r="N2280" i="9" s="1"/>
  <c r="N2281" i="9" a="1"/>
  <c r="N2281" i="9" s="1"/>
  <c r="N2282" i="9" a="1"/>
  <c r="N2282" i="9" s="1"/>
  <c r="N2283" i="9" a="1"/>
  <c r="N2283" i="9" s="1"/>
  <c r="N2284" i="9" a="1"/>
  <c r="N2284" i="9"/>
  <c r="N2285" i="9" a="1"/>
  <c r="N2285" i="9" s="1"/>
  <c r="N2286" i="9" a="1"/>
  <c r="N2286" i="9" s="1"/>
  <c r="N2287" i="9" a="1"/>
  <c r="N2287" i="9" s="1"/>
  <c r="N2288" i="9" a="1"/>
  <c r="N2288" i="9" s="1"/>
  <c r="N2289" i="9" a="1"/>
  <c r="N2289" i="9" s="1"/>
  <c r="N2291" i="9" a="1"/>
  <c r="N2291" i="9" s="1"/>
  <c r="N2292" i="9" a="1"/>
  <c r="N2292" i="9" s="1"/>
  <c r="N2293" i="9" a="1"/>
  <c r="N2293" i="9" s="1"/>
  <c r="N2294" i="9" a="1"/>
  <c r="N2294" i="9" s="1"/>
  <c r="N2295" i="9" a="1"/>
  <c r="N2295" i="9" s="1"/>
  <c r="N2296" i="9" a="1"/>
  <c r="N2296" i="9" s="1"/>
  <c r="N2297" i="9" a="1"/>
  <c r="N2297" i="9" s="1"/>
  <c r="N2298" i="9" a="1"/>
  <c r="N2298" i="9" s="1"/>
  <c r="N2299" i="9" a="1"/>
  <c r="N2299" i="9" s="1"/>
  <c r="N2300" i="9" a="1"/>
  <c r="N2300" i="9"/>
  <c r="N2301" i="9" a="1"/>
  <c r="N2301" i="9" s="1"/>
  <c r="N2302" i="9" a="1"/>
  <c r="N2302" i="9" s="1"/>
  <c r="N2303" i="9" a="1"/>
  <c r="N2303" i="9" s="1"/>
  <c r="N2304" i="9" a="1"/>
  <c r="N2304" i="9"/>
  <c r="N2305" i="9" a="1"/>
  <c r="N2305" i="9" s="1"/>
  <c r="N2307" i="9" a="1"/>
  <c r="N2307" i="9" s="1"/>
  <c r="N2308" i="9" a="1"/>
  <c r="N2308" i="9"/>
  <c r="N2309" i="9" a="1"/>
  <c r="N2309" i="9" s="1"/>
  <c r="N2310" i="9" a="1"/>
  <c r="N2310" i="9" s="1"/>
  <c r="N2311" i="9" a="1"/>
  <c r="N2311" i="9" s="1"/>
  <c r="N2312" i="9" a="1"/>
  <c r="N2312" i="9" s="1"/>
  <c r="N2313" i="9" a="1"/>
  <c r="N2313" i="9" s="1"/>
  <c r="N2314" i="9" a="1"/>
  <c r="N2314" i="9" s="1"/>
  <c r="N2315" i="9" a="1"/>
  <c r="N2315" i="9" s="1"/>
  <c r="N2316" i="9" a="1"/>
  <c r="N2316" i="9" s="1"/>
  <c r="N2317" i="9" a="1"/>
  <c r="N2317" i="9" s="1"/>
  <c r="N2318" i="9" a="1"/>
  <c r="N2318" i="9" s="1"/>
  <c r="N2319" i="9" a="1"/>
  <c r="N2319" i="9" s="1"/>
  <c r="N2320" i="9" a="1"/>
  <c r="N2320" i="9"/>
  <c r="N2321" i="9" a="1"/>
  <c r="N2321" i="9" s="1"/>
  <c r="N2323" i="9" a="1"/>
  <c r="N2323" i="9" s="1"/>
  <c r="N2324" i="9" a="1"/>
  <c r="N2324" i="9" s="1"/>
  <c r="N2325" i="9" a="1"/>
  <c r="N2325" i="9" s="1"/>
  <c r="N2326" i="9" a="1"/>
  <c r="N2326" i="9" s="1"/>
  <c r="N2327" i="9" a="1"/>
  <c r="N2327" i="9" s="1"/>
  <c r="N2328" i="9" a="1"/>
  <c r="N2328" i="9" s="1"/>
  <c r="N2329" i="9" a="1"/>
  <c r="N2329" i="9" s="1"/>
  <c r="N2330" i="9" a="1"/>
  <c r="N2330" i="9" s="1"/>
  <c r="N2331" i="9" a="1"/>
  <c r="N2331" i="9" s="1"/>
  <c r="N2332" i="9" a="1"/>
  <c r="N2332" i="9"/>
  <c r="N2333" i="9" a="1"/>
  <c r="N2333" i="9" s="1"/>
  <c r="N2334" i="9" a="1"/>
  <c r="N2334" i="9" s="1"/>
  <c r="N2335" i="9" a="1"/>
  <c r="N2335" i="9" s="1"/>
  <c r="N2336" i="9" a="1"/>
  <c r="N2336" i="9" s="1"/>
  <c r="N2337" i="9" a="1"/>
  <c r="N2337" i="9" s="1"/>
  <c r="N2339" i="9" a="1"/>
  <c r="N2339" i="9" s="1"/>
  <c r="N2340" i="9" a="1"/>
  <c r="N2340" i="9" s="1"/>
  <c r="N2341" i="9" a="1"/>
  <c r="N2341" i="9" s="1"/>
  <c r="N2342" i="9" a="1"/>
  <c r="N2342" i="9" s="1"/>
  <c r="N2343" i="9" a="1"/>
  <c r="N2343" i="9" s="1"/>
  <c r="N2344" i="9" a="1"/>
  <c r="N2344" i="9" s="1"/>
  <c r="N2345" i="9" a="1"/>
  <c r="N2345" i="9" s="1"/>
  <c r="N2346" i="9" a="1"/>
  <c r="N2346" i="9" s="1"/>
  <c r="N2347" i="9" a="1"/>
  <c r="N2347" i="9" s="1"/>
  <c r="N2348" i="9" a="1"/>
  <c r="N2348" i="9"/>
  <c r="N2349" i="9" a="1"/>
  <c r="N2349" i="9" s="1"/>
  <c r="N2350" i="9" a="1"/>
  <c r="N2350" i="9" s="1"/>
  <c r="N2351" i="9" a="1"/>
  <c r="N2351" i="9" s="1"/>
  <c r="N2352" i="9" a="1"/>
  <c r="N2352" i="9" s="1"/>
  <c r="N2353" i="9" a="1"/>
  <c r="N2353" i="9" s="1"/>
  <c r="N2355" i="9" a="1"/>
  <c r="N2355" i="9" s="1"/>
  <c r="N2356" i="9" a="1"/>
  <c r="N2356" i="9"/>
  <c r="N2357" i="9" a="1"/>
  <c r="N2357" i="9" s="1"/>
  <c r="N2358" i="9" a="1"/>
  <c r="N2358" i="9" s="1"/>
  <c r="N2359" i="9" a="1"/>
  <c r="N2359" i="9" s="1"/>
  <c r="N2360" i="9" a="1"/>
  <c r="N2360" i="9" s="1"/>
  <c r="N2361" i="9" a="1"/>
  <c r="N2361" i="9" s="1"/>
  <c r="N2362" i="9" a="1"/>
  <c r="N2362" i="9" s="1"/>
  <c r="N2363" i="9" a="1"/>
  <c r="N2363" i="9" s="1"/>
  <c r="N2364" i="9" a="1"/>
  <c r="N2364" i="9" s="1"/>
  <c r="N2365" i="9" a="1"/>
  <c r="N2365" i="9" s="1"/>
  <c r="N2366" i="9" a="1"/>
  <c r="N2366" i="9" s="1"/>
  <c r="N2367" i="9" a="1"/>
  <c r="N2367" i="9" s="1"/>
  <c r="N2368" i="9" a="1"/>
  <c r="N2368" i="9"/>
  <c r="N2369" i="9" a="1"/>
  <c r="N2369" i="9" s="1"/>
  <c r="N2371" i="9" a="1"/>
  <c r="N2371" i="9" s="1"/>
  <c r="N2372" i="9" a="1"/>
  <c r="N2372" i="9"/>
  <c r="N2373" i="9" a="1"/>
  <c r="N2373" i="9" s="1"/>
  <c r="N2374" i="9" a="1"/>
  <c r="N2374" i="9" s="1"/>
  <c r="N2375" i="9" a="1"/>
  <c r="N2375" i="9" s="1"/>
  <c r="N2376" i="9" a="1"/>
  <c r="N2376" i="9"/>
  <c r="N2377" i="9" a="1"/>
  <c r="N2377" i="9" s="1"/>
  <c r="N2378" i="9" a="1"/>
  <c r="N2378" i="9" s="1"/>
  <c r="N2379" i="9" a="1"/>
  <c r="N2379" i="9" s="1"/>
  <c r="N2380" i="9" a="1"/>
  <c r="N2380" i="9"/>
  <c r="N2381" i="9" a="1"/>
  <c r="N2381" i="9" s="1"/>
  <c r="N2382" i="9" a="1"/>
  <c r="N2382" i="9" s="1"/>
  <c r="N2383" i="9" a="1"/>
  <c r="N2383" i="9" s="1"/>
  <c r="N2384" i="9" a="1"/>
  <c r="N2384" i="9" s="1"/>
  <c r="N2385" i="9" a="1"/>
  <c r="N2385" i="9" s="1"/>
  <c r="N2387" i="9" a="1"/>
  <c r="N2387" i="9" s="1"/>
  <c r="N2388" i="9" a="1"/>
  <c r="N2388" i="9" s="1"/>
  <c r="N2389" i="9" a="1"/>
  <c r="N2389" i="9" s="1"/>
  <c r="N2390" i="9" a="1"/>
  <c r="N2390" i="9" s="1"/>
  <c r="N2391" i="9" a="1"/>
  <c r="N2391" i="9" s="1"/>
  <c r="N2392" i="9" a="1"/>
  <c r="N2392" i="9"/>
  <c r="N2393" i="9" a="1"/>
  <c r="N2393" i="9" s="1"/>
  <c r="N2394" i="9" a="1"/>
  <c r="N2394" i="9" s="1"/>
  <c r="N2395" i="9" a="1"/>
  <c r="N2395" i="9" s="1"/>
  <c r="N2396" i="9" a="1"/>
  <c r="N2396" i="9"/>
  <c r="N2397" i="9" a="1"/>
  <c r="N2397" i="9" s="1"/>
  <c r="N2398" i="9" a="1"/>
  <c r="N2398" i="9" s="1"/>
  <c r="N2399" i="9" a="1"/>
  <c r="N2399" i="9" s="1"/>
  <c r="N2400" i="9" a="1"/>
  <c r="N2400" i="9"/>
  <c r="N2401" i="9" a="1"/>
  <c r="N2401" i="9" s="1"/>
  <c r="N2403" i="9" a="1"/>
  <c r="N2403" i="9" s="1"/>
  <c r="N2404" i="9" a="1"/>
  <c r="N2404" i="9"/>
  <c r="N2405" i="9" a="1"/>
  <c r="N2405" i="9" s="1"/>
  <c r="N2406" i="9" a="1"/>
  <c r="N2406" i="9" s="1"/>
  <c r="N2407" i="9" a="1"/>
  <c r="N2407" i="9" s="1"/>
  <c r="N2408" i="9" a="1"/>
  <c r="N2408" i="9" s="1"/>
  <c r="N2409" i="9" a="1"/>
  <c r="N2409" i="9" s="1"/>
  <c r="N2410" i="9" a="1"/>
  <c r="N2410" i="9" s="1"/>
  <c r="N2411" i="9" a="1"/>
  <c r="N2411" i="9" s="1"/>
  <c r="N2412" i="9" a="1"/>
  <c r="N2412" i="9"/>
  <c r="N2413" i="9" a="1"/>
  <c r="N2413" i="9" s="1"/>
  <c r="N2414" i="9" a="1"/>
  <c r="N2414" i="9" s="1"/>
  <c r="N2415" i="9" a="1"/>
  <c r="N2415" i="9" s="1"/>
  <c r="N2416" i="9" a="1"/>
  <c r="N2416" i="9"/>
  <c r="N2417" i="9" a="1"/>
  <c r="N2417" i="9" s="1"/>
  <c r="N2419" i="9" a="1"/>
  <c r="N2419" i="9" s="1"/>
  <c r="N2420" i="9" a="1"/>
  <c r="N2420" i="9" s="1"/>
  <c r="N2421" i="9" a="1"/>
  <c r="N2421" i="9" s="1"/>
  <c r="N2422" i="9" a="1"/>
  <c r="N2422" i="9" s="1"/>
  <c r="N2423" i="9" a="1"/>
  <c r="N2423" i="9" s="1"/>
  <c r="N2424" i="9" a="1"/>
  <c r="N2424" i="9"/>
  <c r="N2425" i="9" a="1"/>
  <c r="N2425" i="9" s="1"/>
  <c r="N2426" i="9" a="1"/>
  <c r="N2426" i="9" s="1"/>
  <c r="N2427" i="9" a="1"/>
  <c r="N2427" i="9" s="1"/>
  <c r="N2428" i="9" a="1"/>
  <c r="N2428" i="9"/>
  <c r="N2429" i="9" a="1"/>
  <c r="N2429" i="9" s="1"/>
  <c r="N2430" i="9" a="1"/>
  <c r="N2430" i="9" s="1"/>
  <c r="N2431" i="9" a="1"/>
  <c r="N2431" i="9" s="1"/>
  <c r="N2432" i="9" a="1"/>
  <c r="N2432" i="9" s="1"/>
  <c r="N2433" i="9" a="1"/>
  <c r="N2433" i="9" s="1"/>
  <c r="N2435" i="9" a="1"/>
  <c r="N2435" i="9" s="1"/>
  <c r="N2436" i="9" a="1"/>
  <c r="N2436" i="9"/>
  <c r="N2437" i="9" a="1"/>
  <c r="N2437" i="9" s="1"/>
  <c r="N2438" i="9" a="1"/>
  <c r="N2438" i="9" s="1"/>
  <c r="N2439" i="9" a="1"/>
  <c r="N2439" i="9" s="1"/>
  <c r="N2440" i="9" a="1"/>
  <c r="N2440" i="9" s="1"/>
  <c r="N2441" i="9" a="1"/>
  <c r="N2441" i="9" s="1"/>
  <c r="N2442" i="9" a="1"/>
  <c r="N2442" i="9" s="1"/>
  <c r="N2443" i="9" a="1"/>
  <c r="N2443" i="9" s="1"/>
  <c r="N2444" i="9" a="1"/>
  <c r="N2444" i="9"/>
  <c r="N2445" i="9" a="1"/>
  <c r="N2445" i="9" s="1"/>
  <c r="N2446" i="9" a="1"/>
  <c r="N2446" i="9" s="1"/>
  <c r="N2447" i="9" a="1"/>
  <c r="N2447" i="9" s="1"/>
  <c r="N2448" i="9" a="1"/>
  <c r="N2448" i="9" s="1"/>
  <c r="N2449" i="9" a="1"/>
  <c r="N2449" i="9" s="1"/>
  <c r="N2451" i="9" a="1"/>
  <c r="N2451" i="9" s="1"/>
  <c r="N2452" i="9" a="1"/>
  <c r="N2452" i="9"/>
  <c r="N2453" i="9" a="1"/>
  <c r="N2453" i="9" s="1"/>
  <c r="N2454" i="9" a="1"/>
  <c r="N2454" i="9" s="1"/>
  <c r="N2455" i="9" a="1"/>
  <c r="N2455" i="9" s="1"/>
  <c r="N2456" i="9" a="1"/>
  <c r="N2456" i="9" s="1"/>
  <c r="N2457" i="9" a="1"/>
  <c r="N2457" i="9" s="1"/>
  <c r="N2458" i="9" a="1"/>
  <c r="N2458" i="9" s="1"/>
  <c r="N2459" i="9" a="1"/>
  <c r="N2459" i="9" s="1"/>
  <c r="N2460" i="9" a="1"/>
  <c r="N2460" i="9" s="1"/>
  <c r="N2461" i="9" a="1"/>
  <c r="N2461" i="9" s="1"/>
  <c r="N2462" i="9" a="1"/>
  <c r="N2462" i="9" s="1"/>
  <c r="N2463" i="9" a="1"/>
  <c r="N2463" i="9" s="1"/>
  <c r="N2464" i="9" a="1"/>
  <c r="N2464" i="9"/>
  <c r="N2465" i="9" a="1"/>
  <c r="N2465" i="9" s="1"/>
  <c r="N2467" i="9" a="1"/>
  <c r="N2467" i="9" s="1"/>
  <c r="N2468" i="9" a="1"/>
  <c r="N2468" i="9"/>
  <c r="N2469" i="9" a="1"/>
  <c r="N2469" i="9" s="1"/>
  <c r="N2470" i="9" a="1"/>
  <c r="N2470" i="9" s="1"/>
  <c r="N2471" i="9" a="1"/>
  <c r="N2471" i="9" s="1"/>
  <c r="N2472" i="9" a="1"/>
  <c r="N2472" i="9" s="1"/>
  <c r="N2473" i="9" a="1"/>
  <c r="N2473" i="9" s="1"/>
  <c r="N2474" i="9" a="1"/>
  <c r="N2474" i="9"/>
  <c r="N2475" i="9" a="1"/>
  <c r="N2475" i="9" s="1"/>
  <c r="N2476" i="9" a="1"/>
  <c r="N2476" i="9"/>
  <c r="N2477" i="9" a="1"/>
  <c r="N2477" i="9" s="1"/>
  <c r="N2478" i="9" a="1"/>
  <c r="N2478" i="9" s="1"/>
  <c r="N2479" i="9" a="1"/>
  <c r="N2479" i="9" s="1"/>
  <c r="N2480" i="9" a="1"/>
  <c r="N2480" i="9"/>
  <c r="N2481" i="9" a="1"/>
  <c r="N2481" i="9" s="1"/>
  <c r="N2483" i="9" a="1"/>
  <c r="N2483" i="9" s="1"/>
  <c r="N2484" i="9" a="1"/>
  <c r="N2484" i="9" s="1"/>
  <c r="N2485" i="9" a="1"/>
  <c r="N2485" i="9" s="1"/>
  <c r="N2486" i="9" a="1"/>
  <c r="N2486" i="9" s="1"/>
  <c r="N2487" i="9" a="1"/>
  <c r="N2487" i="9" s="1"/>
  <c r="N2488" i="9" a="1"/>
  <c r="N2488" i="9" s="1"/>
  <c r="N2489" i="9" a="1"/>
  <c r="N2489" i="9" s="1"/>
  <c r="N2490" i="9" a="1"/>
  <c r="N2490" i="9" s="1"/>
  <c r="N2491" i="9" a="1"/>
  <c r="N2491" i="9" s="1"/>
  <c r="N2492" i="9" a="1"/>
  <c r="N2492" i="9" s="1"/>
  <c r="N2493" i="9" a="1"/>
  <c r="N2493" i="9" s="1"/>
  <c r="N2494" i="9" a="1"/>
  <c r="N2494" i="9" s="1"/>
  <c r="N2495" i="9" a="1"/>
  <c r="N2495" i="9" s="1"/>
  <c r="N2496" i="9" a="1"/>
  <c r="N2496" i="9" s="1"/>
  <c r="N2497" i="9" a="1"/>
  <c r="N2497" i="9" s="1"/>
  <c r="N2499" i="9" a="1"/>
  <c r="N2499" i="9" s="1"/>
  <c r="N2500" i="9" a="1"/>
  <c r="N2500" i="9" s="1"/>
  <c r="N2501" i="9" a="1"/>
  <c r="N2501" i="9" s="1"/>
  <c r="N2502" i="9" a="1"/>
  <c r="N2502" i="9" s="1"/>
  <c r="N2503" i="9" a="1"/>
  <c r="N2503" i="9" s="1"/>
  <c r="N2504" i="9" a="1"/>
  <c r="N2504" i="9"/>
  <c r="N2505" i="9" a="1"/>
  <c r="N2505" i="9" s="1"/>
  <c r="N2506" i="9" a="1"/>
  <c r="N2506" i="9"/>
  <c r="N2507" i="9" a="1"/>
  <c r="N2507" i="9" s="1"/>
  <c r="N2508" i="9" a="1"/>
  <c r="N2508" i="9"/>
  <c r="N2509" i="9" a="1"/>
  <c r="N2509" i="9" s="1"/>
  <c r="N2510" i="9" a="1"/>
  <c r="N2510" i="9" s="1"/>
  <c r="N2511" i="9" a="1"/>
  <c r="N2511" i="9" s="1"/>
  <c r="N2512" i="9" a="1"/>
  <c r="N2512" i="9" s="1"/>
  <c r="N2513" i="9" a="1"/>
  <c r="N2513" i="9" s="1"/>
  <c r="N2515" i="9" a="1"/>
  <c r="N2515" i="9" s="1"/>
  <c r="N2516" i="9" a="1"/>
  <c r="N2516" i="9"/>
  <c r="N2517" i="9" a="1"/>
  <c r="N2517" i="9" s="1"/>
  <c r="N2518" i="9" a="1"/>
  <c r="N2518" i="9" s="1"/>
  <c r="N2519" i="9" a="1"/>
  <c r="N2519" i="9" s="1"/>
  <c r="N2520" i="9" a="1"/>
  <c r="N2520" i="9" s="1"/>
  <c r="N2521" i="9" a="1"/>
  <c r="N2521" i="9" s="1"/>
  <c r="N2522" i="9" a="1"/>
  <c r="N2522" i="9" s="1"/>
  <c r="N2523" i="9" a="1"/>
  <c r="N2523" i="9" s="1"/>
  <c r="N2524" i="9" a="1"/>
  <c r="N2524" i="9" s="1"/>
  <c r="N2525" i="9" a="1"/>
  <c r="N2525" i="9" s="1"/>
  <c r="N2526" i="9" a="1"/>
  <c r="N2526" i="9" s="1"/>
  <c r="N2527" i="9" a="1"/>
  <c r="N2527" i="9" s="1"/>
  <c r="N2528" i="9" a="1"/>
  <c r="N2528" i="9" s="1"/>
  <c r="N2529" i="9" a="1"/>
  <c r="N2529" i="9" s="1"/>
  <c r="N2531" i="9" a="1"/>
  <c r="N2531" i="9" s="1"/>
  <c r="N2532" i="9" a="1"/>
  <c r="N2532" i="9" s="1"/>
  <c r="N2533" i="9" a="1"/>
  <c r="N2533" i="9" s="1"/>
  <c r="N2534" i="9" a="1"/>
  <c r="N2534" i="9" s="1"/>
  <c r="N2535" i="9" a="1"/>
  <c r="N2535" i="9" s="1"/>
  <c r="N2536" i="9" a="1"/>
  <c r="N2536" i="9"/>
  <c r="N2537" i="9" a="1"/>
  <c r="N2537" i="9" s="1"/>
  <c r="N2538" i="9" a="1"/>
  <c r="N2538" i="9" s="1"/>
  <c r="N2539" i="9" a="1"/>
  <c r="N2539" i="9" s="1"/>
  <c r="N2540" i="9" a="1"/>
  <c r="N2540" i="9"/>
  <c r="N2541" i="9" a="1"/>
  <c r="N2541" i="9" s="1"/>
  <c r="N2542" i="9" a="1"/>
  <c r="N2542" i="9" s="1"/>
  <c r="N2543" i="9" a="1"/>
  <c r="N2543" i="9" s="1"/>
  <c r="N2544" i="9" a="1"/>
  <c r="N2544" i="9"/>
  <c r="N2545" i="9" a="1"/>
  <c r="N2545" i="9" s="1"/>
  <c r="N2547" i="9" a="1"/>
  <c r="N2547" i="9" s="1"/>
  <c r="N2548" i="9" a="1"/>
  <c r="N2548" i="9"/>
  <c r="N2549" i="9" a="1"/>
  <c r="N2549" i="9" s="1"/>
  <c r="N2550" i="9" a="1"/>
  <c r="N2550" i="9" s="1"/>
  <c r="N2551" i="9" a="1"/>
  <c r="N2551" i="9" s="1"/>
  <c r="N2552" i="9" a="1"/>
  <c r="N2552" i="9" s="1"/>
  <c r="N2553" i="9" a="1"/>
  <c r="N2553" i="9" s="1"/>
  <c r="N2554" i="9" a="1"/>
  <c r="N2554" i="9" s="1"/>
  <c r="N2555" i="9" a="1"/>
  <c r="N2555" i="9" s="1"/>
  <c r="N2556" i="9" a="1"/>
  <c r="N2556" i="9" s="1"/>
  <c r="N2557" i="9" a="1"/>
  <c r="N2557" i="9" s="1"/>
  <c r="N2558" i="9" a="1"/>
  <c r="N2558" i="9" s="1"/>
  <c r="N2559" i="9" a="1"/>
  <c r="N2559" i="9" s="1"/>
  <c r="N2560" i="9" a="1"/>
  <c r="N2560" i="9" s="1"/>
  <c r="N2561" i="9" a="1"/>
  <c r="N2561" i="9" s="1"/>
  <c r="N2563" i="9" a="1"/>
  <c r="N2563" i="9" s="1"/>
  <c r="N2564" i="9" a="1"/>
  <c r="N2564" i="9"/>
  <c r="N2565" i="9" a="1"/>
  <c r="N2565" i="9" s="1"/>
  <c r="N2566" i="9" a="1"/>
  <c r="N2566" i="9" s="1"/>
  <c r="N2567" i="9" a="1"/>
  <c r="N2567" i="9" s="1"/>
  <c r="N2568" i="9" a="1"/>
  <c r="N2568" i="9"/>
  <c r="N2569" i="9" a="1"/>
  <c r="N2569" i="9" s="1"/>
  <c r="N2570" i="9" a="1"/>
  <c r="N2570" i="9" s="1"/>
  <c r="N2571" i="9" a="1"/>
  <c r="N2571" i="9" s="1"/>
  <c r="N2572" i="9" a="1"/>
  <c r="N2572" i="9"/>
  <c r="N2573" i="9" a="1"/>
  <c r="N2573" i="9" s="1"/>
  <c r="N2574" i="9" a="1"/>
  <c r="N2574" i="9" s="1"/>
  <c r="N2575" i="9" a="1"/>
  <c r="N2575" i="9" s="1"/>
  <c r="N2576" i="9" a="1"/>
  <c r="N2576" i="9" s="1"/>
  <c r="N2577" i="9" a="1"/>
  <c r="N2577" i="9" s="1"/>
  <c r="N2579" i="9" a="1"/>
  <c r="N2579" i="9" s="1"/>
  <c r="N2580" i="9" a="1"/>
  <c r="N2580" i="9"/>
  <c r="N2581" i="9" a="1"/>
  <c r="N2581" i="9" s="1"/>
  <c r="N2582" i="9" a="1"/>
  <c r="N2582" i="9" s="1"/>
  <c r="N2583" i="9" a="1"/>
  <c r="N2583" i="9" s="1"/>
  <c r="N2584" i="9" a="1"/>
  <c r="N2584" i="9" s="1"/>
  <c r="N2585" i="9" a="1"/>
  <c r="N2585" i="9" s="1"/>
  <c r="N2586" i="9" a="1"/>
  <c r="N2586" i="9" s="1"/>
  <c r="N2587" i="9" a="1"/>
  <c r="N2587" i="9" s="1"/>
  <c r="N2588" i="9" a="1"/>
  <c r="N2588" i="9" s="1"/>
  <c r="N2589" i="9" a="1"/>
  <c r="N2589" i="9" s="1"/>
  <c r="N2590" i="9" a="1"/>
  <c r="N2590" i="9" s="1"/>
  <c r="N2591" i="9" a="1"/>
  <c r="N2591" i="9" s="1"/>
  <c r="N2592" i="9" a="1"/>
  <c r="N2592" i="9" s="1"/>
  <c r="N2593" i="9" a="1"/>
  <c r="N2593" i="9" s="1"/>
  <c r="N2595" i="9" a="1"/>
  <c r="N2595" i="9" s="1"/>
  <c r="N2596" i="9" a="1"/>
  <c r="N2596" i="9" s="1"/>
  <c r="N2597" i="9" a="1"/>
  <c r="N2597" i="9" s="1"/>
  <c r="N2598" i="9" a="1"/>
  <c r="N2598" i="9" s="1"/>
  <c r="N2599" i="9" a="1"/>
  <c r="N2599" i="9" s="1"/>
  <c r="N2600" i="9" a="1"/>
  <c r="N2600" i="9"/>
  <c r="N2601" i="9" a="1"/>
  <c r="N2601" i="9" s="1"/>
  <c r="N2602" i="9" a="1"/>
  <c r="N2602" i="9"/>
  <c r="N2603" i="9" a="1"/>
  <c r="N2603" i="9" s="1"/>
  <c r="N2604" i="9" a="1"/>
  <c r="N2604" i="9"/>
  <c r="N2605" i="9" a="1"/>
  <c r="N2605" i="9" s="1"/>
  <c r="N2606" i="9" a="1"/>
  <c r="N2606" i="9" s="1"/>
  <c r="N2607" i="9" a="1"/>
  <c r="N2607" i="9" s="1"/>
  <c r="N2608" i="9" a="1"/>
  <c r="N2608" i="9" s="1"/>
  <c r="N2609" i="9" a="1"/>
  <c r="N2609" i="9" s="1"/>
  <c r="N2611" i="9" a="1"/>
  <c r="N2611" i="9" s="1"/>
  <c r="N2612" i="9" a="1"/>
  <c r="N2612" i="9"/>
  <c r="N2613" i="9" a="1"/>
  <c r="N2613" i="9" s="1"/>
  <c r="N2614" i="9" a="1"/>
  <c r="N2614" i="9" s="1"/>
  <c r="N2615" i="9" a="1"/>
  <c r="N2615" i="9" s="1"/>
  <c r="N2616" i="9" a="1"/>
  <c r="N2616" i="9" s="1"/>
  <c r="N2617" i="9" a="1"/>
  <c r="N2617" i="9" s="1"/>
  <c r="N2618" i="9" a="1"/>
  <c r="N2618" i="9" s="1"/>
  <c r="N2619" i="9" a="1"/>
  <c r="N2619" i="9" s="1"/>
  <c r="N2620" i="9" a="1"/>
  <c r="N2620" i="9" s="1"/>
  <c r="N2621" i="9" a="1"/>
  <c r="N2621" i="9" s="1"/>
  <c r="N2622" i="9" a="1"/>
  <c r="N2622" i="9" s="1"/>
  <c r="N2623" i="9" a="1"/>
  <c r="N2623" i="9" s="1"/>
  <c r="N2624" i="9" a="1"/>
  <c r="N2624" i="9" s="1"/>
  <c r="N2625" i="9" a="1"/>
  <c r="N2625" i="9" s="1"/>
  <c r="N2627" i="9" a="1"/>
  <c r="N2627" i="9" s="1"/>
  <c r="N2628" i="9" a="1"/>
  <c r="N2628" i="9" s="1"/>
  <c r="N2629" i="9" a="1"/>
  <c r="N2629" i="9" s="1"/>
  <c r="N2630" i="9" a="1"/>
  <c r="N2630" i="9" s="1"/>
  <c r="N2631" i="9" a="1"/>
  <c r="N2631" i="9" s="1"/>
  <c r="N2632" i="9" a="1"/>
  <c r="N2632" i="9"/>
  <c r="N2633" i="9" a="1"/>
  <c r="N2633" i="9" s="1"/>
  <c r="N2634" i="9" a="1"/>
  <c r="N2634" i="9" s="1"/>
  <c r="N2635" i="9" a="1"/>
  <c r="N2635" i="9" s="1"/>
  <c r="N2636" i="9" a="1"/>
  <c r="N2636" i="9"/>
  <c r="N2637" i="9" a="1"/>
  <c r="N2637" i="9" s="1"/>
  <c r="N2638" i="9" a="1"/>
  <c r="N2638" i="9" s="1"/>
  <c r="N2639" i="9" a="1"/>
  <c r="N2639" i="9" s="1"/>
  <c r="N2640" i="9" a="1"/>
  <c r="N2640" i="9"/>
  <c r="N2641" i="9" a="1"/>
  <c r="N2641" i="9" s="1"/>
  <c r="N2643" i="9" a="1"/>
  <c r="N2643" i="9" s="1"/>
  <c r="N2644" i="9" a="1"/>
  <c r="N2644" i="9"/>
  <c r="N2645" i="9" a="1"/>
  <c r="N2645" i="9" s="1"/>
  <c r="N2646" i="9" a="1"/>
  <c r="N2646" i="9" s="1"/>
  <c r="N2647" i="9" a="1"/>
  <c r="N2647" i="9" s="1"/>
  <c r="N2648" i="9" a="1"/>
  <c r="N2648" i="9" s="1"/>
  <c r="N2649" i="9" a="1"/>
  <c r="N2649" i="9" s="1"/>
  <c r="N2650" i="9" a="1"/>
  <c r="N2650" i="9" s="1"/>
  <c r="N2651" i="9" a="1"/>
  <c r="N2651" i="9" s="1"/>
  <c r="N2652" i="9" a="1"/>
  <c r="N2652" i="9" s="1"/>
  <c r="N2653" i="9" a="1"/>
  <c r="N2653" i="9" s="1"/>
  <c r="N2654" i="9" a="1"/>
  <c r="N2654" i="9" s="1"/>
  <c r="N2655" i="9" a="1"/>
  <c r="N2655" i="9" s="1"/>
  <c r="N2656" i="9" a="1"/>
  <c r="N2656" i="9" s="1"/>
  <c r="N2657" i="9" a="1"/>
  <c r="N2657" i="9" s="1"/>
  <c r="N2659" i="9" a="1"/>
  <c r="N2659" i="9" s="1"/>
  <c r="N2660" i="9" a="1"/>
  <c r="N2660" i="9"/>
  <c r="N2661" i="9" a="1"/>
  <c r="N2661" i="9" s="1"/>
  <c r="N2662" i="9" a="1"/>
  <c r="N2662" i="9" s="1"/>
  <c r="N2663" i="9" a="1"/>
  <c r="N2663" i="9" s="1"/>
  <c r="N2664" i="9" a="1"/>
  <c r="N2664" i="9"/>
  <c r="N2665" i="9" a="1"/>
  <c r="N2665" i="9" s="1"/>
  <c r="N2666" i="9" a="1"/>
  <c r="N2666" i="9" s="1"/>
  <c r="N2667" i="9" a="1"/>
  <c r="N2667" i="9" s="1"/>
  <c r="N2668" i="9" a="1"/>
  <c r="N2668" i="9"/>
  <c r="N2669" i="9" a="1"/>
  <c r="N2669" i="9" s="1"/>
  <c r="N2670" i="9" a="1"/>
  <c r="N2670" i="9" s="1"/>
  <c r="N2671" i="9" a="1"/>
  <c r="N2671" i="9" s="1"/>
  <c r="N2672" i="9" a="1"/>
  <c r="N2672" i="9" s="1"/>
  <c r="N2673" i="9" a="1"/>
  <c r="N2673" i="9" s="1"/>
  <c r="N2675" i="9" a="1"/>
  <c r="N2675" i="9" s="1"/>
  <c r="N2676" i="9" a="1"/>
  <c r="N2676" i="9"/>
  <c r="N2677" i="9" a="1"/>
  <c r="N2677" i="9" s="1"/>
  <c r="N2678" i="9" a="1"/>
  <c r="N2678" i="9" s="1"/>
  <c r="N2679" i="9" a="1"/>
  <c r="N2679" i="9" s="1"/>
  <c r="N2680" i="9" a="1"/>
  <c r="N2680" i="9" s="1"/>
  <c r="N2681" i="9" a="1"/>
  <c r="N2681" i="9" s="1"/>
  <c r="N2682" i="9" a="1"/>
  <c r="N2682" i="9" s="1"/>
  <c r="N2683" i="9" a="1"/>
  <c r="N2683" i="9" s="1"/>
  <c r="N2684" i="9" a="1"/>
  <c r="N2684" i="9" s="1"/>
  <c r="N2685" i="9" a="1"/>
  <c r="N2685" i="9" s="1"/>
  <c r="N2686" i="9" a="1"/>
  <c r="N2686" i="9" s="1"/>
  <c r="N2687" i="9" a="1"/>
  <c r="N2687" i="9" s="1"/>
  <c r="N2688" i="9" a="1"/>
  <c r="N2688" i="9" s="1"/>
  <c r="N2689" i="9" a="1"/>
  <c r="N2689" i="9" s="1"/>
  <c r="N2691" i="9" a="1"/>
  <c r="N2691" i="9" s="1"/>
  <c r="N2692" i="9" a="1"/>
  <c r="N2692" i="9" s="1"/>
  <c r="N2693" i="9" a="1"/>
  <c r="N2693" i="9" s="1"/>
  <c r="N2694" i="9" a="1"/>
  <c r="N2694" i="9" s="1"/>
  <c r="N2695" i="9" a="1"/>
  <c r="N2695" i="9" s="1"/>
  <c r="N2696" i="9" a="1"/>
  <c r="N2696" i="9"/>
  <c r="N2697" i="9" a="1"/>
  <c r="N2697" i="9" s="1"/>
  <c r="N2698" i="9" a="1"/>
  <c r="N2698" i="9"/>
  <c r="N2699" i="9" a="1"/>
  <c r="N2699" i="9" s="1"/>
  <c r="N2700" i="9" a="1"/>
  <c r="N2700" i="9"/>
  <c r="N2701" i="9" a="1"/>
  <c r="N2701" i="9" s="1"/>
  <c r="N2702" i="9" a="1"/>
  <c r="N2702" i="9" s="1"/>
  <c r="N2703" i="9" a="1"/>
  <c r="N2703" i="9" s="1"/>
  <c r="N2704" i="9" a="1"/>
  <c r="N2704" i="9" s="1"/>
  <c r="N2705" i="9" a="1"/>
  <c r="N2705" i="9" s="1"/>
  <c r="N2707" i="9" a="1"/>
  <c r="N2707" i="9" s="1"/>
  <c r="N2708" i="9" a="1"/>
  <c r="N2708" i="9"/>
  <c r="N2709" i="9" a="1"/>
  <c r="N2709" i="9" s="1"/>
  <c r="N2710" i="9" a="1"/>
  <c r="N2710" i="9" s="1"/>
  <c r="N2711" i="9" a="1"/>
  <c r="N2711" i="9" s="1"/>
  <c r="N2712" i="9" a="1"/>
  <c r="N2712" i="9" s="1"/>
  <c r="N2713" i="9" a="1"/>
  <c r="N2713" i="9" s="1"/>
  <c r="N2714" i="9" a="1"/>
  <c r="N2714" i="9" s="1"/>
  <c r="N2715" i="9" a="1"/>
  <c r="N2715" i="9" s="1"/>
  <c r="N2716" i="9" a="1"/>
  <c r="N2716" i="9" s="1"/>
  <c r="N2717" i="9" a="1"/>
  <c r="N2717" i="9" s="1"/>
  <c r="N2718" i="9" a="1"/>
  <c r="N2718" i="9" s="1"/>
  <c r="N2719" i="9" a="1"/>
  <c r="N2719" i="9" s="1"/>
  <c r="N2720" i="9" a="1"/>
  <c r="N2720" i="9" s="1"/>
  <c r="N2721" i="9" a="1"/>
  <c r="N2721" i="9" s="1"/>
  <c r="N2723" i="9" a="1"/>
  <c r="N2723" i="9" s="1"/>
  <c r="N2724" i="9" a="1"/>
  <c r="N2724" i="9" s="1"/>
  <c r="N2725" i="9" a="1"/>
  <c r="N2725" i="9" s="1"/>
  <c r="N2726" i="9" a="1"/>
  <c r="N2726" i="9" s="1"/>
  <c r="N2727" i="9" a="1"/>
  <c r="N2727" i="9" s="1"/>
  <c r="N2728" i="9" a="1"/>
  <c r="N2728" i="9"/>
  <c r="N2729" i="9" a="1"/>
  <c r="N2729" i="9" s="1"/>
  <c r="N2730" i="9" a="1"/>
  <c r="N2730" i="9" s="1"/>
  <c r="N2731" i="9" a="1"/>
  <c r="N2731" i="9" s="1"/>
  <c r="N2732" i="9" a="1"/>
  <c r="N2732" i="9"/>
  <c r="N2733" i="9" a="1"/>
  <c r="N2733" i="9" s="1"/>
  <c r="N2734" i="9" a="1"/>
  <c r="N2734" i="9" s="1"/>
  <c r="N2735" i="9" a="1"/>
  <c r="N2735" i="9" s="1"/>
  <c r="N2736" i="9" a="1"/>
  <c r="N2736" i="9"/>
  <c r="N2737" i="9" a="1"/>
  <c r="N2737" i="9" s="1"/>
  <c r="N2739" i="9" a="1"/>
  <c r="N2739" i="9" s="1"/>
  <c r="N2740" i="9" a="1"/>
  <c r="N2740" i="9"/>
  <c r="N2741" i="9" a="1"/>
  <c r="N2741" i="9" s="1"/>
  <c r="N2742" i="9" a="1"/>
  <c r="N2742" i="9" s="1"/>
  <c r="N2743" i="9" a="1"/>
  <c r="N2743" i="9" s="1"/>
  <c r="N2744" i="9" a="1"/>
  <c r="N2744" i="9" s="1"/>
  <c r="N2745" i="9" a="1"/>
  <c r="N2745" i="9" s="1"/>
  <c r="N2746" i="9" a="1"/>
  <c r="N2746" i="9" s="1"/>
  <c r="N2747" i="9" a="1"/>
  <c r="N2747" i="9" s="1"/>
  <c r="N2748" i="9" a="1"/>
  <c r="N2748" i="9" s="1"/>
  <c r="N2749" i="9" a="1"/>
  <c r="N2749" i="9" s="1"/>
  <c r="N2750" i="9" a="1"/>
  <c r="N2750" i="9" s="1"/>
  <c r="N2751" i="9" a="1"/>
  <c r="N2751" i="9" s="1"/>
  <c r="N2752" i="9" a="1"/>
  <c r="N2752" i="9" s="1"/>
  <c r="N2753" i="9" a="1"/>
  <c r="N2753" i="9" s="1"/>
  <c r="N2755" i="9" a="1"/>
  <c r="N2755" i="9" s="1"/>
  <c r="N2756" i="9" a="1"/>
  <c r="N2756" i="9"/>
  <c r="N2757" i="9" a="1"/>
  <c r="N2757" i="9" s="1"/>
  <c r="N2758" i="9" a="1"/>
  <c r="N2758" i="9" s="1"/>
  <c r="N2759" i="9" a="1"/>
  <c r="N2759" i="9" s="1"/>
  <c r="N2760" i="9" a="1"/>
  <c r="N2760" i="9"/>
  <c r="N2761" i="9" a="1"/>
  <c r="N2761" i="9" s="1"/>
  <c r="N2762" i="9" a="1"/>
  <c r="N2762" i="9" s="1"/>
  <c r="N2763" i="9" a="1"/>
  <c r="N2763" i="9" s="1"/>
  <c r="N2764" i="9" a="1"/>
  <c r="N2764" i="9"/>
  <c r="N2765" i="9" a="1"/>
  <c r="N2765" i="9" s="1"/>
  <c r="N2766" i="9" a="1"/>
  <c r="N2766" i="9" s="1"/>
  <c r="N2767" i="9" a="1"/>
  <c r="N2767" i="9" s="1"/>
  <c r="N2768" i="9" a="1"/>
  <c r="N2768" i="9" s="1"/>
  <c r="N2769" i="9" a="1"/>
  <c r="N2769" i="9" s="1"/>
  <c r="N2771" i="9" a="1"/>
  <c r="N2771" i="9" s="1"/>
  <c r="N2772" i="9" a="1"/>
  <c r="N2772" i="9"/>
  <c r="N2773" i="9" a="1"/>
  <c r="N2773" i="9" s="1"/>
  <c r="N2774" i="9" a="1"/>
  <c r="N2774" i="9" s="1"/>
  <c r="N2775" i="9" a="1"/>
  <c r="N2775" i="9" s="1"/>
  <c r="N2776" i="9" a="1"/>
  <c r="N2776" i="9" s="1"/>
  <c r="N2777" i="9" a="1"/>
  <c r="N2777" i="9" s="1"/>
  <c r="N2778" i="9" a="1"/>
  <c r="N2778" i="9" s="1"/>
  <c r="N2779" i="9" a="1"/>
  <c r="N2779" i="9" s="1"/>
  <c r="N2780" i="9" a="1"/>
  <c r="N2780" i="9" s="1"/>
  <c r="N2781" i="9" a="1"/>
  <c r="N2781" i="9" s="1"/>
  <c r="N2782" i="9" a="1"/>
  <c r="N2782" i="9" s="1"/>
  <c r="N2783" i="9" a="1"/>
  <c r="N2783" i="9" s="1"/>
  <c r="N2784" i="9" a="1"/>
  <c r="N2784" i="9" s="1"/>
  <c r="N2785" i="9" a="1"/>
  <c r="N2785" i="9" s="1"/>
  <c r="N2787" i="9" a="1"/>
  <c r="N2787" i="9" s="1"/>
  <c r="N2788" i="9" a="1"/>
  <c r="N2788" i="9" s="1"/>
  <c r="N2789" i="9" a="1"/>
  <c r="N2789" i="9" s="1"/>
  <c r="N2790" i="9" a="1"/>
  <c r="N2790" i="9" s="1"/>
  <c r="N2791" i="9" a="1"/>
  <c r="N2791" i="9" s="1"/>
  <c r="N2792" i="9" a="1"/>
  <c r="N2792" i="9"/>
  <c r="N2793" i="9" a="1"/>
  <c r="N2793" i="9" s="1"/>
  <c r="N2794" i="9" a="1"/>
  <c r="N2794" i="9"/>
  <c r="N2795" i="9" a="1"/>
  <c r="N2795" i="9" s="1"/>
  <c r="N2796" i="9" a="1"/>
  <c r="N2796" i="9"/>
  <c r="N2797" i="9" a="1"/>
  <c r="N2797" i="9" s="1"/>
  <c r="N2798" i="9" a="1"/>
  <c r="N2798" i="9" s="1"/>
  <c r="N2799" i="9" a="1"/>
  <c r="N2799" i="9" s="1"/>
  <c r="N2800" i="9" a="1"/>
  <c r="N2800" i="9" s="1"/>
  <c r="N2801" i="9" a="1"/>
  <c r="N2801" i="9" s="1"/>
  <c r="N2803" i="9" a="1"/>
  <c r="N2803" i="9" s="1"/>
  <c r="N2804" i="9" a="1"/>
  <c r="N2804" i="9"/>
  <c r="N2805" i="9" a="1"/>
  <c r="N2805" i="9" s="1"/>
  <c r="N2806" i="9" a="1"/>
  <c r="N2806" i="9" s="1"/>
  <c r="N2807" i="9" a="1"/>
  <c r="N2807" i="9" s="1"/>
  <c r="N2808" i="9" a="1"/>
  <c r="N2808" i="9" s="1"/>
  <c r="N2809" i="9" a="1"/>
  <c r="N2809" i="9" s="1"/>
  <c r="N2810" i="9" a="1"/>
  <c r="N2810" i="9" s="1"/>
  <c r="N2811" i="9" a="1"/>
  <c r="N2811" i="9" s="1"/>
  <c r="N2812" i="9" a="1"/>
  <c r="N2812" i="9" s="1"/>
  <c r="N2813" i="9" a="1"/>
  <c r="N2813" i="9" s="1"/>
  <c r="N2814" i="9" a="1"/>
  <c r="N2814" i="9" s="1"/>
  <c r="N2815" i="9" a="1"/>
  <c r="N2815" i="9" s="1"/>
  <c r="N2816" i="9" a="1"/>
  <c r="N2816" i="9" s="1"/>
  <c r="N2817" i="9" a="1"/>
  <c r="N2817" i="9" s="1"/>
  <c r="N2819" i="9" a="1"/>
  <c r="N2819" i="9" s="1"/>
  <c r="N2820" i="9" a="1"/>
  <c r="N2820" i="9" s="1"/>
  <c r="N2821" i="9" a="1"/>
  <c r="N2821" i="9" s="1"/>
  <c r="N2822" i="9" a="1"/>
  <c r="N2822" i="9" s="1"/>
  <c r="N2823" i="9" a="1"/>
  <c r="N2823" i="9" s="1"/>
  <c r="N2824" i="9" a="1"/>
  <c r="N2824" i="9"/>
  <c r="N2825" i="9" a="1"/>
  <c r="N2825" i="9" s="1"/>
  <c r="N2826" i="9" a="1"/>
  <c r="N2826" i="9" s="1"/>
  <c r="N2827" i="9" a="1"/>
  <c r="N2827" i="9" s="1"/>
  <c r="N2828" i="9" a="1"/>
  <c r="N2828" i="9"/>
  <c r="N2829" i="9" a="1"/>
  <c r="N2829" i="9" s="1"/>
  <c r="N2830" i="9" a="1"/>
  <c r="N2830" i="9" s="1"/>
  <c r="N2831" i="9" a="1"/>
  <c r="N2831" i="9" s="1"/>
  <c r="N2832" i="9" a="1"/>
  <c r="N2832" i="9"/>
  <c r="N2833" i="9" a="1"/>
  <c r="N2833" i="9" s="1"/>
  <c r="N2835" i="9" a="1"/>
  <c r="N2835" i="9" s="1"/>
  <c r="N2836" i="9" a="1"/>
  <c r="N2836" i="9"/>
  <c r="N2837" i="9" a="1"/>
  <c r="N2837" i="9" s="1"/>
  <c r="N2838" i="9" a="1"/>
  <c r="N2838" i="9" s="1"/>
  <c r="N2839" i="9" a="1"/>
  <c r="N2839" i="9" s="1"/>
  <c r="N2840" i="9" a="1"/>
  <c r="N2840" i="9" s="1"/>
  <c r="N2841" i="9" a="1"/>
  <c r="N2841" i="9" s="1"/>
  <c r="N2842" i="9" a="1"/>
  <c r="N2842" i="9" s="1"/>
  <c r="N2843" i="9" a="1"/>
  <c r="N2843" i="9" s="1"/>
  <c r="N2844" i="9" a="1"/>
  <c r="N2844" i="9" s="1"/>
  <c r="N2845" i="9" a="1"/>
  <c r="N2845" i="9" s="1"/>
  <c r="N2846" i="9" a="1"/>
  <c r="N2846" i="9" s="1"/>
  <c r="N2847" i="9" a="1"/>
  <c r="N2847" i="9" s="1"/>
  <c r="N2848" i="9" a="1"/>
  <c r="N2848" i="9" s="1"/>
  <c r="N2849" i="9" a="1"/>
  <c r="N2849" i="9" s="1"/>
  <c r="N2851" i="9" a="1"/>
  <c r="N2851" i="9" s="1"/>
  <c r="N2852" i="9" a="1"/>
  <c r="N2852" i="9"/>
  <c r="N2853" i="9" a="1"/>
  <c r="N2853" i="9" s="1"/>
  <c r="N2854" i="9" a="1"/>
  <c r="N2854" i="9" s="1"/>
  <c r="N2855" i="9" a="1"/>
  <c r="N2855" i="9" s="1"/>
  <c r="N2856" i="9" a="1"/>
  <c r="N2856" i="9"/>
  <c r="N2857" i="9" a="1"/>
  <c r="N2857" i="9" s="1"/>
  <c r="N2858" i="9" a="1"/>
  <c r="N2858" i="9" s="1"/>
  <c r="N2859" i="9" a="1"/>
  <c r="N2859" i="9" s="1"/>
  <c r="N2860" i="9" a="1"/>
  <c r="N2860" i="9"/>
  <c r="N2861" i="9" a="1"/>
  <c r="N2861" i="9" s="1"/>
  <c r="N2862" i="9" a="1"/>
  <c r="N2862" i="9" s="1"/>
  <c r="N2863" i="9" a="1"/>
  <c r="N2863" i="9" s="1"/>
  <c r="N2864" i="9" a="1"/>
  <c r="N2864" i="9" s="1"/>
  <c r="N2865" i="9" a="1"/>
  <c r="N2865" i="9" s="1"/>
  <c r="N2867" i="9" a="1"/>
  <c r="N2867" i="9" s="1"/>
  <c r="N2868" i="9" a="1"/>
  <c r="N2868" i="9"/>
  <c r="N2869" i="9" a="1"/>
  <c r="N2869" i="9" s="1"/>
  <c r="N2870" i="9" a="1"/>
  <c r="N2870" i="9" s="1"/>
  <c r="N2871" i="9" a="1"/>
  <c r="N2871" i="9" s="1"/>
  <c r="N2872" i="9" a="1"/>
  <c r="N2872" i="9" s="1"/>
  <c r="N2873" i="9" a="1"/>
  <c r="N2873" i="9" s="1"/>
  <c r="N2874" i="9" a="1"/>
  <c r="N2874" i="9" s="1"/>
  <c r="N2875" i="9" a="1"/>
  <c r="N2875" i="9" s="1"/>
  <c r="N2876" i="9" a="1"/>
  <c r="N2876" i="9" s="1"/>
  <c r="N2877" i="9" a="1"/>
  <c r="N2877" i="9" s="1"/>
  <c r="N2878" i="9" a="1"/>
  <c r="N2878" i="9" s="1"/>
  <c r="N2879" i="9" a="1"/>
  <c r="N2879" i="9" s="1"/>
  <c r="N2880" i="9" a="1"/>
  <c r="N2880" i="9" s="1"/>
  <c r="N2881" i="9" a="1"/>
  <c r="N2881" i="9" s="1"/>
  <c r="N2883" i="9" a="1"/>
  <c r="N2883" i="9" s="1"/>
  <c r="N2884" i="9" a="1"/>
  <c r="N2884" i="9" s="1"/>
  <c r="N2885" i="9" a="1"/>
  <c r="N2885" i="9" s="1"/>
  <c r="N2886" i="9" a="1"/>
  <c r="N2886" i="9" s="1"/>
  <c r="N2887" i="9" a="1"/>
  <c r="N2887" i="9" s="1"/>
  <c r="N2888" i="9" a="1"/>
  <c r="N2888" i="9"/>
  <c r="N2889" i="9" a="1"/>
  <c r="N2889" i="9" s="1"/>
  <c r="N2890" i="9" a="1"/>
  <c r="N2890" i="9"/>
  <c r="N2891" i="9" a="1"/>
  <c r="N2891" i="9" s="1"/>
  <c r="N2892" i="9" a="1"/>
  <c r="N2892" i="9"/>
  <c r="N2893" i="9" a="1"/>
  <c r="N2893" i="9" s="1"/>
  <c r="N2894" i="9" a="1"/>
  <c r="N2894" i="9" s="1"/>
  <c r="N2895" i="9" a="1"/>
  <c r="N2895" i="9" s="1"/>
  <c r="N2896" i="9" a="1"/>
  <c r="N2896" i="9" s="1"/>
  <c r="N2897" i="9" a="1"/>
  <c r="N2897" i="9" s="1"/>
  <c r="N2899" i="9" a="1"/>
  <c r="N2899" i="9"/>
  <c r="N2900" i="9" a="1"/>
  <c r="N2900" i="9" s="1"/>
  <c r="N2901" i="9" a="1"/>
  <c r="N2901" i="9" s="1"/>
  <c r="N2902" i="9" a="1"/>
  <c r="N2902" i="9" s="1"/>
  <c r="N2903" i="9" a="1"/>
  <c r="N2903" i="9" s="1"/>
  <c r="N2904" i="9" a="1"/>
  <c r="N2904" i="9" s="1"/>
  <c r="N2905" i="9" a="1"/>
  <c r="N2905" i="9" s="1"/>
  <c r="N2906" i="9" a="1"/>
  <c r="N2906" i="9" s="1"/>
  <c r="N2907" i="9" a="1"/>
  <c r="N2907" i="9"/>
  <c r="N2908" i="9" a="1"/>
  <c r="N2908" i="9" s="1"/>
  <c r="N2909" i="9" a="1"/>
  <c r="N2909" i="9"/>
  <c r="N2910" i="9" a="1"/>
  <c r="N2910" i="9" s="1"/>
  <c r="N2911" i="9" a="1"/>
  <c r="N2911" i="9" s="1"/>
  <c r="N2912" i="9" a="1"/>
  <c r="N2912" i="9" s="1"/>
  <c r="N2913" i="9" a="1"/>
  <c r="N2913" i="9" s="1"/>
  <c r="N2915" i="9" a="1"/>
  <c r="N2915" i="9" s="1"/>
  <c r="N2916" i="9" a="1"/>
  <c r="N2916" i="9" s="1"/>
  <c r="N2917" i="9" a="1"/>
  <c r="N2917" i="9" s="1"/>
  <c r="N2918" i="9" a="1"/>
  <c r="N2918" i="9" s="1"/>
  <c r="N2919" i="9" a="1"/>
  <c r="N2919" i="9" s="1"/>
  <c r="N2920" i="9" a="1"/>
  <c r="N2920" i="9" s="1"/>
  <c r="N2921" i="9" a="1"/>
  <c r="N2921" i="9" s="1"/>
  <c r="N2922" i="9" a="1"/>
  <c r="N2922" i="9" s="1"/>
  <c r="N2923" i="9" a="1"/>
  <c r="N2923" i="9"/>
  <c r="N2924" i="9" a="1"/>
  <c r="N2924" i="9" s="1"/>
  <c r="N2925" i="9" a="1"/>
  <c r="N2925" i="9" s="1"/>
  <c r="N2926" i="9" a="1"/>
  <c r="N2926" i="9" s="1"/>
  <c r="N2927" i="9" a="1"/>
  <c r="N2927" i="9" s="1"/>
  <c r="N2928" i="9" a="1"/>
  <c r="N2928" i="9" s="1"/>
  <c r="N2929" i="9" a="1"/>
  <c r="N2929" i="9" s="1"/>
  <c r="N2931" i="9" a="1"/>
  <c r="N2931" i="9"/>
  <c r="N2932" i="9" a="1"/>
  <c r="N2932" i="9" s="1"/>
  <c r="N2933" i="9" a="1"/>
  <c r="N2933" i="9" s="1"/>
  <c r="N2934" i="9" a="1"/>
  <c r="N2934" i="9" s="1"/>
  <c r="N2935" i="9" a="1"/>
  <c r="N2935" i="9" s="1"/>
  <c r="N2936" i="9" a="1"/>
  <c r="N2936" i="9" s="1"/>
  <c r="N2937" i="9" a="1"/>
  <c r="N2937" i="9" s="1"/>
  <c r="N2938" i="9" a="1"/>
  <c r="N2938" i="9" s="1"/>
  <c r="N2939" i="9" a="1"/>
  <c r="N2939" i="9"/>
  <c r="N2940" i="9" a="1"/>
  <c r="N2940" i="9" s="1"/>
  <c r="N2941" i="9" a="1"/>
  <c r="N2941" i="9" s="1"/>
  <c r="N2942" i="9" a="1"/>
  <c r="N2942" i="9" s="1"/>
  <c r="N2943" i="9" a="1"/>
  <c r="N2943" i="9" s="1"/>
  <c r="N2944" i="9" a="1"/>
  <c r="N2944" i="9" s="1"/>
  <c r="N2945" i="9" a="1"/>
  <c r="N2945" i="9" s="1"/>
  <c r="N2947" i="9" a="1"/>
  <c r="N2947" i="9"/>
  <c r="N2948" i="9" a="1"/>
  <c r="N2948" i="9" s="1"/>
  <c r="N2949" i="9" a="1"/>
  <c r="N2949" i="9" s="1"/>
  <c r="N2950" i="9" a="1"/>
  <c r="N2950" i="9" s="1"/>
  <c r="N2951" i="9" a="1"/>
  <c r="N2951" i="9" s="1"/>
  <c r="N2952" i="9" a="1"/>
  <c r="N2952" i="9" s="1"/>
  <c r="N2953" i="9" a="1"/>
  <c r="N2953" i="9" s="1"/>
  <c r="N2954" i="9" a="1"/>
  <c r="N2954" i="9" s="1"/>
  <c r="N2955" i="9" a="1"/>
  <c r="N2955" i="9"/>
  <c r="N2956" i="9" a="1"/>
  <c r="N2956" i="9" s="1"/>
  <c r="N2957" i="9" a="1"/>
  <c r="N2957" i="9" s="1"/>
  <c r="N2958" i="9" a="1"/>
  <c r="N2958" i="9" s="1"/>
  <c r="N2959" i="9" a="1"/>
  <c r="N2959" i="9" s="1"/>
  <c r="N2960" i="9" a="1"/>
  <c r="N2960" i="9" s="1"/>
  <c r="N2961" i="9" a="1"/>
  <c r="N2961" i="9" s="1"/>
  <c r="N2963" i="9" a="1"/>
  <c r="N2963" i="9"/>
  <c r="N2964" i="9" a="1"/>
  <c r="N2964" i="9" s="1"/>
  <c r="N2965" i="9" a="1"/>
  <c r="N2965" i="9" s="1"/>
  <c r="N2966" i="9" a="1"/>
  <c r="N2966" i="9" s="1"/>
  <c r="N2967" i="9" a="1"/>
  <c r="N2967" i="9" s="1"/>
  <c r="N2968" i="9" a="1"/>
  <c r="N2968" i="9" s="1"/>
  <c r="N2969" i="9" a="1"/>
  <c r="N2969" i="9" s="1"/>
  <c r="N2970" i="9" a="1"/>
  <c r="N2970" i="9" s="1"/>
  <c r="N2971" i="9" a="1"/>
  <c r="N2971" i="9"/>
  <c r="N2972" i="9" a="1"/>
  <c r="N2972" i="9" s="1"/>
  <c r="N2973" i="9" a="1"/>
  <c r="N2973" i="9" s="1"/>
  <c r="N2974" i="9" a="1"/>
  <c r="N2974" i="9" s="1"/>
  <c r="N2975" i="9" a="1"/>
  <c r="N2975" i="9" s="1"/>
  <c r="N2976" i="9" a="1"/>
  <c r="N2976" i="9" s="1"/>
  <c r="N2977" i="9" a="1"/>
  <c r="N2977" i="9" s="1"/>
  <c r="N2979" i="9" a="1"/>
  <c r="N2979" i="9"/>
  <c r="N2980" i="9" a="1"/>
  <c r="N2980" i="9" s="1"/>
  <c r="N2981" i="9" a="1"/>
  <c r="N2981" i="9" s="1"/>
  <c r="N2982" i="9" a="1"/>
  <c r="N2982" i="9" s="1"/>
  <c r="N2983" i="9" a="1"/>
  <c r="N2983" i="9" s="1"/>
  <c r="N2984" i="9" a="1"/>
  <c r="N2984" i="9" s="1"/>
  <c r="N2985" i="9" a="1"/>
  <c r="N2985" i="9" s="1"/>
  <c r="N2986" i="9" a="1"/>
  <c r="N2986" i="9" s="1"/>
  <c r="N2987" i="9" a="1"/>
  <c r="N2987" i="9"/>
  <c r="N2988" i="9" a="1"/>
  <c r="N2988" i="9" s="1"/>
  <c r="N2989" i="9" a="1"/>
  <c r="N2989" i="9" s="1"/>
  <c r="N2990" i="9" a="1"/>
  <c r="N2990" i="9" s="1"/>
  <c r="N2991" i="9" a="1"/>
  <c r="N2991" i="9" s="1"/>
  <c r="N2992" i="9" a="1"/>
  <c r="N2992" i="9" s="1"/>
  <c r="N2993" i="9" a="1"/>
  <c r="N2993" i="9" s="1"/>
  <c r="N2995" i="9" a="1"/>
  <c r="N2995" i="9"/>
  <c r="N2996" i="9" a="1"/>
  <c r="N2996" i="9" s="1"/>
  <c r="N2997" i="9" a="1"/>
  <c r="N2997" i="9" s="1"/>
  <c r="N2998" i="9" a="1"/>
  <c r="N2998" i="9" s="1"/>
  <c r="N2999" i="9" a="1"/>
  <c r="N2999" i="9" s="1"/>
  <c r="N3000" i="9" a="1"/>
  <c r="N3000" i="9" s="1"/>
  <c r="N3001" i="9" a="1"/>
  <c r="N3001" i="9" s="1"/>
  <c r="N3002" i="9" a="1"/>
  <c r="N3002" i="9" s="1"/>
  <c r="N3003" i="9" a="1"/>
  <c r="N3003" i="9"/>
  <c r="N3004" i="9" a="1"/>
  <c r="N3004" i="9" s="1"/>
  <c r="N3005" i="9" a="1"/>
  <c r="N3005" i="9" s="1"/>
  <c r="N3006" i="9" a="1"/>
  <c r="N3006" i="9" s="1"/>
  <c r="N3007" i="9" a="1"/>
  <c r="N3007" i="9" s="1"/>
  <c r="N3008" i="9" a="1"/>
  <c r="N3008" i="9" s="1"/>
  <c r="N3009" i="9" a="1"/>
  <c r="N3009" i="9" s="1"/>
  <c r="N3011" i="9" a="1"/>
  <c r="N3011" i="9"/>
  <c r="N3012" i="9" a="1"/>
  <c r="N3012" i="9" s="1"/>
  <c r="N3013" i="9" a="1"/>
  <c r="N3013" i="9" s="1"/>
  <c r="N3014" i="9" a="1"/>
  <c r="N3014" i="9" s="1"/>
  <c r="N3015" i="9" a="1"/>
  <c r="N3015" i="9" s="1"/>
  <c r="N3016" i="9" a="1"/>
  <c r="N3016" i="9" s="1"/>
  <c r="N3017" i="9" a="1"/>
  <c r="N3017" i="9" s="1"/>
  <c r="N3018" i="9" a="1"/>
  <c r="N3018" i="9" s="1"/>
  <c r="N3019" i="9" a="1"/>
  <c r="N3019" i="9"/>
  <c r="N3020" i="9" a="1"/>
  <c r="N3020" i="9" s="1"/>
  <c r="N3021" i="9" a="1"/>
  <c r="N3021" i="9" s="1"/>
  <c r="N3022" i="9" a="1"/>
  <c r="N3022" i="9" s="1"/>
  <c r="N3023" i="9" a="1"/>
  <c r="N3023" i="9" s="1"/>
  <c r="N3024" i="9" a="1"/>
  <c r="N3024" i="9" s="1"/>
  <c r="N3025" i="9" a="1"/>
  <c r="N3025" i="9" s="1"/>
  <c r="N3027" i="9" a="1"/>
  <c r="N3027" i="9"/>
  <c r="N3028" i="9" a="1"/>
  <c r="N3028" i="9" s="1"/>
  <c r="N3029" i="9" a="1"/>
  <c r="N3029" i="9" s="1"/>
  <c r="N3030" i="9" a="1"/>
  <c r="N3030" i="9" s="1"/>
  <c r="N3031" i="9" a="1"/>
  <c r="N3031" i="9" s="1"/>
  <c r="N3032" i="9" a="1"/>
  <c r="N3032" i="9" s="1"/>
  <c r="N3033" i="9" a="1"/>
  <c r="N3033" i="9" s="1"/>
  <c r="N3034" i="9" a="1"/>
  <c r="N3034" i="9" s="1"/>
  <c r="N3035" i="9" a="1"/>
  <c r="N3035" i="9"/>
  <c r="N3036" i="9" a="1"/>
  <c r="N3036" i="9" s="1"/>
  <c r="N3037" i="9" a="1"/>
  <c r="N3037" i="9" s="1"/>
  <c r="N3038" i="9" a="1"/>
  <c r="N3038" i="9" s="1"/>
  <c r="N3039" i="9" a="1"/>
  <c r="N3039" i="9" s="1"/>
  <c r="N3040" i="9" a="1"/>
  <c r="N3040" i="9" s="1"/>
  <c r="N3041" i="9" a="1"/>
  <c r="N3041" i="9" s="1"/>
  <c r="N3043" i="9" a="1"/>
  <c r="N3043" i="9"/>
  <c r="N3044" i="9" a="1"/>
  <c r="N3044" i="9" s="1"/>
  <c r="N3045" i="9" a="1"/>
  <c r="N3045" i="9" s="1"/>
  <c r="N3046" i="9" a="1"/>
  <c r="N3046" i="9" s="1"/>
  <c r="N3047" i="9" a="1"/>
  <c r="N3047" i="9" s="1"/>
  <c r="N3048" i="9" a="1"/>
  <c r="N3048" i="9" s="1"/>
  <c r="N3049" i="9" a="1"/>
  <c r="N3049" i="9" s="1"/>
  <c r="N3050" i="9" a="1"/>
  <c r="N3050" i="9" s="1"/>
  <c r="N3051" i="9" a="1"/>
  <c r="N3051" i="9"/>
  <c r="N3052" i="9" a="1"/>
  <c r="N3052" i="9" s="1"/>
  <c r="N3053" i="9" a="1"/>
  <c r="N3053" i="9" s="1"/>
  <c r="N3054" i="9" a="1"/>
  <c r="N3054" i="9" s="1"/>
  <c r="N3055" i="9" a="1"/>
  <c r="N3055" i="9" s="1"/>
  <c r="N3056" i="9" a="1"/>
  <c r="N3056" i="9" s="1"/>
  <c r="N3057" i="9" a="1"/>
  <c r="N3057" i="9" s="1"/>
  <c r="N3059" i="9" a="1"/>
  <c r="N3059" i="9"/>
  <c r="N3060" i="9" a="1"/>
  <c r="N3060" i="9" s="1"/>
  <c r="N3061" i="9" a="1"/>
  <c r="N3061" i="9" s="1"/>
  <c r="N3062" i="9" a="1"/>
  <c r="N3062" i="9" s="1"/>
  <c r="N3063" i="9" a="1"/>
  <c r="N3063" i="9" s="1"/>
  <c r="N3064" i="9" a="1"/>
  <c r="N3064" i="9" s="1"/>
  <c r="N3065" i="9" a="1"/>
  <c r="N3065" i="9" s="1"/>
  <c r="N3066" i="9" a="1"/>
  <c r="N3066" i="9" s="1"/>
  <c r="N3067" i="9" a="1"/>
  <c r="N3067" i="9"/>
  <c r="N3068" i="9" a="1"/>
  <c r="N3068" i="9" s="1"/>
  <c r="N3069" i="9" a="1"/>
  <c r="N3069" i="9" s="1"/>
  <c r="N3070" i="9" a="1"/>
  <c r="N3070" i="9" s="1"/>
  <c r="N3071" i="9" a="1"/>
  <c r="N3071" i="9" s="1"/>
  <c r="N3072" i="9" a="1"/>
  <c r="N3072" i="9" s="1"/>
  <c r="N3073" i="9" a="1"/>
  <c r="N3073" i="9" s="1"/>
  <c r="N3075" i="9" a="1"/>
  <c r="N3075" i="9"/>
  <c r="N3076" i="9" a="1"/>
  <c r="N3076" i="9" s="1"/>
  <c r="N3077" i="9" a="1"/>
  <c r="N3077" i="9" s="1"/>
  <c r="N3078" i="9" a="1"/>
  <c r="N3078" i="9" s="1"/>
  <c r="N3079" i="9" a="1"/>
  <c r="N3079" i="9" s="1"/>
  <c r="N3080" i="9" a="1"/>
  <c r="N3080" i="9" s="1"/>
  <c r="N3081" i="9" a="1"/>
  <c r="N3081" i="9" s="1"/>
  <c r="N3082" i="9" a="1"/>
  <c r="N3082" i="9" s="1"/>
  <c r="N3083" i="9" a="1"/>
  <c r="N3083" i="9"/>
  <c r="N3084" i="9" a="1"/>
  <c r="N3084" i="9" s="1"/>
  <c r="N3085" i="9" a="1"/>
  <c r="N3085" i="9" s="1"/>
  <c r="N3086" i="9" a="1"/>
  <c r="N3086" i="9" s="1"/>
  <c r="N3087" i="9" a="1"/>
  <c r="N3087" i="9" s="1"/>
  <c r="N3088" i="9" a="1"/>
  <c r="N3088" i="9" s="1"/>
  <c r="N3089" i="9" a="1"/>
  <c r="N3089" i="9" s="1"/>
  <c r="N3091" i="9" a="1"/>
  <c r="N3091" i="9"/>
  <c r="N3092" i="9" a="1"/>
  <c r="N3092" i="9" s="1"/>
  <c r="N3093" i="9" a="1"/>
  <c r="N3093" i="9" s="1"/>
  <c r="N3094" i="9" a="1"/>
  <c r="N3094" i="9" s="1"/>
  <c r="N3095" i="9" a="1"/>
  <c r="N3095" i="9" s="1"/>
  <c r="N3096" i="9" a="1"/>
  <c r="N3096" i="9" s="1"/>
  <c r="N3097" i="9" a="1"/>
  <c r="N3097" i="9" s="1"/>
  <c r="N3098" i="9" a="1"/>
  <c r="N3098" i="9" s="1"/>
  <c r="N3099" i="9" a="1"/>
  <c r="N3099" i="9"/>
  <c r="N3100" i="9" a="1"/>
  <c r="N3100" i="9" s="1"/>
  <c r="N3101" i="9" a="1"/>
  <c r="N3101" i="9" s="1"/>
  <c r="N3102" i="9" a="1"/>
  <c r="N3102" i="9" s="1"/>
  <c r="N3103" i="9" a="1"/>
  <c r="N3103" i="9" s="1"/>
  <c r="N3104" i="9" a="1"/>
  <c r="N3104" i="9" s="1"/>
  <c r="N3105" i="9" a="1"/>
  <c r="N3105" i="9" s="1"/>
  <c r="N3107" i="9" a="1"/>
  <c r="N3107" i="9"/>
  <c r="N3108" i="9" a="1"/>
  <c r="N3108" i="9" s="1"/>
  <c r="N3109" i="9" a="1"/>
  <c r="N3109" i="9" s="1"/>
  <c r="N3110" i="9" a="1"/>
  <c r="N3110" i="9" s="1"/>
  <c r="N3111" i="9" a="1"/>
  <c r="N3111" i="9" s="1"/>
  <c r="N3112" i="9" a="1"/>
  <c r="N3112" i="9" s="1"/>
  <c r="N3113" i="9" a="1"/>
  <c r="N3113" i="9" s="1"/>
  <c r="N3114" i="9" a="1"/>
  <c r="N3114" i="9" s="1"/>
  <c r="N3115" i="9" a="1"/>
  <c r="N3115" i="9"/>
  <c r="N3116" i="9" a="1"/>
  <c r="N3116" i="9" s="1"/>
  <c r="N3117" i="9" a="1"/>
  <c r="N3117" i="9" s="1"/>
  <c r="N3118" i="9" a="1"/>
  <c r="N3118" i="9" s="1"/>
  <c r="N3119" i="9" a="1"/>
  <c r="N3119" i="9" s="1"/>
  <c r="N3120" i="9" a="1"/>
  <c r="N3120" i="9" s="1"/>
  <c r="N3121" i="9" a="1"/>
  <c r="N3121" i="9" s="1"/>
  <c r="N3123" i="9" a="1"/>
  <c r="N3123" i="9"/>
  <c r="N3124" i="9" a="1"/>
  <c r="N3124" i="9" s="1"/>
  <c r="N3125" i="9" a="1"/>
  <c r="N3125" i="9" s="1"/>
  <c r="N3126" i="9" a="1"/>
  <c r="N3126" i="9" s="1"/>
  <c r="N3127" i="9" a="1"/>
  <c r="N3127" i="9" s="1"/>
  <c r="N3128" i="9" a="1"/>
  <c r="N3128" i="9" s="1"/>
  <c r="N3129" i="9" a="1"/>
  <c r="N3129" i="9" s="1"/>
  <c r="N3130" i="9" a="1"/>
  <c r="N3130" i="9" s="1"/>
  <c r="N3131" i="9" a="1"/>
  <c r="N3131" i="9"/>
  <c r="N3132" i="9" a="1"/>
  <c r="N3132" i="9" s="1"/>
  <c r="N3133" i="9" a="1"/>
  <c r="N3133" i="9" s="1"/>
  <c r="N3134" i="9" a="1"/>
  <c r="N3134" i="9" s="1"/>
  <c r="N3135" i="9" a="1"/>
  <c r="N3135" i="9" s="1"/>
  <c r="N3136" i="9" a="1"/>
  <c r="N3136" i="9" s="1"/>
  <c r="N3137" i="9" a="1"/>
  <c r="N3137" i="9" s="1"/>
  <c r="N3139" i="9" a="1"/>
  <c r="N3139" i="9"/>
  <c r="N3140" i="9" a="1"/>
  <c r="N3140" i="9" s="1"/>
  <c r="N3141" i="9" a="1"/>
  <c r="N3141" i="9" s="1"/>
  <c r="N3142" i="9" a="1"/>
  <c r="N3142" i="9" s="1"/>
  <c r="N3143" i="9" a="1"/>
  <c r="N3143" i="9" s="1"/>
  <c r="N3144" i="9" a="1"/>
  <c r="N3144" i="9" s="1"/>
  <c r="N3145" i="9" a="1"/>
  <c r="N3145" i="9" s="1"/>
  <c r="N3146" i="9" a="1"/>
  <c r="N3146" i="9" s="1"/>
  <c r="N3147" i="9" a="1"/>
  <c r="N3147" i="9"/>
  <c r="N3148" i="9" a="1"/>
  <c r="N3148" i="9" s="1"/>
  <c r="N3149" i="9" a="1"/>
  <c r="N3149" i="9" s="1"/>
  <c r="N3150" i="9" a="1"/>
  <c r="N3150" i="9" s="1"/>
  <c r="N3151" i="9" a="1"/>
  <c r="N3151" i="9" s="1"/>
  <c r="N3152" i="9" a="1"/>
  <c r="N3152" i="9" s="1"/>
  <c r="N3153" i="9" a="1"/>
  <c r="N3153" i="9" s="1"/>
  <c r="N3155" i="9" a="1"/>
  <c r="N3155" i="9" s="1"/>
  <c r="N3156" i="9" a="1"/>
  <c r="N3156" i="9" s="1"/>
  <c r="N3157" i="9" a="1"/>
  <c r="N3157" i="9" s="1"/>
  <c r="N3158" i="9" a="1"/>
  <c r="N3158" i="9" s="1"/>
  <c r="N3159" i="9" a="1"/>
  <c r="N3159" i="9" s="1"/>
  <c r="N3160" i="9" a="1"/>
  <c r="N3160" i="9" s="1"/>
  <c r="N3161" i="9" a="1"/>
  <c r="N3161" i="9" s="1"/>
  <c r="N3162" i="9" a="1"/>
  <c r="N3162" i="9" s="1"/>
  <c r="N3163" i="9" a="1"/>
  <c r="N3163" i="9" s="1"/>
  <c r="N3164" i="9" a="1"/>
  <c r="N3164" i="9" s="1"/>
  <c r="N3165" i="9" a="1"/>
  <c r="N3165" i="9" s="1"/>
  <c r="N3166" i="9" a="1"/>
  <c r="N3166" i="9" s="1"/>
  <c r="N3167" i="9" a="1"/>
  <c r="N3167" i="9" s="1"/>
  <c r="N3168" i="9" a="1"/>
  <c r="N3168" i="9" s="1"/>
  <c r="N3169" i="9" a="1"/>
  <c r="N3169" i="9" s="1"/>
  <c r="N3171" i="9" a="1"/>
  <c r="N3171" i="9" s="1"/>
  <c r="N3172" i="9" a="1"/>
  <c r="N3172" i="9" s="1"/>
  <c r="N3173" i="9" a="1"/>
  <c r="N3173" i="9" s="1"/>
  <c r="N3174" i="9" a="1"/>
  <c r="N3174" i="9" s="1"/>
  <c r="N3175" i="9" a="1"/>
  <c r="N3175" i="9" s="1"/>
  <c r="N3176" i="9" a="1"/>
  <c r="N3176" i="9" s="1"/>
  <c r="N3177" i="9" a="1"/>
  <c r="N3177" i="9" s="1"/>
  <c r="N3178" i="9" a="1"/>
  <c r="N3178" i="9" s="1"/>
  <c r="N3179" i="9" a="1"/>
  <c r="N3179" i="9" s="1"/>
  <c r="N3180" i="9" a="1"/>
  <c r="N3180" i="9" s="1"/>
  <c r="N3181" i="9" a="1"/>
  <c r="N3181" i="9" s="1"/>
  <c r="N3182" i="9" a="1"/>
  <c r="N3182" i="9" s="1"/>
  <c r="N3183" i="9" a="1"/>
  <c r="N3183" i="9" s="1"/>
  <c r="N3184" i="9" a="1"/>
  <c r="N3184" i="9" s="1"/>
  <c r="N3185" i="9" a="1"/>
  <c r="N3185" i="9" s="1"/>
  <c r="N3187" i="9" a="1"/>
  <c r="N3187" i="9" s="1"/>
  <c r="N3188" i="9" a="1"/>
  <c r="N3188" i="9" s="1"/>
  <c r="N3189" i="9" a="1"/>
  <c r="N3189" i="9" s="1"/>
  <c r="N3190" i="9" a="1"/>
  <c r="N3190" i="9" s="1"/>
  <c r="N3191" i="9" a="1"/>
  <c r="N3191" i="9" s="1"/>
  <c r="N3192" i="9" a="1"/>
  <c r="N3192" i="9" s="1"/>
  <c r="N3193" i="9" a="1"/>
  <c r="N3193" i="9" s="1"/>
  <c r="N3194" i="9" a="1"/>
  <c r="N3194" i="9" s="1"/>
  <c r="N3195" i="9" a="1"/>
  <c r="N3195" i="9" s="1"/>
  <c r="N3196" i="9" a="1"/>
  <c r="N3196" i="9" s="1"/>
  <c r="N3197" i="9" a="1"/>
  <c r="N3197" i="9" s="1"/>
  <c r="N3198" i="9" a="1"/>
  <c r="N3198" i="9" s="1"/>
  <c r="N3199" i="9" a="1"/>
  <c r="N3199" i="9" s="1"/>
  <c r="N3200" i="9" a="1"/>
  <c r="N3200" i="9" s="1"/>
  <c r="N3201" i="9" a="1"/>
  <c r="N3201" i="9" s="1"/>
  <c r="N3203" i="9" a="1"/>
  <c r="N3203" i="9" s="1"/>
  <c r="N3204" i="9" a="1"/>
  <c r="N3204" i="9" s="1"/>
  <c r="N3205" i="9" a="1"/>
  <c r="N3205" i="9" s="1"/>
  <c r="N3206" i="9" a="1"/>
  <c r="N3206" i="9" s="1"/>
  <c r="N3207" i="9" a="1"/>
  <c r="N3207" i="9" s="1"/>
  <c r="N3208" i="9" a="1"/>
  <c r="N3208" i="9" s="1"/>
  <c r="N3209" i="9" a="1"/>
  <c r="N3209" i="9" s="1"/>
  <c r="N3210" i="9" a="1"/>
  <c r="N3210" i="9" s="1"/>
  <c r="N3211" i="9" a="1"/>
  <c r="N3211" i="9" s="1"/>
  <c r="N3212" i="9" a="1"/>
  <c r="N3212" i="9" s="1"/>
  <c r="N3213" i="9" a="1"/>
  <c r="N3213" i="9" s="1"/>
  <c r="N3214" i="9" a="1"/>
  <c r="N3214" i="9" s="1"/>
  <c r="N3215" i="9" a="1"/>
  <c r="N3215" i="9" s="1"/>
  <c r="N3216" i="9" a="1"/>
  <c r="N3216" i="9" s="1"/>
  <c r="N3217" i="9" a="1"/>
  <c r="N3217" i="9" s="1"/>
  <c r="N3219" i="9" a="1"/>
  <c r="N3219" i="9" s="1"/>
  <c r="N3220" i="9" a="1"/>
  <c r="N3220" i="9" s="1"/>
  <c r="N3221" i="9" a="1"/>
  <c r="N3221" i="9" s="1"/>
  <c r="N3222" i="9" a="1"/>
  <c r="N3222" i="9" s="1"/>
  <c r="N3223" i="9" a="1"/>
  <c r="N3223" i="9" s="1"/>
  <c r="N3224" i="9" a="1"/>
  <c r="N3224" i="9" s="1"/>
  <c r="N3225" i="9" a="1"/>
  <c r="N3225" i="9" s="1"/>
  <c r="N3226" i="9" a="1"/>
  <c r="N3226" i="9" s="1"/>
  <c r="N3227" i="9" a="1"/>
  <c r="N3227" i="9" s="1"/>
  <c r="N3228" i="9" a="1"/>
  <c r="N3228" i="9" s="1"/>
  <c r="N3229" i="9" a="1"/>
  <c r="N3229" i="9" s="1"/>
  <c r="N3230" i="9" a="1"/>
  <c r="N3230" i="9" s="1"/>
  <c r="N3231" i="9" a="1"/>
  <c r="N3231" i="9" s="1"/>
  <c r="N3232" i="9" a="1"/>
  <c r="N3232" i="9" s="1"/>
  <c r="N3233" i="9" a="1"/>
  <c r="N3233" i="9" s="1"/>
  <c r="N3235" i="9" a="1"/>
  <c r="N3235" i="9" s="1"/>
  <c r="N3236" i="9" a="1"/>
  <c r="N3236" i="9" s="1"/>
  <c r="N3237" i="9" a="1"/>
  <c r="N3237" i="9" s="1"/>
  <c r="N3238" i="9" a="1"/>
  <c r="N3238" i="9" s="1"/>
  <c r="N3239" i="9" a="1"/>
  <c r="N3239" i="9" s="1"/>
  <c r="N3240" i="9" a="1"/>
  <c r="N3240" i="9" s="1"/>
  <c r="N3241" i="9" a="1"/>
  <c r="N3241" i="9" s="1"/>
  <c r="N3242" i="9" a="1"/>
  <c r="N3242" i="9" s="1"/>
  <c r="N3243" i="9" a="1"/>
  <c r="N3243" i="9" s="1"/>
  <c r="N3244" i="9" a="1"/>
  <c r="N3244" i="9" s="1"/>
  <c r="N3245" i="9" a="1"/>
  <c r="N3245" i="9" s="1"/>
  <c r="N3246" i="9" a="1"/>
  <c r="N3246" i="9" s="1"/>
  <c r="N3247" i="9" a="1"/>
  <c r="N3247" i="9" s="1"/>
  <c r="N3248" i="9" a="1"/>
  <c r="N3248" i="9" s="1"/>
  <c r="N3249" i="9" a="1"/>
  <c r="N3249" i="9" s="1"/>
  <c r="N3251" i="9" a="1"/>
  <c r="N3251" i="9" s="1"/>
  <c r="N3252" i="9" a="1"/>
  <c r="N3252" i="9" s="1"/>
  <c r="N3253" i="9" a="1"/>
  <c r="N3253" i="9" s="1"/>
  <c r="N3254" i="9" a="1"/>
  <c r="N3254" i="9" s="1"/>
  <c r="N3255" i="9" a="1"/>
  <c r="N3255" i="9" s="1"/>
  <c r="N3256" i="9" a="1"/>
  <c r="N3256" i="9" s="1"/>
  <c r="N3257" i="9" a="1"/>
  <c r="N3257" i="9" s="1"/>
  <c r="N3258" i="9" a="1"/>
  <c r="N3258" i="9" s="1"/>
  <c r="N3259" i="9" a="1"/>
  <c r="N3259" i="9" s="1"/>
  <c r="N3260" i="9" a="1"/>
  <c r="N3260" i="9" s="1"/>
  <c r="N3261" i="9" a="1"/>
  <c r="N3261" i="9" s="1"/>
  <c r="N3262" i="9" a="1"/>
  <c r="N3262" i="9" s="1"/>
  <c r="N3263" i="9" a="1"/>
  <c r="N3263" i="9" s="1"/>
  <c r="N3264" i="9" a="1"/>
  <c r="N3264" i="9" s="1"/>
  <c r="N3265" i="9" a="1"/>
  <c r="N3265" i="9" s="1"/>
  <c r="N3267" i="9" a="1"/>
  <c r="N3267" i="9" s="1"/>
  <c r="N3268" i="9" a="1"/>
  <c r="N3268" i="9" s="1"/>
  <c r="N3269" i="9" a="1"/>
  <c r="N3269" i="9" s="1"/>
  <c r="N3270" i="9" a="1"/>
  <c r="N3270" i="9" s="1"/>
  <c r="N3271" i="9" a="1"/>
  <c r="N3271" i="9" s="1"/>
  <c r="N3272" i="9" a="1"/>
  <c r="N3272" i="9" s="1"/>
  <c r="N3273" i="9" a="1"/>
  <c r="N3273" i="9" s="1"/>
  <c r="N3274" i="9" a="1"/>
  <c r="N3274" i="9" s="1"/>
  <c r="N3275" i="9" a="1"/>
  <c r="N3275" i="9" s="1"/>
  <c r="N3276" i="9" a="1"/>
  <c r="N3276" i="9" s="1"/>
  <c r="N3277" i="9" a="1"/>
  <c r="N3277" i="9" s="1"/>
  <c r="N3278" i="9" a="1"/>
  <c r="N3278" i="9" s="1"/>
  <c r="N3279" i="9" a="1"/>
  <c r="N3279" i="9" s="1"/>
  <c r="N3280" i="9" a="1"/>
  <c r="N3280" i="9" s="1"/>
  <c r="N3281" i="9" a="1"/>
  <c r="N3281" i="9" s="1"/>
  <c r="N3283" i="9" a="1"/>
  <c r="N3283" i="9" s="1"/>
  <c r="N3284" i="9" a="1"/>
  <c r="N3284" i="9" s="1"/>
  <c r="N3285" i="9" a="1"/>
  <c r="N3285" i="9" s="1"/>
  <c r="N3286" i="9" a="1"/>
  <c r="N3286" i="9" s="1"/>
  <c r="N3287" i="9" a="1"/>
  <c r="N3287" i="9" s="1"/>
  <c r="N3288" i="9" a="1"/>
  <c r="N3288" i="9" s="1"/>
  <c r="N3289" i="9" a="1"/>
  <c r="N3289" i="9" s="1"/>
  <c r="N3290" i="9" a="1"/>
  <c r="N3290" i="9" s="1"/>
  <c r="N3291" i="9" a="1"/>
  <c r="N3291" i="9" s="1"/>
  <c r="N3292" i="9" a="1"/>
  <c r="N3292" i="9" s="1"/>
  <c r="N3293" i="9" a="1"/>
  <c r="N3293" i="9" s="1"/>
  <c r="N3294" i="9" a="1"/>
  <c r="N3294" i="9" s="1"/>
  <c r="N3295" i="9" a="1"/>
  <c r="N3295" i="9" s="1"/>
  <c r="N3296" i="9" a="1"/>
  <c r="N3296" i="9" s="1"/>
  <c r="N3297" i="9" a="1"/>
  <c r="N3297" i="9" s="1"/>
  <c r="N3299" i="9" a="1"/>
  <c r="N3299" i="9" s="1"/>
  <c r="N3300" i="9" a="1"/>
  <c r="N3300" i="9" s="1"/>
  <c r="N3301" i="9" a="1"/>
  <c r="N3301" i="9" s="1"/>
  <c r="N3302" i="9" a="1"/>
  <c r="N3302" i="9" s="1"/>
  <c r="N3303" i="9" a="1"/>
  <c r="N3303" i="9" s="1"/>
  <c r="N3304" i="9" a="1"/>
  <c r="N3304" i="9" s="1"/>
  <c r="N3305" i="9" a="1"/>
  <c r="N3305" i="9" s="1"/>
  <c r="N3306" i="9" a="1"/>
  <c r="N3306" i="9" s="1"/>
  <c r="N3307" i="9" a="1"/>
  <c r="N3307" i="9" s="1"/>
  <c r="N3308" i="9" a="1"/>
  <c r="N3308" i="9" s="1"/>
  <c r="N3309" i="9" a="1"/>
  <c r="N3309" i="9" s="1"/>
  <c r="N3310" i="9" a="1"/>
  <c r="N3310" i="9" s="1"/>
  <c r="N3311" i="9" a="1"/>
  <c r="N3311" i="9" s="1"/>
  <c r="N3312" i="9" a="1"/>
  <c r="N3312" i="9" s="1"/>
  <c r="N3313" i="9" a="1"/>
  <c r="N3313" i="9" s="1"/>
  <c r="N3315" i="9" a="1"/>
  <c r="N3315" i="9" s="1"/>
  <c r="N3316" i="9" a="1"/>
  <c r="N3316" i="9" s="1"/>
  <c r="N3317" i="9" a="1"/>
  <c r="N3317" i="9" s="1"/>
  <c r="N3318" i="9" a="1"/>
  <c r="N3318" i="9" s="1"/>
  <c r="N3319" i="9" a="1"/>
  <c r="N3319" i="9" s="1"/>
  <c r="N3320" i="9" a="1"/>
  <c r="N3320" i="9" s="1"/>
  <c r="N3321" i="9" a="1"/>
  <c r="N3321" i="9" s="1"/>
  <c r="N3322" i="9" a="1"/>
  <c r="N3322" i="9" s="1"/>
  <c r="N3323" i="9" a="1"/>
  <c r="N3323" i="9" s="1"/>
  <c r="N3324" i="9" a="1"/>
  <c r="N3324" i="9" s="1"/>
  <c r="N3325" i="9" a="1"/>
  <c r="N3325" i="9" s="1"/>
  <c r="N3326" i="9" a="1"/>
  <c r="N3326" i="9" s="1"/>
  <c r="N3327" i="9" a="1"/>
  <c r="N3327" i="9" s="1"/>
  <c r="N3328" i="9" a="1"/>
  <c r="N3328" i="9" s="1"/>
  <c r="N3329" i="9" a="1"/>
  <c r="N3329" i="9" s="1"/>
  <c r="N3331" i="9" a="1"/>
  <c r="N3331" i="9" s="1"/>
  <c r="N3332" i="9" a="1"/>
  <c r="N3332" i="9" s="1"/>
  <c r="N3333" i="9" a="1"/>
  <c r="N3333" i="9" s="1"/>
  <c r="N3334" i="9" a="1"/>
  <c r="N3334" i="9" s="1"/>
  <c r="N3335" i="9" a="1"/>
  <c r="N3335" i="9" s="1"/>
  <c r="N3336" i="9" a="1"/>
  <c r="N3336" i="9" s="1"/>
  <c r="N3337" i="9" a="1"/>
  <c r="N3337" i="9" s="1"/>
  <c r="N3338" i="9" a="1"/>
  <c r="N3338" i="9" s="1"/>
  <c r="N3339" i="9" a="1"/>
  <c r="N3339" i="9" s="1"/>
  <c r="N3340" i="9" a="1"/>
  <c r="N3340" i="9" s="1"/>
  <c r="N3341" i="9" a="1"/>
  <c r="N3341" i="9" s="1"/>
  <c r="N3342" i="9" a="1"/>
  <c r="N3342" i="9" s="1"/>
  <c r="N3343" i="9" a="1"/>
  <c r="N3343" i="9" s="1"/>
  <c r="N3344" i="9" a="1"/>
  <c r="N3344" i="9" s="1"/>
  <c r="N3345" i="9" a="1"/>
  <c r="N3345" i="9" s="1"/>
  <c r="N3347" i="9" a="1"/>
  <c r="N3347" i="9" s="1"/>
  <c r="N3348" i="9" a="1"/>
  <c r="N3348" i="9" s="1"/>
  <c r="N3349" i="9" a="1"/>
  <c r="N3349" i="9" s="1"/>
  <c r="N3350" i="9" a="1"/>
  <c r="N3350" i="9" s="1"/>
  <c r="N3351" i="9" a="1"/>
  <c r="N3351" i="9" s="1"/>
  <c r="N3352" i="9" a="1"/>
  <c r="N3352" i="9" s="1"/>
  <c r="N3353" i="9" a="1"/>
  <c r="N3353" i="9" s="1"/>
  <c r="N3354" i="9" a="1"/>
  <c r="N3354" i="9" s="1"/>
  <c r="N3355" i="9" a="1"/>
  <c r="N3355" i="9" s="1"/>
  <c r="N3356" i="9" a="1"/>
  <c r="N3356" i="9" s="1"/>
  <c r="N3357" i="9" a="1"/>
  <c r="N3357" i="9" s="1"/>
  <c r="N3358" i="9" a="1"/>
  <c r="N3358" i="9" s="1"/>
  <c r="N3359" i="9" a="1"/>
  <c r="N3359" i="9" s="1"/>
  <c r="N3360" i="9" a="1"/>
  <c r="N3360" i="9" s="1"/>
  <c r="N3361" i="9" a="1"/>
  <c r="N3361" i="9" s="1"/>
  <c r="N3363" i="9" a="1"/>
  <c r="N3363" i="9" s="1"/>
  <c r="N3364" i="9" a="1"/>
  <c r="N3364" i="9" s="1"/>
  <c r="N3365" i="9" a="1"/>
  <c r="N3365" i="9" s="1"/>
  <c r="N3366" i="9" a="1"/>
  <c r="N3366" i="9" s="1"/>
  <c r="N3367" i="9" a="1"/>
  <c r="N3367" i="9" s="1"/>
  <c r="N3368" i="9" a="1"/>
  <c r="N3368" i="9" s="1"/>
  <c r="N3369" i="9" a="1"/>
  <c r="N3369" i="9" s="1"/>
  <c r="N3370" i="9" a="1"/>
  <c r="N3370" i="9" s="1"/>
  <c r="N3371" i="9" a="1"/>
  <c r="N3371" i="9" s="1"/>
  <c r="N3372" i="9" a="1"/>
  <c r="N3372" i="9" s="1"/>
  <c r="N3373" i="9" a="1"/>
  <c r="N3373" i="9" s="1"/>
  <c r="N3374" i="9" a="1"/>
  <c r="N3374" i="9" s="1"/>
  <c r="N3375" i="9" a="1"/>
  <c r="N3375" i="9" s="1"/>
  <c r="N3376" i="9" a="1"/>
  <c r="N3376" i="9" s="1"/>
  <c r="N3377" i="9" a="1"/>
  <c r="N3377" i="9" s="1"/>
  <c r="N3379" i="9" a="1"/>
  <c r="N3379" i="9" s="1"/>
  <c r="N3380" i="9" a="1"/>
  <c r="N3380" i="9" s="1"/>
  <c r="N3381" i="9" a="1"/>
  <c r="N3381" i="9" s="1"/>
  <c r="N3382" i="9" a="1"/>
  <c r="N3382" i="9" s="1"/>
  <c r="N3383" i="9" a="1"/>
  <c r="N3383" i="9" s="1"/>
  <c r="N3384" i="9" a="1"/>
  <c r="N3384" i="9" s="1"/>
  <c r="N3385" i="9" a="1"/>
  <c r="N3385" i="9" s="1"/>
  <c r="N3386" i="9" a="1"/>
  <c r="N3386" i="9" s="1"/>
  <c r="N3387" i="9" a="1"/>
  <c r="N3387" i="9" s="1"/>
  <c r="N3388" i="9" a="1"/>
  <c r="N3388" i="9" s="1"/>
  <c r="N3389" i="9" a="1"/>
  <c r="N3389" i="9" s="1"/>
  <c r="N3390" i="9" a="1"/>
  <c r="N3390" i="9" s="1"/>
  <c r="N3391" i="9" a="1"/>
  <c r="N3391" i="9" s="1"/>
  <c r="N3392" i="9" a="1"/>
  <c r="N3392" i="9" s="1"/>
  <c r="N3393" i="9" a="1"/>
  <c r="N3393" i="9" s="1"/>
  <c r="N3395" i="9" a="1"/>
  <c r="N3395" i="9" s="1"/>
  <c r="N3396" i="9" a="1"/>
  <c r="N3396" i="9" s="1"/>
  <c r="N3397" i="9" a="1"/>
  <c r="N3397" i="9" s="1"/>
  <c r="N3398" i="9" a="1"/>
  <c r="N3398" i="9" s="1"/>
  <c r="N3399" i="9" a="1"/>
  <c r="N3399" i="9" s="1"/>
  <c r="N3400" i="9" a="1"/>
  <c r="N3400" i="9" s="1"/>
  <c r="N3401" i="9" a="1"/>
  <c r="N3401" i="9" s="1"/>
  <c r="N3402" i="9" a="1"/>
  <c r="N3402" i="9" s="1"/>
  <c r="N3403" i="9" a="1"/>
  <c r="N3403" i="9" s="1"/>
  <c r="N3404" i="9" a="1"/>
  <c r="N3404" i="9" s="1"/>
  <c r="N3405" i="9" a="1"/>
  <c r="N3405" i="9" s="1"/>
  <c r="N3406" i="9" a="1"/>
  <c r="N3406" i="9" s="1"/>
  <c r="N3407" i="9" a="1"/>
  <c r="N3407" i="9" s="1"/>
  <c r="N3408" i="9" a="1"/>
  <c r="N3408" i="9"/>
  <c r="N3409" i="9" a="1"/>
  <c r="N3409" i="9" s="1"/>
  <c r="N3411" i="9" a="1"/>
  <c r="N3411" i="9" s="1"/>
  <c r="N3412" i="9" a="1"/>
  <c r="N3412" i="9"/>
  <c r="N3413" i="9" a="1"/>
  <c r="N3413" i="9" s="1"/>
  <c r="N3414" i="9" a="1"/>
  <c r="N3414" i="9" s="1"/>
  <c r="N3415" i="9" a="1"/>
  <c r="N3415" i="9" s="1"/>
  <c r="N3416" i="9" a="1"/>
  <c r="N3416" i="9"/>
  <c r="N3417" i="9" a="1"/>
  <c r="N3417" i="9" s="1"/>
  <c r="N3418" i="9" a="1"/>
  <c r="N3418" i="9" s="1"/>
  <c r="N3419" i="9" a="1"/>
  <c r="N3419" i="9" s="1"/>
  <c r="N3420" i="9" a="1"/>
  <c r="N3420" i="9" s="1"/>
  <c r="N3421" i="9" a="1"/>
  <c r="N3421" i="9" s="1"/>
  <c r="N3422" i="9" a="1"/>
  <c r="N3422" i="9" s="1"/>
  <c r="N3423" i="9" a="1"/>
  <c r="N3423" i="9" s="1"/>
  <c r="N3424" i="9" a="1"/>
  <c r="N3424" i="9"/>
  <c r="N3425" i="9" a="1"/>
  <c r="N3425" i="9" s="1"/>
  <c r="N3427" i="9" a="1"/>
  <c r="N3427" i="9" s="1"/>
  <c r="N3428" i="9" a="1"/>
  <c r="N3428" i="9" s="1"/>
  <c r="N3429" i="9" a="1"/>
  <c r="N3429" i="9" s="1"/>
  <c r="N3430" i="9" a="1"/>
  <c r="N3430" i="9" s="1"/>
  <c r="N3431" i="9" a="1"/>
  <c r="N3431" i="9" s="1"/>
  <c r="N3432" i="9" a="1"/>
  <c r="N3432" i="9"/>
  <c r="N3433" i="9" a="1"/>
  <c r="N3433" i="9" s="1"/>
  <c r="N3434" i="9" a="1"/>
  <c r="N3434" i="9" s="1"/>
  <c r="N3435" i="9" a="1"/>
  <c r="N3435" i="9" s="1"/>
  <c r="N3436" i="9" a="1"/>
  <c r="N3436" i="9" s="1"/>
  <c r="N3437" i="9" a="1"/>
  <c r="N3437" i="9" s="1"/>
  <c r="N3438" i="9" a="1"/>
  <c r="N3438" i="9" s="1"/>
  <c r="N3439" i="9" a="1"/>
  <c r="N3439" i="9" s="1"/>
  <c r="N3440" i="9" a="1"/>
  <c r="N3440" i="9" s="1"/>
  <c r="N3441" i="9" a="1"/>
  <c r="N3441" i="9" s="1"/>
  <c r="N3443" i="9" a="1"/>
  <c r="N3443" i="9" s="1"/>
  <c r="N3444" i="9" a="1"/>
  <c r="N3444" i="9"/>
  <c r="N3445" i="9" a="1"/>
  <c r="N3445" i="9" s="1"/>
  <c r="N3446" i="9" a="1"/>
  <c r="N3446" i="9" s="1"/>
  <c r="N3447" i="9" a="1"/>
  <c r="N3447" i="9" s="1"/>
  <c r="N3448" i="9" a="1"/>
  <c r="N3448" i="9"/>
  <c r="N3449" i="9" a="1"/>
  <c r="N3449" i="9" s="1"/>
  <c r="N3450" i="9" a="1"/>
  <c r="N3450" i="9" s="1"/>
  <c r="N3451" i="9" a="1"/>
  <c r="N3451" i="9" s="1"/>
  <c r="N3452" i="9" a="1"/>
  <c r="N3452" i="9" s="1"/>
  <c r="N3453" i="9" a="1"/>
  <c r="N3453" i="9" s="1"/>
  <c r="N3454" i="9" a="1"/>
  <c r="N3454" i="9" s="1"/>
  <c r="N3455" i="9" a="1"/>
  <c r="N3455" i="9" s="1"/>
  <c r="N3456" i="9" a="1"/>
  <c r="N3456" i="9"/>
  <c r="N3457" i="9" a="1"/>
  <c r="N3457" i="9" s="1"/>
  <c r="N3459" i="9" a="1"/>
  <c r="N3459" i="9" s="1"/>
  <c r="N3460" i="9" a="1"/>
  <c r="N3460" i="9"/>
  <c r="N3461" i="9" a="1"/>
  <c r="N3461" i="9" s="1"/>
  <c r="N3462" i="9" a="1"/>
  <c r="N3462" i="9" s="1"/>
  <c r="N3463" i="9" a="1"/>
  <c r="N3463" i="9" s="1"/>
  <c r="N3464" i="9" a="1"/>
  <c r="N3464" i="9"/>
  <c r="N3465" i="9" a="1"/>
  <c r="N3465" i="9" s="1"/>
  <c r="N3466" i="9" a="1"/>
  <c r="N3466" i="9" s="1"/>
  <c r="N3467" i="9" a="1"/>
  <c r="N3467" i="9" s="1"/>
  <c r="N3468" i="9" a="1"/>
  <c r="N3468" i="9" s="1"/>
  <c r="N3469" i="9" a="1"/>
  <c r="N3469" i="9" s="1"/>
  <c r="N3470" i="9" a="1"/>
  <c r="N3470" i="9" s="1"/>
  <c r="N3471" i="9" a="1"/>
  <c r="N3471" i="9" s="1"/>
  <c r="N3472" i="9" a="1"/>
  <c r="N3472" i="9"/>
  <c r="N3473" i="9" a="1"/>
  <c r="N3473" i="9" s="1"/>
  <c r="N3475" i="9" a="1"/>
  <c r="N3475" i="9" s="1"/>
  <c r="N3476" i="9" a="1"/>
  <c r="N3476" i="9" s="1"/>
  <c r="N3477" i="9" a="1"/>
  <c r="N3477" i="9" s="1"/>
  <c r="N3478" i="9" a="1"/>
  <c r="N3478" i="9" s="1"/>
  <c r="N3479" i="9" a="1"/>
  <c r="N3479" i="9" s="1"/>
  <c r="N3480" i="9" a="1"/>
  <c r="N3480" i="9"/>
  <c r="N3481" i="9" a="1"/>
  <c r="N3481" i="9" s="1"/>
  <c r="N3482" i="9" a="1"/>
  <c r="N3482" i="9" s="1"/>
  <c r="N3483" i="9" a="1"/>
  <c r="N3483" i="9" s="1"/>
  <c r="N3484" i="9" a="1"/>
  <c r="N3484" i="9" s="1"/>
  <c r="N3485" i="9" a="1"/>
  <c r="N3485" i="9" s="1"/>
  <c r="N3486" i="9" a="1"/>
  <c r="N3486" i="9" s="1"/>
  <c r="N3487" i="9" a="1"/>
  <c r="N3487" i="9" s="1"/>
  <c r="N3488" i="9" a="1"/>
  <c r="N3488" i="9" s="1"/>
  <c r="N3489" i="9" a="1"/>
  <c r="N3489" i="9" s="1"/>
  <c r="N3491" i="9" a="1"/>
  <c r="N3491" i="9" s="1"/>
  <c r="N3492" i="9" a="1"/>
  <c r="N3492" i="9"/>
  <c r="N3493" i="9" a="1"/>
  <c r="N3493" i="9" s="1"/>
  <c r="N3494" i="9" a="1"/>
  <c r="N3494" i="9" s="1"/>
  <c r="N3495" i="9" a="1"/>
  <c r="N3495" i="9" s="1"/>
  <c r="N3496" i="9" a="1"/>
  <c r="N3496" i="9" s="1"/>
  <c r="N3497" i="9" a="1"/>
  <c r="N3497" i="9" s="1"/>
  <c r="N3498" i="9" a="1"/>
  <c r="N3498" i="9" s="1"/>
  <c r="N3499" i="9" a="1"/>
  <c r="N3499" i="9" s="1"/>
  <c r="N3500" i="9" a="1"/>
  <c r="N3500" i="9" s="1"/>
  <c r="N3501" i="9" a="1"/>
  <c r="N3501" i="9" s="1"/>
  <c r="N3502" i="9" a="1"/>
  <c r="N3502" i="9" s="1"/>
  <c r="N3503" i="9" a="1"/>
  <c r="N3503" i="9" s="1"/>
  <c r="N3504" i="9" a="1"/>
  <c r="N3504" i="9" s="1"/>
  <c r="N3505" i="9" a="1"/>
  <c r="N3505" i="9" s="1"/>
  <c r="N3507" i="9" a="1"/>
  <c r="N3507" i="9" s="1"/>
  <c r="N3508" i="9" a="1"/>
  <c r="N3508" i="9" s="1"/>
  <c r="N3509" i="9" a="1"/>
  <c r="N3509" i="9" s="1"/>
  <c r="N3510" i="9" a="1"/>
  <c r="N3510" i="9" s="1"/>
  <c r="N3511" i="9" a="1"/>
  <c r="N3511" i="9" s="1"/>
  <c r="N3512" i="9" a="1"/>
  <c r="N3512" i="9" s="1"/>
  <c r="N3513" i="9" a="1"/>
  <c r="N3513" i="9" s="1"/>
  <c r="N3514" i="9" a="1"/>
  <c r="N3514" i="9" s="1"/>
  <c r="N3515" i="9" a="1"/>
  <c r="N3515" i="9" s="1"/>
  <c r="N3516" i="9" a="1"/>
  <c r="N3516" i="9" s="1"/>
  <c r="N3517" i="9" a="1"/>
  <c r="N3517" i="9" s="1"/>
  <c r="N3518" i="9" a="1"/>
  <c r="N3518" i="9" s="1"/>
  <c r="N3519" i="9" a="1"/>
  <c r="N3519" i="9" s="1"/>
  <c r="N3520" i="9" a="1"/>
  <c r="N3520" i="9" s="1"/>
  <c r="N3521" i="9" a="1"/>
  <c r="N3521" i="9" s="1"/>
  <c r="N3523" i="9" a="1"/>
  <c r="N3523" i="9" s="1"/>
  <c r="N3524" i="9" a="1"/>
  <c r="N3524" i="9" s="1"/>
  <c r="N3525" i="9" a="1"/>
  <c r="N3525" i="9" s="1"/>
  <c r="N3526" i="9" a="1"/>
  <c r="N3526" i="9" s="1"/>
  <c r="N3527" i="9" a="1"/>
  <c r="N3527" i="9" s="1"/>
  <c r="N3528" i="9" a="1"/>
  <c r="N3528" i="9" s="1"/>
  <c r="N3529" i="9" a="1"/>
  <c r="N3529" i="9" s="1"/>
  <c r="N3530" i="9" a="1"/>
  <c r="N3530" i="9" s="1"/>
  <c r="N3531" i="9" a="1"/>
  <c r="N3531" i="9" s="1"/>
  <c r="N3532" i="9" a="1"/>
  <c r="N3532" i="9" s="1"/>
  <c r="N3533" i="9" a="1"/>
  <c r="N3533" i="9" s="1"/>
  <c r="N3534" i="9" a="1"/>
  <c r="N3534" i="9" s="1"/>
  <c r="N3535" i="9" a="1"/>
  <c r="N3535" i="9" s="1"/>
  <c r="N3536" i="9" a="1"/>
  <c r="N3536" i="9" s="1"/>
  <c r="N3537" i="9" a="1"/>
  <c r="N3537" i="9" s="1"/>
  <c r="N3539" i="9" a="1"/>
  <c r="N3539" i="9" s="1"/>
  <c r="N3540" i="9" a="1"/>
  <c r="N3540" i="9" s="1"/>
  <c r="N3541" i="9" a="1"/>
  <c r="N3541" i="9" s="1"/>
  <c r="N3542" i="9" a="1"/>
  <c r="N3542" i="9" s="1"/>
  <c r="N3543" i="9" a="1"/>
  <c r="N3543" i="9" s="1"/>
  <c r="N3544" i="9" a="1"/>
  <c r="N3544" i="9" s="1"/>
  <c r="N3545" i="9" a="1"/>
  <c r="N3545" i="9" s="1"/>
  <c r="N3546" i="9" a="1"/>
  <c r="N3546" i="9" s="1"/>
  <c r="N3547" i="9" a="1"/>
  <c r="N3547" i="9" s="1"/>
  <c r="N3548" i="9" a="1"/>
  <c r="N3548" i="9" s="1"/>
  <c r="N3549" i="9" a="1"/>
  <c r="N3549" i="9" s="1"/>
  <c r="N3550" i="9" a="1"/>
  <c r="N3550" i="9" s="1"/>
  <c r="N3551" i="9" a="1"/>
  <c r="N3551" i="9" s="1"/>
  <c r="N3552" i="9" a="1"/>
  <c r="N3552" i="9" s="1"/>
  <c r="N3553" i="9" a="1"/>
  <c r="N3553" i="9" s="1"/>
  <c r="N3555" i="9" a="1"/>
  <c r="N3555" i="9" s="1"/>
  <c r="N3556" i="9" a="1"/>
  <c r="N3556" i="9" s="1"/>
  <c r="N3557" i="9" a="1"/>
  <c r="N3557" i="9" s="1"/>
  <c r="N3558" i="9" a="1"/>
  <c r="N3558" i="9" s="1"/>
  <c r="N3559" i="9" a="1"/>
  <c r="N3559" i="9" s="1"/>
  <c r="N3560" i="9" a="1"/>
  <c r="N3560" i="9" s="1"/>
  <c r="N3561" i="9" a="1"/>
  <c r="N3561" i="9" s="1"/>
  <c r="N3562" i="9" a="1"/>
  <c r="N3562" i="9" s="1"/>
  <c r="N3563" i="9" a="1"/>
  <c r="N3563" i="9" s="1"/>
  <c r="N3564" i="9" a="1"/>
  <c r="N3564" i="9" s="1"/>
  <c r="N3565" i="9" a="1"/>
  <c r="N3565" i="9" s="1"/>
  <c r="N3566" i="9" a="1"/>
  <c r="N3566" i="9" s="1"/>
  <c r="N3567" i="9" a="1"/>
  <c r="N3567" i="9" s="1"/>
  <c r="N3568" i="9" a="1"/>
  <c r="N3568" i="9" s="1"/>
  <c r="N3569" i="9" a="1"/>
  <c r="N3569" i="9" s="1"/>
  <c r="N3571" i="9" a="1"/>
  <c r="N3571" i="9" s="1"/>
  <c r="N3572" i="9" a="1"/>
  <c r="N3572" i="9" s="1"/>
  <c r="N3573" i="9" a="1"/>
  <c r="N3573" i="9" s="1"/>
  <c r="N3574" i="9" a="1"/>
  <c r="N3574" i="9" s="1"/>
  <c r="N3575" i="9" a="1"/>
  <c r="N3575" i="9" s="1"/>
  <c r="N3576" i="9" a="1"/>
  <c r="N3576" i="9" s="1"/>
  <c r="N3577" i="9" a="1"/>
  <c r="N3577" i="9" s="1"/>
  <c r="N3578" i="9" a="1"/>
  <c r="N3578" i="9" s="1"/>
  <c r="N3579" i="9" a="1"/>
  <c r="N3579" i="9" s="1"/>
  <c r="N3580" i="9" a="1"/>
  <c r="N3580" i="9" s="1"/>
  <c r="N3581" i="9" a="1"/>
  <c r="N3581" i="9" s="1"/>
  <c r="N3582" i="9" a="1"/>
  <c r="N3582" i="9" s="1"/>
  <c r="N3583" i="9" a="1"/>
  <c r="N3583" i="9" s="1"/>
  <c r="N3584" i="9" a="1"/>
  <c r="N3584" i="9" s="1"/>
  <c r="N3585" i="9" a="1"/>
  <c r="N3585" i="9" s="1"/>
  <c r="N3587" i="9" a="1"/>
  <c r="N3587" i="9" s="1"/>
  <c r="N3588" i="9" a="1"/>
  <c r="N3588" i="9" s="1"/>
  <c r="N3589" i="9" a="1"/>
  <c r="N3589" i="9" s="1"/>
  <c r="N3590" i="9" a="1"/>
  <c r="N3590" i="9" s="1"/>
  <c r="N3591" i="9" a="1"/>
  <c r="N3591" i="9" s="1"/>
  <c r="N3592" i="9" a="1"/>
  <c r="N3592" i="9" s="1"/>
  <c r="N3593" i="9" a="1"/>
  <c r="N3593" i="9" s="1"/>
  <c r="N3594" i="9" a="1"/>
  <c r="N3594" i="9" s="1"/>
  <c r="N3595" i="9" a="1"/>
  <c r="N3595" i="9" s="1"/>
  <c r="N3596" i="9" a="1"/>
  <c r="N3596" i="9" s="1"/>
  <c r="N3597" i="9" a="1"/>
  <c r="N3597" i="9" s="1"/>
  <c r="N3598" i="9" a="1"/>
  <c r="N3598" i="9" s="1"/>
  <c r="N3599" i="9" a="1"/>
  <c r="N3599" i="9" s="1"/>
  <c r="N3600" i="9" a="1"/>
  <c r="N3600" i="9" s="1"/>
  <c r="N3601" i="9" a="1"/>
  <c r="N3601" i="9" s="1"/>
  <c r="N3603" i="9" a="1"/>
  <c r="N3603" i="9" s="1"/>
  <c r="N3604" i="9" a="1"/>
  <c r="N3604" i="9" s="1"/>
  <c r="N3605" i="9" a="1"/>
  <c r="N3605" i="9" s="1"/>
  <c r="N3606" i="9" a="1"/>
  <c r="N3606" i="9" s="1"/>
  <c r="N3607" i="9" a="1"/>
  <c r="N3607" i="9" s="1"/>
  <c r="N3608" i="9" a="1"/>
  <c r="N3608" i="9" s="1"/>
  <c r="N3609" i="9" a="1"/>
  <c r="N3609" i="9" s="1"/>
  <c r="N3610" i="9" a="1"/>
  <c r="N3610" i="9" s="1"/>
  <c r="N3611" i="9" a="1"/>
  <c r="N3611" i="9" s="1"/>
  <c r="N3612" i="9" a="1"/>
  <c r="N3612" i="9" s="1"/>
  <c r="N3613" i="9" a="1"/>
  <c r="N3613" i="9" s="1"/>
  <c r="N3614" i="9" a="1"/>
  <c r="N3614" i="9" s="1"/>
  <c r="N3615" i="9" a="1"/>
  <c r="N3615" i="9" s="1"/>
  <c r="N3616" i="9" a="1"/>
  <c r="N3616" i="9" s="1"/>
  <c r="N3617" i="9" a="1"/>
  <c r="N3617" i="9" s="1"/>
  <c r="N3619" i="9" a="1"/>
  <c r="N3619" i="9" s="1"/>
  <c r="N3620" i="9" a="1"/>
  <c r="N3620" i="9" s="1"/>
  <c r="N3621" i="9" a="1"/>
  <c r="N3621" i="9" s="1"/>
  <c r="N3622" i="9" a="1"/>
  <c r="N3622" i="9" s="1"/>
  <c r="N3623" i="9" a="1"/>
  <c r="N3623" i="9" s="1"/>
  <c r="N3624" i="9" a="1"/>
  <c r="N3624" i="9" s="1"/>
  <c r="N3625" i="9" a="1"/>
  <c r="N3625" i="9" s="1"/>
  <c r="N3626" i="9" a="1"/>
  <c r="N3626" i="9" s="1"/>
  <c r="N3627" i="9" a="1"/>
  <c r="N3627" i="9" s="1"/>
  <c r="N3628" i="9" a="1"/>
  <c r="N3628" i="9" s="1"/>
  <c r="N3629" i="9" a="1"/>
  <c r="N3629" i="9" s="1"/>
  <c r="N3630" i="9" a="1"/>
  <c r="N3630" i="9" s="1"/>
  <c r="N3631" i="9" a="1"/>
  <c r="N3631" i="9" s="1"/>
  <c r="N3632" i="9" a="1"/>
  <c r="N3632" i="9" s="1"/>
  <c r="N3633" i="9" a="1"/>
  <c r="N3633" i="9" s="1"/>
  <c r="N3635" i="9" a="1"/>
  <c r="N3635" i="9" s="1"/>
  <c r="N3636" i="9" a="1"/>
  <c r="N3636" i="9" s="1"/>
  <c r="N3637" i="9" a="1"/>
  <c r="N3637" i="9" s="1"/>
  <c r="N3638" i="9" a="1"/>
  <c r="N3638" i="9" s="1"/>
  <c r="N3639" i="9" a="1"/>
  <c r="N3639" i="9" s="1"/>
  <c r="N3640" i="9" a="1"/>
  <c r="N3640" i="9" s="1"/>
  <c r="N3641" i="9" a="1"/>
  <c r="N3641" i="9" s="1"/>
  <c r="N3642" i="9" a="1"/>
  <c r="N3642" i="9" s="1"/>
  <c r="N3643" i="9" a="1"/>
  <c r="N3643" i="9" s="1"/>
  <c r="N3644" i="9" a="1"/>
  <c r="N3644" i="9" s="1"/>
  <c r="N3645" i="9" a="1"/>
  <c r="N3645" i="9" s="1"/>
  <c r="N3646" i="9" a="1"/>
  <c r="N3646" i="9" s="1"/>
  <c r="N3647" i="9" a="1"/>
  <c r="N3647" i="9" s="1"/>
  <c r="N3648" i="9" a="1"/>
  <c r="N3648" i="9" s="1"/>
  <c r="N3649" i="9" a="1"/>
  <c r="N3649" i="9" s="1"/>
  <c r="N3651" i="9" a="1"/>
  <c r="N3651" i="9" s="1"/>
  <c r="N3652" i="9" a="1"/>
  <c r="N3652" i="9" s="1"/>
  <c r="N3653" i="9" a="1"/>
  <c r="N3653" i="9" s="1"/>
  <c r="N3654" i="9" a="1"/>
  <c r="N3654" i="9" s="1"/>
  <c r="N3655" i="9" a="1"/>
  <c r="N3655" i="9" s="1"/>
  <c r="N3656" i="9" a="1"/>
  <c r="N3656" i="9" s="1"/>
  <c r="N3657" i="9" a="1"/>
  <c r="N3657" i="9" s="1"/>
  <c r="N3658" i="9" a="1"/>
  <c r="N3658" i="9" s="1"/>
  <c r="N3659" i="9" a="1"/>
  <c r="N3659" i="9" s="1"/>
  <c r="N3660" i="9" a="1"/>
  <c r="N3660" i="9" s="1"/>
  <c r="N3661" i="9" a="1"/>
  <c r="N3661" i="9" s="1"/>
  <c r="N3662" i="9" a="1"/>
  <c r="N3662" i="9" s="1"/>
  <c r="N3663" i="9" a="1"/>
  <c r="N3663" i="9" s="1"/>
  <c r="N3664" i="9" a="1"/>
  <c r="N3664" i="9" s="1"/>
  <c r="N3665" i="9" a="1"/>
  <c r="N3665" i="9" s="1"/>
  <c r="N3667" i="9" a="1"/>
  <c r="N3667" i="9" s="1"/>
  <c r="N3668" i="9" a="1"/>
  <c r="N3668" i="9" s="1"/>
  <c r="N3669" i="9" a="1"/>
  <c r="N3669" i="9" s="1"/>
  <c r="N3670" i="9" a="1"/>
  <c r="N3670" i="9" s="1"/>
  <c r="N3671" i="9" a="1"/>
  <c r="N3671" i="9" s="1"/>
  <c r="N3672" i="9" a="1"/>
  <c r="N3672" i="9" s="1"/>
  <c r="N3673" i="9" a="1"/>
  <c r="N3673" i="9" s="1"/>
  <c r="N3674" i="9" a="1"/>
  <c r="N3674" i="9" s="1"/>
  <c r="N3675" i="9" a="1"/>
  <c r="N3675" i="9" s="1"/>
  <c r="N3676" i="9" a="1"/>
  <c r="N3676" i="9" s="1"/>
  <c r="N3677" i="9" a="1"/>
  <c r="N3677" i="9" s="1"/>
  <c r="N3678" i="9" a="1"/>
  <c r="N3678" i="9" s="1"/>
  <c r="N3679" i="9" a="1"/>
  <c r="N3679" i="9" s="1"/>
  <c r="N3680" i="9" a="1"/>
  <c r="N3680" i="9" s="1"/>
  <c r="N3681" i="9" a="1"/>
  <c r="N3681" i="9" s="1"/>
  <c r="N3683" i="9" a="1"/>
  <c r="N3683" i="9" s="1"/>
  <c r="N3684" i="9" a="1"/>
  <c r="N3684" i="9" s="1"/>
  <c r="N3685" i="9" a="1"/>
  <c r="N3685" i="9" s="1"/>
  <c r="N3686" i="9" a="1"/>
  <c r="N3686" i="9" s="1"/>
  <c r="N3687" i="9" a="1"/>
  <c r="N3687" i="9" s="1"/>
  <c r="N3688" i="9" a="1"/>
  <c r="N3688" i="9" s="1"/>
  <c r="N3689" i="9" a="1"/>
  <c r="N3689" i="9" s="1"/>
  <c r="N3690" i="9" a="1"/>
  <c r="N3690" i="9" s="1"/>
  <c r="N3691" i="9" a="1"/>
  <c r="N3691" i="9" s="1"/>
  <c r="N3692" i="9" a="1"/>
  <c r="N3692" i="9" s="1"/>
  <c r="N3693" i="9" a="1"/>
  <c r="N3693" i="9" s="1"/>
  <c r="N3694" i="9" a="1"/>
  <c r="N3694" i="9" s="1"/>
  <c r="N3695" i="9" a="1"/>
  <c r="N3695" i="9" s="1"/>
  <c r="N3696" i="9" a="1"/>
  <c r="N3696" i="9" s="1"/>
  <c r="N3697" i="9" a="1"/>
  <c r="N3697" i="9" s="1"/>
  <c r="N3699" i="9" a="1"/>
  <c r="N3699" i="9" s="1"/>
  <c r="N3700" i="9" a="1"/>
  <c r="N3700" i="9" s="1"/>
  <c r="N3701" i="9" a="1"/>
  <c r="N3701" i="9" s="1"/>
  <c r="N3702" i="9" a="1"/>
  <c r="N3702" i="9" s="1"/>
  <c r="N3703" i="9" a="1"/>
  <c r="N3703" i="9" s="1"/>
  <c r="N3704" i="9" a="1"/>
  <c r="N3704" i="9" s="1"/>
  <c r="N3705" i="9" a="1"/>
  <c r="N3705" i="9" s="1"/>
  <c r="N3706" i="9" a="1"/>
  <c r="N3706" i="9" s="1"/>
  <c r="N3707" i="9" a="1"/>
  <c r="N3707" i="9" s="1"/>
  <c r="N3708" i="9" a="1"/>
  <c r="N3708" i="9" s="1"/>
  <c r="N3709" i="9" a="1"/>
  <c r="N3709" i="9" s="1"/>
  <c r="N3710" i="9" a="1"/>
  <c r="N3710" i="9" s="1"/>
  <c r="N3711" i="9" a="1"/>
  <c r="N3711" i="9" s="1"/>
  <c r="N3712" i="9" a="1"/>
  <c r="N3712" i="9" s="1"/>
  <c r="N3713" i="9" a="1"/>
  <c r="N3713" i="9" s="1"/>
  <c r="N3715" i="9" a="1"/>
  <c r="N3715" i="9" s="1"/>
  <c r="N3716" i="9" a="1"/>
  <c r="N3716" i="9" s="1"/>
  <c r="N3717" i="9" a="1"/>
  <c r="N3717" i="9" s="1"/>
  <c r="N3718" i="9" a="1"/>
  <c r="N3718" i="9" s="1"/>
  <c r="N3719" i="9" a="1"/>
  <c r="N3719" i="9" s="1"/>
  <c r="N3720" i="9" a="1"/>
  <c r="N3720" i="9" s="1"/>
  <c r="N3721" i="9" a="1"/>
  <c r="N3721" i="9" s="1"/>
  <c r="N3722" i="9" a="1"/>
  <c r="N3722" i="9" s="1"/>
  <c r="N3723" i="9" a="1"/>
  <c r="N3723" i="9" s="1"/>
  <c r="N3724" i="9" a="1"/>
  <c r="N3724" i="9" s="1"/>
  <c r="N3725" i="9" a="1"/>
  <c r="N3725" i="9" s="1"/>
  <c r="N3726" i="9" a="1"/>
  <c r="N3726" i="9" s="1"/>
  <c r="N3727" i="9" a="1"/>
  <c r="N3727" i="9" s="1"/>
  <c r="N3728" i="9" a="1"/>
  <c r="N3728" i="9" s="1"/>
  <c r="N3729" i="9" a="1"/>
  <c r="N3729" i="9" s="1"/>
  <c r="N3731" i="9" a="1"/>
  <c r="N3731" i="9" s="1"/>
  <c r="N3732" i="9" a="1"/>
  <c r="N3732" i="9" s="1"/>
  <c r="N3733" i="9" a="1"/>
  <c r="N3733" i="9" s="1"/>
  <c r="N3734" i="9" a="1"/>
  <c r="N3734" i="9" s="1"/>
  <c r="N3735" i="9" a="1"/>
  <c r="N3735" i="9" s="1"/>
  <c r="N3736" i="9" a="1"/>
  <c r="N3736" i="9" s="1"/>
  <c r="N3737" i="9" a="1"/>
  <c r="N3737" i="9" s="1"/>
  <c r="N3738" i="9" a="1"/>
  <c r="N3738" i="9" s="1"/>
  <c r="N3739" i="9" a="1"/>
  <c r="N3739" i="9" s="1"/>
  <c r="N3740" i="9" a="1"/>
  <c r="N3740" i="9" s="1"/>
  <c r="N3741" i="9" a="1"/>
  <c r="N3741" i="9" s="1"/>
  <c r="N3742" i="9" a="1"/>
  <c r="N3742" i="9" s="1"/>
  <c r="N3743" i="9" a="1"/>
  <c r="N3743" i="9" s="1"/>
  <c r="N3744" i="9" a="1"/>
  <c r="N3744" i="9" s="1"/>
  <c r="N3745" i="9" a="1"/>
  <c r="N3745" i="9" s="1"/>
  <c r="N3747" i="9" a="1"/>
  <c r="N3747" i="9" s="1"/>
  <c r="N3748" i="9" a="1"/>
  <c r="N3748" i="9" s="1"/>
  <c r="N3749" i="9" a="1"/>
  <c r="N3749" i="9" s="1"/>
  <c r="N3750" i="9" a="1"/>
  <c r="N3750" i="9" s="1"/>
  <c r="N3751" i="9" a="1"/>
  <c r="N3751" i="9" s="1"/>
  <c r="N3752" i="9" a="1"/>
  <c r="N3752" i="9" s="1"/>
  <c r="N3753" i="9" a="1"/>
  <c r="N3753" i="9" s="1"/>
  <c r="N3754" i="9" a="1"/>
  <c r="N3754" i="9" s="1"/>
  <c r="N3755" i="9" a="1"/>
  <c r="N3755" i="9" s="1"/>
  <c r="N3756" i="9" a="1"/>
  <c r="N3756" i="9" s="1"/>
  <c r="N3757" i="9" a="1"/>
  <c r="N3757" i="9" s="1"/>
  <c r="N3758" i="9" a="1"/>
  <c r="N3758" i="9" s="1"/>
  <c r="N3759" i="9" a="1"/>
  <c r="N3759" i="9" s="1"/>
  <c r="N3760" i="9" a="1"/>
  <c r="N3760" i="9" s="1"/>
  <c r="N3761" i="9" a="1"/>
  <c r="N3761" i="9" s="1"/>
  <c r="N3763" i="9" a="1"/>
  <c r="N3763" i="9" s="1"/>
  <c r="N3764" i="9" a="1"/>
  <c r="N3764" i="9" s="1"/>
  <c r="N3765" i="9" a="1"/>
  <c r="N3765" i="9" s="1"/>
  <c r="N3766" i="9" a="1"/>
  <c r="N3766" i="9" s="1"/>
  <c r="N3767" i="9" a="1"/>
  <c r="N3767" i="9" s="1"/>
  <c r="N3768" i="9" a="1"/>
  <c r="N3768" i="9" s="1"/>
  <c r="N3769" i="9" a="1"/>
  <c r="N3769" i="9" s="1"/>
  <c r="N3770" i="9" a="1"/>
  <c r="N3770" i="9" s="1"/>
  <c r="N3771" i="9" a="1"/>
  <c r="N3771" i="9" s="1"/>
  <c r="N3772" i="9" a="1"/>
  <c r="N3772" i="9" s="1"/>
  <c r="N3773" i="9" a="1"/>
  <c r="N3773" i="9" s="1"/>
  <c r="N3774" i="9" a="1"/>
  <c r="N3774" i="9" s="1"/>
  <c r="N3775" i="9" a="1"/>
  <c r="N3775" i="9" s="1"/>
  <c r="N3776" i="9" a="1"/>
  <c r="N3776" i="9" s="1"/>
  <c r="N3777" i="9" a="1"/>
  <c r="N3777" i="9" s="1"/>
  <c r="N3779" i="9" a="1"/>
  <c r="N3779" i="9" s="1"/>
  <c r="N3780" i="9" a="1"/>
  <c r="N3780" i="9" s="1"/>
  <c r="N3781" i="9" a="1"/>
  <c r="N3781" i="9" s="1"/>
  <c r="N3782" i="9" a="1"/>
  <c r="N3782" i="9" s="1"/>
  <c r="N3783" i="9" a="1"/>
  <c r="N3783" i="9" s="1"/>
  <c r="N3784" i="9" a="1"/>
  <c r="N3784" i="9" s="1"/>
  <c r="N3785" i="9" a="1"/>
  <c r="N3785" i="9" s="1"/>
  <c r="N3786" i="9" a="1"/>
  <c r="N3786" i="9" s="1"/>
  <c r="N3787" i="9" a="1"/>
  <c r="N3787" i="9" s="1"/>
  <c r="N3788" i="9" a="1"/>
  <c r="N3788" i="9" s="1"/>
  <c r="N3789" i="9" a="1"/>
  <c r="N3789" i="9" s="1"/>
  <c r="N3790" i="9" a="1"/>
  <c r="N3790" i="9" s="1"/>
  <c r="N3791" i="9" a="1"/>
  <c r="N3791" i="9" s="1"/>
  <c r="N3792" i="9" a="1"/>
  <c r="N3792" i="9" s="1"/>
  <c r="N3793" i="9" a="1"/>
  <c r="N3793" i="9" s="1"/>
  <c r="N3795" i="9" a="1"/>
  <c r="N3795" i="9" s="1"/>
  <c r="N3796" i="9" a="1"/>
  <c r="N3796" i="9" s="1"/>
  <c r="N3797" i="9" a="1"/>
  <c r="N3797" i="9" s="1"/>
  <c r="N3798" i="9" a="1"/>
  <c r="N3798" i="9" s="1"/>
  <c r="N3799" i="9" a="1"/>
  <c r="N3799" i="9" s="1"/>
  <c r="N3800" i="9" a="1"/>
  <c r="N3800" i="9" s="1"/>
  <c r="N3801" i="9" a="1"/>
  <c r="N3801" i="9" s="1"/>
  <c r="N3802" i="9" a="1"/>
  <c r="N3802" i="9" s="1"/>
  <c r="N3803" i="9" a="1"/>
  <c r="N3803" i="9" s="1"/>
  <c r="N3804" i="9" a="1"/>
  <c r="N3804" i="9" s="1"/>
  <c r="N3805" i="9" a="1"/>
  <c r="N3805" i="9" s="1"/>
  <c r="N3806" i="9" a="1"/>
  <c r="N3806" i="9" s="1"/>
  <c r="N3807" i="9" a="1"/>
  <c r="N3807" i="9" s="1"/>
  <c r="N3808" i="9" a="1"/>
  <c r="N3808" i="9" s="1"/>
  <c r="N3809" i="9" a="1"/>
  <c r="N3809" i="9" s="1"/>
  <c r="N3811" i="9" a="1"/>
  <c r="N3811" i="9" s="1"/>
  <c r="N3812" i="9" a="1"/>
  <c r="N3812" i="9" s="1"/>
  <c r="N3813" i="9" a="1"/>
  <c r="N3813" i="9" s="1"/>
  <c r="N3814" i="9" a="1"/>
  <c r="N3814" i="9" s="1"/>
  <c r="N3815" i="9" a="1"/>
  <c r="N3815" i="9" s="1"/>
  <c r="N3816" i="9" a="1"/>
  <c r="N3816" i="9" s="1"/>
  <c r="N3817" i="9" a="1"/>
  <c r="N3817" i="9" s="1"/>
  <c r="N3818" i="9" a="1"/>
  <c r="N3818" i="9" s="1"/>
  <c r="N3819" i="9" a="1"/>
  <c r="N3819" i="9" s="1"/>
  <c r="N3820" i="9" a="1"/>
  <c r="N3820" i="9" s="1"/>
  <c r="N3821" i="9" a="1"/>
  <c r="N3821" i="9" s="1"/>
  <c r="N3822" i="9" a="1"/>
  <c r="N3822" i="9" s="1"/>
  <c r="N3823" i="9" a="1"/>
  <c r="N3823" i="9" s="1"/>
  <c r="N3824" i="9" a="1"/>
  <c r="N3824" i="9" s="1"/>
  <c r="N3825" i="9" a="1"/>
  <c r="N3825" i="9" s="1"/>
  <c r="N3827" i="9" a="1"/>
  <c r="N3827" i="9" s="1"/>
  <c r="N3828" i="9" a="1"/>
  <c r="N3828" i="9" s="1"/>
  <c r="N3829" i="9" a="1"/>
  <c r="N3829" i="9" s="1"/>
  <c r="N3830" i="9" a="1"/>
  <c r="N3830" i="9" s="1"/>
  <c r="N3831" i="9" a="1"/>
  <c r="N3831" i="9" s="1"/>
  <c r="N3832" i="9" a="1"/>
  <c r="N3832" i="9" s="1"/>
  <c r="N3833" i="9" a="1"/>
  <c r="N3833" i="9" s="1"/>
  <c r="N3834" i="9" a="1"/>
  <c r="N3834" i="9" s="1"/>
  <c r="N3835" i="9" a="1"/>
  <c r="N3835" i="9" s="1"/>
  <c r="N3836" i="9" a="1"/>
  <c r="N3836" i="9" s="1"/>
  <c r="N3837" i="9" a="1"/>
  <c r="N3837" i="9" s="1"/>
  <c r="N3838" i="9" a="1"/>
  <c r="N3838" i="9" s="1"/>
  <c r="N3839" i="9" a="1"/>
  <c r="N3839" i="9" s="1"/>
  <c r="N3840" i="9" a="1"/>
  <c r="N3840" i="9" s="1"/>
  <c r="N3841" i="9" a="1"/>
  <c r="N3841" i="9" s="1"/>
  <c r="N3843" i="9" a="1"/>
  <c r="N3843" i="9" s="1"/>
  <c r="N3844" i="9" a="1"/>
  <c r="N3844" i="9" s="1"/>
  <c r="N3845" i="9" a="1"/>
  <c r="N3845" i="9" s="1"/>
  <c r="N3846" i="9" a="1"/>
  <c r="N3846" i="9" s="1"/>
  <c r="N3847" i="9" a="1"/>
  <c r="N3847" i="9" s="1"/>
  <c r="N3848" i="9" a="1"/>
  <c r="N3848" i="9" s="1"/>
  <c r="N3849" i="9" a="1"/>
  <c r="N3849" i="9" s="1"/>
  <c r="N3850" i="9" a="1"/>
  <c r="N3850" i="9" s="1"/>
  <c r="N3851" i="9" a="1"/>
  <c r="N3851" i="9" s="1"/>
  <c r="N3852" i="9" a="1"/>
  <c r="N3852" i="9" s="1"/>
  <c r="N3853" i="9" a="1"/>
  <c r="N3853" i="9" s="1"/>
  <c r="N3854" i="9" a="1"/>
  <c r="N3854" i="9" s="1"/>
  <c r="N3855" i="9" a="1"/>
  <c r="N3855" i="9" s="1"/>
  <c r="N3856" i="9" a="1"/>
  <c r="N3856" i="9" s="1"/>
  <c r="N3857" i="9" a="1"/>
  <c r="N3857" i="9" s="1"/>
  <c r="N3859" i="9" a="1"/>
  <c r="N3859" i="9" s="1"/>
  <c r="N3860" i="9" a="1"/>
  <c r="N3860" i="9" s="1"/>
  <c r="N3861" i="9" a="1"/>
  <c r="N3861" i="9" s="1"/>
  <c r="N3862" i="9" a="1"/>
  <c r="N3862" i="9" s="1"/>
  <c r="N3863" i="9" a="1"/>
  <c r="N3863" i="9" s="1"/>
  <c r="N3864" i="9" a="1"/>
  <c r="N3864" i="9" s="1"/>
  <c r="N3865" i="9" a="1"/>
  <c r="N3865" i="9" s="1"/>
  <c r="N3866" i="9" a="1"/>
  <c r="N3866" i="9" s="1"/>
  <c r="N3867" i="9" a="1"/>
  <c r="N3867" i="9" s="1"/>
  <c r="N3868" i="9" a="1"/>
  <c r="N3868" i="9" s="1"/>
  <c r="N3869" i="9" a="1"/>
  <c r="N3869" i="9" s="1"/>
  <c r="N3870" i="9" a="1"/>
  <c r="N3870" i="9" s="1"/>
  <c r="N3871" i="9" a="1"/>
  <c r="N3871" i="9" s="1"/>
  <c r="N3872" i="9" a="1"/>
  <c r="N3872" i="9" s="1"/>
  <c r="N3873" i="9" a="1"/>
  <c r="N3873" i="9" s="1"/>
  <c r="N3875" i="9" a="1"/>
  <c r="N3875" i="9" s="1"/>
  <c r="N3876" i="9" a="1"/>
  <c r="N3876" i="9" s="1"/>
  <c r="N3877" i="9" a="1"/>
  <c r="N3877" i="9" s="1"/>
  <c r="N3878" i="9" a="1"/>
  <c r="N3878" i="9" s="1"/>
  <c r="N3879" i="9" a="1"/>
  <c r="N3879" i="9" s="1"/>
  <c r="N3880" i="9" a="1"/>
  <c r="N3880" i="9" s="1"/>
  <c r="N3881" i="9" a="1"/>
  <c r="N3881" i="9" s="1"/>
  <c r="N3882" i="9" a="1"/>
  <c r="N3882" i="9" s="1"/>
  <c r="N3883" i="9" a="1"/>
  <c r="N3883" i="9" s="1"/>
  <c r="N3884" i="9" a="1"/>
  <c r="N3884" i="9" s="1"/>
  <c r="N3885" i="9" a="1"/>
  <c r="N3885" i="9" s="1"/>
  <c r="N3886" i="9" a="1"/>
  <c r="N3886" i="9" s="1"/>
  <c r="N3887" i="9" a="1"/>
  <c r="N3887" i="9" s="1"/>
  <c r="N3888" i="9" a="1"/>
  <c r="N3888" i="9" s="1"/>
  <c r="N3889" i="9" a="1"/>
  <c r="N3889" i="9" s="1"/>
  <c r="N3891" i="9" a="1"/>
  <c r="N3891" i="9" s="1"/>
  <c r="N3892" i="9" a="1"/>
  <c r="N3892" i="9" s="1"/>
  <c r="N3893" i="9" a="1"/>
  <c r="N3893" i="9" s="1"/>
  <c r="N3894" i="9" a="1"/>
  <c r="N3894" i="9" s="1"/>
  <c r="N3895" i="9" a="1"/>
  <c r="N3895" i="9" s="1"/>
  <c r="N3896" i="9" a="1"/>
  <c r="N3896" i="9" s="1"/>
  <c r="N3897" i="9" a="1"/>
  <c r="N3897" i="9" s="1"/>
  <c r="N3898" i="9" a="1"/>
  <c r="N3898" i="9" s="1"/>
  <c r="N3899" i="9" a="1"/>
  <c r="N3899" i="9" s="1"/>
  <c r="N3900" i="9" a="1"/>
  <c r="N3900" i="9" s="1"/>
  <c r="N3901" i="9" a="1"/>
  <c r="N3901" i="9" s="1"/>
  <c r="N3902" i="9" a="1"/>
  <c r="N3902" i="9" s="1"/>
  <c r="N3903" i="9" a="1"/>
  <c r="N3903" i="9" s="1"/>
  <c r="N3904" i="9" a="1"/>
  <c r="N3904" i="9" s="1"/>
  <c r="N3905" i="9" a="1"/>
  <c r="N3905" i="9" s="1"/>
  <c r="N3907" i="9" a="1"/>
  <c r="N3907" i="9" s="1"/>
  <c r="N3908" i="9" a="1"/>
  <c r="N3908" i="9" s="1"/>
  <c r="N3909" i="9" a="1"/>
  <c r="N3909" i="9" s="1"/>
  <c r="N3910" i="9" a="1"/>
  <c r="N3910" i="9" s="1"/>
  <c r="N3911" i="9" a="1"/>
  <c r="N3911" i="9" s="1"/>
  <c r="N3912" i="9" a="1"/>
  <c r="N3912" i="9" s="1"/>
  <c r="N3913" i="9" a="1"/>
  <c r="N3913" i="9" s="1"/>
  <c r="N3914" i="9" a="1"/>
  <c r="N3914" i="9" s="1"/>
  <c r="N3915" i="9" a="1"/>
  <c r="N3915" i="9" s="1"/>
  <c r="N3916" i="9" a="1"/>
  <c r="N3916" i="9" s="1"/>
  <c r="N3917" i="9" a="1"/>
  <c r="N3917" i="9" s="1"/>
  <c r="N3918" i="9" a="1"/>
  <c r="N3918" i="9" s="1"/>
  <c r="N3919" i="9" a="1"/>
  <c r="N3919" i="9" s="1"/>
  <c r="N3920" i="9" a="1"/>
  <c r="N3920" i="9" s="1"/>
  <c r="N3921" i="9" a="1"/>
  <c r="N3921" i="9" s="1"/>
  <c r="N3923" i="9" a="1"/>
  <c r="N3923" i="9" s="1"/>
  <c r="N3924" i="9" a="1"/>
  <c r="N3924" i="9" s="1"/>
  <c r="N3925" i="9" a="1"/>
  <c r="N3925" i="9" s="1"/>
  <c r="N3926" i="9" a="1"/>
  <c r="N3926" i="9" s="1"/>
  <c r="N3927" i="9" a="1"/>
  <c r="N3927" i="9" s="1"/>
  <c r="N3928" i="9" a="1"/>
  <c r="N3928" i="9" s="1"/>
  <c r="N3929" i="9" a="1"/>
  <c r="N3929" i="9" s="1"/>
  <c r="N3930" i="9" a="1"/>
  <c r="N3930" i="9" s="1"/>
  <c r="N3931" i="9" a="1"/>
  <c r="N3931" i="9" s="1"/>
  <c r="N3932" i="9" a="1"/>
  <c r="N3932" i="9" s="1"/>
  <c r="N3933" i="9" a="1"/>
  <c r="N3933" i="9" s="1"/>
  <c r="N3934" i="9" a="1"/>
  <c r="N3934" i="9" s="1"/>
  <c r="N3935" i="9" a="1"/>
  <c r="N3935" i="9" s="1"/>
  <c r="N3936" i="9" a="1"/>
  <c r="N3936" i="9" s="1"/>
  <c r="N3937" i="9" a="1"/>
  <c r="N3937" i="9" s="1"/>
  <c r="N3939" i="9" a="1"/>
  <c r="N3939" i="9" s="1"/>
  <c r="N3940" i="9" a="1"/>
  <c r="N3940" i="9" s="1"/>
  <c r="N3941" i="9" a="1"/>
  <c r="N3941" i="9" s="1"/>
  <c r="N3942" i="9" a="1"/>
  <c r="N3942" i="9" s="1"/>
  <c r="N3943" i="9" a="1"/>
  <c r="N3943" i="9" s="1"/>
  <c r="N3944" i="9" a="1"/>
  <c r="N3944" i="9" s="1"/>
  <c r="N3945" i="9" a="1"/>
  <c r="N3945" i="9" s="1"/>
  <c r="N3946" i="9" a="1"/>
  <c r="N3946" i="9" s="1"/>
  <c r="N3947" i="9" a="1"/>
  <c r="N3947" i="9" s="1"/>
  <c r="N3948" i="9" a="1"/>
  <c r="N3948" i="9" s="1"/>
  <c r="N3949" i="9" a="1"/>
  <c r="N3949" i="9" s="1"/>
  <c r="N3950" i="9" a="1"/>
  <c r="N3950" i="9" s="1"/>
  <c r="N3951" i="9" a="1"/>
  <c r="N3951" i="9" s="1"/>
  <c r="N3952" i="9" a="1"/>
  <c r="N3952" i="9" s="1"/>
  <c r="N3953" i="9" a="1"/>
  <c r="N3953" i="9" s="1"/>
  <c r="N3955" i="9" a="1"/>
  <c r="N3955" i="9" s="1"/>
  <c r="N3956" i="9" a="1"/>
  <c r="N3956" i="9" s="1"/>
  <c r="N3957" i="9" a="1"/>
  <c r="N3957" i="9" s="1"/>
  <c r="N3958" i="9" a="1"/>
  <c r="N3958" i="9" s="1"/>
  <c r="N3959" i="9" a="1"/>
  <c r="N3959" i="9" s="1"/>
  <c r="N3960" i="9" a="1"/>
  <c r="N3960" i="9" s="1"/>
  <c r="N3961" i="9" a="1"/>
  <c r="N3961" i="9" s="1"/>
  <c r="N3962" i="9" a="1"/>
  <c r="N3962" i="9" s="1"/>
  <c r="N3963" i="9" a="1"/>
  <c r="N3963" i="9" s="1"/>
  <c r="N3964" i="9" a="1"/>
  <c r="N3964" i="9" s="1"/>
  <c r="N3965" i="9" a="1"/>
  <c r="N3965" i="9" s="1"/>
  <c r="N3966" i="9" a="1"/>
  <c r="N3966" i="9" s="1"/>
  <c r="N3967" i="9" a="1"/>
  <c r="N3967" i="9" s="1"/>
  <c r="N3968" i="9" a="1"/>
  <c r="N3968" i="9" s="1"/>
  <c r="N3969" i="9" a="1"/>
  <c r="N3969" i="9" s="1"/>
  <c r="N3971" i="9" a="1"/>
  <c r="N3971" i="9" s="1"/>
  <c r="N3972" i="9" a="1"/>
  <c r="N3972" i="9" s="1"/>
  <c r="N3973" i="9" a="1"/>
  <c r="N3973" i="9" s="1"/>
  <c r="N3974" i="9" a="1"/>
  <c r="N3974" i="9" s="1"/>
  <c r="N3975" i="9" a="1"/>
  <c r="N3975" i="9" s="1"/>
  <c r="N3976" i="9" a="1"/>
  <c r="N3976" i="9" s="1"/>
  <c r="N3977" i="9" a="1"/>
  <c r="N3977" i="9" s="1"/>
  <c r="N3978" i="9" a="1"/>
  <c r="N3978" i="9" s="1"/>
  <c r="N3979" i="9" a="1"/>
  <c r="N3979" i="9" s="1"/>
  <c r="N3980" i="9" a="1"/>
  <c r="N3980" i="9" s="1"/>
  <c r="N3981" i="9" a="1"/>
  <c r="N3981" i="9" s="1"/>
  <c r="N3982" i="9" a="1"/>
  <c r="N3982" i="9" s="1"/>
  <c r="N3983" i="9" a="1"/>
  <c r="N3983" i="9" s="1"/>
  <c r="N3984" i="9" a="1"/>
  <c r="N3984" i="9" s="1"/>
  <c r="N3985" i="9" a="1"/>
  <c r="N3985" i="9" s="1"/>
  <c r="N3987" i="9" a="1"/>
  <c r="N3987" i="9" s="1"/>
  <c r="N3988" i="9" a="1"/>
  <c r="N3988" i="9" s="1"/>
  <c r="N3989" i="9" a="1"/>
  <c r="N3989" i="9" s="1"/>
  <c r="N3990" i="9" a="1"/>
  <c r="N3990" i="9" s="1"/>
  <c r="N3991" i="9" a="1"/>
  <c r="N3991" i="9" s="1"/>
  <c r="N3992" i="9" a="1"/>
  <c r="N3992" i="9" s="1"/>
  <c r="N3993" i="9" a="1"/>
  <c r="N3993" i="9" s="1"/>
  <c r="N3994" i="9" a="1"/>
  <c r="N3994" i="9" s="1"/>
  <c r="N3995" i="9" a="1"/>
  <c r="N3995" i="9" s="1"/>
  <c r="N3996" i="9" a="1"/>
  <c r="N3996" i="9" s="1"/>
  <c r="N3997" i="9" a="1"/>
  <c r="N3997" i="9" s="1"/>
  <c r="N3998" i="9" a="1"/>
  <c r="N3998" i="9" s="1"/>
  <c r="N3999" i="9" a="1"/>
  <c r="N3999" i="9" s="1"/>
  <c r="N4000" i="9" a="1"/>
  <c r="N4000" i="9" s="1"/>
  <c r="N4001" i="9" a="1"/>
  <c r="N4001" i="9" s="1"/>
  <c r="N4003" i="9" a="1"/>
  <c r="N4003" i="9" s="1"/>
  <c r="N4004" i="9" a="1"/>
  <c r="N4004" i="9" s="1"/>
  <c r="N4005" i="9" a="1"/>
  <c r="N4005" i="9" s="1"/>
  <c r="N4006" i="9" a="1"/>
  <c r="N4006" i="9" s="1"/>
  <c r="N4007" i="9" a="1"/>
  <c r="N4007" i="9" s="1"/>
  <c r="N4008" i="9" a="1"/>
  <c r="N4008" i="9" s="1"/>
  <c r="N4009" i="9" a="1"/>
  <c r="N4009" i="9" s="1"/>
  <c r="N4010" i="9" a="1"/>
  <c r="N4010" i="9" s="1"/>
  <c r="N4011" i="9" a="1"/>
  <c r="N4011" i="9" s="1"/>
  <c r="N4012" i="9" a="1"/>
  <c r="N4012" i="9" s="1"/>
  <c r="N4013" i="9" a="1"/>
  <c r="N4013" i="9" s="1"/>
  <c r="N4014" i="9" a="1"/>
  <c r="N4014" i="9" s="1"/>
  <c r="N4015" i="9" a="1"/>
  <c r="N4015" i="9" s="1"/>
  <c r="N4016" i="9" a="1"/>
  <c r="N4016" i="9" s="1"/>
  <c r="N4017" i="9" a="1"/>
  <c r="N4017" i="9" s="1"/>
  <c r="N4019" i="9" a="1"/>
  <c r="N4019" i="9" s="1"/>
  <c r="N4020" i="9" a="1"/>
  <c r="N4020" i="9" s="1"/>
  <c r="N4021" i="9" a="1"/>
  <c r="N4021" i="9" s="1"/>
  <c r="N4022" i="9" a="1"/>
  <c r="N4022" i="9" s="1"/>
  <c r="N4023" i="9" a="1"/>
  <c r="N4023" i="9" s="1"/>
  <c r="N4024" i="9" a="1"/>
  <c r="N4024" i="9" s="1"/>
  <c r="N4025" i="9" a="1"/>
  <c r="N4025" i="9" s="1"/>
  <c r="N4026" i="9" a="1"/>
  <c r="N4026" i="9" s="1"/>
  <c r="N4027" i="9" a="1"/>
  <c r="N4027" i="9" s="1"/>
  <c r="N4028" i="9" a="1"/>
  <c r="N4028" i="9" s="1"/>
  <c r="N4029" i="9" a="1"/>
  <c r="N4029" i="9" s="1"/>
  <c r="N4030" i="9" a="1"/>
  <c r="N4030" i="9" s="1"/>
  <c r="N4031" i="9" a="1"/>
  <c r="N4031" i="9" s="1"/>
  <c r="N4032" i="9" a="1"/>
  <c r="N4032" i="9" s="1"/>
  <c r="N4033" i="9" a="1"/>
  <c r="N4033" i="9" s="1"/>
  <c r="N4035" i="9" a="1"/>
  <c r="N4035" i="9" s="1"/>
  <c r="N4036" i="9" a="1"/>
  <c r="N4036" i="9" s="1"/>
  <c r="N4037" i="9" a="1"/>
  <c r="N4037" i="9" s="1"/>
  <c r="N4038" i="9" a="1"/>
  <c r="N4038" i="9" s="1"/>
  <c r="N4039" i="9" a="1"/>
  <c r="N4039" i="9" s="1"/>
  <c r="N4040" i="9" a="1"/>
  <c r="N4040" i="9" s="1"/>
  <c r="N4041" i="9" a="1"/>
  <c r="N4041" i="9" s="1"/>
  <c r="N4042" i="9" a="1"/>
  <c r="N4042" i="9" s="1"/>
  <c r="N4043" i="9" a="1"/>
  <c r="N4043" i="9" s="1"/>
  <c r="N4044" i="9" a="1"/>
  <c r="N4044" i="9" s="1"/>
  <c r="N4045" i="9" a="1"/>
  <c r="N4045" i="9" s="1"/>
  <c r="N4046" i="9" a="1"/>
  <c r="N4046" i="9" s="1"/>
  <c r="N4047" i="9" a="1"/>
  <c r="N4047" i="9" s="1"/>
  <c r="N4048" i="9" a="1"/>
  <c r="N4048" i="9" s="1"/>
  <c r="N4049" i="9" a="1"/>
  <c r="N4049" i="9" s="1"/>
  <c r="N4051" i="9" a="1"/>
  <c r="N4051" i="9" s="1"/>
  <c r="N4052" i="9" a="1"/>
  <c r="N4052" i="9" s="1"/>
  <c r="N4053" i="9" a="1"/>
  <c r="N4053" i="9" s="1"/>
  <c r="N4054" i="9" a="1"/>
  <c r="N4054" i="9" s="1"/>
  <c r="N4055" i="9" a="1"/>
  <c r="N4055" i="9" s="1"/>
  <c r="N4056" i="9" a="1"/>
  <c r="N4056" i="9" s="1"/>
  <c r="N4057" i="9" a="1"/>
  <c r="N4057" i="9" s="1"/>
  <c r="N4058" i="9" a="1"/>
  <c r="N4058" i="9" s="1"/>
  <c r="N4059" i="9" a="1"/>
  <c r="N4059" i="9" s="1"/>
  <c r="N4060" i="9" a="1"/>
  <c r="N4060" i="9" s="1"/>
  <c r="N4061" i="9" a="1"/>
  <c r="N4061" i="9" s="1"/>
  <c r="N4062" i="9" a="1"/>
  <c r="N4062" i="9" s="1"/>
  <c r="N4063" i="9" a="1"/>
  <c r="N4063" i="9" s="1"/>
  <c r="N4064" i="9" a="1"/>
  <c r="N4064" i="9" s="1"/>
  <c r="N4065" i="9" a="1"/>
  <c r="N4065" i="9" s="1"/>
  <c r="N4067" i="9" a="1"/>
  <c r="N4067" i="9" s="1"/>
  <c r="N4068" i="9" a="1"/>
  <c r="N4068" i="9" s="1"/>
  <c r="N4069" i="9" a="1"/>
  <c r="N4069" i="9" s="1"/>
  <c r="N4070" i="9" a="1"/>
  <c r="N4070" i="9" s="1"/>
  <c r="N4071" i="9" a="1"/>
  <c r="N4071" i="9" s="1"/>
  <c r="N4072" i="9" a="1"/>
  <c r="N4072" i="9" s="1"/>
  <c r="N4073" i="9" a="1"/>
  <c r="N4073" i="9" s="1"/>
  <c r="N4074" i="9" a="1"/>
  <c r="N4074" i="9" s="1"/>
  <c r="N4075" i="9" a="1"/>
  <c r="N4075" i="9" s="1"/>
  <c r="N4076" i="9" a="1"/>
  <c r="N4076" i="9" s="1"/>
  <c r="N4077" i="9" a="1"/>
  <c r="N4077" i="9" s="1"/>
  <c r="N4078" i="9" a="1"/>
  <c r="N4078" i="9" s="1"/>
  <c r="N4079" i="9" a="1"/>
  <c r="N4079" i="9" s="1"/>
  <c r="N4080" i="9" a="1"/>
  <c r="N4080" i="9" s="1"/>
  <c r="N4081" i="9" a="1"/>
  <c r="N4081" i="9" s="1"/>
  <c r="N4083" i="9" a="1"/>
  <c r="N4083" i="9" s="1"/>
  <c r="N4084" i="9" a="1"/>
  <c r="N4084" i="9" s="1"/>
  <c r="N4085" i="9" a="1"/>
  <c r="N4085" i="9" s="1"/>
  <c r="N4086" i="9" a="1"/>
  <c r="N4086" i="9" s="1"/>
  <c r="N4087" i="9" a="1"/>
  <c r="N4087" i="9" s="1"/>
  <c r="N4088" i="9" a="1"/>
  <c r="N4088" i="9" s="1"/>
  <c r="N4089" i="9" a="1"/>
  <c r="N4089" i="9" s="1"/>
  <c r="N4090" i="9" a="1"/>
  <c r="N4090" i="9" s="1"/>
  <c r="N4091" i="9" a="1"/>
  <c r="N4091" i="9" s="1"/>
  <c r="N4092" i="9" a="1"/>
  <c r="N4092" i="9" s="1"/>
  <c r="N4093" i="9" a="1"/>
  <c r="N4093" i="9" s="1"/>
  <c r="N4094" i="9" a="1"/>
  <c r="N4094" i="9" s="1"/>
  <c r="N4095" i="9" a="1"/>
  <c r="N4095" i="9" s="1"/>
  <c r="N4096" i="9" a="1"/>
  <c r="N4096" i="9" s="1"/>
  <c r="N4097" i="9" a="1"/>
  <c r="N4097" i="9" s="1"/>
  <c r="N4099" i="9" a="1"/>
  <c r="N4099" i="9" s="1"/>
  <c r="N4100" i="9" a="1"/>
  <c r="N4100" i="9" s="1"/>
  <c r="N4101" i="9" a="1"/>
  <c r="N4101" i="9" s="1"/>
  <c r="N4102" i="9" a="1"/>
  <c r="N4102" i="9" s="1"/>
  <c r="N4103" i="9" a="1"/>
  <c r="N4103" i="9" s="1"/>
  <c r="N4104" i="9" a="1"/>
  <c r="N4104" i="9" s="1"/>
  <c r="N4105" i="9" a="1"/>
  <c r="N4105" i="9" s="1"/>
  <c r="N4106" i="9" a="1"/>
  <c r="N4106" i="9" s="1"/>
  <c r="N4107" i="9" a="1"/>
  <c r="N4107" i="9" s="1"/>
  <c r="N4108" i="9" a="1"/>
  <c r="N4108" i="9" s="1"/>
  <c r="N4109" i="9" a="1"/>
  <c r="N4109" i="9" s="1"/>
  <c r="N4110" i="9" a="1"/>
  <c r="N4110" i="9" s="1"/>
  <c r="N4111" i="9" a="1"/>
  <c r="N4111" i="9" s="1"/>
  <c r="N4112" i="9" a="1"/>
  <c r="N4112" i="9" s="1"/>
  <c r="N4113" i="9" a="1"/>
  <c r="N4113" i="9" s="1"/>
  <c r="N4115" i="9" a="1"/>
  <c r="N4115" i="9" s="1"/>
  <c r="N4116" i="9" a="1"/>
  <c r="N4116" i="9" s="1"/>
  <c r="N4117" i="9" a="1"/>
  <c r="N4117" i="9" s="1"/>
  <c r="N4118" i="9" a="1"/>
  <c r="N4118" i="9" s="1"/>
  <c r="N4119" i="9" a="1"/>
  <c r="N4119" i="9" s="1"/>
  <c r="N4120" i="9" a="1"/>
  <c r="N4120" i="9" s="1"/>
  <c r="N4121" i="9" a="1"/>
  <c r="N4121" i="9" s="1"/>
  <c r="N4122" i="9" a="1"/>
  <c r="N4122" i="9" s="1"/>
  <c r="N4123" i="9" a="1"/>
  <c r="N4123" i="9" s="1"/>
  <c r="N4124" i="9" a="1"/>
  <c r="N4124" i="9" s="1"/>
  <c r="N4125" i="9" a="1"/>
  <c r="N4125" i="9" s="1"/>
  <c r="N4126" i="9" a="1"/>
  <c r="N4126" i="9" s="1"/>
  <c r="N4127" i="9" a="1"/>
  <c r="N4127" i="9" s="1"/>
  <c r="N4128" i="9" a="1"/>
  <c r="N4128" i="9" s="1"/>
  <c r="N4129" i="9" a="1"/>
  <c r="N4129" i="9" s="1"/>
  <c r="N4131" i="9" a="1"/>
  <c r="N4131" i="9" s="1"/>
  <c r="N4132" i="9" a="1"/>
  <c r="N4132" i="9" s="1"/>
  <c r="N4133" i="9" a="1"/>
  <c r="N4133" i="9" s="1"/>
  <c r="N4134" i="9" a="1"/>
  <c r="N4134" i="9" s="1"/>
  <c r="N4135" i="9" a="1"/>
  <c r="N4135" i="9" s="1"/>
  <c r="N4136" i="9" a="1"/>
  <c r="N4136" i="9" s="1"/>
  <c r="N4137" i="9" a="1"/>
  <c r="N4137" i="9" s="1"/>
  <c r="N4138" i="9" a="1"/>
  <c r="N4138" i="9" s="1"/>
  <c r="N4139" i="9" a="1"/>
  <c r="N4139" i="9" s="1"/>
  <c r="N4140" i="9" a="1"/>
  <c r="N4140" i="9" s="1"/>
  <c r="N4141" i="9" a="1"/>
  <c r="N4141" i="9" s="1"/>
  <c r="N4142" i="9" a="1"/>
  <c r="N4142" i="9" s="1"/>
  <c r="N4143" i="9" a="1"/>
  <c r="N4143" i="9" s="1"/>
  <c r="N4144" i="9" a="1"/>
  <c r="N4144" i="9" s="1"/>
  <c r="N4145" i="9" a="1"/>
  <c r="N4145" i="9" s="1"/>
  <c r="N4147" i="9" a="1"/>
  <c r="N4147" i="9" s="1"/>
  <c r="N4148" i="9" a="1"/>
  <c r="N4148" i="9" s="1"/>
  <c r="N4149" i="9" a="1"/>
  <c r="N4149" i="9" s="1"/>
  <c r="N4150" i="9" a="1"/>
  <c r="N4150" i="9" s="1"/>
  <c r="N4151" i="9" a="1"/>
  <c r="N4151" i="9" s="1"/>
  <c r="N4152" i="9" a="1"/>
  <c r="N4152" i="9" s="1"/>
  <c r="N4153" i="9" a="1"/>
  <c r="N4153" i="9" s="1"/>
  <c r="N4154" i="9" a="1"/>
  <c r="N4154" i="9"/>
  <c r="N4155" i="9" a="1"/>
  <c r="N4155" i="9" s="1"/>
  <c r="N4156" i="9" a="1"/>
  <c r="N4156" i="9" s="1"/>
  <c r="N4157" i="9" a="1"/>
  <c r="N4157" i="9" s="1"/>
  <c r="N4158" i="9" a="1"/>
  <c r="N4158" i="9"/>
  <c r="N4159" i="9" a="1"/>
  <c r="N4159" i="9" s="1"/>
  <c r="N4160" i="9" a="1"/>
  <c r="N4160" i="9" s="1"/>
  <c r="N4161" i="9" a="1"/>
  <c r="N4161" i="9" s="1"/>
  <c r="N4163" i="9" a="1"/>
  <c r="N4163" i="9" s="1"/>
  <c r="N4164" i="9" a="1"/>
  <c r="N4164" i="9" s="1"/>
  <c r="N4165" i="9" a="1"/>
  <c r="N4165" i="9" s="1"/>
  <c r="N4166" i="9" a="1"/>
  <c r="N4166" i="9"/>
  <c r="N4167" i="9" a="1"/>
  <c r="N4167" i="9" s="1"/>
  <c r="N4168" i="9" a="1"/>
  <c r="N4168" i="9"/>
  <c r="N4169" i="9" a="1"/>
  <c r="N4169" i="9" s="1"/>
  <c r="N4170" i="9" a="1"/>
  <c r="N4170" i="9"/>
  <c r="N4171" i="9" a="1"/>
  <c r="N4171" i="9" s="1"/>
  <c r="N4172" i="9" a="1"/>
  <c r="N4172" i="9" s="1"/>
  <c r="N4173" i="9" a="1"/>
  <c r="N4173" i="9" s="1"/>
  <c r="N4174" i="9" a="1"/>
  <c r="N4174" i="9"/>
  <c r="N4175" i="9" a="1"/>
  <c r="N4175" i="9" s="1"/>
  <c r="N4176" i="9" a="1"/>
  <c r="N4176" i="9" s="1"/>
  <c r="N4177" i="9" a="1"/>
  <c r="N4177" i="9" s="1"/>
  <c r="N4179" i="9" a="1"/>
  <c r="N4179" i="9" s="1"/>
  <c r="N4180" i="9" a="1"/>
  <c r="N4180" i="9" s="1"/>
  <c r="N4181" i="9" a="1"/>
  <c r="N4181" i="9" s="1"/>
  <c r="N4182" i="9" a="1"/>
  <c r="N4182" i="9"/>
  <c r="N4183" i="9" a="1"/>
  <c r="N4183" i="9" s="1"/>
  <c r="N4184" i="9" a="1"/>
  <c r="N4184" i="9" s="1"/>
  <c r="N4185" i="9" a="1"/>
  <c r="N4185" i="9" s="1"/>
  <c r="N4186" i="9" a="1"/>
  <c r="N4186" i="9"/>
  <c r="N4187" i="9" a="1"/>
  <c r="N4187" i="9" s="1"/>
  <c r="N4188" i="9" a="1"/>
  <c r="N4188" i="9" s="1"/>
  <c r="N4189" i="9" a="1"/>
  <c r="N4189" i="9" s="1"/>
  <c r="N4190" i="9" a="1"/>
  <c r="N4190" i="9"/>
  <c r="N4191" i="9" a="1"/>
  <c r="N4191" i="9" s="1"/>
  <c r="N4192" i="9" a="1"/>
  <c r="N4192" i="9"/>
  <c r="N4193" i="9" a="1"/>
  <c r="N4193" i="9" s="1"/>
  <c r="N4195" i="9" a="1"/>
  <c r="N4195" i="9" s="1"/>
  <c r="N4196" i="9" a="1"/>
  <c r="N4196" i="9" s="1"/>
  <c r="N4197" i="9" a="1"/>
  <c r="N4197" i="9" s="1"/>
  <c r="N4198" i="9" a="1"/>
  <c r="N4198" i="9"/>
  <c r="N4199" i="9" a="1"/>
  <c r="N4199" i="9" s="1"/>
  <c r="N4200" i="9" a="1"/>
  <c r="N4200" i="9" s="1"/>
  <c r="N4201" i="9" a="1"/>
  <c r="N4201" i="9" s="1"/>
  <c r="N4202" i="9" a="1"/>
  <c r="N4202" i="9"/>
  <c r="N4203" i="9" a="1"/>
  <c r="N4203" i="9" s="1"/>
  <c r="N4204" i="9" a="1"/>
  <c r="N4204" i="9" s="1"/>
  <c r="N4205" i="9" a="1"/>
  <c r="N4205" i="9" s="1"/>
  <c r="N4206" i="9" a="1"/>
  <c r="N4206" i="9"/>
  <c r="N4207" i="9" a="1"/>
  <c r="N4207" i="9" s="1"/>
  <c r="N4208" i="9" a="1"/>
  <c r="N4208" i="9" s="1"/>
  <c r="N4209" i="9" a="1"/>
  <c r="N4209" i="9" s="1"/>
  <c r="N4211" i="9" a="1"/>
  <c r="N4211" i="9" s="1"/>
  <c r="N4212" i="9" a="1"/>
  <c r="N4212" i="9" s="1"/>
  <c r="N4213" i="9" a="1"/>
  <c r="N4213" i="9" s="1"/>
  <c r="N4214" i="9" a="1"/>
  <c r="N4214" i="9" s="1"/>
  <c r="N4215" i="9" a="1"/>
  <c r="N4215" i="9" s="1"/>
  <c r="N4216" i="9" a="1"/>
  <c r="N4216" i="9" s="1"/>
  <c r="N4217" i="9" a="1"/>
  <c r="N4217" i="9" s="1"/>
  <c r="N4218" i="9" a="1"/>
  <c r="N4218" i="9" s="1"/>
  <c r="N4219" i="9" a="1"/>
  <c r="N4219" i="9" s="1"/>
  <c r="N4220" i="9" a="1"/>
  <c r="N4220" i="9" s="1"/>
  <c r="N4221" i="9" a="1"/>
  <c r="N4221" i="9" s="1"/>
  <c r="N4222" i="9" a="1"/>
  <c r="N4222" i="9" s="1"/>
  <c r="N4223" i="9" a="1"/>
  <c r="N4223" i="9" s="1"/>
  <c r="N4224" i="9" a="1"/>
  <c r="N4224" i="9" s="1"/>
  <c r="N4225" i="9" a="1"/>
  <c r="N4225" i="9" s="1"/>
  <c r="N4227" i="9" a="1"/>
  <c r="N4227" i="9" s="1"/>
  <c r="N4228" i="9" a="1"/>
  <c r="N4228" i="9" s="1"/>
  <c r="N4229" i="9" a="1"/>
  <c r="N4229" i="9" s="1"/>
  <c r="N4230" i="9" a="1"/>
  <c r="N4230" i="9" s="1"/>
  <c r="N4231" i="9" a="1"/>
  <c r="N4231" i="9" s="1"/>
  <c r="N4232" i="9" a="1"/>
  <c r="N4232" i="9" s="1"/>
  <c r="N4233" i="9" a="1"/>
  <c r="N4233" i="9" s="1"/>
  <c r="N4234" i="9" a="1"/>
  <c r="N4234" i="9" s="1"/>
  <c r="N4235" i="9" a="1"/>
  <c r="N4235" i="9" s="1"/>
  <c r="N4236" i="9" a="1"/>
  <c r="N4236" i="9" s="1"/>
  <c r="N4237" i="9" a="1"/>
  <c r="N4237" i="9" s="1"/>
  <c r="N4238" i="9" a="1"/>
  <c r="N4238" i="9" s="1"/>
  <c r="N4239" i="9" a="1"/>
  <c r="N4239" i="9" s="1"/>
  <c r="N4240" i="9" a="1"/>
  <c r="N4240" i="9" s="1"/>
  <c r="N4241" i="9" a="1"/>
  <c r="N4241" i="9" s="1"/>
  <c r="N4243" i="9" a="1"/>
  <c r="N4243" i="9" s="1"/>
  <c r="N4244" i="9" a="1"/>
  <c r="N4244" i="9" s="1"/>
  <c r="N4245" i="9" a="1"/>
  <c r="N4245" i="9" s="1"/>
  <c r="N4246" i="9" a="1"/>
  <c r="N4246" i="9" s="1"/>
  <c r="N4247" i="9" a="1"/>
  <c r="N4247" i="9" s="1"/>
  <c r="N4248" i="9" a="1"/>
  <c r="N4248" i="9" s="1"/>
  <c r="N4249" i="9" a="1"/>
  <c r="N4249" i="9" s="1"/>
  <c r="N4250" i="9" a="1"/>
  <c r="N4250" i="9" s="1"/>
  <c r="N4251" i="9" a="1"/>
  <c r="N4251" i="9" s="1"/>
  <c r="N4252" i="9" a="1"/>
  <c r="N4252" i="9" s="1"/>
  <c r="N4253" i="9" a="1"/>
  <c r="N4253" i="9" s="1"/>
  <c r="N4254" i="9" a="1"/>
  <c r="N4254" i="9" s="1"/>
  <c r="N4255" i="9" a="1"/>
  <c r="N4255" i="9" s="1"/>
  <c r="N4256" i="9" a="1"/>
  <c r="N4256" i="9" s="1"/>
  <c r="N4257" i="9" a="1"/>
  <c r="N4257" i="9" s="1"/>
  <c r="N4259" i="9" a="1"/>
  <c r="N4259" i="9" s="1"/>
  <c r="N4260" i="9" a="1"/>
  <c r="N4260" i="9" s="1"/>
  <c r="N4261" i="9" a="1"/>
  <c r="N4261" i="9" s="1"/>
  <c r="N4262" i="9" a="1"/>
  <c r="N4262" i="9" s="1"/>
  <c r="N4263" i="9" a="1"/>
  <c r="N4263" i="9" s="1"/>
  <c r="N4264" i="9" a="1"/>
  <c r="N4264" i="9" s="1"/>
  <c r="N4265" i="9" a="1"/>
  <c r="N4265" i="9" s="1"/>
  <c r="N4266" i="9" a="1"/>
  <c r="N4266" i="9" s="1"/>
  <c r="N4267" i="9" a="1"/>
  <c r="N4267" i="9" s="1"/>
  <c r="N4268" i="9" a="1"/>
  <c r="N4268" i="9" s="1"/>
  <c r="N4269" i="9" a="1"/>
  <c r="N4269" i="9" s="1"/>
  <c r="N4270" i="9" a="1"/>
  <c r="N4270" i="9" s="1"/>
  <c r="N4271" i="9" a="1"/>
  <c r="N4271" i="9" s="1"/>
  <c r="N4272" i="9" a="1"/>
  <c r="N4272" i="9" s="1"/>
  <c r="N4273" i="9" a="1"/>
  <c r="N4273" i="9" s="1"/>
  <c r="N4275" i="9" a="1"/>
  <c r="N4275" i="9" s="1"/>
  <c r="N4276" i="9" a="1"/>
  <c r="N4276" i="9" s="1"/>
  <c r="N4277" i="9" a="1"/>
  <c r="N4277" i="9" s="1"/>
  <c r="N4278" i="9" a="1"/>
  <c r="N4278" i="9" s="1"/>
  <c r="N4279" i="9" a="1"/>
  <c r="N4279" i="9" s="1"/>
  <c r="N4280" i="9" a="1"/>
  <c r="N4280" i="9" s="1"/>
  <c r="N4281" i="9" a="1"/>
  <c r="N4281" i="9" s="1"/>
  <c r="N4282" i="9" a="1"/>
  <c r="N4282" i="9" s="1"/>
  <c r="N4283" i="9" a="1"/>
  <c r="N4283" i="9" s="1"/>
  <c r="N4284" i="9" a="1"/>
  <c r="N4284" i="9" s="1"/>
  <c r="N4285" i="9" a="1"/>
  <c r="N4285" i="9" s="1"/>
  <c r="N4286" i="9" a="1"/>
  <c r="N4286" i="9" s="1"/>
  <c r="N4287" i="9" a="1"/>
  <c r="N4287" i="9" s="1"/>
  <c r="N4288" i="9" a="1"/>
  <c r="N4288" i="9" s="1"/>
  <c r="N4289" i="9" a="1"/>
  <c r="N4289" i="9" s="1"/>
  <c r="N4291" i="9" a="1"/>
  <c r="N4291" i="9" s="1"/>
  <c r="N4292" i="9" a="1"/>
  <c r="N4292" i="9" s="1"/>
  <c r="N4293" i="9" a="1"/>
  <c r="N4293" i="9" s="1"/>
  <c r="N4294" i="9" a="1"/>
  <c r="N4294" i="9" s="1"/>
  <c r="N4295" i="9" a="1"/>
  <c r="N4295" i="9" s="1"/>
  <c r="N4296" i="9" a="1"/>
  <c r="N4296" i="9" s="1"/>
  <c r="N4297" i="9" a="1"/>
  <c r="N4297" i="9" s="1"/>
  <c r="N4298" i="9" a="1"/>
  <c r="N4298" i="9" s="1"/>
  <c r="N4299" i="9" a="1"/>
  <c r="N4299" i="9" s="1"/>
  <c r="N4300" i="9" a="1"/>
  <c r="N4300" i="9" s="1"/>
  <c r="N4301" i="9" a="1"/>
  <c r="N4301" i="9" s="1"/>
  <c r="N4302" i="9" a="1"/>
  <c r="N4302" i="9" s="1"/>
  <c r="N4303" i="9" a="1"/>
  <c r="N4303" i="9" s="1"/>
  <c r="N4304" i="9" a="1"/>
  <c r="N4304" i="9" s="1"/>
  <c r="N4305" i="9" a="1"/>
  <c r="N4305" i="9" s="1"/>
  <c r="N4307" i="9" a="1"/>
  <c r="N4307" i="9" s="1"/>
  <c r="N4308" i="9" a="1"/>
  <c r="N4308" i="9" s="1"/>
  <c r="N4309" i="9" a="1"/>
  <c r="N4309" i="9" s="1"/>
  <c r="N4310" i="9" a="1"/>
  <c r="N4310" i="9" s="1"/>
  <c r="N4311" i="9" a="1"/>
  <c r="N4311" i="9" s="1"/>
  <c r="N4312" i="9" a="1"/>
  <c r="N4312" i="9" s="1"/>
  <c r="N4313" i="9" a="1"/>
  <c r="N4313" i="9" s="1"/>
  <c r="N4314" i="9" a="1"/>
  <c r="N4314" i="9" s="1"/>
  <c r="N4315" i="9" a="1"/>
  <c r="N4315" i="9" s="1"/>
  <c r="N4316" i="9" a="1"/>
  <c r="N4316" i="9" s="1"/>
  <c r="N4317" i="9" a="1"/>
  <c r="N4317" i="9" s="1"/>
  <c r="N4318" i="9" a="1"/>
  <c r="N4318" i="9" s="1"/>
  <c r="N4319" i="9" a="1"/>
  <c r="N4319" i="9" s="1"/>
  <c r="N4320" i="9" a="1"/>
  <c r="N4320" i="9" s="1"/>
  <c r="N4321" i="9" a="1"/>
  <c r="N4321" i="9" s="1"/>
  <c r="N4323" i="9" a="1"/>
  <c r="N4323" i="9" s="1"/>
  <c r="N4324" i="9" a="1"/>
  <c r="N4324" i="9" s="1"/>
  <c r="N4325" i="9" a="1"/>
  <c r="N4325" i="9" s="1"/>
  <c r="N4326" i="9" a="1"/>
  <c r="N4326" i="9" s="1"/>
  <c r="N4327" i="9" a="1"/>
  <c r="N4327" i="9" s="1"/>
  <c r="N4328" i="9" a="1"/>
  <c r="N4328" i="9" s="1"/>
  <c r="N4329" i="9" a="1"/>
  <c r="N4329" i="9" s="1"/>
  <c r="N4330" i="9" a="1"/>
  <c r="N4330" i="9" s="1"/>
  <c r="N4331" i="9" a="1"/>
  <c r="N4331" i="9" s="1"/>
  <c r="N4332" i="9" a="1"/>
  <c r="N4332" i="9" s="1"/>
  <c r="N4333" i="9" a="1"/>
  <c r="N4333" i="9" s="1"/>
  <c r="N4334" i="9" a="1"/>
  <c r="N4334" i="9" s="1"/>
  <c r="N4335" i="9" a="1"/>
  <c r="N4335" i="9" s="1"/>
  <c r="N4336" i="9" a="1"/>
  <c r="N4336" i="9" s="1"/>
  <c r="N4337" i="9" a="1"/>
  <c r="N4337" i="9" s="1"/>
  <c r="N4339" i="9" a="1"/>
  <c r="N4339" i="9" s="1"/>
  <c r="N4340" i="9" a="1"/>
  <c r="N4340" i="9" s="1"/>
  <c r="N4341" i="9" a="1"/>
  <c r="N4341" i="9" s="1"/>
  <c r="N4342" i="9" a="1"/>
  <c r="N4342" i="9" s="1"/>
  <c r="N4343" i="9" a="1"/>
  <c r="N4343" i="9" s="1"/>
  <c r="N4344" i="9" a="1"/>
  <c r="N4344" i="9" s="1"/>
  <c r="N4345" i="9" a="1"/>
  <c r="N4345" i="9" s="1"/>
  <c r="N4346" i="9" a="1"/>
  <c r="N4346" i="9" s="1"/>
  <c r="N4347" i="9" a="1"/>
  <c r="N4347" i="9" s="1"/>
  <c r="N4348" i="9" a="1"/>
  <c r="N4348" i="9" s="1"/>
  <c r="N4349" i="9" a="1"/>
  <c r="N4349" i="9" s="1"/>
  <c r="N4350" i="9" a="1"/>
  <c r="N4350" i="9" s="1"/>
  <c r="N4351" i="9" a="1"/>
  <c r="N4351" i="9" s="1"/>
  <c r="N4352" i="9" a="1"/>
  <c r="N4352" i="9" s="1"/>
  <c r="N4353" i="9" a="1"/>
  <c r="N4353" i="9" s="1"/>
  <c r="N4355" i="9" a="1"/>
  <c r="N4355" i="9" s="1"/>
  <c r="N4356" i="9" a="1"/>
  <c r="N4356" i="9" s="1"/>
  <c r="N4357" i="9" a="1"/>
  <c r="N4357" i="9" s="1"/>
  <c r="N4358" i="9" a="1"/>
  <c r="N4358" i="9" s="1"/>
  <c r="N4359" i="9" a="1"/>
  <c r="N4359" i="9" s="1"/>
  <c r="N4360" i="9" a="1"/>
  <c r="N4360" i="9" s="1"/>
  <c r="N4361" i="9" a="1"/>
  <c r="N4361" i="9" s="1"/>
  <c r="N4362" i="9" a="1"/>
  <c r="N4362" i="9" s="1"/>
  <c r="N4363" i="9" a="1"/>
  <c r="N4363" i="9" s="1"/>
  <c r="N4364" i="9" a="1"/>
  <c r="N4364" i="9" s="1"/>
  <c r="N4365" i="9" a="1"/>
  <c r="N4365" i="9" s="1"/>
  <c r="N4366" i="9" a="1"/>
  <c r="N4366" i="9" s="1"/>
  <c r="N4367" i="9" a="1"/>
  <c r="N4367" i="9" s="1"/>
  <c r="N4368" i="9" a="1"/>
  <c r="N4368" i="9" s="1"/>
  <c r="N4369" i="9" a="1"/>
  <c r="N4369" i="9" s="1"/>
  <c r="N4371" i="9" a="1"/>
  <c r="N4371" i="9" s="1"/>
  <c r="N4372" i="9" a="1"/>
  <c r="N4372" i="9" s="1"/>
  <c r="N4373" i="9" a="1"/>
  <c r="N4373" i="9" s="1"/>
  <c r="N4374" i="9" a="1"/>
  <c r="N4374" i="9" s="1"/>
  <c r="N4375" i="9" a="1"/>
  <c r="N4375" i="9" s="1"/>
  <c r="N4376" i="9" a="1"/>
  <c r="N4376" i="9" s="1"/>
  <c r="N4377" i="9" a="1"/>
  <c r="N4377" i="9" s="1"/>
  <c r="N4378" i="9" a="1"/>
  <c r="N4378" i="9" s="1"/>
  <c r="N4379" i="9" a="1"/>
  <c r="N4379" i="9" s="1"/>
  <c r="N4380" i="9" a="1"/>
  <c r="N4380" i="9" s="1"/>
  <c r="N4381" i="9" a="1"/>
  <c r="N4381" i="9" s="1"/>
  <c r="N4382" i="9" a="1"/>
  <c r="N4382" i="9" s="1"/>
  <c r="N4383" i="9" a="1"/>
  <c r="N4383" i="9" s="1"/>
  <c r="N4384" i="9" a="1"/>
  <c r="N4384" i="9" s="1"/>
  <c r="N4385" i="9" a="1"/>
  <c r="N4385" i="9" s="1"/>
  <c r="N4387" i="9" a="1"/>
  <c r="N4387" i="9" s="1"/>
  <c r="N4388" i="9" a="1"/>
  <c r="N4388" i="9" s="1"/>
  <c r="N4389" i="9" a="1"/>
  <c r="N4389" i="9" s="1"/>
  <c r="N4390" i="9" a="1"/>
  <c r="N4390" i="9" s="1"/>
  <c r="N4391" i="9" a="1"/>
  <c r="N4391" i="9" s="1"/>
  <c r="N4392" i="9" a="1"/>
  <c r="N4392" i="9" s="1"/>
  <c r="N4393" i="9" a="1"/>
  <c r="N4393" i="9" s="1"/>
  <c r="N4394" i="9" a="1"/>
  <c r="N4394" i="9" s="1"/>
  <c r="N4395" i="9" a="1"/>
  <c r="N4395" i="9" s="1"/>
  <c r="N4396" i="9" a="1"/>
  <c r="N4396" i="9" s="1"/>
  <c r="N4397" i="9" a="1"/>
  <c r="N4397" i="9" s="1"/>
  <c r="N4398" i="9" a="1"/>
  <c r="N4398" i="9" s="1"/>
  <c r="N4399" i="9" a="1"/>
  <c r="N4399" i="9" s="1"/>
  <c r="N4400" i="9" a="1"/>
  <c r="N4400" i="9" s="1"/>
  <c r="N4401" i="9" a="1"/>
  <c r="N4401" i="9" s="1"/>
  <c r="N4403" i="9" a="1"/>
  <c r="N4403" i="9" s="1"/>
  <c r="N4404" i="9" a="1"/>
  <c r="N4404" i="9" s="1"/>
  <c r="N4405" i="9" a="1"/>
  <c r="N4405" i="9" s="1"/>
  <c r="N4406" i="9" a="1"/>
  <c r="N4406" i="9" s="1"/>
  <c r="N4407" i="9" a="1"/>
  <c r="N4407" i="9" s="1"/>
  <c r="N4408" i="9" a="1"/>
  <c r="N4408" i="9" s="1"/>
  <c r="N4409" i="9" a="1"/>
  <c r="N4409" i="9" s="1"/>
  <c r="N4410" i="9" a="1"/>
  <c r="N4410" i="9" s="1"/>
  <c r="N4411" i="9" a="1"/>
  <c r="N4411" i="9" s="1"/>
  <c r="N4412" i="9" a="1"/>
  <c r="N4412" i="9" s="1"/>
  <c r="N4413" i="9" a="1"/>
  <c r="N4413" i="9" s="1"/>
  <c r="N4414" i="9" a="1"/>
  <c r="N4414" i="9" s="1"/>
  <c r="N4415" i="9" a="1"/>
  <c r="N4415" i="9" s="1"/>
  <c r="N4416" i="9" a="1"/>
  <c r="N4416" i="9" s="1"/>
  <c r="N4417" i="9" a="1"/>
  <c r="N4417" i="9" s="1"/>
  <c r="N4419" i="9" a="1"/>
  <c r="N4419" i="9" s="1"/>
  <c r="N4420" i="9" a="1"/>
  <c r="N4420" i="9" s="1"/>
  <c r="N4421" i="9" a="1"/>
  <c r="N4421" i="9" s="1"/>
  <c r="N4422" i="9" a="1"/>
  <c r="N4422" i="9" s="1"/>
  <c r="N4423" i="9" a="1"/>
  <c r="N4423" i="9" s="1"/>
  <c r="N4424" i="9" a="1"/>
  <c r="N4424" i="9" s="1"/>
  <c r="N4425" i="9" a="1"/>
  <c r="N4425" i="9" s="1"/>
  <c r="N4426" i="9" a="1"/>
  <c r="N4426" i="9" s="1"/>
  <c r="N4427" i="9" a="1"/>
  <c r="N4427" i="9" s="1"/>
  <c r="N4428" i="9" a="1"/>
  <c r="N4428" i="9" s="1"/>
  <c r="N4429" i="9" a="1"/>
  <c r="N4429" i="9" s="1"/>
  <c r="N4430" i="9" a="1"/>
  <c r="N4430" i="9" s="1"/>
  <c r="N4431" i="9" a="1"/>
  <c r="N4431" i="9" s="1"/>
  <c r="N4432" i="9" a="1"/>
  <c r="N4432" i="9" s="1"/>
  <c r="N4433" i="9" a="1"/>
  <c r="N4433" i="9" s="1"/>
  <c r="N4435" i="9" a="1"/>
  <c r="N4435" i="9" s="1"/>
  <c r="N4436" i="9" a="1"/>
  <c r="N4436" i="9" s="1"/>
  <c r="N4437" i="9" a="1"/>
  <c r="N4437" i="9" s="1"/>
  <c r="N4438" i="9" a="1"/>
  <c r="N4438" i="9" s="1"/>
  <c r="N4439" i="9" a="1"/>
  <c r="N4439" i="9" s="1"/>
  <c r="N4440" i="9" a="1"/>
  <c r="N4440" i="9" s="1"/>
  <c r="N4441" i="9" a="1"/>
  <c r="N4441" i="9" s="1"/>
  <c r="N4442" i="9" a="1"/>
  <c r="N4442" i="9" s="1"/>
  <c r="N4443" i="9" a="1"/>
  <c r="N4443" i="9" s="1"/>
  <c r="N4444" i="9" a="1"/>
  <c r="N4444" i="9" s="1"/>
  <c r="N4445" i="9" a="1"/>
  <c r="N4445" i="9" s="1"/>
  <c r="N4446" i="9" a="1"/>
  <c r="N4446" i="9" s="1"/>
  <c r="N4447" i="9" a="1"/>
  <c r="N4447" i="9" s="1"/>
  <c r="N4448" i="9" a="1"/>
  <c r="N4448" i="9" s="1"/>
  <c r="N4449" i="9" a="1"/>
  <c r="N4449" i="9" s="1"/>
  <c r="N4451" i="9" a="1"/>
  <c r="N4451" i="9" s="1"/>
  <c r="N4452" i="9" a="1"/>
  <c r="N4452" i="9" s="1"/>
  <c r="N4453" i="9" a="1"/>
  <c r="N4453" i="9" s="1"/>
  <c r="N4454" i="9" a="1"/>
  <c r="N4454" i="9" s="1"/>
  <c r="N4455" i="9" a="1"/>
  <c r="N4455" i="9" s="1"/>
  <c r="N4456" i="9" a="1"/>
  <c r="N4456" i="9" s="1"/>
  <c r="N4457" i="9" a="1"/>
  <c r="N4457" i="9" s="1"/>
  <c r="N4458" i="9" a="1"/>
  <c r="N4458" i="9" s="1"/>
  <c r="N4459" i="9" a="1"/>
  <c r="N4459" i="9" s="1"/>
  <c r="N4460" i="9" a="1"/>
  <c r="N4460" i="9" s="1"/>
  <c r="N4461" i="9" a="1"/>
  <c r="N4461" i="9" s="1"/>
  <c r="N4462" i="9" a="1"/>
  <c r="N4462" i="9" s="1"/>
  <c r="N4463" i="9" a="1"/>
  <c r="N4463" i="9" s="1"/>
  <c r="N4464" i="9" a="1"/>
  <c r="N4464" i="9" s="1"/>
  <c r="N4465" i="9" a="1"/>
  <c r="N4465" i="9" s="1"/>
  <c r="N4467" i="9" a="1"/>
  <c r="N4467" i="9" s="1"/>
  <c r="N4468" i="9" a="1"/>
  <c r="N4468" i="9" s="1"/>
  <c r="N4469" i="9" a="1"/>
  <c r="N4469" i="9" s="1"/>
  <c r="N4470" i="9" a="1"/>
  <c r="N4470" i="9" s="1"/>
  <c r="N4471" i="9" a="1"/>
  <c r="N4471" i="9" s="1"/>
  <c r="N4472" i="9" a="1"/>
  <c r="N4472" i="9" s="1"/>
  <c r="N4473" i="9" a="1"/>
  <c r="N4473" i="9" s="1"/>
  <c r="N4474" i="9" a="1"/>
  <c r="N4474" i="9" s="1"/>
  <c r="N4475" i="9" a="1"/>
  <c r="N4475" i="9" s="1"/>
  <c r="N4476" i="9" a="1"/>
  <c r="N4476" i="9" s="1"/>
  <c r="N4477" i="9" a="1"/>
  <c r="N4477" i="9" s="1"/>
  <c r="N4478" i="9" a="1"/>
  <c r="N4478" i="9" s="1"/>
  <c r="N4479" i="9" a="1"/>
  <c r="N4479" i="9" s="1"/>
  <c r="N4480" i="9" a="1"/>
  <c r="N4480" i="9" s="1"/>
  <c r="N4481" i="9" a="1"/>
  <c r="N4481" i="9" s="1"/>
  <c r="N4483" i="9" a="1"/>
  <c r="N4483" i="9" s="1"/>
  <c r="N4484" i="9" a="1"/>
  <c r="N4484" i="9" s="1"/>
  <c r="N4485" i="9" a="1"/>
  <c r="N4485" i="9" s="1"/>
  <c r="N4486" i="9" a="1"/>
  <c r="N4486" i="9" s="1"/>
  <c r="N4487" i="9" a="1"/>
  <c r="N4487" i="9" s="1"/>
  <c r="N4488" i="9" a="1"/>
  <c r="N4488" i="9" s="1"/>
  <c r="N4489" i="9" a="1"/>
  <c r="N4489" i="9" s="1"/>
  <c r="N4490" i="9" a="1"/>
  <c r="N4490" i="9" s="1"/>
  <c r="N4491" i="9" a="1"/>
  <c r="N4491" i="9" s="1"/>
  <c r="N4492" i="9" a="1"/>
  <c r="N4492" i="9" s="1"/>
  <c r="N4493" i="9" a="1"/>
  <c r="N4493" i="9" s="1"/>
  <c r="N4494" i="9" a="1"/>
  <c r="N4494" i="9" s="1"/>
  <c r="N4495" i="9" a="1"/>
  <c r="N4495" i="9" s="1"/>
  <c r="N4496" i="9" a="1"/>
  <c r="N4496" i="9" s="1"/>
  <c r="N4497" i="9" a="1"/>
  <c r="N4497" i="9" s="1"/>
  <c r="N4499" i="9" a="1"/>
  <c r="N4499" i="9" s="1"/>
  <c r="N4500" i="9" a="1"/>
  <c r="N4500" i="9" s="1"/>
  <c r="N4501" i="9" a="1"/>
  <c r="N4501" i="9" s="1"/>
  <c r="N4502" i="9" a="1"/>
  <c r="N4502" i="9" s="1"/>
  <c r="N4503" i="9" a="1"/>
  <c r="N4503" i="9" s="1"/>
  <c r="N4504" i="9" a="1"/>
  <c r="N4504" i="9" s="1"/>
  <c r="N4505" i="9" a="1"/>
  <c r="N4505" i="9" s="1"/>
  <c r="N4506" i="9" a="1"/>
  <c r="N4506" i="9" s="1"/>
  <c r="N4507" i="9" a="1"/>
  <c r="N4507" i="9" s="1"/>
  <c r="N4508" i="9" a="1"/>
  <c r="N4508" i="9" s="1"/>
  <c r="N4509" i="9" a="1"/>
  <c r="N4509" i="9" s="1"/>
  <c r="N4510" i="9" a="1"/>
  <c r="N4510" i="9" s="1"/>
  <c r="N4511" i="9" a="1"/>
  <c r="N4511" i="9" s="1"/>
  <c r="N4512" i="9" a="1"/>
  <c r="N4512" i="9" s="1"/>
  <c r="N4513" i="9" a="1"/>
  <c r="N4513" i="9" s="1"/>
  <c r="N4515" i="9" a="1"/>
  <c r="N4515" i="9" s="1"/>
  <c r="N4516" i="9" a="1"/>
  <c r="N4516" i="9" s="1"/>
  <c r="N4517" i="9" a="1"/>
  <c r="N4517" i="9" s="1"/>
  <c r="N4518" i="9" a="1"/>
  <c r="N4518" i="9" s="1"/>
  <c r="N4519" i="9" a="1"/>
  <c r="N4519" i="9" s="1"/>
  <c r="N4520" i="9" a="1"/>
  <c r="N4520" i="9" s="1"/>
  <c r="N4521" i="9" a="1"/>
  <c r="N4521" i="9" s="1"/>
  <c r="N4522" i="9" a="1"/>
  <c r="N4522" i="9" s="1"/>
  <c r="N4523" i="9" a="1"/>
  <c r="N4523" i="9" s="1"/>
  <c r="N4524" i="9" a="1"/>
  <c r="N4524" i="9" s="1"/>
  <c r="N4525" i="9" a="1"/>
  <c r="N4525" i="9" s="1"/>
  <c r="N4526" i="9" a="1"/>
  <c r="N4526" i="9" s="1"/>
  <c r="N4527" i="9" a="1"/>
  <c r="N4527" i="9" s="1"/>
  <c r="N4528" i="9" a="1"/>
  <c r="N4528" i="9" s="1"/>
  <c r="N4529" i="9" a="1"/>
  <c r="N4529" i="9" s="1"/>
  <c r="N4531" i="9" a="1"/>
  <c r="N4531" i="9" s="1"/>
  <c r="N4532" i="9" a="1"/>
  <c r="N4532" i="9" s="1"/>
  <c r="N4533" i="9" a="1"/>
  <c r="N4533" i="9" s="1"/>
  <c r="N4534" i="9" a="1"/>
  <c r="N4534" i="9" s="1"/>
  <c r="N4535" i="9" a="1"/>
  <c r="N4535" i="9" s="1"/>
  <c r="N4536" i="9" a="1"/>
  <c r="N4536" i="9" s="1"/>
  <c r="N4537" i="9" a="1"/>
  <c r="N4537" i="9" s="1"/>
  <c r="N4538" i="9" a="1"/>
  <c r="N4538" i="9" s="1"/>
  <c r="N4539" i="9" a="1"/>
  <c r="N4539" i="9" s="1"/>
  <c r="N4540" i="9" a="1"/>
  <c r="N4540" i="9" s="1"/>
  <c r="N4541" i="9" a="1"/>
  <c r="N4541" i="9" s="1"/>
  <c r="N4542" i="9" a="1"/>
  <c r="N4542" i="9" s="1"/>
  <c r="N4543" i="9" a="1"/>
  <c r="N4543" i="9" s="1"/>
  <c r="N4544" i="9" a="1"/>
  <c r="N4544" i="9" s="1"/>
  <c r="N4545" i="9" a="1"/>
  <c r="N4545" i="9" s="1"/>
  <c r="N4547" i="9" a="1"/>
  <c r="N4547" i="9" s="1"/>
  <c r="N4548" i="9" a="1"/>
  <c r="N4548" i="9" s="1"/>
  <c r="N4549" i="9" a="1"/>
  <c r="N4549" i="9" s="1"/>
  <c r="N4550" i="9" a="1"/>
  <c r="N4550" i="9" s="1"/>
  <c r="N4551" i="9" a="1"/>
  <c r="N4551" i="9" s="1"/>
  <c r="N4552" i="9" a="1"/>
  <c r="N4552" i="9" s="1"/>
  <c r="N4553" i="9" a="1"/>
  <c r="N4553" i="9" s="1"/>
  <c r="N4554" i="9" a="1"/>
  <c r="N4554" i="9" s="1"/>
  <c r="N4555" i="9" a="1"/>
  <c r="N4555" i="9" s="1"/>
  <c r="N4556" i="9" a="1"/>
  <c r="N4556" i="9" s="1"/>
  <c r="N4557" i="9" a="1"/>
  <c r="N4557" i="9" s="1"/>
  <c r="N4558" i="9" a="1"/>
  <c r="N4558" i="9" s="1"/>
  <c r="N4559" i="9" a="1"/>
  <c r="N4559" i="9" s="1"/>
  <c r="N4560" i="9" a="1"/>
  <c r="N4560" i="9" s="1"/>
  <c r="N4561" i="9" a="1"/>
  <c r="N4561" i="9" s="1"/>
  <c r="N4563" i="9" a="1"/>
  <c r="N4563" i="9" s="1"/>
  <c r="N4564" i="9" a="1"/>
  <c r="N4564" i="9" s="1"/>
  <c r="N4565" i="9" a="1"/>
  <c r="N4565" i="9" s="1"/>
  <c r="N4566" i="9" a="1"/>
  <c r="N4566" i="9" s="1"/>
  <c r="N4567" i="9" a="1"/>
  <c r="N4567" i="9" s="1"/>
  <c r="N4568" i="9" a="1"/>
  <c r="N4568" i="9" s="1"/>
  <c r="N4569" i="9" a="1"/>
  <c r="N4569" i="9" s="1"/>
  <c r="N4570" i="9" a="1"/>
  <c r="N4570" i="9" s="1"/>
  <c r="N4571" i="9" a="1"/>
  <c r="N4571" i="9" s="1"/>
  <c r="N4572" i="9" a="1"/>
  <c r="N4572" i="9" s="1"/>
  <c r="N4573" i="9" a="1"/>
  <c r="N4573" i="9" s="1"/>
  <c r="N4574" i="9" a="1"/>
  <c r="N4574" i="9" s="1"/>
  <c r="N4575" i="9" a="1"/>
  <c r="N4575" i="9" s="1"/>
  <c r="N4576" i="9" a="1"/>
  <c r="N4576" i="9" s="1"/>
  <c r="N4577" i="9" a="1"/>
  <c r="N4577" i="9" s="1"/>
  <c r="N4579" i="9" a="1"/>
  <c r="N4579" i="9" s="1"/>
  <c r="N4580" i="9" a="1"/>
  <c r="N4580" i="9" s="1"/>
  <c r="N4581" i="9" a="1"/>
  <c r="N4581" i="9" s="1"/>
  <c r="N4582" i="9" a="1"/>
  <c r="N4582" i="9" s="1"/>
  <c r="N4583" i="9" a="1"/>
  <c r="N4583" i="9" s="1"/>
  <c r="N4584" i="9" a="1"/>
  <c r="N4584" i="9" s="1"/>
  <c r="N4585" i="9" a="1"/>
  <c r="N4585" i="9" s="1"/>
  <c r="N4586" i="9" a="1"/>
  <c r="N4586" i="9" s="1"/>
  <c r="N4587" i="9" a="1"/>
  <c r="N4587" i="9" s="1"/>
  <c r="N4588" i="9" a="1"/>
  <c r="N4588" i="9" s="1"/>
  <c r="N4589" i="9" a="1"/>
  <c r="N4589" i="9" s="1"/>
  <c r="N4590" i="9" a="1"/>
  <c r="N4590" i="9" s="1"/>
  <c r="N4591" i="9" a="1"/>
  <c r="N4591" i="9" s="1"/>
  <c r="N4592" i="9" a="1"/>
  <c r="N4592" i="9" s="1"/>
  <c r="N4593" i="9" a="1"/>
  <c r="N4593" i="9" s="1"/>
  <c r="N4595" i="9" a="1"/>
  <c r="N4595" i="9" s="1"/>
  <c r="N4596" i="9" a="1"/>
  <c r="N4596" i="9" s="1"/>
  <c r="N4597" i="9" a="1"/>
  <c r="N4597" i="9" s="1"/>
  <c r="N4598" i="9" a="1"/>
  <c r="N4598" i="9" s="1"/>
  <c r="N4599" i="9" a="1"/>
  <c r="N4599" i="9" s="1"/>
  <c r="N4600" i="9" a="1"/>
  <c r="N4600" i="9" s="1"/>
  <c r="N4601" i="9" a="1"/>
  <c r="N4601" i="9" s="1"/>
  <c r="N4602" i="9" a="1"/>
  <c r="N4602" i="9" s="1"/>
  <c r="N4603" i="9" a="1"/>
  <c r="N4603" i="9" s="1"/>
  <c r="N4604" i="9" a="1"/>
  <c r="N4604" i="9" s="1"/>
  <c r="N4605" i="9" a="1"/>
  <c r="N4605" i="9" s="1"/>
  <c r="N4606" i="9" a="1"/>
  <c r="N4606" i="9" s="1"/>
  <c r="N4607" i="9" a="1"/>
  <c r="N4607" i="9" s="1"/>
  <c r="N4608" i="9" a="1"/>
  <c r="N4608" i="9" s="1"/>
  <c r="N4609" i="9" a="1"/>
  <c r="N4609" i="9" s="1"/>
  <c r="N4611" i="9" a="1"/>
  <c r="N4611" i="9" s="1"/>
  <c r="N4612" i="9" a="1"/>
  <c r="N4612" i="9" s="1"/>
  <c r="N4613" i="9" a="1"/>
  <c r="N4613" i="9" s="1"/>
  <c r="N4614" i="9" a="1"/>
  <c r="N4614" i="9" s="1"/>
  <c r="N4615" i="9" a="1"/>
  <c r="N4615" i="9" s="1"/>
  <c r="N4616" i="9" a="1"/>
  <c r="N4616" i="9" s="1"/>
  <c r="N4617" i="9" a="1"/>
  <c r="N4617" i="9" s="1"/>
  <c r="N4618" i="9" a="1"/>
  <c r="N4618" i="9" s="1"/>
  <c r="N4619" i="9" a="1"/>
  <c r="N4619" i="9" s="1"/>
  <c r="N4620" i="9" a="1"/>
  <c r="N4620" i="9" s="1"/>
  <c r="N4621" i="9" a="1"/>
  <c r="N4621" i="9" s="1"/>
  <c r="N4622" i="9" a="1"/>
  <c r="N4622" i="9" s="1"/>
  <c r="N4623" i="9" a="1"/>
  <c r="N4623" i="9" s="1"/>
  <c r="N4624" i="9" a="1"/>
  <c r="N4624" i="9" s="1"/>
  <c r="N4625" i="9" a="1"/>
  <c r="N4625" i="9" s="1"/>
  <c r="N4627" i="9" a="1"/>
  <c r="N4627" i="9" s="1"/>
  <c r="N4628" i="9" a="1"/>
  <c r="N4628" i="9" s="1"/>
  <c r="N4629" i="9" a="1"/>
  <c r="N4629" i="9" s="1"/>
  <c r="N4630" i="9" a="1"/>
  <c r="N4630" i="9" s="1"/>
  <c r="N4631" i="9" a="1"/>
  <c r="N4631" i="9" s="1"/>
  <c r="N4632" i="9" a="1"/>
  <c r="N4632" i="9" s="1"/>
  <c r="N4633" i="9" a="1"/>
  <c r="N4633" i="9" s="1"/>
  <c r="N4634" i="9" a="1"/>
  <c r="N4634" i="9" s="1"/>
  <c r="N4635" i="9" a="1"/>
  <c r="N4635" i="9" s="1"/>
  <c r="N4636" i="9" a="1"/>
  <c r="N4636" i="9" s="1"/>
  <c r="N4637" i="9" a="1"/>
  <c r="N4637" i="9" s="1"/>
  <c r="N4638" i="9" a="1"/>
  <c r="N4638" i="9" s="1"/>
  <c r="N4639" i="9" a="1"/>
  <c r="N4639" i="9" s="1"/>
  <c r="N4640" i="9" a="1"/>
  <c r="N4640" i="9" s="1"/>
  <c r="N4641" i="9" a="1"/>
  <c r="N4641" i="9" s="1"/>
  <c r="N4643" i="9" a="1"/>
  <c r="N4643" i="9" s="1"/>
  <c r="N4644" i="9" a="1"/>
  <c r="N4644" i="9" s="1"/>
  <c r="N4645" i="9" a="1"/>
  <c r="N4645" i="9" s="1"/>
  <c r="N4646" i="9" a="1"/>
  <c r="N4646" i="9" s="1"/>
  <c r="N4647" i="9" a="1"/>
  <c r="N4647" i="9" s="1"/>
  <c r="N4648" i="9" a="1"/>
  <c r="N4648" i="9" s="1"/>
  <c r="N4649" i="9" a="1"/>
  <c r="N4649" i="9" s="1"/>
  <c r="N4650" i="9" a="1"/>
  <c r="N4650" i="9" s="1"/>
  <c r="N4651" i="9" a="1"/>
  <c r="N4651" i="9" s="1"/>
  <c r="N4652" i="9" a="1"/>
  <c r="N4652" i="9" s="1"/>
  <c r="N4653" i="9" a="1"/>
  <c r="N4653" i="9" s="1"/>
  <c r="N4654" i="9" a="1"/>
  <c r="N4654" i="9" s="1"/>
  <c r="N4655" i="9" a="1"/>
  <c r="N4655" i="9" s="1"/>
  <c r="N4656" i="9" a="1"/>
  <c r="N4656" i="9" s="1"/>
  <c r="N4657" i="9" a="1"/>
  <c r="N4657" i="9" s="1"/>
  <c r="N4659" i="9" a="1"/>
  <c r="N4659" i="9" s="1"/>
  <c r="N4660" i="9" a="1"/>
  <c r="N4660" i="9" s="1"/>
  <c r="N4661" i="9" a="1"/>
  <c r="N4661" i="9" s="1"/>
  <c r="N4662" i="9" a="1"/>
  <c r="N4662" i="9" s="1"/>
  <c r="N4663" i="9" a="1"/>
  <c r="N4663" i="9" s="1"/>
  <c r="N4664" i="9" a="1"/>
  <c r="N4664" i="9" s="1"/>
  <c r="N4665" i="9" a="1"/>
  <c r="N4665" i="9" s="1"/>
  <c r="N4666" i="9" a="1"/>
  <c r="N4666" i="9" s="1"/>
  <c r="N4667" i="9" a="1"/>
  <c r="N4667" i="9" s="1"/>
  <c r="N4668" i="9" a="1"/>
  <c r="N4668" i="9" s="1"/>
  <c r="N4669" i="9" a="1"/>
  <c r="N4669" i="9" s="1"/>
  <c r="N4670" i="9" a="1"/>
  <c r="N4670" i="9" s="1"/>
  <c r="N4671" i="9" a="1"/>
  <c r="N4671" i="9" s="1"/>
  <c r="N4672" i="9" a="1"/>
  <c r="N4672" i="9" s="1"/>
  <c r="N4673" i="9" a="1"/>
  <c r="N4673" i="9" s="1"/>
  <c r="N4675" i="9" a="1"/>
  <c r="N4675" i="9" s="1"/>
  <c r="N4676" i="9" a="1"/>
  <c r="N4676" i="9" s="1"/>
  <c r="N4677" i="9" a="1"/>
  <c r="N4677" i="9" s="1"/>
  <c r="N4678" i="9" a="1"/>
  <c r="N4678" i="9" s="1"/>
  <c r="N4679" i="9" a="1"/>
  <c r="N4679" i="9" s="1"/>
  <c r="N4680" i="9" a="1"/>
  <c r="N4680" i="9" s="1"/>
  <c r="N4681" i="9" a="1"/>
  <c r="N4681" i="9" s="1"/>
  <c r="N4682" i="9" a="1"/>
  <c r="N4682" i="9" s="1"/>
  <c r="N4683" i="9" a="1"/>
  <c r="N4683" i="9" s="1"/>
  <c r="N4684" i="9" a="1"/>
  <c r="N4684" i="9" s="1"/>
  <c r="N4685" i="9" a="1"/>
  <c r="N4685" i="9" s="1"/>
  <c r="N4686" i="9" a="1"/>
  <c r="N4686" i="9" s="1"/>
  <c r="N4687" i="9" a="1"/>
  <c r="N4687" i="9" s="1"/>
  <c r="N4688" i="9" a="1"/>
  <c r="N4688" i="9" s="1"/>
  <c r="N4689" i="9" a="1"/>
  <c r="N4689" i="9" s="1"/>
  <c r="N4691" i="9" a="1"/>
  <c r="N4691" i="9" s="1"/>
  <c r="N4692" i="9" a="1"/>
  <c r="N4692" i="9" s="1"/>
  <c r="N4693" i="9" a="1"/>
  <c r="N4693" i="9" s="1"/>
  <c r="N4694" i="9" a="1"/>
  <c r="N4694" i="9" s="1"/>
  <c r="N4695" i="9" a="1"/>
  <c r="N4695" i="9" s="1"/>
  <c r="N4696" i="9" a="1"/>
  <c r="N4696" i="9" s="1"/>
  <c r="N4697" i="9" a="1"/>
  <c r="N4697" i="9" s="1"/>
  <c r="N4698" i="9" a="1"/>
  <c r="N4698" i="9" s="1"/>
  <c r="N4699" i="9" a="1"/>
  <c r="N4699" i="9" s="1"/>
  <c r="N4700" i="9" a="1"/>
  <c r="N4700" i="9" s="1"/>
  <c r="N4701" i="9" a="1"/>
  <c r="N4701" i="9" s="1"/>
  <c r="N4702" i="9" a="1"/>
  <c r="N4702" i="9" s="1"/>
  <c r="N4703" i="9" a="1"/>
  <c r="N4703" i="9" s="1"/>
  <c r="N4704" i="9" a="1"/>
  <c r="N4704" i="9" s="1"/>
  <c r="N4705" i="9" a="1"/>
  <c r="N4705" i="9" s="1"/>
  <c r="N4707" i="9" a="1"/>
  <c r="N4707" i="9" s="1"/>
  <c r="N4708" i="9" a="1"/>
  <c r="N4708" i="9" s="1"/>
  <c r="N4709" i="9" a="1"/>
  <c r="N4709" i="9" s="1"/>
  <c r="N4710" i="9" a="1"/>
  <c r="N4710" i="9" s="1"/>
  <c r="N4711" i="9" a="1"/>
  <c r="N4711" i="9" s="1"/>
  <c r="N4712" i="9" a="1"/>
  <c r="N4712" i="9" s="1"/>
  <c r="N4713" i="9" a="1"/>
  <c r="N4713" i="9" s="1"/>
  <c r="N4714" i="9" a="1"/>
  <c r="N4714" i="9" s="1"/>
  <c r="N4715" i="9" a="1"/>
  <c r="N4715" i="9" s="1"/>
  <c r="N4716" i="9" a="1"/>
  <c r="N4716" i="9" s="1"/>
  <c r="N4717" i="9" a="1"/>
  <c r="N4717" i="9" s="1"/>
  <c r="N4718" i="9" a="1"/>
  <c r="N4718" i="9" s="1"/>
  <c r="N4719" i="9" a="1"/>
  <c r="N4719" i="9" s="1"/>
  <c r="N4720" i="9" a="1"/>
  <c r="N4720" i="9" s="1"/>
  <c r="N4721" i="9" a="1"/>
  <c r="N4721" i="9" s="1"/>
  <c r="N4723" i="9" a="1"/>
  <c r="N4723" i="9" s="1"/>
  <c r="N4724" i="9" a="1"/>
  <c r="N4724" i="9" s="1"/>
  <c r="N4725" i="9" a="1"/>
  <c r="N4725" i="9" s="1"/>
  <c r="N4726" i="9" a="1"/>
  <c r="N4726" i="9" s="1"/>
  <c r="N4727" i="9" a="1"/>
  <c r="N4727" i="9" s="1"/>
  <c r="N4728" i="9" a="1"/>
  <c r="N4728" i="9" s="1"/>
  <c r="N4729" i="9" a="1"/>
  <c r="N4729" i="9" s="1"/>
  <c r="N4730" i="9" a="1"/>
  <c r="N4730" i="9" s="1"/>
  <c r="N4731" i="9" a="1"/>
  <c r="N4731" i="9" s="1"/>
  <c r="N4732" i="9" a="1"/>
  <c r="N4732" i="9" s="1"/>
  <c r="N4733" i="9" a="1"/>
  <c r="N4733" i="9" s="1"/>
  <c r="N4734" i="9" a="1"/>
  <c r="N4734" i="9" s="1"/>
  <c r="N4735" i="9" a="1"/>
  <c r="N4735" i="9" s="1"/>
  <c r="N4736" i="9" a="1"/>
  <c r="N4736" i="9" s="1"/>
  <c r="N4737" i="9" a="1"/>
  <c r="N4737" i="9" s="1"/>
  <c r="N4739" i="9" a="1"/>
  <c r="N4739" i="9" s="1"/>
  <c r="N4740" i="9" a="1"/>
  <c r="N4740" i="9" s="1"/>
  <c r="N4741" i="9" a="1"/>
  <c r="N4741" i="9" s="1"/>
  <c r="N4742" i="9" a="1"/>
  <c r="N4742" i="9" s="1"/>
  <c r="N4743" i="9" a="1"/>
  <c r="N4743" i="9" s="1"/>
  <c r="N4744" i="9" a="1"/>
  <c r="N4744" i="9" s="1"/>
  <c r="N4745" i="9" a="1"/>
  <c r="N4745" i="9" s="1"/>
  <c r="N4746" i="9" a="1"/>
  <c r="N4746" i="9" s="1"/>
  <c r="N4747" i="9" a="1"/>
  <c r="N4747" i="9" s="1"/>
  <c r="N4748" i="9" a="1"/>
  <c r="N4748" i="9" s="1"/>
  <c r="N4749" i="9" a="1"/>
  <c r="N4749" i="9" s="1"/>
  <c r="N4750" i="9" a="1"/>
  <c r="N4750" i="9" s="1"/>
  <c r="N4751" i="9" a="1"/>
  <c r="N4751" i="9" s="1"/>
  <c r="N4752" i="9" a="1"/>
  <c r="N4752" i="9" s="1"/>
  <c r="N4753" i="9" a="1"/>
  <c r="N4753" i="9" s="1"/>
  <c r="N4755" i="9" a="1"/>
  <c r="N4755" i="9" s="1"/>
  <c r="N4756" i="9" a="1"/>
  <c r="N4756" i="9" s="1"/>
  <c r="N4757" i="9" a="1"/>
  <c r="N4757" i="9" s="1"/>
  <c r="N4758" i="9" a="1"/>
  <c r="N4758" i="9" s="1"/>
  <c r="N4759" i="9" a="1"/>
  <c r="N4759" i="9" s="1"/>
  <c r="N4760" i="9" a="1"/>
  <c r="N4760" i="9" s="1"/>
  <c r="N4761" i="9" a="1"/>
  <c r="N4761" i="9" s="1"/>
  <c r="N4762" i="9" a="1"/>
  <c r="N4762" i="9" s="1"/>
  <c r="N4763" i="9" a="1"/>
  <c r="N4763" i="9" s="1"/>
  <c r="N4764" i="9" a="1"/>
  <c r="N4764" i="9" s="1"/>
  <c r="N4765" i="9" a="1"/>
  <c r="N4765" i="9" s="1"/>
  <c r="N4766" i="9" a="1"/>
  <c r="N4766" i="9" s="1"/>
  <c r="N4767" i="9" a="1"/>
  <c r="N4767" i="9" s="1"/>
  <c r="N4768" i="9" a="1"/>
  <c r="N4768" i="9" s="1"/>
  <c r="N4769" i="9" a="1"/>
  <c r="N4769" i="9" s="1"/>
  <c r="N4771" i="9" a="1"/>
  <c r="N4771" i="9" s="1"/>
  <c r="N4772" i="9" a="1"/>
  <c r="N4772" i="9" s="1"/>
  <c r="N4773" i="9" a="1"/>
  <c r="N4773" i="9" s="1"/>
  <c r="N4774" i="9" a="1"/>
  <c r="N4774" i="9" s="1"/>
  <c r="N4775" i="9" a="1"/>
  <c r="N4775" i="9" s="1"/>
  <c r="N4776" i="9" a="1"/>
  <c r="N4776" i="9" s="1"/>
  <c r="N4777" i="9" a="1"/>
  <c r="N4777" i="9" s="1"/>
  <c r="N4778" i="9" a="1"/>
  <c r="N4778" i="9" s="1"/>
  <c r="N4779" i="9" a="1"/>
  <c r="N4779" i="9" s="1"/>
  <c r="N4780" i="9" a="1"/>
  <c r="N4780" i="9" s="1"/>
  <c r="N4781" i="9" a="1"/>
  <c r="N4781" i="9" s="1"/>
  <c r="N4782" i="9" a="1"/>
  <c r="N4782" i="9" s="1"/>
  <c r="N4783" i="9" a="1"/>
  <c r="N4783" i="9" s="1"/>
  <c r="N4784" i="9" a="1"/>
  <c r="N4784" i="9" s="1"/>
  <c r="N4785" i="9" a="1"/>
  <c r="N4785" i="9" s="1"/>
  <c r="N4787" i="9" a="1"/>
  <c r="N4787" i="9" s="1"/>
  <c r="N4788" i="9" a="1"/>
  <c r="N4788" i="9" s="1"/>
  <c r="N4789" i="9" a="1"/>
  <c r="N4789" i="9" s="1"/>
  <c r="N4790" i="9" a="1"/>
  <c r="N4790" i="9" s="1"/>
  <c r="N4791" i="9" a="1"/>
  <c r="N4791" i="9" s="1"/>
  <c r="N4792" i="9" a="1"/>
  <c r="N4792" i="9" s="1"/>
  <c r="N4793" i="9" a="1"/>
  <c r="N4793" i="9" s="1"/>
  <c r="N4794" i="9" a="1"/>
  <c r="N4794" i="9" s="1"/>
  <c r="N4795" i="9" a="1"/>
  <c r="N4795" i="9" s="1"/>
  <c r="N4796" i="9" a="1"/>
  <c r="N4796" i="9" s="1"/>
  <c r="N4797" i="9" a="1"/>
  <c r="N4797" i="9" s="1"/>
  <c r="N4798" i="9" a="1"/>
  <c r="N4798" i="9" s="1"/>
  <c r="N4799" i="9" a="1"/>
  <c r="N4799" i="9" s="1"/>
  <c r="N4800" i="9" a="1"/>
  <c r="N4800" i="9" s="1"/>
  <c r="N4801" i="9" a="1"/>
  <c r="N4801" i="9" s="1"/>
  <c r="N4803" i="9" a="1"/>
  <c r="N4803" i="9" s="1"/>
  <c r="N4804" i="9" a="1"/>
  <c r="N4804" i="9" s="1"/>
  <c r="N4805" i="9" a="1"/>
  <c r="N4805" i="9" s="1"/>
  <c r="N4806" i="9" a="1"/>
  <c r="N4806" i="9" s="1"/>
  <c r="N4807" i="9" a="1"/>
  <c r="N4807" i="9" s="1"/>
  <c r="N4808" i="9" a="1"/>
  <c r="N4808" i="9" s="1"/>
  <c r="N4809" i="9" a="1"/>
  <c r="N4809" i="9" s="1"/>
  <c r="N4810" i="9" a="1"/>
  <c r="N4810" i="9" s="1"/>
  <c r="N4811" i="9" a="1"/>
  <c r="N4811" i="9" s="1"/>
  <c r="N4812" i="9" a="1"/>
  <c r="N4812" i="9" s="1"/>
  <c r="N4813" i="9" a="1"/>
  <c r="N4813" i="9" s="1"/>
  <c r="N4814" i="9" a="1"/>
  <c r="N4814" i="9" s="1"/>
  <c r="N4815" i="9" a="1"/>
  <c r="N4815" i="9" s="1"/>
  <c r="N4816" i="9" a="1"/>
  <c r="N4816" i="9" s="1"/>
  <c r="N4817" i="9" a="1"/>
  <c r="N4817" i="9" s="1"/>
  <c r="N4819" i="9" a="1"/>
  <c r="N4819" i="9" s="1"/>
  <c r="N4820" i="9" a="1"/>
  <c r="N4820" i="9" s="1"/>
  <c r="N4821" i="9" a="1"/>
  <c r="N4821" i="9" s="1"/>
  <c r="N4822" i="9" a="1"/>
  <c r="N4822" i="9" s="1"/>
  <c r="N4823" i="9" a="1"/>
  <c r="N4823" i="9" s="1"/>
  <c r="N4824" i="9" a="1"/>
  <c r="N4824" i="9" s="1"/>
  <c r="N4825" i="9" a="1"/>
  <c r="N4825" i="9" s="1"/>
  <c r="N4826" i="9" a="1"/>
  <c r="N4826" i="9" s="1"/>
  <c r="N4827" i="9" a="1"/>
  <c r="N4827" i="9" s="1"/>
  <c r="N4828" i="9" a="1"/>
  <c r="N4828" i="9" s="1"/>
  <c r="N4829" i="9" a="1"/>
  <c r="N4829" i="9" s="1"/>
  <c r="N4830" i="9" a="1"/>
  <c r="N4830" i="9" s="1"/>
  <c r="N4831" i="9" a="1"/>
  <c r="N4831" i="9" s="1"/>
  <c r="N4832" i="9" a="1"/>
  <c r="N4832" i="9" s="1"/>
  <c r="N4833" i="9" a="1"/>
  <c r="N4833" i="9" s="1"/>
  <c r="N4835" i="9" a="1"/>
  <c r="N4835" i="9" s="1"/>
  <c r="N4836" i="9" a="1"/>
  <c r="N4836" i="9" s="1"/>
  <c r="N4837" i="9" a="1"/>
  <c r="N4837" i="9" s="1"/>
  <c r="N4838" i="9" a="1"/>
  <c r="N4838" i="9" s="1"/>
  <c r="N4839" i="9" a="1"/>
  <c r="N4839" i="9" s="1"/>
  <c r="N4840" i="9" a="1"/>
  <c r="N4840" i="9" s="1"/>
  <c r="N4841" i="9" a="1"/>
  <c r="N4841" i="9" s="1"/>
  <c r="N4842" i="9" a="1"/>
  <c r="N4842" i="9" s="1"/>
  <c r="N4843" i="9" a="1"/>
  <c r="N4843" i="9" s="1"/>
  <c r="N4844" i="9" a="1"/>
  <c r="N4844" i="9" s="1"/>
  <c r="N4845" i="9" a="1"/>
  <c r="N4845" i="9" s="1"/>
  <c r="N4846" i="9" a="1"/>
  <c r="N4846" i="9" s="1"/>
  <c r="N4847" i="9" a="1"/>
  <c r="N4847" i="9" s="1"/>
  <c r="N4848" i="9" a="1"/>
  <c r="N4848" i="9" s="1"/>
  <c r="N4849" i="9" a="1"/>
  <c r="N4849" i="9"/>
  <c r="N4851" i="9" a="1"/>
  <c r="N4851" i="9" s="1"/>
  <c r="N4852" i="9" a="1"/>
  <c r="N4852" i="9" s="1"/>
  <c r="N4853" i="9" a="1"/>
  <c r="N4853" i="9" s="1"/>
  <c r="N4854" i="9" a="1"/>
  <c r="N4854" i="9" s="1"/>
  <c r="N4855" i="9" a="1"/>
  <c r="N4855" i="9" s="1"/>
  <c r="N4856" i="9" a="1"/>
  <c r="N4856" i="9" s="1"/>
  <c r="N4857" i="9" a="1"/>
  <c r="N4857" i="9" s="1"/>
  <c r="N4858" i="9" a="1"/>
  <c r="N4858" i="9" s="1"/>
  <c r="N4859" i="9" a="1"/>
  <c r="N4859" i="9" s="1"/>
  <c r="N4860" i="9" a="1"/>
  <c r="N4860" i="9" s="1"/>
  <c r="N4861" i="9" a="1"/>
  <c r="N4861" i="9" s="1"/>
  <c r="N4862" i="9" a="1"/>
  <c r="N4862" i="9" s="1"/>
  <c r="N4863" i="9" a="1"/>
  <c r="N4863" i="9" s="1"/>
  <c r="N4864" i="9" a="1"/>
  <c r="N4864" i="9" s="1"/>
  <c r="N4865" i="9" a="1"/>
  <c r="N4865" i="9"/>
  <c r="N4867" i="9" a="1"/>
  <c r="N4867" i="9" s="1"/>
  <c r="N4868" i="9" a="1"/>
  <c r="N4868" i="9" s="1"/>
  <c r="N4869" i="9" a="1"/>
  <c r="N4869" i="9" s="1"/>
  <c r="N4870" i="9" a="1"/>
  <c r="N4870" i="9" s="1"/>
  <c r="N4871" i="9" a="1"/>
  <c r="N4871" i="9" s="1"/>
  <c r="N4872" i="9" a="1"/>
  <c r="N4872" i="9" s="1"/>
  <c r="N4873" i="9" a="1"/>
  <c r="N4873" i="9" s="1"/>
  <c r="N4874" i="9" a="1"/>
  <c r="N4874" i="9" s="1"/>
  <c r="N4875" i="9" a="1"/>
  <c r="N4875" i="9" s="1"/>
  <c r="N4876" i="9" a="1"/>
  <c r="N4876" i="9" s="1"/>
  <c r="N4877" i="9" a="1"/>
  <c r="N4877" i="9" s="1"/>
  <c r="N4878" i="9" a="1"/>
  <c r="N4878" i="9" s="1"/>
  <c r="N4879" i="9" a="1"/>
  <c r="N4879" i="9" s="1"/>
  <c r="N4880" i="9" a="1"/>
  <c r="N4880" i="9" s="1"/>
  <c r="N4881" i="9" a="1"/>
  <c r="N4881" i="9"/>
  <c r="N4883" i="9" a="1"/>
  <c r="N4883" i="9" s="1"/>
  <c r="N4884" i="9" a="1"/>
  <c r="N4884" i="9" s="1"/>
  <c r="N4885" i="9" a="1"/>
  <c r="N4885" i="9" s="1"/>
  <c r="N4886" i="9" a="1"/>
  <c r="N4886" i="9" s="1"/>
  <c r="N4887" i="9" a="1"/>
  <c r="N4887" i="9" s="1"/>
  <c r="N4888" i="9" a="1"/>
  <c r="N4888" i="9" s="1"/>
  <c r="N4889" i="9" a="1"/>
  <c r="N4889" i="9" s="1"/>
  <c r="N4890" i="9" a="1"/>
  <c r="N4890" i="9" s="1"/>
  <c r="N4891" i="9" a="1"/>
  <c r="N4891" i="9" s="1"/>
  <c r="N4892" i="9" a="1"/>
  <c r="N4892" i="9" s="1"/>
  <c r="N4893" i="9" a="1"/>
  <c r="N4893" i="9" s="1"/>
  <c r="N4894" i="9" a="1"/>
  <c r="N4894" i="9" s="1"/>
  <c r="N4895" i="9" a="1"/>
  <c r="N4895" i="9" s="1"/>
  <c r="N4896" i="9" a="1"/>
  <c r="N4896" i="9" s="1"/>
  <c r="N4897" i="9" a="1"/>
  <c r="N4897" i="9"/>
  <c r="N4899" i="9" a="1"/>
  <c r="N4899" i="9" s="1"/>
  <c r="N4900" i="9" a="1"/>
  <c r="N4900" i="9" s="1"/>
  <c r="N4901" i="9" a="1"/>
  <c r="N4901" i="9" s="1"/>
  <c r="N4902" i="9" a="1"/>
  <c r="N4902" i="9" s="1"/>
  <c r="N4903" i="9" a="1"/>
  <c r="N4903" i="9" s="1"/>
  <c r="N4904" i="9" a="1"/>
  <c r="N4904" i="9" s="1"/>
  <c r="N4905" i="9" a="1"/>
  <c r="N4905" i="9" s="1"/>
  <c r="N4906" i="9" a="1"/>
  <c r="N4906" i="9" s="1"/>
  <c r="N4907" i="9" a="1"/>
  <c r="N4907" i="9" s="1"/>
  <c r="N4908" i="9" a="1"/>
  <c r="N4908" i="9" s="1"/>
  <c r="N4909" i="9" a="1"/>
  <c r="N4909" i="9" s="1"/>
  <c r="N4910" i="9" a="1"/>
  <c r="N4910" i="9" s="1"/>
  <c r="N4911" i="9" a="1"/>
  <c r="N4911" i="9" s="1"/>
  <c r="N4912" i="9" a="1"/>
  <c r="N4912" i="9" s="1"/>
  <c r="N4913" i="9" a="1"/>
  <c r="N4913" i="9"/>
  <c r="N4915" i="9" a="1"/>
  <c r="N4915" i="9" s="1"/>
  <c r="N4916" i="9" a="1"/>
  <c r="N4916" i="9" s="1"/>
  <c r="N4917" i="9" a="1"/>
  <c r="N4917" i="9" s="1"/>
  <c r="N4918" i="9" a="1"/>
  <c r="N4918" i="9" s="1"/>
  <c r="N4919" i="9" a="1"/>
  <c r="N4919" i="9" s="1"/>
  <c r="N4920" i="9" a="1"/>
  <c r="N4920" i="9" s="1"/>
  <c r="N4921" i="9" a="1"/>
  <c r="N4921" i="9" s="1"/>
  <c r="N4922" i="9" a="1"/>
  <c r="N4922" i="9" s="1"/>
  <c r="N4923" i="9" a="1"/>
  <c r="N4923" i="9" s="1"/>
  <c r="N4924" i="9" a="1"/>
  <c r="N4924" i="9" s="1"/>
  <c r="N4925" i="9" a="1"/>
  <c r="N4925" i="9" s="1"/>
  <c r="N4926" i="9" a="1"/>
  <c r="N4926" i="9" s="1"/>
  <c r="N4927" i="9" a="1"/>
  <c r="N4927" i="9" s="1"/>
  <c r="N4928" i="9" a="1"/>
  <c r="N4928" i="9" s="1"/>
  <c r="N4929" i="9" a="1"/>
  <c r="N4929" i="9"/>
  <c r="N4931" i="9" a="1"/>
  <c r="N4931" i="9" s="1"/>
  <c r="N4932" i="9" a="1"/>
  <c r="N4932" i="9" s="1"/>
  <c r="N4933" i="9" a="1"/>
  <c r="N4933" i="9" s="1"/>
  <c r="N4934" i="9" a="1"/>
  <c r="N4934" i="9" s="1"/>
  <c r="N4935" i="9" a="1"/>
  <c r="N4935" i="9" s="1"/>
  <c r="N4936" i="9" a="1"/>
  <c r="N4936" i="9" s="1"/>
  <c r="N4937" i="9" a="1"/>
  <c r="N4937" i="9" s="1"/>
  <c r="N4938" i="9" a="1"/>
  <c r="N4938" i="9" s="1"/>
  <c r="N4939" i="9" a="1"/>
  <c r="N4939" i="9" s="1"/>
  <c r="N4940" i="9" a="1"/>
  <c r="N4940" i="9" s="1"/>
  <c r="N4941" i="9" a="1"/>
  <c r="N4941" i="9" s="1"/>
  <c r="N4942" i="9" a="1"/>
  <c r="N4942" i="9" s="1"/>
  <c r="N4943" i="9" a="1"/>
  <c r="N4943" i="9" s="1"/>
  <c r="N4944" i="9" a="1"/>
  <c r="N4944" i="9" s="1"/>
  <c r="N4945" i="9" a="1"/>
  <c r="N4945" i="9"/>
  <c r="N4947" i="9" a="1"/>
  <c r="N4947" i="9" s="1"/>
  <c r="N4948" i="9" a="1"/>
  <c r="N4948" i="9" s="1"/>
  <c r="N4949" i="9" a="1"/>
  <c r="N4949" i="9" s="1"/>
  <c r="N4950" i="9" a="1"/>
  <c r="N4950" i="9" s="1"/>
  <c r="N4951" i="9" a="1"/>
  <c r="N4951" i="9" s="1"/>
  <c r="N4952" i="9" a="1"/>
  <c r="N4952" i="9" s="1"/>
  <c r="N4953" i="9" a="1"/>
  <c r="N4953" i="9"/>
  <c r="N4954" i="9" a="1"/>
  <c r="N4954" i="9" s="1"/>
  <c r="N4955" i="9" a="1"/>
  <c r="N4955" i="9" s="1"/>
  <c r="N4956" i="9" a="1"/>
  <c r="N4956" i="9" s="1"/>
  <c r="N4957" i="9" a="1"/>
  <c r="N4957" i="9" s="1"/>
  <c r="N4958" i="9" a="1"/>
  <c r="N4958" i="9" s="1"/>
  <c r="N4959" i="9" a="1"/>
  <c r="N4959" i="9" s="1"/>
  <c r="N4960" i="9" a="1"/>
  <c r="N4960" i="9" s="1"/>
  <c r="N4961" i="9" a="1"/>
  <c r="N4961" i="9" s="1"/>
  <c r="N4963" i="9" a="1"/>
  <c r="N4963" i="9" s="1"/>
  <c r="N4964" i="9" a="1"/>
  <c r="N4964" i="9" s="1"/>
  <c r="N4965" i="9" a="1"/>
  <c r="N4965" i="9" s="1"/>
  <c r="N4966" i="9" a="1"/>
  <c r="N4966" i="9" s="1"/>
  <c r="N4967" i="9" a="1"/>
  <c r="N4967" i="9" s="1"/>
  <c r="N4968" i="9" a="1"/>
  <c r="N4968" i="9" s="1"/>
  <c r="N4969" i="9" a="1"/>
  <c r="N4969" i="9" s="1"/>
  <c r="N4970" i="9" a="1"/>
  <c r="N4970" i="9" s="1"/>
  <c r="N4971" i="9" a="1"/>
  <c r="N4971" i="9" s="1"/>
  <c r="N4972" i="9" a="1"/>
  <c r="N4972" i="9" s="1"/>
  <c r="N4973" i="9" a="1"/>
  <c r="N4973" i="9" s="1"/>
  <c r="N4974" i="9" a="1"/>
  <c r="N4974" i="9" s="1"/>
  <c r="N4975" i="9" a="1"/>
  <c r="N4975" i="9" s="1"/>
  <c r="N4976" i="9" a="1"/>
  <c r="N4976" i="9" s="1"/>
  <c r="N4977" i="9" a="1"/>
  <c r="N4977" i="9" s="1"/>
  <c r="N4979" i="9" a="1"/>
  <c r="N4979" i="9" s="1"/>
  <c r="N4980" i="9" a="1"/>
  <c r="N4980" i="9" s="1"/>
  <c r="N4981" i="9" a="1"/>
  <c r="N4981" i="9" s="1"/>
  <c r="N4982" i="9" a="1"/>
  <c r="N4982" i="9" s="1"/>
  <c r="N4983" i="9" a="1"/>
  <c r="N4983" i="9" s="1"/>
  <c r="N4984" i="9" a="1"/>
  <c r="N4984" i="9" s="1"/>
  <c r="N4985" i="9" a="1"/>
  <c r="N4985" i="9"/>
  <c r="N4986" i="9" a="1"/>
  <c r="N4986" i="9" s="1"/>
  <c r="N4987" i="9" a="1"/>
  <c r="N4987" i="9" s="1"/>
  <c r="N4988" i="9" a="1"/>
  <c r="N4988" i="9" s="1"/>
  <c r="N4989" i="9" a="1"/>
  <c r="N4989" i="9" s="1"/>
  <c r="N4990" i="9" a="1"/>
  <c r="N4990" i="9" s="1"/>
  <c r="N4991" i="9" a="1"/>
  <c r="N4991" i="9" s="1"/>
  <c r="N4992" i="9" a="1"/>
  <c r="N4992" i="9" s="1"/>
  <c r="N4993" i="9" a="1"/>
  <c r="N4993" i="9"/>
  <c r="N4995" i="9" a="1"/>
  <c r="N4995" i="9" s="1"/>
  <c r="N4996" i="9" a="1"/>
  <c r="N4996" i="9" s="1"/>
  <c r="N4997" i="9" a="1"/>
  <c r="N4997" i="9" s="1"/>
  <c r="N4998" i="9" a="1"/>
  <c r="N4998" i="9" s="1"/>
  <c r="N4999" i="9" a="1"/>
  <c r="N4999" i="9" s="1"/>
  <c r="N5000" i="9" a="1"/>
  <c r="N5000" i="9" s="1"/>
  <c r="N5001" i="9" a="1"/>
  <c r="N5001" i="9"/>
  <c r="N5002" i="9" a="1"/>
  <c r="N5002" i="9" s="1"/>
  <c r="N5003" i="9" a="1"/>
  <c r="N5003" i="9" s="1"/>
  <c r="N5004" i="9" a="1"/>
  <c r="N5004" i="9" s="1"/>
  <c r="N5005" i="9" a="1"/>
  <c r="N5005" i="9" s="1"/>
  <c r="N5006" i="9" a="1"/>
  <c r="N5006" i="9" s="1"/>
  <c r="N5007" i="9" a="1"/>
  <c r="N5007" i="9" s="1"/>
  <c r="N5008" i="9" a="1"/>
  <c r="N5008" i="9" s="1"/>
  <c r="N5009" i="9" a="1"/>
  <c r="N5009" i="9" s="1"/>
  <c r="N5011" i="9" a="1"/>
  <c r="N5011" i="9" s="1"/>
  <c r="N5012" i="9" a="1"/>
  <c r="N5012" i="9" s="1"/>
  <c r="N5013" i="9" a="1"/>
  <c r="N5013" i="9" s="1"/>
  <c r="N5014" i="9" a="1"/>
  <c r="N5014" i="9" s="1"/>
  <c r="N5015" i="9" a="1"/>
  <c r="N5015" i="9" s="1"/>
  <c r="N5016" i="9" a="1"/>
  <c r="N5016" i="9" s="1"/>
  <c r="N5017" i="9" a="1"/>
  <c r="N5017" i="9" s="1"/>
  <c r="N5018" i="9" a="1"/>
  <c r="N5018" i="9" s="1"/>
  <c r="N5019" i="9" a="1"/>
  <c r="N5019" i="9" s="1"/>
  <c r="N5020" i="9" a="1"/>
  <c r="N5020" i="9" s="1"/>
  <c r="N5021" i="9" a="1"/>
  <c r="N5021" i="9" s="1"/>
  <c r="N5022" i="9" a="1"/>
  <c r="N5022" i="9" s="1"/>
  <c r="N5023" i="9" a="1"/>
  <c r="N5023" i="9" s="1"/>
  <c r="N5024" i="9" a="1"/>
  <c r="N5024" i="9" s="1"/>
  <c r="N5025" i="9" a="1"/>
  <c r="N5025" i="9"/>
  <c r="N5027" i="9" a="1"/>
  <c r="N5027" i="9" s="1"/>
  <c r="N5028" i="9" a="1"/>
  <c r="N5028" i="9" s="1"/>
  <c r="N5029" i="9" a="1"/>
  <c r="N5029" i="9" s="1"/>
  <c r="N5030" i="9" a="1"/>
  <c r="N5030" i="9" s="1"/>
  <c r="N5031" i="9" a="1"/>
  <c r="N5031" i="9" s="1"/>
  <c r="N5032" i="9" a="1"/>
  <c r="N5032" i="9" s="1"/>
  <c r="N5033" i="9" a="1"/>
  <c r="N5033" i="9"/>
  <c r="N5034" i="9" a="1"/>
  <c r="N5034" i="9" s="1"/>
  <c r="N5035" i="9" a="1"/>
  <c r="N5035" i="9" s="1"/>
  <c r="N5036" i="9" a="1"/>
  <c r="N5036" i="9" s="1"/>
  <c r="N5037" i="9" a="1"/>
  <c r="N5037" i="9" s="1"/>
  <c r="N5038" i="9" a="1"/>
  <c r="N5038" i="9" s="1"/>
  <c r="N5039" i="9" a="1"/>
  <c r="N5039" i="9" s="1"/>
  <c r="N5040" i="9" a="1"/>
  <c r="N5040" i="9" s="1"/>
  <c r="N5041" i="9" a="1"/>
  <c r="N5041" i="9" s="1"/>
  <c r="N5043" i="9" a="1"/>
  <c r="N5043" i="9" s="1"/>
  <c r="N5044" i="9" a="1"/>
  <c r="N5044" i="9" s="1"/>
  <c r="N5045" i="9" a="1"/>
  <c r="N5045" i="9" s="1"/>
  <c r="N5046" i="9" a="1"/>
  <c r="N5046" i="9" s="1"/>
  <c r="N5047" i="9" a="1"/>
  <c r="N5047" i="9" s="1"/>
  <c r="N5048" i="9" a="1"/>
  <c r="N5048" i="9" s="1"/>
  <c r="N5049" i="9" a="1"/>
  <c r="N5049" i="9"/>
  <c r="N5050" i="9" a="1"/>
  <c r="N5050" i="9" s="1"/>
  <c r="N5051" i="9" a="1"/>
  <c r="N5051" i="9" s="1"/>
  <c r="N5052" i="9" a="1"/>
  <c r="N5052" i="9" s="1"/>
  <c r="N5053" i="9" a="1"/>
  <c r="N5053" i="9" s="1"/>
  <c r="N5054" i="9" a="1"/>
  <c r="N5054" i="9" s="1"/>
  <c r="N5055" i="9" a="1"/>
  <c r="N5055" i="9" s="1"/>
  <c r="N5056" i="9" a="1"/>
  <c r="N5056" i="9" s="1"/>
  <c r="N5057" i="9" a="1"/>
  <c r="N5057" i="9" s="1"/>
  <c r="N5059" i="9" a="1"/>
  <c r="N5059" i="9" s="1"/>
  <c r="N5060" i="9" a="1"/>
  <c r="N5060" i="9" s="1"/>
  <c r="N5061" i="9" a="1"/>
  <c r="N5061" i="9" s="1"/>
  <c r="N5062" i="9" a="1"/>
  <c r="N5062" i="9" s="1"/>
  <c r="N5063" i="9" a="1"/>
  <c r="N5063" i="9" s="1"/>
  <c r="N5064" i="9" a="1"/>
  <c r="N5064" i="9" s="1"/>
  <c r="N5065" i="9" a="1"/>
  <c r="N5065" i="9" s="1"/>
  <c r="N5066" i="9" a="1"/>
  <c r="N5066" i="9" s="1"/>
  <c r="N5067" i="9" a="1"/>
  <c r="N5067" i="9" s="1"/>
  <c r="N5068" i="9" a="1"/>
  <c r="N5068" i="9" s="1"/>
  <c r="N5069" i="9" a="1"/>
  <c r="N5069" i="9" s="1"/>
  <c r="N5070" i="9" a="1"/>
  <c r="N5070" i="9" s="1"/>
  <c r="N5071" i="9" a="1"/>
  <c r="N5071" i="9" s="1"/>
  <c r="N5072" i="9" a="1"/>
  <c r="N5072" i="9" s="1"/>
  <c r="N5073" i="9" a="1"/>
  <c r="N5073" i="9" s="1"/>
  <c r="N5075" i="9" a="1"/>
  <c r="N5075" i="9" s="1"/>
  <c r="N5076" i="9" a="1"/>
  <c r="N5076" i="9" s="1"/>
  <c r="N5077" i="9" a="1"/>
  <c r="N5077" i="9" s="1"/>
  <c r="N5078" i="9" a="1"/>
  <c r="N5078" i="9" s="1"/>
  <c r="N5079" i="9" a="1"/>
  <c r="N5079" i="9" s="1"/>
  <c r="N5080" i="9" a="1"/>
  <c r="N5080" i="9" s="1"/>
  <c r="N5081" i="9" a="1"/>
  <c r="N5081" i="9" s="1"/>
  <c r="N5082" i="9" a="1"/>
  <c r="N5082" i="9" s="1"/>
  <c r="N5083" i="9" a="1"/>
  <c r="N5083" i="9" s="1"/>
  <c r="N5084" i="9" a="1"/>
  <c r="N5084" i="9" s="1"/>
  <c r="N5085" i="9" a="1"/>
  <c r="N5085" i="9" s="1"/>
  <c r="N5086" i="9" a="1"/>
  <c r="N5086" i="9" s="1"/>
  <c r="N5087" i="9" a="1"/>
  <c r="N5087" i="9" s="1"/>
  <c r="N5088" i="9" a="1"/>
  <c r="N5088" i="9" s="1"/>
  <c r="N5089" i="9" a="1"/>
  <c r="N5089" i="9" s="1"/>
  <c r="N5091" i="9" a="1"/>
  <c r="N5091" i="9" s="1"/>
  <c r="N5092" i="9" a="1"/>
  <c r="N5092" i="9" s="1"/>
  <c r="N5093" i="9" a="1"/>
  <c r="N5093" i="9" s="1"/>
  <c r="N5094" i="9" a="1"/>
  <c r="N5094" i="9" s="1"/>
  <c r="N5095" i="9" a="1"/>
  <c r="N5095" i="9" s="1"/>
  <c r="N5096" i="9" a="1"/>
  <c r="N5096" i="9" s="1"/>
  <c r="N5097" i="9" a="1"/>
  <c r="N5097" i="9" s="1"/>
  <c r="N5098" i="9" a="1"/>
  <c r="N5098" i="9" s="1"/>
  <c r="N5099" i="9" a="1"/>
  <c r="N5099" i="9" s="1"/>
  <c r="N5100" i="9" a="1"/>
  <c r="N5100" i="9" s="1"/>
  <c r="N5101" i="9" a="1"/>
  <c r="N5101" i="9" s="1"/>
  <c r="N5102" i="9" a="1"/>
  <c r="N5102" i="9" s="1"/>
  <c r="N5103" i="9" a="1"/>
  <c r="N5103" i="9" s="1"/>
  <c r="N5104" i="9" a="1"/>
  <c r="N5104" i="9" s="1"/>
  <c r="N5105" i="9" a="1"/>
  <c r="N5105" i="9" s="1"/>
  <c r="N5107" i="9" a="1"/>
  <c r="N5107" i="9" s="1"/>
  <c r="N5108" i="9" a="1"/>
  <c r="N5108" i="9" s="1"/>
  <c r="N5109" i="9" a="1"/>
  <c r="N5109" i="9" s="1"/>
  <c r="N5110" i="9" a="1"/>
  <c r="N5110" i="9" s="1"/>
  <c r="N5111" i="9" a="1"/>
  <c r="N5111" i="9" s="1"/>
  <c r="N5112" i="9" a="1"/>
  <c r="N5112" i="9" s="1"/>
  <c r="N5113" i="9" a="1"/>
  <c r="N5113" i="9" s="1"/>
  <c r="N5114" i="9" a="1"/>
  <c r="N5114" i="9" s="1"/>
  <c r="N5115" i="9" a="1"/>
  <c r="N5115" i="9" s="1"/>
  <c r="N5116" i="9" a="1"/>
  <c r="N5116" i="9" s="1"/>
  <c r="N5117" i="9" a="1"/>
  <c r="N5117" i="9" s="1"/>
  <c r="N5118" i="9" a="1"/>
  <c r="N5118" i="9" s="1"/>
  <c r="N5119" i="9" a="1"/>
  <c r="N5119" i="9" s="1"/>
  <c r="N5120" i="9" a="1"/>
  <c r="N5120" i="9" s="1"/>
  <c r="N5121" i="9" a="1"/>
  <c r="N5121" i="9" s="1"/>
  <c r="N5123" i="9" a="1"/>
  <c r="N5123" i="9" s="1"/>
  <c r="N5124" i="9" a="1"/>
  <c r="N5124" i="9" s="1"/>
  <c r="N5125" i="9" a="1"/>
  <c r="N5125" i="9" s="1"/>
  <c r="N5126" i="9" a="1"/>
  <c r="N5126" i="9" s="1"/>
  <c r="N5127" i="9" a="1"/>
  <c r="N5127" i="9" s="1"/>
  <c r="N5128" i="9" a="1"/>
  <c r="N5128" i="9" s="1"/>
  <c r="N5129" i="9" a="1"/>
  <c r="N5129" i="9" s="1"/>
  <c r="N5130" i="9" a="1"/>
  <c r="N5130" i="9" s="1"/>
  <c r="N5131" i="9" a="1"/>
  <c r="N5131" i="9" s="1"/>
  <c r="N5132" i="9" a="1"/>
  <c r="N5132" i="9" s="1"/>
  <c r="N5133" i="9" a="1"/>
  <c r="N5133" i="9" s="1"/>
  <c r="N5134" i="9" a="1"/>
  <c r="N5134" i="9" s="1"/>
  <c r="N5135" i="9" a="1"/>
  <c r="N5135" i="9" s="1"/>
  <c r="N5136" i="9" a="1"/>
  <c r="N5136" i="9" s="1"/>
  <c r="N5137" i="9" a="1"/>
  <c r="N5137" i="9" s="1"/>
  <c r="N5139" i="9" a="1"/>
  <c r="N5139" i="9" s="1"/>
  <c r="N5140" i="9" a="1"/>
  <c r="N5140" i="9" s="1"/>
  <c r="N5141" i="9" a="1"/>
  <c r="N5141" i="9" s="1"/>
  <c r="N5142" i="9" a="1"/>
  <c r="N5142" i="9" s="1"/>
  <c r="N5143" i="9" a="1"/>
  <c r="N5143" i="9" s="1"/>
  <c r="N5144" i="9" a="1"/>
  <c r="N5144" i="9" s="1"/>
  <c r="N5145" i="9" a="1"/>
  <c r="N5145" i="9" s="1"/>
  <c r="N5146" i="9" a="1"/>
  <c r="N5146" i="9" s="1"/>
  <c r="N5147" i="9" a="1"/>
  <c r="N5147" i="9" s="1"/>
  <c r="N5148" i="9" a="1"/>
  <c r="N5148" i="9" s="1"/>
  <c r="N5149" i="9" a="1"/>
  <c r="N5149" i="9" s="1"/>
  <c r="N5150" i="9" a="1"/>
  <c r="N5150" i="9" s="1"/>
  <c r="N5151" i="9" a="1"/>
  <c r="N5151" i="9" s="1"/>
  <c r="N5152" i="9" a="1"/>
  <c r="N5152" i="9" s="1"/>
  <c r="N5153" i="9" a="1"/>
  <c r="N5153" i="9" s="1"/>
  <c r="N5155" i="9" a="1"/>
  <c r="N5155" i="9" s="1"/>
  <c r="N5156" i="9" a="1"/>
  <c r="N5156" i="9" s="1"/>
  <c r="N5157" i="9" a="1"/>
  <c r="N5157" i="9" s="1"/>
  <c r="N5158" i="9" a="1"/>
  <c r="N5158" i="9" s="1"/>
  <c r="N5159" i="9" a="1"/>
  <c r="N5159" i="9" s="1"/>
  <c r="N5160" i="9" a="1"/>
  <c r="N5160" i="9" s="1"/>
  <c r="N5161" i="9" a="1"/>
  <c r="N5161" i="9" s="1"/>
  <c r="N5162" i="9" a="1"/>
  <c r="N5162" i="9" s="1"/>
  <c r="N5163" i="9" a="1"/>
  <c r="N5163" i="9" s="1"/>
  <c r="N5164" i="9" a="1"/>
  <c r="N5164" i="9" s="1"/>
  <c r="N5165" i="9" a="1"/>
  <c r="N5165" i="9" s="1"/>
  <c r="N5166" i="9" a="1"/>
  <c r="N5166" i="9" s="1"/>
  <c r="N5167" i="9" a="1"/>
  <c r="N5167" i="9" s="1"/>
  <c r="N5168" i="9" a="1"/>
  <c r="N5168" i="9" s="1"/>
  <c r="N5169" i="9" a="1"/>
  <c r="N5169" i="9" s="1"/>
  <c r="N5171" i="9" a="1"/>
  <c r="N5171" i="9" s="1"/>
  <c r="N5172" i="9" a="1"/>
  <c r="N5172" i="9" s="1"/>
  <c r="N5173" i="9" a="1"/>
  <c r="N5173" i="9" s="1"/>
  <c r="N5174" i="9" a="1"/>
  <c r="N5174" i="9" s="1"/>
  <c r="N5175" i="9" a="1"/>
  <c r="N5175" i="9" s="1"/>
  <c r="N5176" i="9" a="1"/>
  <c r="N5176" i="9" s="1"/>
  <c r="N5177" i="9" a="1"/>
  <c r="N5177" i="9" s="1"/>
  <c r="N5178" i="9" a="1"/>
  <c r="N5178" i="9" s="1"/>
  <c r="N5179" i="9" a="1"/>
  <c r="N5179" i="9" s="1"/>
  <c r="N5180" i="9" a="1"/>
  <c r="N5180" i="9" s="1"/>
  <c r="N5181" i="9" a="1"/>
  <c r="N5181" i="9" s="1"/>
  <c r="N5182" i="9" a="1"/>
  <c r="N5182" i="9" s="1"/>
  <c r="N5183" i="9" a="1"/>
  <c r="N5183" i="9" s="1"/>
  <c r="N5184" i="9" a="1"/>
  <c r="N5184" i="9" s="1"/>
  <c r="N5185" i="9" a="1"/>
  <c r="N5185" i="9" s="1"/>
  <c r="N5187" i="9" a="1"/>
  <c r="N5187" i="9" s="1"/>
  <c r="N5188" i="9" a="1"/>
  <c r="N5188" i="9" s="1"/>
  <c r="N5189" i="9" a="1"/>
  <c r="N5189" i="9" s="1"/>
  <c r="N5190" i="9" a="1"/>
  <c r="N5190" i="9" s="1"/>
  <c r="N5191" i="9" a="1"/>
  <c r="N5191" i="9" s="1"/>
  <c r="N5192" i="9" a="1"/>
  <c r="N5192" i="9" s="1"/>
  <c r="N5193" i="9" a="1"/>
  <c r="N5193" i="9" s="1"/>
  <c r="N5194" i="9" a="1"/>
  <c r="N5194" i="9" s="1"/>
  <c r="N5195" i="9" a="1"/>
  <c r="N5195" i="9" s="1"/>
  <c r="N5196" i="9" a="1"/>
  <c r="N5196" i="9" s="1"/>
  <c r="N5197" i="9" a="1"/>
  <c r="N5197" i="9" s="1"/>
  <c r="N5198" i="9" a="1"/>
  <c r="N5198" i="9" s="1"/>
  <c r="N5199" i="9" a="1"/>
  <c r="N5199" i="9" s="1"/>
  <c r="N5200" i="9" a="1"/>
  <c r="N5200" i="9" s="1"/>
  <c r="N5201" i="9" a="1"/>
  <c r="N5201" i="9" s="1"/>
  <c r="N5203" i="9" a="1"/>
  <c r="N5203" i="9" s="1"/>
  <c r="N5204" i="9" a="1"/>
  <c r="N5204" i="9" s="1"/>
  <c r="N5205" i="9" a="1"/>
  <c r="N5205" i="9" s="1"/>
  <c r="N5206" i="9" a="1"/>
  <c r="N5206" i="9" s="1"/>
  <c r="N5207" i="9" a="1"/>
  <c r="N5207" i="9" s="1"/>
  <c r="N5208" i="9" a="1"/>
  <c r="N5208" i="9" s="1"/>
  <c r="N5209" i="9" a="1"/>
  <c r="N5209" i="9" s="1"/>
  <c r="N5210" i="9" a="1"/>
  <c r="N5210" i="9" s="1"/>
  <c r="N5211" i="9" a="1"/>
  <c r="N5211" i="9" s="1"/>
  <c r="N5212" i="9" a="1"/>
  <c r="N5212" i="9" s="1"/>
  <c r="N5213" i="9" a="1"/>
  <c r="N5213" i="9" s="1"/>
  <c r="N5214" i="9" a="1"/>
  <c r="N5214" i="9" s="1"/>
  <c r="N5215" i="9" a="1"/>
  <c r="N5215" i="9" s="1"/>
  <c r="N5216" i="9" a="1"/>
  <c r="N5216" i="9" s="1"/>
  <c r="N5217" i="9" a="1"/>
  <c r="N5217" i="9" s="1"/>
  <c r="N5219" i="9" a="1"/>
  <c r="N5219" i="9" s="1"/>
  <c r="N5220" i="9" a="1"/>
  <c r="N5220" i="9" s="1"/>
  <c r="N5221" i="9" a="1"/>
  <c r="N5221" i="9" s="1"/>
  <c r="N5222" i="9" a="1"/>
  <c r="N5222" i="9" s="1"/>
  <c r="N5223" i="9" a="1"/>
  <c r="N5223" i="9" s="1"/>
  <c r="N5224" i="9" a="1"/>
  <c r="N5224" i="9" s="1"/>
  <c r="N5225" i="9" a="1"/>
  <c r="N5225" i="9" s="1"/>
  <c r="N5226" i="9" a="1"/>
  <c r="N5226" i="9" s="1"/>
  <c r="N5227" i="9" a="1"/>
  <c r="N5227" i="9" s="1"/>
  <c r="N5228" i="9" a="1"/>
  <c r="N5228" i="9" s="1"/>
  <c r="N5229" i="9" a="1"/>
  <c r="N5229" i="9" s="1"/>
  <c r="N5230" i="9" a="1"/>
  <c r="N5230" i="9" s="1"/>
  <c r="N5231" i="9" a="1"/>
  <c r="N5231" i="9" s="1"/>
  <c r="N5232" i="9" a="1"/>
  <c r="N5232" i="9" s="1"/>
  <c r="N5233" i="9" a="1"/>
  <c r="N5233" i="9" s="1"/>
  <c r="N5235" i="9" a="1"/>
  <c r="N5235" i="9" s="1"/>
  <c r="N5236" i="9" a="1"/>
  <c r="N5236" i="9" s="1"/>
  <c r="N5237" i="9" a="1"/>
  <c r="N5237" i="9" s="1"/>
  <c r="N5238" i="9" a="1"/>
  <c r="N5238" i="9" s="1"/>
  <c r="N5239" i="9" a="1"/>
  <c r="N5239" i="9" s="1"/>
  <c r="N5240" i="9" a="1"/>
  <c r="N5240" i="9" s="1"/>
  <c r="N5241" i="9" a="1"/>
  <c r="N5241" i="9" s="1"/>
  <c r="N5242" i="9" a="1"/>
  <c r="N5242" i="9" s="1"/>
  <c r="N5243" i="9" a="1"/>
  <c r="N5243" i="9" s="1"/>
  <c r="N5244" i="9" a="1"/>
  <c r="N5244" i="9" s="1"/>
  <c r="N5245" i="9" a="1"/>
  <c r="N5245" i="9" s="1"/>
  <c r="N5246" i="9" a="1"/>
  <c r="N5246" i="9" s="1"/>
  <c r="N5247" i="9" a="1"/>
  <c r="N5247" i="9" s="1"/>
  <c r="N5248" i="9" a="1"/>
  <c r="N5248" i="9" s="1"/>
  <c r="N5249" i="9" a="1"/>
  <c r="N5249" i="9" s="1"/>
  <c r="N5251" i="9" a="1"/>
  <c r="N5251" i="9" s="1"/>
  <c r="N5252" i="9" a="1"/>
  <c r="N5252" i="9" s="1"/>
  <c r="N5253" i="9" a="1"/>
  <c r="N5253" i="9" s="1"/>
  <c r="N5254" i="9" a="1"/>
  <c r="N5254" i="9" s="1"/>
  <c r="N5255" i="9" a="1"/>
  <c r="N5255" i="9" s="1"/>
  <c r="N5256" i="9" a="1"/>
  <c r="N5256" i="9" s="1"/>
  <c r="N5257" i="9" a="1"/>
  <c r="N5257" i="9" s="1"/>
  <c r="N5258" i="9" a="1"/>
  <c r="N5258" i="9" s="1"/>
  <c r="N5259" i="9" a="1"/>
  <c r="N5259" i="9" s="1"/>
  <c r="N5260" i="9" a="1"/>
  <c r="N5260" i="9" s="1"/>
  <c r="N5261" i="9" a="1"/>
  <c r="N5261" i="9" s="1"/>
  <c r="N5262" i="9" a="1"/>
  <c r="N5262" i="9" s="1"/>
  <c r="N5263" i="9" a="1"/>
  <c r="N5263" i="9" s="1"/>
  <c r="N5264" i="9" a="1"/>
  <c r="N5264" i="9" s="1"/>
  <c r="N5265" i="9" a="1"/>
  <c r="N5265" i="9" s="1"/>
  <c r="N5267" i="9" a="1"/>
  <c r="N5267" i="9" s="1"/>
  <c r="N5268" i="9" a="1"/>
  <c r="N5268" i="9" s="1"/>
  <c r="N5269" i="9" a="1"/>
  <c r="N5269" i="9" s="1"/>
  <c r="N5270" i="9" a="1"/>
  <c r="N5270" i="9" s="1"/>
  <c r="N5271" i="9" a="1"/>
  <c r="N5271" i="9" s="1"/>
  <c r="N5272" i="9" a="1"/>
  <c r="N5272" i="9" s="1"/>
  <c r="N5273" i="9" a="1"/>
  <c r="N5273" i="9" s="1"/>
  <c r="N5274" i="9" a="1"/>
  <c r="N5274" i="9" s="1"/>
  <c r="N5275" i="9" a="1"/>
  <c r="N5275" i="9" s="1"/>
  <c r="N5276" i="9" a="1"/>
  <c r="N5276" i="9" s="1"/>
  <c r="N5277" i="9" a="1"/>
  <c r="N5277" i="9" s="1"/>
  <c r="N5278" i="9" a="1"/>
  <c r="N5278" i="9" s="1"/>
  <c r="N5279" i="9" a="1"/>
  <c r="N5279" i="9" s="1"/>
  <c r="N5280" i="9" a="1"/>
  <c r="N5280" i="9" s="1"/>
  <c r="N5281" i="9" a="1"/>
  <c r="N5281" i="9" s="1"/>
  <c r="N5283" i="9" a="1"/>
  <c r="N5283" i="9" s="1"/>
  <c r="N5284" i="9" a="1"/>
  <c r="N5284" i="9" s="1"/>
  <c r="N5285" i="9" a="1"/>
  <c r="N5285" i="9" s="1"/>
  <c r="N5286" i="9" a="1"/>
  <c r="N5286" i="9" s="1"/>
  <c r="N5287" i="9" a="1"/>
  <c r="N5287" i="9" s="1"/>
  <c r="N5288" i="9" a="1"/>
  <c r="N5288" i="9" s="1"/>
  <c r="N5289" i="9" a="1"/>
  <c r="N5289" i="9" s="1"/>
  <c r="N5290" i="9" a="1"/>
  <c r="N5290" i="9" s="1"/>
  <c r="N5291" i="9" a="1"/>
  <c r="N5291" i="9" s="1"/>
  <c r="N5292" i="9" a="1"/>
  <c r="N5292" i="9" s="1"/>
  <c r="N5293" i="9" a="1"/>
  <c r="N5293" i="9" s="1"/>
  <c r="N5294" i="9" a="1"/>
  <c r="N5294" i="9" s="1"/>
  <c r="N5295" i="9" a="1"/>
  <c r="N5295" i="9" s="1"/>
  <c r="N5296" i="9" a="1"/>
  <c r="N5296" i="9" s="1"/>
  <c r="N5297" i="9" a="1"/>
  <c r="N5297" i="9" s="1"/>
  <c r="N5299" i="9" a="1"/>
  <c r="N5299" i="9" s="1"/>
  <c r="N5300" i="9" a="1"/>
  <c r="N5300" i="9" s="1"/>
  <c r="N5301" i="9" a="1"/>
  <c r="N5301" i="9" s="1"/>
  <c r="N5302" i="9" a="1"/>
  <c r="N5302" i="9" s="1"/>
  <c r="N5303" i="9" a="1"/>
  <c r="N5303" i="9" s="1"/>
  <c r="N5304" i="9" a="1"/>
  <c r="N5304" i="9" s="1"/>
  <c r="N5305" i="9" a="1"/>
  <c r="N5305" i="9" s="1"/>
  <c r="N5306" i="9" a="1"/>
  <c r="N5306" i="9" s="1"/>
  <c r="N5307" i="9" a="1"/>
  <c r="N5307" i="9" s="1"/>
  <c r="N5308" i="9" a="1"/>
  <c r="N5308" i="9" s="1"/>
  <c r="N5309" i="9" a="1"/>
  <c r="N5309" i="9" s="1"/>
  <c r="N5310" i="9" a="1"/>
  <c r="N5310" i="9" s="1"/>
  <c r="N5311" i="9" a="1"/>
  <c r="N5311" i="9" s="1"/>
  <c r="N5312" i="9" a="1"/>
  <c r="N5312" i="9" s="1"/>
  <c r="N5313" i="9" a="1"/>
  <c r="N5313" i="9" s="1"/>
  <c r="N5315" i="9" a="1"/>
  <c r="N5315" i="9" s="1"/>
  <c r="N5316" i="9" a="1"/>
  <c r="N5316" i="9" s="1"/>
  <c r="N5317" i="9" a="1"/>
  <c r="N5317" i="9" s="1"/>
  <c r="N5318" i="9" a="1"/>
  <c r="N5318" i="9" s="1"/>
  <c r="N5319" i="9" a="1"/>
  <c r="N5319" i="9" s="1"/>
  <c r="N5320" i="9" a="1"/>
  <c r="N5320" i="9" s="1"/>
  <c r="N5321" i="9" a="1"/>
  <c r="N5321" i="9" s="1"/>
  <c r="N5322" i="9" a="1"/>
  <c r="N5322" i="9" s="1"/>
  <c r="N5323" i="9" a="1"/>
  <c r="N5323" i="9" s="1"/>
  <c r="N5324" i="9" a="1"/>
  <c r="N5324" i="9" s="1"/>
  <c r="N5325" i="9" a="1"/>
  <c r="N5325" i="9" s="1"/>
  <c r="N5326" i="9" a="1"/>
  <c r="N5326" i="9" s="1"/>
  <c r="N5327" i="9" a="1"/>
  <c r="N5327" i="9" s="1"/>
  <c r="N5328" i="9" a="1"/>
  <c r="N5328" i="9" s="1"/>
  <c r="N5329" i="9" a="1"/>
  <c r="N5329" i="9" s="1"/>
  <c r="N5331" i="9" a="1"/>
  <c r="N5331" i="9" s="1"/>
  <c r="N5332" i="9" a="1"/>
  <c r="N5332" i="9" s="1"/>
  <c r="N5333" i="9" a="1"/>
  <c r="N5333" i="9" s="1"/>
  <c r="N5334" i="9" a="1"/>
  <c r="N5334" i="9" s="1"/>
  <c r="N5335" i="9" a="1"/>
  <c r="N5335" i="9" s="1"/>
  <c r="N5336" i="9" a="1"/>
  <c r="N5336" i="9" s="1"/>
  <c r="N5337" i="9" a="1"/>
  <c r="N5337" i="9" s="1"/>
  <c r="N5338" i="9" a="1"/>
  <c r="N5338" i="9" s="1"/>
  <c r="N5339" i="9" a="1"/>
  <c r="N5339" i="9" s="1"/>
  <c r="N5340" i="9" a="1"/>
  <c r="N5340" i="9" s="1"/>
  <c r="N5341" i="9" a="1"/>
  <c r="N5341" i="9" s="1"/>
  <c r="N5342" i="9" a="1"/>
  <c r="N5342" i="9" s="1"/>
  <c r="N5343" i="9" a="1"/>
  <c r="N5343" i="9" s="1"/>
  <c r="N5344" i="9" a="1"/>
  <c r="N5344" i="9" s="1"/>
  <c r="N5345" i="9" a="1"/>
  <c r="N5345" i="9" s="1"/>
  <c r="N5347" i="9" a="1"/>
  <c r="N5347" i="9" s="1"/>
  <c r="N5348" i="9" a="1"/>
  <c r="N5348" i="9" s="1"/>
  <c r="N5349" i="9" a="1"/>
  <c r="N5349" i="9" s="1"/>
  <c r="N5350" i="9" a="1"/>
  <c r="N5350" i="9" s="1"/>
  <c r="N5351" i="9" a="1"/>
  <c r="N5351" i="9" s="1"/>
  <c r="N5352" i="9" a="1"/>
  <c r="N5352" i="9" s="1"/>
  <c r="N5353" i="9" a="1"/>
  <c r="N5353" i="9" s="1"/>
  <c r="N5354" i="9" a="1"/>
  <c r="N5354" i="9" s="1"/>
  <c r="N5355" i="9" a="1"/>
  <c r="N5355" i="9" s="1"/>
  <c r="N5356" i="9" a="1"/>
  <c r="N5356" i="9" s="1"/>
  <c r="N5357" i="9" a="1"/>
  <c r="N5357" i="9" s="1"/>
  <c r="N5358" i="9" a="1"/>
  <c r="N5358" i="9" s="1"/>
  <c r="N5359" i="9" a="1"/>
  <c r="N5359" i="9" s="1"/>
  <c r="N5360" i="9" a="1"/>
  <c r="N5360" i="9" s="1"/>
  <c r="N5361" i="9" a="1"/>
  <c r="N5361" i="9" s="1"/>
  <c r="N5363" i="9" a="1"/>
  <c r="N5363" i="9" s="1"/>
  <c r="N5364" i="9" a="1"/>
  <c r="N5364" i="9" s="1"/>
  <c r="N5365" i="9" a="1"/>
  <c r="N5365" i="9" s="1"/>
  <c r="N5366" i="9" a="1"/>
  <c r="N5366" i="9" s="1"/>
  <c r="N5367" i="9" a="1"/>
  <c r="N5367" i="9" s="1"/>
  <c r="N5368" i="9" a="1"/>
  <c r="N5368" i="9" s="1"/>
  <c r="N5369" i="9" a="1"/>
  <c r="N5369" i="9" s="1"/>
  <c r="N5370" i="9" a="1"/>
  <c r="N5370" i="9" s="1"/>
  <c r="N5371" i="9" a="1"/>
  <c r="N5371" i="9" s="1"/>
  <c r="N5372" i="9" a="1"/>
  <c r="N5372" i="9" s="1"/>
  <c r="N5373" i="9" a="1"/>
  <c r="N5373" i="9" s="1"/>
  <c r="N5374" i="9" a="1"/>
  <c r="N5374" i="9" s="1"/>
  <c r="N5375" i="9" a="1"/>
  <c r="N5375" i="9" s="1"/>
  <c r="N5376" i="9" a="1"/>
  <c r="N5376" i="9" s="1"/>
  <c r="N5377" i="9" a="1"/>
  <c r="N5377" i="9" s="1"/>
  <c r="N5379" i="9" a="1"/>
  <c r="N5379" i="9" s="1"/>
  <c r="N5380" i="9" a="1"/>
  <c r="N5380" i="9" s="1"/>
  <c r="N5381" i="9" a="1"/>
  <c r="N5381" i="9" s="1"/>
  <c r="N5382" i="9" a="1"/>
  <c r="N5382" i="9" s="1"/>
  <c r="N5383" i="9" a="1"/>
  <c r="N5383" i="9" s="1"/>
  <c r="N5384" i="9" a="1"/>
  <c r="N5384" i="9" s="1"/>
  <c r="N5385" i="9" a="1"/>
  <c r="N5385" i="9" s="1"/>
  <c r="N5386" i="9" a="1"/>
  <c r="N5386" i="9" s="1"/>
  <c r="N5387" i="9" a="1"/>
  <c r="N5387" i="9" s="1"/>
  <c r="N5388" i="9" a="1"/>
  <c r="N5388" i="9" s="1"/>
  <c r="N5389" i="9" a="1"/>
  <c r="N5389" i="9" s="1"/>
  <c r="N5390" i="9" a="1"/>
  <c r="N5390" i="9" s="1"/>
  <c r="N5391" i="9" a="1"/>
  <c r="N5391" i="9" s="1"/>
  <c r="N5392" i="9" a="1"/>
  <c r="N5392" i="9" s="1"/>
  <c r="N5393" i="9" a="1"/>
  <c r="N5393" i="9" s="1"/>
  <c r="N5395" i="9" a="1"/>
  <c r="N5395" i="9" s="1"/>
  <c r="N5396" i="9" a="1"/>
  <c r="N5396" i="9" s="1"/>
  <c r="N5397" i="9" a="1"/>
  <c r="N5397" i="9" s="1"/>
  <c r="N5398" i="9" a="1"/>
  <c r="N5398" i="9" s="1"/>
  <c r="N5399" i="9" a="1"/>
  <c r="N5399" i="9" s="1"/>
  <c r="N5400" i="9" a="1"/>
  <c r="N5400" i="9" s="1"/>
  <c r="N5401" i="9" a="1"/>
  <c r="N5401" i="9" s="1"/>
  <c r="N5402" i="9" a="1"/>
  <c r="N5402" i="9" s="1"/>
  <c r="N5403" i="9" a="1"/>
  <c r="N5403" i="9" s="1"/>
  <c r="N5404" i="9" a="1"/>
  <c r="N5404" i="9" s="1"/>
  <c r="N5405" i="9" a="1"/>
  <c r="N5405" i="9" s="1"/>
  <c r="N5406" i="9" a="1"/>
  <c r="N5406" i="9" s="1"/>
  <c r="N5407" i="9" a="1"/>
  <c r="N5407" i="9" s="1"/>
  <c r="N5408" i="9" a="1"/>
  <c r="N5408" i="9" s="1"/>
  <c r="N5409" i="9" a="1"/>
  <c r="N5409" i="9" s="1"/>
  <c r="N5411" i="9" a="1"/>
  <c r="N5411" i="9" s="1"/>
  <c r="N5412" i="9" a="1"/>
  <c r="N5412" i="9" s="1"/>
  <c r="N5413" i="9" a="1"/>
  <c r="N5413" i="9" s="1"/>
  <c r="N5414" i="9" a="1"/>
  <c r="N5414" i="9" s="1"/>
  <c r="N5415" i="9" a="1"/>
  <c r="N5415" i="9" s="1"/>
  <c r="N5416" i="9" a="1"/>
  <c r="N5416" i="9" s="1"/>
  <c r="N5417" i="9" a="1"/>
  <c r="N5417" i="9" s="1"/>
  <c r="N5418" i="9" a="1"/>
  <c r="N5418" i="9" s="1"/>
  <c r="N5419" i="9" a="1"/>
  <c r="N5419" i="9" s="1"/>
  <c r="N5420" i="9" a="1"/>
  <c r="N5420" i="9" s="1"/>
  <c r="N5421" i="9" a="1"/>
  <c r="N5421" i="9" s="1"/>
  <c r="N5422" i="9" a="1"/>
  <c r="N5422" i="9" s="1"/>
  <c r="N5423" i="9" a="1"/>
  <c r="N5423" i="9" s="1"/>
  <c r="N5424" i="9" a="1"/>
  <c r="N5424" i="9" s="1"/>
  <c r="N5425" i="9" a="1"/>
  <c r="N5425" i="9" s="1"/>
  <c r="N5427" i="9" a="1"/>
  <c r="N5427" i="9" s="1"/>
  <c r="N5428" i="9" a="1"/>
  <c r="N5428" i="9" s="1"/>
  <c r="N5429" i="9" a="1"/>
  <c r="N5429" i="9" s="1"/>
  <c r="N5430" i="9" a="1"/>
  <c r="N5430" i="9" s="1"/>
  <c r="N5431" i="9" a="1"/>
  <c r="N5431" i="9" s="1"/>
  <c r="N5432" i="9" a="1"/>
  <c r="N5432" i="9" s="1"/>
  <c r="N5433" i="9" a="1"/>
  <c r="N5433" i="9" s="1"/>
  <c r="N5434" i="9" a="1"/>
  <c r="N5434" i="9" s="1"/>
  <c r="N5435" i="9" a="1"/>
  <c r="N5435" i="9" s="1"/>
  <c r="N5436" i="9" a="1"/>
  <c r="N5436" i="9" s="1"/>
  <c r="N5437" i="9" a="1"/>
  <c r="N5437" i="9" s="1"/>
  <c r="N5438" i="9" a="1"/>
  <c r="N5438" i="9" s="1"/>
  <c r="N5439" i="9" a="1"/>
  <c r="N5439" i="9" s="1"/>
  <c r="N5440" i="9" a="1"/>
  <c r="N5440" i="9" s="1"/>
  <c r="N5441" i="9" a="1"/>
  <c r="N5441" i="9" s="1"/>
  <c r="N5443" i="9" a="1"/>
  <c r="N5443" i="9" s="1"/>
  <c r="N5444" i="9" a="1"/>
  <c r="N5444" i="9" s="1"/>
  <c r="N5445" i="9" a="1"/>
  <c r="N5445" i="9" s="1"/>
  <c r="N5446" i="9" a="1"/>
  <c r="N5446" i="9" s="1"/>
  <c r="N5447" i="9" a="1"/>
  <c r="N5447" i="9" s="1"/>
  <c r="N5448" i="9" a="1"/>
  <c r="N5448" i="9" s="1"/>
  <c r="N5449" i="9" a="1"/>
  <c r="N5449" i="9" s="1"/>
  <c r="N5450" i="9" a="1"/>
  <c r="N5450" i="9" s="1"/>
  <c r="N5451" i="9" a="1"/>
  <c r="N5451" i="9" s="1"/>
  <c r="N5452" i="9" a="1"/>
  <c r="N5452" i="9" s="1"/>
  <c r="N5453" i="9" a="1"/>
  <c r="N5453" i="9" s="1"/>
  <c r="N5454" i="9" a="1"/>
  <c r="N5454" i="9" s="1"/>
  <c r="N5455" i="9" a="1"/>
  <c r="N5455" i="9" s="1"/>
  <c r="N5456" i="9" a="1"/>
  <c r="N5456" i="9" s="1"/>
  <c r="N5457" i="9" a="1"/>
  <c r="N5457" i="9" s="1"/>
  <c r="N5459" i="9" a="1"/>
  <c r="N5459" i="9" s="1"/>
  <c r="N5460" i="9" a="1"/>
  <c r="N5460" i="9" s="1"/>
  <c r="N5461" i="9" a="1"/>
  <c r="N5461" i="9" s="1"/>
  <c r="N5462" i="9" a="1"/>
  <c r="N5462" i="9" s="1"/>
  <c r="N5463" i="9" a="1"/>
  <c r="N5463" i="9" s="1"/>
  <c r="N5464" i="9" a="1"/>
  <c r="N5464" i="9" s="1"/>
  <c r="N5465" i="9" a="1"/>
  <c r="N5465" i="9" s="1"/>
  <c r="N5466" i="9" a="1"/>
  <c r="N5466" i="9" s="1"/>
  <c r="N5467" i="9" a="1"/>
  <c r="N5467" i="9" s="1"/>
  <c r="N5468" i="9" a="1"/>
  <c r="N5468" i="9" s="1"/>
  <c r="N5469" i="9" a="1"/>
  <c r="N5469" i="9" s="1"/>
  <c r="N5470" i="9" a="1"/>
  <c r="N5470" i="9" s="1"/>
  <c r="N5471" i="9" a="1"/>
  <c r="N5471" i="9" s="1"/>
  <c r="N5472" i="9" a="1"/>
  <c r="N5472" i="9" s="1"/>
  <c r="N5473" i="9" a="1"/>
  <c r="N5473" i="9" s="1"/>
  <c r="N5475" i="9" a="1"/>
  <c r="N5475" i="9" s="1"/>
  <c r="N5476" i="9" a="1"/>
  <c r="N5476" i="9" s="1"/>
  <c r="N5477" i="9" a="1"/>
  <c r="N5477" i="9" s="1"/>
  <c r="N5478" i="9" a="1"/>
  <c r="N5478" i="9" s="1"/>
  <c r="N5479" i="9" a="1"/>
  <c r="N5479" i="9" s="1"/>
  <c r="N5480" i="9" a="1"/>
  <c r="N5480" i="9" s="1"/>
  <c r="N5481" i="9" a="1"/>
  <c r="N5481" i="9" s="1"/>
  <c r="N5482" i="9" a="1"/>
  <c r="N5482" i="9" s="1"/>
  <c r="N5483" i="9" a="1"/>
  <c r="N5483" i="9" s="1"/>
  <c r="N5484" i="9" a="1"/>
  <c r="N5484" i="9" s="1"/>
  <c r="N5485" i="9" a="1"/>
  <c r="N5485" i="9" s="1"/>
  <c r="N5486" i="9" a="1"/>
  <c r="N5486" i="9" s="1"/>
  <c r="N5487" i="9" a="1"/>
  <c r="N5487" i="9" s="1"/>
  <c r="N5488" i="9" a="1"/>
  <c r="N5488" i="9" s="1"/>
  <c r="N5489" i="9" a="1"/>
  <c r="N5489" i="9" s="1"/>
  <c r="N5491" i="9" a="1"/>
  <c r="N5491" i="9" s="1"/>
  <c r="N5492" i="9" a="1"/>
  <c r="N5492" i="9" s="1"/>
  <c r="N5493" i="9" a="1"/>
  <c r="N5493" i="9" s="1"/>
  <c r="N5494" i="9" a="1"/>
  <c r="N5494" i="9" s="1"/>
  <c r="N5495" i="9" a="1"/>
  <c r="N5495" i="9" s="1"/>
  <c r="N5496" i="9" a="1"/>
  <c r="N5496" i="9" s="1"/>
  <c r="N5497" i="9" a="1"/>
  <c r="N5497" i="9" s="1"/>
  <c r="N5498" i="9" a="1"/>
  <c r="N5498" i="9" s="1"/>
  <c r="N5499" i="9" a="1"/>
  <c r="N5499" i="9" s="1"/>
  <c r="N5500" i="9" a="1"/>
  <c r="N5500" i="9" s="1"/>
  <c r="N5501" i="9" a="1"/>
  <c r="N5501" i="9" s="1"/>
  <c r="N5502" i="9" a="1"/>
  <c r="N5502" i="9" s="1"/>
  <c r="N5503" i="9" a="1"/>
  <c r="N5503" i="9" s="1"/>
  <c r="N5504" i="9" a="1"/>
  <c r="N5504" i="9" s="1"/>
  <c r="N5505" i="9" a="1"/>
  <c r="N5505" i="9" s="1"/>
  <c r="N5507" i="9" a="1"/>
  <c r="N5507" i="9" s="1"/>
  <c r="N5508" i="9" a="1"/>
  <c r="N5508" i="9" s="1"/>
  <c r="N5509" i="9" a="1"/>
  <c r="N5509" i="9" s="1"/>
  <c r="N5510" i="9" a="1"/>
  <c r="N5510" i="9" s="1"/>
  <c r="N5511" i="9" a="1"/>
  <c r="N5511" i="9" s="1"/>
  <c r="N5512" i="9" a="1"/>
  <c r="N5512" i="9" s="1"/>
  <c r="N5513" i="9" a="1"/>
  <c r="N5513" i="9" s="1"/>
  <c r="N5514" i="9" a="1"/>
  <c r="N5514" i="9" s="1"/>
  <c r="N5515" i="9" a="1"/>
  <c r="N5515" i="9" s="1"/>
  <c r="N5516" i="9" a="1"/>
  <c r="N5516" i="9" s="1"/>
  <c r="N5517" i="9" a="1"/>
  <c r="N5517" i="9" s="1"/>
  <c r="N5518" i="9" a="1"/>
  <c r="N5518" i="9" s="1"/>
  <c r="N5519" i="9" a="1"/>
  <c r="N5519" i="9" s="1"/>
  <c r="N5520" i="9" a="1"/>
  <c r="N5520" i="9" s="1"/>
  <c r="N5521" i="9" a="1"/>
  <c r="N5521" i="9" s="1"/>
  <c r="N5523" i="9" a="1"/>
  <c r="N5523" i="9" s="1"/>
  <c r="N5524" i="9" a="1"/>
  <c r="N5524" i="9" s="1"/>
  <c r="N5525" i="9" a="1"/>
  <c r="N5525" i="9" s="1"/>
  <c r="N5526" i="9" a="1"/>
  <c r="N5526" i="9" s="1"/>
  <c r="N5527" i="9" a="1"/>
  <c r="N5527" i="9" s="1"/>
  <c r="N5528" i="9" a="1"/>
  <c r="N5528" i="9" s="1"/>
  <c r="N5529" i="9" a="1"/>
  <c r="N5529" i="9" s="1"/>
  <c r="N5530" i="9" a="1"/>
  <c r="N5530" i="9" s="1"/>
  <c r="N5531" i="9" a="1"/>
  <c r="N5531" i="9" s="1"/>
  <c r="N5532" i="9" a="1"/>
  <c r="N5532" i="9" s="1"/>
  <c r="N5533" i="9" a="1"/>
  <c r="N5533" i="9" s="1"/>
  <c r="N5534" i="9" a="1"/>
  <c r="N5534" i="9" s="1"/>
  <c r="N5535" i="9" a="1"/>
  <c r="N5535" i="9" s="1"/>
  <c r="N5536" i="9" a="1"/>
  <c r="N5536" i="9" s="1"/>
  <c r="N5537" i="9" a="1"/>
  <c r="N5537" i="9" s="1"/>
  <c r="N5539" i="9" a="1"/>
  <c r="N5539" i="9" s="1"/>
  <c r="N5540" i="9" a="1"/>
  <c r="N5540" i="9" s="1"/>
  <c r="N5541" i="9" a="1"/>
  <c r="N5541" i="9" s="1"/>
  <c r="N5542" i="9" a="1"/>
  <c r="N5542" i="9" s="1"/>
  <c r="N5543" i="9" a="1"/>
  <c r="N5543" i="9" s="1"/>
  <c r="N5544" i="9" a="1"/>
  <c r="N5544" i="9" s="1"/>
  <c r="N5545" i="9" a="1"/>
  <c r="N5545" i="9" s="1"/>
  <c r="N5546" i="9" a="1"/>
  <c r="N5546" i="9" s="1"/>
  <c r="N5547" i="9" a="1"/>
  <c r="N5547" i="9" s="1"/>
  <c r="N5548" i="9" a="1"/>
  <c r="N5548" i="9" s="1"/>
  <c r="N5549" i="9" a="1"/>
  <c r="N5549" i="9" s="1"/>
  <c r="N5550" i="9" a="1"/>
  <c r="N5550" i="9" s="1"/>
  <c r="N5551" i="9" a="1"/>
  <c r="N5551" i="9" s="1"/>
  <c r="N5552" i="9" a="1"/>
  <c r="N5552" i="9" s="1"/>
  <c r="N5553" i="9" a="1"/>
  <c r="N5553" i="9" s="1"/>
  <c r="N5555" i="9" a="1"/>
  <c r="N5555" i="9" s="1"/>
  <c r="N5556" i="9" a="1"/>
  <c r="N5556" i="9" s="1"/>
  <c r="N5557" i="9" a="1"/>
  <c r="N5557" i="9" s="1"/>
  <c r="N5558" i="9" a="1"/>
  <c r="N5558" i="9" s="1"/>
  <c r="N5559" i="9" a="1"/>
  <c r="N5559" i="9" s="1"/>
  <c r="N5560" i="9" a="1"/>
  <c r="N5560" i="9" s="1"/>
  <c r="N5561" i="9" a="1"/>
  <c r="N5561" i="9" s="1"/>
  <c r="N5562" i="9" a="1"/>
  <c r="N5562" i="9" s="1"/>
  <c r="N5563" i="9" a="1"/>
  <c r="N5563" i="9" s="1"/>
  <c r="N5564" i="9" a="1"/>
  <c r="N5564" i="9" s="1"/>
  <c r="N5565" i="9" a="1"/>
  <c r="N5565" i="9" s="1"/>
  <c r="N5566" i="9" a="1"/>
  <c r="N5566" i="9" s="1"/>
  <c r="N5567" i="9" a="1"/>
  <c r="N5567" i="9" s="1"/>
  <c r="N5568" i="9" a="1"/>
  <c r="N5568" i="9" s="1"/>
  <c r="N5569" i="9" a="1"/>
  <c r="N5569" i="9" s="1"/>
  <c r="N5571" i="9" a="1"/>
  <c r="N5571" i="9" s="1"/>
  <c r="N5572" i="9" a="1"/>
  <c r="N5572" i="9" s="1"/>
  <c r="N5573" i="9" a="1"/>
  <c r="N5573" i="9" s="1"/>
  <c r="N5574" i="9" a="1"/>
  <c r="N5574" i="9" s="1"/>
  <c r="N5575" i="9" a="1"/>
  <c r="N5575" i="9" s="1"/>
  <c r="N5576" i="9" a="1"/>
  <c r="N5576" i="9" s="1"/>
  <c r="N5577" i="9" a="1"/>
  <c r="N5577" i="9" s="1"/>
  <c r="N5578" i="9" a="1"/>
  <c r="N5578" i="9" s="1"/>
  <c r="N5579" i="9" a="1"/>
  <c r="N5579" i="9" s="1"/>
  <c r="N5580" i="9" a="1"/>
  <c r="N5580" i="9" s="1"/>
  <c r="N5581" i="9" a="1"/>
  <c r="N5581" i="9" s="1"/>
  <c r="N5582" i="9" a="1"/>
  <c r="N5582" i="9" s="1"/>
  <c r="N5583" i="9" a="1"/>
  <c r="N5583" i="9" s="1"/>
  <c r="N5584" i="9" a="1"/>
  <c r="N5584" i="9" s="1"/>
  <c r="N5585" i="9" a="1"/>
  <c r="N5585" i="9" s="1"/>
  <c r="N5587" i="9" a="1"/>
  <c r="N5587" i="9" s="1"/>
  <c r="N5588" i="9" a="1"/>
  <c r="N5588" i="9" s="1"/>
  <c r="N5589" i="9" a="1"/>
  <c r="N5589" i="9" s="1"/>
  <c r="N5590" i="9" a="1"/>
  <c r="N5590" i="9" s="1"/>
  <c r="N5591" i="9" a="1"/>
  <c r="N5591" i="9" s="1"/>
  <c r="N5592" i="9" a="1"/>
  <c r="N5592" i="9" s="1"/>
  <c r="N5593" i="9" a="1"/>
  <c r="N5593" i="9" s="1"/>
  <c r="N5594" i="9" a="1"/>
  <c r="N5594" i="9" s="1"/>
  <c r="N5595" i="9" a="1"/>
  <c r="N5595" i="9" s="1"/>
  <c r="N5596" i="9" a="1"/>
  <c r="N5596" i="9" s="1"/>
  <c r="N5597" i="9" a="1"/>
  <c r="N5597" i="9" s="1"/>
  <c r="N5598" i="9" a="1"/>
  <c r="N5598" i="9" s="1"/>
  <c r="N5599" i="9" a="1"/>
  <c r="N5599" i="9" s="1"/>
  <c r="N5600" i="9" a="1"/>
  <c r="N5600" i="9" s="1"/>
  <c r="N5601" i="9" a="1"/>
  <c r="N5601" i="9" s="1"/>
  <c r="N5603" i="9" a="1"/>
  <c r="N5603" i="9" s="1"/>
  <c r="N5604" i="9" a="1"/>
  <c r="N5604" i="9" s="1"/>
  <c r="N5605" i="9" a="1"/>
  <c r="N5605" i="9" s="1"/>
  <c r="N5606" i="9" a="1"/>
  <c r="N5606" i="9" s="1"/>
  <c r="N5607" i="9" a="1"/>
  <c r="N5607" i="9" s="1"/>
  <c r="N5608" i="9" a="1"/>
  <c r="N5608" i="9" s="1"/>
  <c r="N5609" i="9" a="1"/>
  <c r="N5609" i="9" s="1"/>
  <c r="N5610" i="9" a="1"/>
  <c r="N5610" i="9" s="1"/>
  <c r="N5611" i="9" a="1"/>
  <c r="N5611" i="9" s="1"/>
  <c r="N5612" i="9" a="1"/>
  <c r="N5612" i="9" s="1"/>
  <c r="N5613" i="9" a="1"/>
  <c r="N5613" i="9" s="1"/>
  <c r="N5614" i="9" a="1"/>
  <c r="N5614" i="9" s="1"/>
  <c r="N5615" i="9" a="1"/>
  <c r="N5615" i="9" s="1"/>
  <c r="N5616" i="9" a="1"/>
  <c r="N5616" i="9" s="1"/>
  <c r="N5617" i="9" a="1"/>
  <c r="N5617" i="9" s="1"/>
  <c r="N5619" i="9" a="1"/>
  <c r="N5619" i="9" s="1"/>
  <c r="N5620" i="9" a="1"/>
  <c r="N5620" i="9" s="1"/>
  <c r="N5621" i="9" a="1"/>
  <c r="N5621" i="9" s="1"/>
  <c r="N5622" i="9" a="1"/>
  <c r="N5622" i="9" s="1"/>
  <c r="N5623" i="9" a="1"/>
  <c r="N5623" i="9" s="1"/>
  <c r="N5624" i="9" a="1"/>
  <c r="N5624" i="9" s="1"/>
  <c r="N5625" i="9" a="1"/>
  <c r="N5625" i="9" s="1"/>
  <c r="N5626" i="9" a="1"/>
  <c r="N5626" i="9" s="1"/>
  <c r="N5627" i="9" a="1"/>
  <c r="N5627" i="9" s="1"/>
  <c r="N5628" i="9" a="1"/>
  <c r="N5628" i="9" s="1"/>
  <c r="N5629" i="9" a="1"/>
  <c r="N5629" i="9" s="1"/>
  <c r="N5630" i="9" a="1"/>
  <c r="N5630" i="9" s="1"/>
  <c r="N5631" i="9" a="1"/>
  <c r="N5631" i="9" s="1"/>
  <c r="N5632" i="9" a="1"/>
  <c r="N5632" i="9" s="1"/>
  <c r="N5633" i="9" a="1"/>
  <c r="N5633" i="9" s="1"/>
  <c r="N5635" i="9" a="1"/>
  <c r="N5635" i="9" s="1"/>
  <c r="N5636" i="9" a="1"/>
  <c r="N5636" i="9" s="1"/>
  <c r="N5637" i="9" a="1"/>
  <c r="N5637" i="9" s="1"/>
  <c r="N5638" i="9" a="1"/>
  <c r="N5638" i="9" s="1"/>
  <c r="N5639" i="9" a="1"/>
  <c r="N5639" i="9" s="1"/>
  <c r="N5640" i="9" a="1"/>
  <c r="N5640" i="9" s="1"/>
  <c r="N5641" i="9" a="1"/>
  <c r="N5641" i="9" s="1"/>
  <c r="N5642" i="9" a="1"/>
  <c r="N5642" i="9" s="1"/>
  <c r="N5643" i="9" a="1"/>
  <c r="N5643" i="9" s="1"/>
  <c r="N5644" i="9" a="1"/>
  <c r="N5644" i="9" s="1"/>
  <c r="N5645" i="9" a="1"/>
  <c r="N5645" i="9" s="1"/>
  <c r="N5646" i="9" a="1"/>
  <c r="N5646" i="9" s="1"/>
  <c r="N5647" i="9" a="1"/>
  <c r="N5647" i="9" s="1"/>
  <c r="N5648" i="9" a="1"/>
  <c r="N5648" i="9" s="1"/>
  <c r="N5649" i="9" a="1"/>
  <c r="N5649" i="9" s="1"/>
  <c r="N5651" i="9" a="1"/>
  <c r="N5651" i="9" s="1"/>
  <c r="N5652" i="9" a="1"/>
  <c r="N5652" i="9" s="1"/>
  <c r="N5653" i="9" a="1"/>
  <c r="N5653" i="9" s="1"/>
  <c r="N5654" i="9" a="1"/>
  <c r="N5654" i="9" s="1"/>
  <c r="N5655" i="9" a="1"/>
  <c r="N5655" i="9" s="1"/>
  <c r="N5656" i="9" a="1"/>
  <c r="N5656" i="9" s="1"/>
  <c r="N5657" i="9" a="1"/>
  <c r="N5657" i="9" s="1"/>
  <c r="N5658" i="9" a="1"/>
  <c r="N5658" i="9" s="1"/>
  <c r="N5659" i="9" a="1"/>
  <c r="N5659" i="9" s="1"/>
  <c r="N5660" i="9" a="1"/>
  <c r="N5660" i="9" s="1"/>
  <c r="N5661" i="9" a="1"/>
  <c r="N5661" i="9" s="1"/>
  <c r="N5662" i="9" a="1"/>
  <c r="N5662" i="9" s="1"/>
  <c r="N5663" i="9" a="1"/>
  <c r="N5663" i="9" s="1"/>
  <c r="N5664" i="9" a="1"/>
  <c r="N5664" i="9" s="1"/>
  <c r="N5665" i="9" a="1"/>
  <c r="N5665" i="9" s="1"/>
  <c r="N5667" i="9" a="1"/>
  <c r="N5667" i="9" s="1"/>
  <c r="N5668" i="9" a="1"/>
  <c r="N5668" i="9" s="1"/>
  <c r="N5669" i="9" a="1"/>
  <c r="N5669" i="9" s="1"/>
  <c r="N5670" i="9" a="1"/>
  <c r="N5670" i="9" s="1"/>
  <c r="N5671" i="9" a="1"/>
  <c r="N5671" i="9" s="1"/>
  <c r="N5672" i="9" a="1"/>
  <c r="N5672" i="9" s="1"/>
  <c r="N5673" i="9" a="1"/>
  <c r="N5673" i="9" s="1"/>
  <c r="N5674" i="9" a="1"/>
  <c r="N5674" i="9" s="1"/>
  <c r="N5675" i="9" a="1"/>
  <c r="N5675" i="9" s="1"/>
  <c r="N5676" i="9" a="1"/>
  <c r="N5676" i="9" s="1"/>
  <c r="N5677" i="9" a="1"/>
  <c r="N5677" i="9" s="1"/>
  <c r="N5678" i="9" a="1"/>
  <c r="N5678" i="9" s="1"/>
  <c r="N5679" i="9" a="1"/>
  <c r="N5679" i="9" s="1"/>
  <c r="N5680" i="9" a="1"/>
  <c r="N5680" i="9" s="1"/>
  <c r="N5681" i="9" a="1"/>
  <c r="N5681" i="9" s="1"/>
  <c r="N5683" i="9" a="1"/>
  <c r="N5683" i="9" s="1"/>
  <c r="N5684" i="9" a="1"/>
  <c r="N5684" i="9" s="1"/>
  <c r="N5685" i="9" a="1"/>
  <c r="N5685" i="9" s="1"/>
  <c r="N5686" i="9" a="1"/>
  <c r="N5686" i="9" s="1"/>
  <c r="N5687" i="9" a="1"/>
  <c r="N5687" i="9" s="1"/>
  <c r="N5688" i="9" a="1"/>
  <c r="N5688" i="9" s="1"/>
  <c r="N5689" i="9" a="1"/>
  <c r="N5689" i="9" s="1"/>
  <c r="N5690" i="9" a="1"/>
  <c r="N5690" i="9" s="1"/>
  <c r="N5691" i="9" a="1"/>
  <c r="N5691" i="9" s="1"/>
  <c r="N5692" i="9" a="1"/>
  <c r="N5692" i="9" s="1"/>
  <c r="N5693" i="9" a="1"/>
  <c r="N5693" i="9" s="1"/>
  <c r="N5694" i="9" a="1"/>
  <c r="N5694" i="9" s="1"/>
  <c r="N5695" i="9" a="1"/>
  <c r="N5695" i="9" s="1"/>
  <c r="N5696" i="9" a="1"/>
  <c r="N5696" i="9" s="1"/>
  <c r="N5697" i="9" a="1"/>
  <c r="N5697" i="9" s="1"/>
  <c r="N5699" i="9" a="1"/>
  <c r="N5699" i="9" s="1"/>
  <c r="N5700" i="9" a="1"/>
  <c r="N5700" i="9" s="1"/>
  <c r="N5701" i="9" a="1"/>
  <c r="N5701" i="9" s="1"/>
  <c r="N5702" i="9" a="1"/>
  <c r="N5702" i="9" s="1"/>
  <c r="N5703" i="9" a="1"/>
  <c r="N5703" i="9" s="1"/>
  <c r="N5704" i="9" a="1"/>
  <c r="N5704" i="9" s="1"/>
  <c r="N5705" i="9" a="1"/>
  <c r="N5705" i="9" s="1"/>
  <c r="N5706" i="9" a="1"/>
  <c r="N5706" i="9" s="1"/>
  <c r="N5707" i="9" a="1"/>
  <c r="N5707" i="9" s="1"/>
  <c r="N5708" i="9" a="1"/>
  <c r="N5708" i="9" s="1"/>
  <c r="N5709" i="9" a="1"/>
  <c r="N5709" i="9" s="1"/>
  <c r="N5710" i="9" a="1"/>
  <c r="N5710" i="9" s="1"/>
  <c r="N5711" i="9" a="1"/>
  <c r="N5711" i="9" s="1"/>
  <c r="N5712" i="9" a="1"/>
  <c r="N5712" i="9" s="1"/>
  <c r="N5713" i="9" a="1"/>
  <c r="N5713" i="9" s="1"/>
  <c r="N5715" i="9" a="1"/>
  <c r="N5715" i="9" s="1"/>
  <c r="N5716" i="9" a="1"/>
  <c r="N5716" i="9" s="1"/>
  <c r="N5717" i="9" a="1"/>
  <c r="N5717" i="9" s="1"/>
  <c r="N5718" i="9" a="1"/>
  <c r="N5718" i="9" s="1"/>
  <c r="N5719" i="9" a="1"/>
  <c r="N5719" i="9" s="1"/>
  <c r="N5720" i="9" a="1"/>
  <c r="N5720" i="9" s="1"/>
  <c r="N5721" i="9" a="1"/>
  <c r="N5721" i="9" s="1"/>
  <c r="N5722" i="9" a="1"/>
  <c r="N5722" i="9" s="1"/>
  <c r="N5723" i="9" a="1"/>
  <c r="N5723" i="9" s="1"/>
  <c r="N5724" i="9" a="1"/>
  <c r="N5724" i="9" s="1"/>
  <c r="N5725" i="9" a="1"/>
  <c r="N5725" i="9" s="1"/>
  <c r="N5726" i="9" a="1"/>
  <c r="N5726" i="9" s="1"/>
  <c r="N5727" i="9" a="1"/>
  <c r="N5727" i="9" s="1"/>
  <c r="N5728" i="9" a="1"/>
  <c r="N5728" i="9" s="1"/>
  <c r="N5729" i="9" a="1"/>
  <c r="N5729" i="9" s="1"/>
  <c r="N5731" i="9" a="1"/>
  <c r="N5731" i="9" s="1"/>
  <c r="N5732" i="9" a="1"/>
  <c r="N5732" i="9" s="1"/>
  <c r="N5733" i="9" a="1"/>
  <c r="N5733" i="9" s="1"/>
  <c r="N5734" i="9" a="1"/>
  <c r="N5734" i="9" s="1"/>
  <c r="N5735" i="9" a="1"/>
  <c r="N5735" i="9" s="1"/>
  <c r="N5736" i="9" a="1"/>
  <c r="N5736" i="9" s="1"/>
  <c r="N5737" i="9" a="1"/>
  <c r="N5737" i="9" s="1"/>
  <c r="N5738" i="9" a="1"/>
  <c r="N5738" i="9" s="1"/>
  <c r="N5739" i="9" a="1"/>
  <c r="N5739" i="9" s="1"/>
  <c r="N5740" i="9" a="1"/>
  <c r="N5740" i="9" s="1"/>
  <c r="N5741" i="9" a="1"/>
  <c r="N5741" i="9" s="1"/>
  <c r="N5742" i="9" a="1"/>
  <c r="N5742" i="9" s="1"/>
  <c r="N5743" i="9" a="1"/>
  <c r="N5743" i="9" s="1"/>
  <c r="N5744" i="9" a="1"/>
  <c r="N5744" i="9" s="1"/>
  <c r="N5745" i="9" a="1"/>
  <c r="N5745" i="9" s="1"/>
  <c r="N5747" i="9" a="1"/>
  <c r="N5747" i="9" s="1"/>
  <c r="N5748" i="9" a="1"/>
  <c r="N5748" i="9" s="1"/>
  <c r="N5749" i="9" a="1"/>
  <c r="N5749" i="9" s="1"/>
  <c r="N5750" i="9" a="1"/>
  <c r="N5750" i="9" s="1"/>
  <c r="N5751" i="9" a="1"/>
  <c r="N5751" i="9" s="1"/>
  <c r="N5752" i="9" a="1"/>
  <c r="N5752" i="9" s="1"/>
  <c r="N5753" i="9" a="1"/>
  <c r="N5753" i="9" s="1"/>
  <c r="N5754" i="9" a="1"/>
  <c r="N5754" i="9" s="1"/>
  <c r="N5755" i="9" a="1"/>
  <c r="N5755" i="9" s="1"/>
  <c r="N5756" i="9" a="1"/>
  <c r="N5756" i="9" s="1"/>
  <c r="N5757" i="9" a="1"/>
  <c r="N5757" i="9" s="1"/>
  <c r="N5758" i="9" a="1"/>
  <c r="N5758" i="9" s="1"/>
  <c r="N5759" i="9" a="1"/>
  <c r="N5759" i="9" s="1"/>
  <c r="N5760" i="9" a="1"/>
  <c r="N5760" i="9" s="1"/>
  <c r="N5761" i="9" a="1"/>
  <c r="N5761" i="9" s="1"/>
  <c r="N5763" i="9" a="1"/>
  <c r="N5763" i="9" s="1"/>
  <c r="N5764" i="9" a="1"/>
  <c r="N5764" i="9" s="1"/>
  <c r="N5765" i="9" a="1"/>
  <c r="N5765" i="9" s="1"/>
  <c r="N5766" i="9" a="1"/>
  <c r="N5766" i="9" s="1"/>
  <c r="N5767" i="9" a="1"/>
  <c r="N5767" i="9" s="1"/>
  <c r="N5768" i="9" a="1"/>
  <c r="N5768" i="9" s="1"/>
  <c r="N5769" i="9" a="1"/>
  <c r="N5769" i="9" s="1"/>
  <c r="N5770" i="9" a="1"/>
  <c r="N5770" i="9" s="1"/>
  <c r="N5771" i="9" a="1"/>
  <c r="N5771" i="9" s="1"/>
  <c r="N5772" i="9" a="1"/>
  <c r="N5772" i="9" s="1"/>
  <c r="N5773" i="9" a="1"/>
  <c r="N5773" i="9" s="1"/>
  <c r="N5774" i="9" a="1"/>
  <c r="N5774" i="9" s="1"/>
  <c r="N5775" i="9" a="1"/>
  <c r="N5775" i="9" s="1"/>
  <c r="N5776" i="9" a="1"/>
  <c r="N5776" i="9" s="1"/>
  <c r="N5777" i="9" a="1"/>
  <c r="N5777" i="9" s="1"/>
  <c r="N5779" i="9" a="1"/>
  <c r="N5779" i="9" s="1"/>
  <c r="N5780" i="9" a="1"/>
  <c r="N5780" i="9" s="1"/>
  <c r="N5781" i="9" a="1"/>
  <c r="N5781" i="9" s="1"/>
  <c r="N5782" i="9" a="1"/>
  <c r="N5782" i="9" s="1"/>
  <c r="N5783" i="9" a="1"/>
  <c r="N5783" i="9" s="1"/>
  <c r="N5784" i="9" a="1"/>
  <c r="N5784" i="9" s="1"/>
  <c r="N5785" i="9" a="1"/>
  <c r="N5785" i="9" s="1"/>
  <c r="N5786" i="9" a="1"/>
  <c r="N5786" i="9" s="1"/>
  <c r="N5787" i="9" a="1"/>
  <c r="N5787" i="9" s="1"/>
  <c r="N5788" i="9" a="1"/>
  <c r="N5788" i="9" s="1"/>
  <c r="N5789" i="9" a="1"/>
  <c r="N5789" i="9" s="1"/>
  <c r="N5790" i="9" a="1"/>
  <c r="N5790" i="9" s="1"/>
  <c r="N5791" i="9" a="1"/>
  <c r="N5791" i="9" s="1"/>
  <c r="N5792" i="9" a="1"/>
  <c r="N5792" i="9" s="1"/>
  <c r="N5793" i="9" a="1"/>
  <c r="N5793" i="9" s="1"/>
  <c r="N5795" i="9" a="1"/>
  <c r="N5795" i="9" s="1"/>
  <c r="N5796" i="9" a="1"/>
  <c r="N5796" i="9" s="1"/>
  <c r="N5797" i="9" a="1"/>
  <c r="N5797" i="9" s="1"/>
  <c r="N5798" i="9" a="1"/>
  <c r="N5798" i="9" s="1"/>
  <c r="N5799" i="9" a="1"/>
  <c r="N5799" i="9" s="1"/>
  <c r="N5800" i="9" a="1"/>
  <c r="N5800" i="9" s="1"/>
  <c r="N5801" i="9" a="1"/>
  <c r="N5801" i="9" s="1"/>
  <c r="N5802" i="9" a="1"/>
  <c r="N5802" i="9" s="1"/>
  <c r="N5803" i="9" a="1"/>
  <c r="N5803" i="9" s="1"/>
  <c r="N5804" i="9" a="1"/>
  <c r="N5804" i="9" s="1"/>
  <c r="N5805" i="9" a="1"/>
  <c r="N5805" i="9" s="1"/>
  <c r="N5806" i="9" a="1"/>
  <c r="N5806" i="9" s="1"/>
  <c r="N5807" i="9" a="1"/>
  <c r="N5807" i="9" s="1"/>
  <c r="N5808" i="9" a="1"/>
  <c r="N5808" i="9" s="1"/>
  <c r="N5809" i="9" a="1"/>
  <c r="N5809" i="9" s="1"/>
  <c r="N5811" i="9" a="1"/>
  <c r="N5811" i="9" s="1"/>
  <c r="N5812" i="9" a="1"/>
  <c r="N5812" i="9" s="1"/>
  <c r="N5813" i="9" a="1"/>
  <c r="N5813" i="9" s="1"/>
  <c r="N5814" i="9" a="1"/>
  <c r="N5814" i="9" s="1"/>
  <c r="N5815" i="9" a="1"/>
  <c r="N5815" i="9" s="1"/>
  <c r="N5816" i="9" a="1"/>
  <c r="N5816" i="9" s="1"/>
  <c r="N5817" i="9" a="1"/>
  <c r="N5817" i="9" s="1"/>
  <c r="N5818" i="9" a="1"/>
  <c r="N5818" i="9" s="1"/>
  <c r="N5819" i="9" a="1"/>
  <c r="N5819" i="9" s="1"/>
  <c r="N5820" i="9" a="1"/>
  <c r="N5820" i="9" s="1"/>
  <c r="N5821" i="9" a="1"/>
  <c r="N5821" i="9" s="1"/>
  <c r="N5822" i="9" a="1"/>
  <c r="N5822" i="9" s="1"/>
  <c r="N5823" i="9" a="1"/>
  <c r="N5823" i="9" s="1"/>
  <c r="N5824" i="9" a="1"/>
  <c r="N5824" i="9" s="1"/>
  <c r="N5825" i="9" a="1"/>
  <c r="N5825" i="9" s="1"/>
  <c r="N5827" i="9" a="1"/>
  <c r="N5827" i="9" s="1"/>
  <c r="N5828" i="9" a="1"/>
  <c r="N5828" i="9" s="1"/>
  <c r="N5829" i="9" a="1"/>
  <c r="N5829" i="9" s="1"/>
  <c r="N5830" i="9" a="1"/>
  <c r="N5830" i="9" s="1"/>
  <c r="N5831" i="9" a="1"/>
  <c r="N5831" i="9" s="1"/>
  <c r="N5832" i="9" a="1"/>
  <c r="N5832" i="9" s="1"/>
  <c r="N5833" i="9" a="1"/>
  <c r="N5833" i="9" s="1"/>
  <c r="N5834" i="9" a="1"/>
  <c r="N5834" i="9" s="1"/>
  <c r="N5835" i="9" a="1"/>
  <c r="N5835" i="9" s="1"/>
  <c r="N5836" i="9" a="1"/>
  <c r="N5836" i="9" s="1"/>
  <c r="N5837" i="9" a="1"/>
  <c r="N5837" i="9" s="1"/>
  <c r="N5838" i="9" a="1"/>
  <c r="N5838" i="9" s="1"/>
  <c r="N5839" i="9" a="1"/>
  <c r="N5839" i="9" s="1"/>
  <c r="N5840" i="9" a="1"/>
  <c r="N5840" i="9" s="1"/>
  <c r="N5841" i="9" a="1"/>
  <c r="N5841" i="9" s="1"/>
  <c r="N5843" i="9" a="1"/>
  <c r="N5843" i="9" s="1"/>
  <c r="N5844" i="9" a="1"/>
  <c r="N5844" i="9" s="1"/>
  <c r="N5845" i="9" a="1"/>
  <c r="N5845" i="9" s="1"/>
  <c r="N5846" i="9" a="1"/>
  <c r="N5846" i="9" s="1"/>
  <c r="N5847" i="9" a="1"/>
  <c r="N5847" i="9" s="1"/>
  <c r="N5848" i="9" a="1"/>
  <c r="N5848" i="9" s="1"/>
  <c r="N5849" i="9" a="1"/>
  <c r="N5849" i="9" s="1"/>
  <c r="N5850" i="9" a="1"/>
  <c r="N5850" i="9" s="1"/>
  <c r="N5851" i="9" a="1"/>
  <c r="N5851" i="9" s="1"/>
  <c r="N5852" i="9" a="1"/>
  <c r="N5852" i="9" s="1"/>
  <c r="N5853" i="9" a="1"/>
  <c r="N5853" i="9" s="1"/>
  <c r="N5854" i="9" a="1"/>
  <c r="N5854" i="9" s="1"/>
  <c r="N5855" i="9" a="1"/>
  <c r="N5855" i="9" s="1"/>
  <c r="N5856" i="9" a="1"/>
  <c r="N5856" i="9" s="1"/>
  <c r="N5857" i="9" a="1"/>
  <c r="N5857" i="9" s="1"/>
  <c r="N5859" i="9" a="1"/>
  <c r="N5859" i="9" s="1"/>
  <c r="N5860" i="9" a="1"/>
  <c r="N5860" i="9" s="1"/>
  <c r="N5861" i="9" a="1"/>
  <c r="N5861" i="9" s="1"/>
  <c r="N5862" i="9" a="1"/>
  <c r="N5862" i="9" s="1"/>
  <c r="N5863" i="9" a="1"/>
  <c r="N5863" i="9" s="1"/>
  <c r="N5864" i="9" a="1"/>
  <c r="N5864" i="9" s="1"/>
  <c r="N5865" i="9" a="1"/>
  <c r="N5865" i="9" s="1"/>
  <c r="N5866" i="9" a="1"/>
  <c r="N5866" i="9" s="1"/>
  <c r="N5867" i="9" a="1"/>
  <c r="N5867" i="9" s="1"/>
  <c r="N5868" i="9" a="1"/>
  <c r="N5868" i="9" s="1"/>
  <c r="N5869" i="9" a="1"/>
  <c r="N5869" i="9" s="1"/>
  <c r="N5870" i="9" a="1"/>
  <c r="N5870" i="9" s="1"/>
  <c r="N5871" i="9" a="1"/>
  <c r="N5871" i="9" s="1"/>
  <c r="N5872" i="9" a="1"/>
  <c r="N5872" i="9" s="1"/>
  <c r="N5873" i="9" a="1"/>
  <c r="N5873" i="9" s="1"/>
  <c r="N5875" i="9" a="1"/>
  <c r="N5875" i="9" s="1"/>
  <c r="N5876" i="9" a="1"/>
  <c r="N5876" i="9" s="1"/>
  <c r="N5877" i="9" a="1"/>
  <c r="N5877" i="9" s="1"/>
  <c r="N5878" i="9" a="1"/>
  <c r="N5878" i="9" s="1"/>
  <c r="N5879" i="9" a="1"/>
  <c r="N5879" i="9" s="1"/>
  <c r="N5880" i="9" a="1"/>
  <c r="N5880" i="9" s="1"/>
  <c r="N5881" i="9" a="1"/>
  <c r="N5881" i="9" s="1"/>
  <c r="N5882" i="9" a="1"/>
  <c r="N5882" i="9" s="1"/>
  <c r="N5883" i="9" a="1"/>
  <c r="N5883" i="9" s="1"/>
  <c r="N5884" i="9" a="1"/>
  <c r="N5884" i="9" s="1"/>
  <c r="N5885" i="9" a="1"/>
  <c r="N5885" i="9" s="1"/>
  <c r="N5886" i="9" a="1"/>
  <c r="N5886" i="9" s="1"/>
  <c r="N5887" i="9" a="1"/>
  <c r="N5887" i="9" s="1"/>
  <c r="N5888" i="9" a="1"/>
  <c r="N5888" i="9" s="1"/>
  <c r="N5889" i="9" a="1"/>
  <c r="N5889" i="9" s="1"/>
  <c r="N5891" i="9" a="1"/>
  <c r="N5891" i="9" s="1"/>
  <c r="N5892" i="9" a="1"/>
  <c r="N5892" i="9" s="1"/>
  <c r="N5893" i="9" a="1"/>
  <c r="N5893" i="9" s="1"/>
  <c r="N5894" i="9" a="1"/>
  <c r="N5894" i="9" s="1"/>
  <c r="N5895" i="9" a="1"/>
  <c r="N5895" i="9" s="1"/>
  <c r="N5896" i="9" a="1"/>
  <c r="N5896" i="9" s="1"/>
  <c r="N5897" i="9" a="1"/>
  <c r="N5897" i="9" s="1"/>
  <c r="N5898" i="9" a="1"/>
  <c r="N5898" i="9" s="1"/>
  <c r="N5899" i="9" a="1"/>
  <c r="N5899" i="9" s="1"/>
  <c r="N5900" i="9" a="1"/>
  <c r="N5900" i="9" s="1"/>
  <c r="N5901" i="9" a="1"/>
  <c r="N5901" i="9" s="1"/>
  <c r="N5902" i="9" a="1"/>
  <c r="N5902" i="9"/>
  <c r="N5903" i="9" a="1"/>
  <c r="N5903" i="9" s="1"/>
  <c r="N5904" i="9" a="1"/>
  <c r="N5904" i="9" s="1"/>
  <c r="N5905" i="9" a="1"/>
  <c r="N5905" i="9" s="1"/>
  <c r="N5907" i="9" a="1"/>
  <c r="N5907" i="9" s="1"/>
  <c r="N5908" i="9" a="1"/>
  <c r="N5908" i="9" s="1"/>
  <c r="N5909" i="9" a="1"/>
  <c r="N5909" i="9" s="1"/>
  <c r="N5910" i="9" a="1"/>
  <c r="N5910" i="9"/>
  <c r="N5911" i="9" a="1"/>
  <c r="N5911" i="9" s="1"/>
  <c r="N5912" i="9" a="1"/>
  <c r="N5912" i="9" s="1"/>
  <c r="N5913" i="9" a="1"/>
  <c r="N5913" i="9" s="1"/>
  <c r="N5914" i="9" a="1"/>
  <c r="N5914" i="9"/>
  <c r="N5915" i="9" a="1"/>
  <c r="N5915" i="9" s="1"/>
  <c r="N5916" i="9" a="1"/>
  <c r="N5916" i="9" s="1"/>
  <c r="N5917" i="9" a="1"/>
  <c r="N5917" i="9" s="1"/>
  <c r="N5918" i="9" a="1"/>
  <c r="N5918" i="9" s="1"/>
  <c r="N5919" i="9" a="1"/>
  <c r="N5919" i="9" s="1"/>
  <c r="N5920" i="9" a="1"/>
  <c r="N5920" i="9" s="1"/>
  <c r="N5921" i="9" a="1"/>
  <c r="N5921" i="9" s="1"/>
  <c r="N5923" i="9" a="1"/>
  <c r="N5923" i="9" s="1"/>
  <c r="N5924" i="9" a="1"/>
  <c r="N5924" i="9" s="1"/>
  <c r="N5925" i="9" a="1"/>
  <c r="N5925" i="9" s="1"/>
  <c r="N5926" i="9" a="1"/>
  <c r="N5926" i="9" s="1"/>
  <c r="N5927" i="9" a="1"/>
  <c r="N5927" i="9" s="1"/>
  <c r="N5928" i="9" a="1"/>
  <c r="N5928" i="9" s="1"/>
  <c r="N5929" i="9" a="1"/>
  <c r="N5929" i="9" s="1"/>
  <c r="N5930" i="9" a="1"/>
  <c r="N5930" i="9" s="1"/>
  <c r="N5931" i="9" a="1"/>
  <c r="N5931" i="9" s="1"/>
  <c r="N5932" i="9" a="1"/>
  <c r="N5932" i="9" s="1"/>
  <c r="N5933" i="9" a="1"/>
  <c r="N5933" i="9" s="1"/>
  <c r="N5934" i="9" a="1"/>
  <c r="N5934" i="9" s="1"/>
  <c r="N5935" i="9" a="1"/>
  <c r="N5935" i="9" s="1"/>
  <c r="N5936" i="9" a="1"/>
  <c r="N5936" i="9" s="1"/>
  <c r="N5937" i="9" a="1"/>
  <c r="N5937" i="9" s="1"/>
  <c r="N5939" i="9" a="1"/>
  <c r="N5939" i="9" s="1"/>
  <c r="N5940" i="9" a="1"/>
  <c r="N5940" i="9" s="1"/>
  <c r="N5941" i="9" a="1"/>
  <c r="N5941" i="9" s="1"/>
  <c r="N5942" i="9" a="1"/>
  <c r="N5942" i="9"/>
  <c r="N5943" i="9" a="1"/>
  <c r="N5943" i="9" s="1"/>
  <c r="N5944" i="9" a="1"/>
  <c r="N5944" i="9" s="1"/>
  <c r="N5945" i="9" a="1"/>
  <c r="N5945" i="9" s="1"/>
  <c r="N5946" i="9" a="1"/>
  <c r="N5946" i="9" s="1"/>
  <c r="N5947" i="9" a="1"/>
  <c r="N5947" i="9" s="1"/>
  <c r="N5948" i="9" a="1"/>
  <c r="N5948" i="9" s="1"/>
  <c r="N5949" i="9" a="1"/>
  <c r="N5949" i="9" s="1"/>
  <c r="N5950" i="9" a="1"/>
  <c r="N5950" i="9"/>
  <c r="N5951" i="9" a="1"/>
  <c r="N5951" i="9" s="1"/>
  <c r="N5952" i="9" a="1"/>
  <c r="N5952" i="9" s="1"/>
  <c r="N5953" i="9" a="1"/>
  <c r="N5953" i="9" s="1"/>
  <c r="N5955" i="9" a="1"/>
  <c r="N5955" i="9" s="1"/>
  <c r="N5956" i="9" a="1"/>
  <c r="N5956" i="9" s="1"/>
  <c r="N5957" i="9" a="1"/>
  <c r="N5957" i="9" s="1"/>
  <c r="N5958" i="9" a="1"/>
  <c r="N5958" i="9"/>
  <c r="N5959" i="9" a="1"/>
  <c r="N5959" i="9" s="1"/>
  <c r="N5960" i="9" a="1"/>
  <c r="N5960" i="9" s="1"/>
  <c r="N5961" i="9" a="1"/>
  <c r="N5961" i="9" s="1"/>
  <c r="N5962" i="9" a="1"/>
  <c r="N5962" i="9"/>
  <c r="N5963" i="9" a="1"/>
  <c r="N5963" i="9" s="1"/>
  <c r="N5964" i="9" a="1"/>
  <c r="N5964" i="9" s="1"/>
  <c r="N5965" i="9" a="1"/>
  <c r="N5965" i="9" s="1"/>
  <c r="N5966" i="9" a="1"/>
  <c r="N5966" i="9" s="1"/>
  <c r="N5967" i="9" a="1"/>
  <c r="N5967" i="9" s="1"/>
  <c r="N5968" i="9" a="1"/>
  <c r="N5968" i="9" s="1"/>
  <c r="N5969" i="9" a="1"/>
  <c r="N5969" i="9" s="1"/>
  <c r="N5971" i="9" a="1"/>
  <c r="N5971" i="9" s="1"/>
  <c r="N5972" i="9" a="1"/>
  <c r="N5972" i="9" s="1"/>
  <c r="N5973" i="9" a="1"/>
  <c r="N5973" i="9" s="1"/>
  <c r="N5974" i="9" a="1"/>
  <c r="N5974" i="9" s="1"/>
  <c r="N5975" i="9" a="1"/>
  <c r="N5975" i="9" s="1"/>
  <c r="N5976" i="9" a="1"/>
  <c r="N5976" i="9" s="1"/>
  <c r="N5977" i="9" a="1"/>
  <c r="N5977" i="9" s="1"/>
  <c r="N5978" i="9" a="1"/>
  <c r="N5978" i="9" s="1"/>
  <c r="N5979" i="9" a="1"/>
  <c r="N5979" i="9" s="1"/>
  <c r="N5980" i="9" a="1"/>
  <c r="N5980" i="9" s="1"/>
  <c r="N5981" i="9" a="1"/>
  <c r="N5981" i="9" s="1"/>
  <c r="N5982" i="9" a="1"/>
  <c r="N5982" i="9" s="1"/>
  <c r="N5983" i="9" a="1"/>
  <c r="N5983" i="9" s="1"/>
  <c r="N5984" i="9" a="1"/>
  <c r="N5984" i="9" s="1"/>
  <c r="N5985" i="9" a="1"/>
  <c r="N5985" i="9" s="1"/>
  <c r="N5987" i="9" a="1"/>
  <c r="N5987" i="9" s="1"/>
  <c r="N5988" i="9" a="1"/>
  <c r="N5988" i="9" s="1"/>
  <c r="N5989" i="9" a="1"/>
  <c r="N5989" i="9" s="1"/>
  <c r="N5990" i="9" a="1"/>
  <c r="N5990" i="9" s="1"/>
  <c r="N5991" i="9" a="1"/>
  <c r="N5991" i="9" s="1"/>
  <c r="N5992" i="9" a="1"/>
  <c r="N5992" i="9" s="1"/>
  <c r="N5993" i="9" a="1"/>
  <c r="N5993" i="9" s="1"/>
  <c r="N5994" i="9" a="1"/>
  <c r="N5994" i="9" s="1"/>
  <c r="N5995" i="9" a="1"/>
  <c r="N5995" i="9" s="1"/>
  <c r="N5996" i="9" a="1"/>
  <c r="N5996" i="9" s="1"/>
  <c r="N5997" i="9" a="1"/>
  <c r="N5997" i="9" s="1"/>
  <c r="N5998" i="9" a="1"/>
  <c r="N5998" i="9"/>
  <c r="N5999" i="9" a="1"/>
  <c r="N5999" i="9" s="1"/>
  <c r="N6000" i="9" a="1"/>
  <c r="N6000" i="9" s="1"/>
  <c r="N6001" i="9" a="1"/>
  <c r="N6001" i="9" s="1"/>
  <c r="N6003" i="9" a="1"/>
  <c r="N6003" i="9" s="1"/>
  <c r="N6004" i="9" a="1"/>
  <c r="N6004" i="9" s="1"/>
  <c r="N6005" i="9" a="1"/>
  <c r="N6005" i="9" s="1"/>
  <c r="N6006" i="9" a="1"/>
  <c r="N6006" i="9"/>
  <c r="N6007" i="9" a="1"/>
  <c r="N6007" i="9" s="1"/>
  <c r="N6008" i="9" a="1"/>
  <c r="N6008" i="9" s="1"/>
  <c r="N6009" i="9" a="1"/>
  <c r="N6009" i="9" s="1"/>
  <c r="N6010" i="9" a="1"/>
  <c r="N6010" i="9"/>
  <c r="N6011" i="9" a="1"/>
  <c r="N6011" i="9" s="1"/>
  <c r="N6012" i="9" a="1"/>
  <c r="N6012" i="9" s="1"/>
  <c r="N6013" i="9" a="1"/>
  <c r="N6013" i="9" s="1"/>
  <c r="N6014" i="9" a="1"/>
  <c r="N6014" i="9" s="1"/>
  <c r="N6015" i="9" a="1"/>
  <c r="N6015" i="9" s="1"/>
  <c r="N6016" i="9" a="1"/>
  <c r="N6016" i="9" s="1"/>
  <c r="N6017" i="9" a="1"/>
  <c r="N6017" i="9" s="1"/>
  <c r="N6019" i="9" a="1"/>
  <c r="N6019" i="9" s="1"/>
  <c r="N6020" i="9" a="1"/>
  <c r="N6020" i="9" s="1"/>
  <c r="N6021" i="9" a="1"/>
  <c r="N6021" i="9" s="1"/>
  <c r="N6022" i="9" a="1"/>
  <c r="N6022" i="9" s="1"/>
  <c r="N6023" i="9" a="1"/>
  <c r="N6023" i="9" s="1"/>
  <c r="N6024" i="9" a="1"/>
  <c r="N6024" i="9" s="1"/>
  <c r="N6025" i="9" a="1"/>
  <c r="N6025" i="9" s="1"/>
  <c r="N6026" i="9" a="1"/>
  <c r="N6026" i="9" s="1"/>
  <c r="N6027" i="9" a="1"/>
  <c r="N6027" i="9" s="1"/>
  <c r="N6028" i="9" a="1"/>
  <c r="N6028" i="9" s="1"/>
  <c r="N6029" i="9" a="1"/>
  <c r="N6029" i="9" s="1"/>
  <c r="N6030" i="9" a="1"/>
  <c r="N6030" i="9" s="1"/>
  <c r="N6031" i="9" a="1"/>
  <c r="N6031" i="9" s="1"/>
  <c r="N6032" i="9" a="1"/>
  <c r="N6032" i="9" s="1"/>
  <c r="N6033" i="9" a="1"/>
  <c r="N6033" i="9" s="1"/>
  <c r="N6035" i="9" a="1"/>
  <c r="N6035" i="9" s="1"/>
  <c r="N6036" i="9" a="1"/>
  <c r="N6036" i="9" s="1"/>
  <c r="N6037" i="9" a="1"/>
  <c r="N6037" i="9" s="1"/>
  <c r="N6038" i="9" a="1"/>
  <c r="N6038" i="9" s="1"/>
  <c r="N6039" i="9" a="1"/>
  <c r="N6039" i="9" s="1"/>
  <c r="N6040" i="9" a="1"/>
  <c r="N6040" i="9" s="1"/>
  <c r="N6041" i="9" a="1"/>
  <c r="N6041" i="9" s="1"/>
  <c r="N6042" i="9" a="1"/>
  <c r="N6042" i="9" s="1"/>
  <c r="N6043" i="9" a="1"/>
  <c r="N6043" i="9" s="1"/>
  <c r="N6044" i="9" a="1"/>
  <c r="N6044" i="9" s="1"/>
  <c r="N6045" i="9" a="1"/>
  <c r="N6045" i="9" s="1"/>
  <c r="N6046" i="9" a="1"/>
  <c r="N6046" i="9"/>
  <c r="N6047" i="9" a="1"/>
  <c r="N6047" i="9" s="1"/>
  <c r="N6048" i="9" a="1"/>
  <c r="N6048" i="9" s="1"/>
  <c r="N6049" i="9" a="1"/>
  <c r="N6049" i="9" s="1"/>
  <c r="N6051" i="9" a="1"/>
  <c r="N6051" i="9" s="1"/>
  <c r="N6052" i="9" a="1"/>
  <c r="N6052" i="9" s="1"/>
  <c r="N6053" i="9" a="1"/>
  <c r="N6053" i="9" s="1"/>
  <c r="N6054" i="9" a="1"/>
  <c r="N6054" i="9"/>
  <c r="N6055" i="9" a="1"/>
  <c r="N6055" i="9" s="1"/>
  <c r="N6056" i="9" a="1"/>
  <c r="N6056" i="9" s="1"/>
  <c r="N6057" i="9" a="1"/>
  <c r="N6057" i="9" s="1"/>
  <c r="N6058" i="9" a="1"/>
  <c r="N6058" i="9"/>
  <c r="N6059" i="9" a="1"/>
  <c r="N6059" i="9" s="1"/>
  <c r="N6060" i="9" a="1"/>
  <c r="N6060" i="9" s="1"/>
  <c r="N6061" i="9" a="1"/>
  <c r="N6061" i="9" s="1"/>
  <c r="N6062" i="9" a="1"/>
  <c r="N6062" i="9" s="1"/>
  <c r="N6063" i="9" a="1"/>
  <c r="N6063" i="9" s="1"/>
  <c r="N6064" i="9" a="1"/>
  <c r="N6064" i="9" s="1"/>
  <c r="N6065" i="9" a="1"/>
  <c r="N6065" i="9" s="1"/>
  <c r="N6067" i="9" a="1"/>
  <c r="N6067" i="9" s="1"/>
  <c r="N6068" i="9" a="1"/>
  <c r="N6068" i="9" s="1"/>
  <c r="N6069" i="9" a="1"/>
  <c r="N6069" i="9" s="1"/>
  <c r="N6070" i="9" a="1"/>
  <c r="N6070" i="9" s="1"/>
  <c r="N6071" i="9" a="1"/>
  <c r="N6071" i="9" s="1"/>
  <c r="N6072" i="9" a="1"/>
  <c r="N6072" i="9" s="1"/>
  <c r="N6073" i="9" a="1"/>
  <c r="N6073" i="9" s="1"/>
  <c r="N6074" i="9" a="1"/>
  <c r="N6074" i="9" s="1"/>
  <c r="N6075" i="9" a="1"/>
  <c r="N6075" i="9" s="1"/>
  <c r="N6076" i="9" a="1"/>
  <c r="N6076" i="9" s="1"/>
  <c r="N6077" i="9" a="1"/>
  <c r="N6077" i="9" s="1"/>
  <c r="N6078" i="9" a="1"/>
  <c r="N6078" i="9" s="1"/>
  <c r="N6079" i="9" a="1"/>
  <c r="N6079" i="9" s="1"/>
  <c r="N6080" i="9" a="1"/>
  <c r="N6080" i="9" s="1"/>
  <c r="N6081" i="9" a="1"/>
  <c r="N6081" i="9" s="1"/>
  <c r="N6083" i="9" a="1"/>
  <c r="N6083" i="9" s="1"/>
  <c r="N6084" i="9" a="1"/>
  <c r="N6084" i="9" s="1"/>
  <c r="N6085" i="9" a="1"/>
  <c r="N6085" i="9" s="1"/>
  <c r="N6086" i="9" a="1"/>
  <c r="N6086" i="9" s="1"/>
  <c r="N6087" i="9" a="1"/>
  <c r="N6087" i="9" s="1"/>
  <c r="N6088" i="9" a="1"/>
  <c r="N6088" i="9" s="1"/>
  <c r="N6089" i="9" a="1"/>
  <c r="N6089" i="9" s="1"/>
  <c r="N6090" i="9" a="1"/>
  <c r="N6090" i="9" s="1"/>
  <c r="N6091" i="9" a="1"/>
  <c r="N6091" i="9" s="1"/>
  <c r="N6092" i="9" a="1"/>
  <c r="N6092" i="9" s="1"/>
  <c r="N6093" i="9" a="1"/>
  <c r="N6093" i="9" s="1"/>
  <c r="N6094" i="9" a="1"/>
  <c r="N6094" i="9"/>
  <c r="N6095" i="9" a="1"/>
  <c r="N6095" i="9" s="1"/>
  <c r="N6096" i="9" a="1"/>
  <c r="N6096" i="9" s="1"/>
  <c r="N6097" i="9" a="1"/>
  <c r="N6097" i="9" s="1"/>
  <c r="N6099" i="9" a="1"/>
  <c r="N6099" i="9" s="1"/>
  <c r="N6100" i="9" a="1"/>
  <c r="N6100" i="9" s="1"/>
  <c r="N6101" i="9" a="1"/>
  <c r="N6101" i="9" s="1"/>
  <c r="N6102" i="9" a="1"/>
  <c r="N6102" i="9"/>
  <c r="N6103" i="9" a="1"/>
  <c r="N6103" i="9" s="1"/>
  <c r="N6104" i="9" a="1"/>
  <c r="N6104" i="9" s="1"/>
  <c r="N6105" i="9" a="1"/>
  <c r="N6105" i="9" s="1"/>
  <c r="N6106" i="9" a="1"/>
  <c r="N6106" i="9"/>
  <c r="N6107" i="9" a="1"/>
  <c r="N6107" i="9" s="1"/>
  <c r="N6108" i="9" a="1"/>
  <c r="N6108" i="9" s="1"/>
  <c r="N6109" i="9" a="1"/>
  <c r="N6109" i="9" s="1"/>
  <c r="N6110" i="9" a="1"/>
  <c r="N6110" i="9" s="1"/>
  <c r="N6111" i="9" a="1"/>
  <c r="N6111" i="9" s="1"/>
  <c r="N6112" i="9" a="1"/>
  <c r="N6112" i="9" s="1"/>
  <c r="N6113" i="9" a="1"/>
  <c r="N6113" i="9" s="1"/>
  <c r="N6115" i="9" a="1"/>
  <c r="N6115" i="9" s="1"/>
  <c r="N6116" i="9" a="1"/>
  <c r="N6116" i="9" s="1"/>
  <c r="N6117" i="9" a="1"/>
  <c r="N6117" i="9" s="1"/>
  <c r="N6118" i="9" a="1"/>
  <c r="N6118" i="9" s="1"/>
  <c r="N6119" i="9" a="1"/>
  <c r="N6119" i="9" s="1"/>
  <c r="N6120" i="9" a="1"/>
  <c r="N6120" i="9" s="1"/>
  <c r="N6121" i="9" a="1"/>
  <c r="N6121" i="9" s="1"/>
  <c r="N6122" i="9" a="1"/>
  <c r="N6122" i="9" s="1"/>
  <c r="N6123" i="9" a="1"/>
  <c r="N6123" i="9" s="1"/>
  <c r="N6124" i="9" a="1"/>
  <c r="N6124" i="9" s="1"/>
  <c r="N6125" i="9" a="1"/>
  <c r="N6125" i="9" s="1"/>
  <c r="N6126" i="9" a="1"/>
  <c r="N6126" i="9" s="1"/>
  <c r="N6127" i="9" a="1"/>
  <c r="N6127" i="9" s="1"/>
  <c r="N6128" i="9" a="1"/>
  <c r="N6128" i="9" s="1"/>
  <c r="N6129" i="9" a="1"/>
  <c r="N6129" i="9" s="1"/>
  <c r="N6131" i="9" a="1"/>
  <c r="N6131" i="9" s="1"/>
  <c r="N6132" i="9" a="1"/>
  <c r="N6132" i="9" s="1"/>
  <c r="N6133" i="9" a="1"/>
  <c r="N6133" i="9" s="1"/>
  <c r="N6134" i="9" a="1"/>
  <c r="N6134" i="9"/>
  <c r="N6135" i="9" a="1"/>
  <c r="N6135" i="9" s="1"/>
  <c r="N6136" i="9" a="1"/>
  <c r="N6136" i="9" s="1"/>
  <c r="N6137" i="9" a="1"/>
  <c r="N6137" i="9" s="1"/>
  <c r="N6138" i="9" a="1"/>
  <c r="N6138" i="9" s="1"/>
  <c r="N6139" i="9" a="1"/>
  <c r="N6139" i="9" s="1"/>
  <c r="N6140" i="9" a="1"/>
  <c r="N6140" i="9" s="1"/>
  <c r="N6141" i="9" a="1"/>
  <c r="N6141" i="9" s="1"/>
  <c r="N6142" i="9" a="1"/>
  <c r="N6142" i="9" s="1"/>
  <c r="N6143" i="9" a="1"/>
  <c r="N6143" i="9" s="1"/>
  <c r="N6144" i="9" a="1"/>
  <c r="N6144" i="9" s="1"/>
  <c r="N6145" i="9" a="1"/>
  <c r="N6145" i="9" s="1"/>
  <c r="N6147" i="9" a="1"/>
  <c r="N6147" i="9" s="1"/>
  <c r="N6148" i="9" a="1"/>
  <c r="N6148" i="9" s="1"/>
  <c r="N6149" i="9" a="1"/>
  <c r="N6149" i="9" s="1"/>
  <c r="N6150" i="9" a="1"/>
  <c r="N6150" i="9" s="1"/>
  <c r="N6151" i="9" a="1"/>
  <c r="N6151" i="9" s="1"/>
  <c r="N6152" i="9" a="1"/>
  <c r="N6152" i="9" s="1"/>
  <c r="N6153" i="9" a="1"/>
  <c r="N6153" i="9" s="1"/>
  <c r="N6154" i="9" a="1"/>
  <c r="N6154" i="9" s="1"/>
  <c r="N6155" i="9" a="1"/>
  <c r="N6155" i="9" s="1"/>
  <c r="N6156" i="9" a="1"/>
  <c r="N6156" i="9" s="1"/>
  <c r="N6157" i="9" a="1"/>
  <c r="N6157" i="9" s="1"/>
  <c r="N6158" i="9" a="1"/>
  <c r="N6158" i="9"/>
  <c r="N6159" i="9" a="1"/>
  <c r="N6159" i="9" s="1"/>
  <c r="N6160" i="9" a="1"/>
  <c r="N6160" i="9" s="1"/>
  <c r="N6161" i="9" a="1"/>
  <c r="N6161" i="9" s="1"/>
  <c r="N6163" i="9" a="1"/>
  <c r="N6163" i="9" s="1"/>
  <c r="N6164" i="9" a="1"/>
  <c r="N6164" i="9" s="1"/>
  <c r="N6165" i="9" a="1"/>
  <c r="N6165" i="9" s="1"/>
  <c r="N6166" i="9" a="1"/>
  <c r="N6166" i="9" s="1"/>
  <c r="N6167" i="9" a="1"/>
  <c r="N6167" i="9" s="1"/>
  <c r="N6168" i="9" a="1"/>
  <c r="N6168" i="9" s="1"/>
  <c r="N6169" i="9" a="1"/>
  <c r="N6169" i="9" s="1"/>
  <c r="N6170" i="9" a="1"/>
  <c r="N6170" i="9" s="1"/>
  <c r="N6171" i="9" a="1"/>
  <c r="N6171" i="9" s="1"/>
  <c r="N6172" i="9" a="1"/>
  <c r="N6172" i="9" s="1"/>
  <c r="N6173" i="9" a="1"/>
  <c r="N6173" i="9" s="1"/>
  <c r="N6174" i="9" a="1"/>
  <c r="N6174" i="9" s="1"/>
  <c r="N6175" i="9" a="1"/>
  <c r="N6175" i="9" s="1"/>
  <c r="N6176" i="9" a="1"/>
  <c r="N6176" i="9" s="1"/>
  <c r="N6177" i="9" a="1"/>
  <c r="N6177" i="9" s="1"/>
  <c r="N6179" i="9" a="1"/>
  <c r="N6179" i="9" s="1"/>
  <c r="N6180" i="9" a="1"/>
  <c r="N6180" i="9" s="1"/>
  <c r="N6181" i="9" a="1"/>
  <c r="N6181" i="9" s="1"/>
  <c r="N6182" i="9" a="1"/>
  <c r="N6182" i="9" s="1"/>
  <c r="N6183" i="9" a="1"/>
  <c r="N6183" i="9" s="1"/>
  <c r="N6184" i="9" a="1"/>
  <c r="N6184" i="9" s="1"/>
  <c r="N6185" i="9" a="1"/>
  <c r="N6185" i="9" s="1"/>
  <c r="N6186" i="9" a="1"/>
  <c r="N6186" i="9" s="1"/>
  <c r="N6187" i="9" a="1"/>
  <c r="N6187" i="9" s="1"/>
  <c r="N6188" i="9" a="1"/>
  <c r="N6188" i="9" s="1"/>
  <c r="N6189" i="9" a="1"/>
  <c r="N6189" i="9" s="1"/>
  <c r="N6190" i="9" a="1"/>
  <c r="N6190" i="9"/>
  <c r="N6191" i="9" a="1"/>
  <c r="N6191" i="9" s="1"/>
  <c r="N6192" i="9" a="1"/>
  <c r="N6192" i="9" s="1"/>
  <c r="N6193" i="9" a="1"/>
  <c r="N6193" i="9" s="1"/>
  <c r="N6195" i="9" a="1"/>
  <c r="N6195" i="9" s="1"/>
  <c r="N6196" i="9" a="1"/>
  <c r="N6196" i="9" s="1"/>
  <c r="N6197" i="9" a="1"/>
  <c r="N6197" i="9" s="1"/>
  <c r="N6198" i="9" a="1"/>
  <c r="N6198" i="9" s="1"/>
  <c r="N6199" i="9" a="1"/>
  <c r="N6199" i="9" s="1"/>
  <c r="N6200" i="9" a="1"/>
  <c r="N6200" i="9" s="1"/>
  <c r="N6201" i="9" a="1"/>
  <c r="N6201" i="9" s="1"/>
  <c r="N6202" i="9" a="1"/>
  <c r="N6202" i="9" s="1"/>
  <c r="N6203" i="9" a="1"/>
  <c r="N6203" i="9" s="1"/>
  <c r="N6204" i="9" a="1"/>
  <c r="N6204" i="9" s="1"/>
  <c r="N6205" i="9" a="1"/>
  <c r="N6205" i="9" s="1"/>
  <c r="N6206" i="9" a="1"/>
  <c r="N6206" i="9" s="1"/>
  <c r="N6207" i="9" a="1"/>
  <c r="N6207" i="9" s="1"/>
  <c r="N6208" i="9" a="1"/>
  <c r="N6208" i="9" s="1"/>
  <c r="N6209" i="9" a="1"/>
  <c r="N6209" i="9" s="1"/>
  <c r="N6211" i="9" a="1"/>
  <c r="N6211" i="9" s="1"/>
  <c r="N6212" i="9" a="1"/>
  <c r="N6212" i="9" s="1"/>
  <c r="N6213" i="9" a="1"/>
  <c r="N6213" i="9" s="1"/>
  <c r="N6214" i="9" a="1"/>
  <c r="N6214" i="9" s="1"/>
  <c r="N6215" i="9" a="1"/>
  <c r="N6215" i="9" s="1"/>
  <c r="N6216" i="9" a="1"/>
  <c r="N6216" i="9" s="1"/>
  <c r="N6217" i="9" a="1"/>
  <c r="N6217" i="9" s="1"/>
  <c r="N6218" i="9" a="1"/>
  <c r="N6218" i="9" s="1"/>
  <c r="N6219" i="9" a="1"/>
  <c r="N6219" i="9" s="1"/>
  <c r="N6220" i="9" a="1"/>
  <c r="N6220" i="9" s="1"/>
  <c r="N6221" i="9" a="1"/>
  <c r="N6221" i="9" s="1"/>
  <c r="N6222" i="9" a="1"/>
  <c r="N6222" i="9"/>
  <c r="N6223" i="9" a="1"/>
  <c r="N6223" i="9" s="1"/>
  <c r="N6224" i="9" a="1"/>
  <c r="N6224" i="9" s="1"/>
  <c r="N6225" i="9" a="1"/>
  <c r="N6225" i="9" s="1"/>
  <c r="N6227" i="9" a="1"/>
  <c r="N6227" i="9" s="1"/>
  <c r="N6228" i="9" a="1"/>
  <c r="N6228" i="9" s="1"/>
  <c r="N6229" i="9" a="1"/>
  <c r="N6229" i="9" s="1"/>
  <c r="N6230" i="9" a="1"/>
  <c r="N6230" i="9" s="1"/>
  <c r="N6231" i="9" a="1"/>
  <c r="N6231" i="9" s="1"/>
  <c r="N6232" i="9" a="1"/>
  <c r="N6232" i="9" s="1"/>
  <c r="N6233" i="9" a="1"/>
  <c r="N6233" i="9" s="1"/>
  <c r="N6234" i="9" a="1"/>
  <c r="N6234" i="9" s="1"/>
  <c r="N6235" i="9" a="1"/>
  <c r="N6235" i="9" s="1"/>
  <c r="N6236" i="9" a="1"/>
  <c r="N6236" i="9" s="1"/>
  <c r="N6237" i="9" a="1"/>
  <c r="N6237" i="9" s="1"/>
  <c r="N6238" i="9" a="1"/>
  <c r="N6238" i="9" s="1"/>
  <c r="N6239" i="9" a="1"/>
  <c r="N6239" i="9" s="1"/>
  <c r="N6240" i="9" a="1"/>
  <c r="N6240" i="9" s="1"/>
  <c r="N6241" i="9" a="1"/>
  <c r="N6241" i="9" s="1"/>
  <c r="N6243" i="9" a="1"/>
  <c r="N6243" i="9" s="1"/>
  <c r="N6244" i="9" a="1"/>
  <c r="N6244" i="9" s="1"/>
  <c r="N6245" i="9" a="1"/>
  <c r="N6245" i="9" s="1"/>
  <c r="N6246" i="9" a="1"/>
  <c r="N6246" i="9" s="1"/>
  <c r="N6247" i="9" a="1"/>
  <c r="N6247" i="9" s="1"/>
  <c r="N6248" i="9" a="1"/>
  <c r="N6248" i="9" s="1"/>
  <c r="N6249" i="9" a="1"/>
  <c r="N6249" i="9" s="1"/>
  <c r="N6250" i="9" a="1"/>
  <c r="N6250" i="9" s="1"/>
  <c r="N6251" i="9" a="1"/>
  <c r="N6251" i="9" s="1"/>
  <c r="N6252" i="9" a="1"/>
  <c r="N6252" i="9" s="1"/>
  <c r="N6253" i="9" a="1"/>
  <c r="N6253" i="9" s="1"/>
  <c r="N6254" i="9" a="1"/>
  <c r="N6254" i="9"/>
  <c r="N6255" i="9" a="1"/>
  <c r="N6255" i="9" s="1"/>
  <c r="N6256" i="9" a="1"/>
  <c r="N6256" i="9" s="1"/>
  <c r="N6257" i="9" a="1"/>
  <c r="N6257" i="9" s="1"/>
  <c r="N6259" i="9" a="1"/>
  <c r="N6259" i="9" s="1"/>
  <c r="N6260" i="9" a="1"/>
  <c r="N6260" i="9" s="1"/>
  <c r="N6261" i="9" a="1"/>
  <c r="N6261" i="9" s="1"/>
  <c r="N6262" i="9" a="1"/>
  <c r="N6262" i="9"/>
  <c r="N6263" i="9" a="1"/>
  <c r="N6263" i="9" s="1"/>
  <c r="N6264" i="9" a="1"/>
  <c r="N6264" i="9" s="1"/>
  <c r="N6265" i="9" a="1"/>
  <c r="N6265" i="9" s="1"/>
  <c r="N6266" i="9" a="1"/>
  <c r="N6266" i="9" s="1"/>
  <c r="N6267" i="9" a="1"/>
  <c r="N6267" i="9" s="1"/>
  <c r="N6268" i="9" a="1"/>
  <c r="N6268" i="9" s="1"/>
  <c r="N6269" i="9" a="1"/>
  <c r="N6269" i="9" s="1"/>
  <c r="N6270" i="9" a="1"/>
  <c r="N6270" i="9" s="1"/>
  <c r="N6271" i="9" a="1"/>
  <c r="N6271" i="9" s="1"/>
  <c r="N6272" i="9" a="1"/>
  <c r="N6272" i="9" s="1"/>
  <c r="N6273" i="9" a="1"/>
  <c r="N6273" i="9" s="1"/>
  <c r="N6275" i="9" a="1"/>
  <c r="N6275" i="9" s="1"/>
  <c r="N6276" i="9" a="1"/>
  <c r="N6276" i="9" s="1"/>
  <c r="N6277" i="9" a="1"/>
  <c r="N6277" i="9" s="1"/>
  <c r="N6278" i="9" a="1"/>
  <c r="N6278" i="9" s="1"/>
  <c r="N6279" i="9" a="1"/>
  <c r="N6279" i="9" s="1"/>
  <c r="N6280" i="9" a="1"/>
  <c r="N6280" i="9" s="1"/>
  <c r="N6281" i="9" a="1"/>
  <c r="N6281" i="9" s="1"/>
  <c r="N6282" i="9" a="1"/>
  <c r="N6282" i="9" s="1"/>
  <c r="N6283" i="9" a="1"/>
  <c r="N6283" i="9" s="1"/>
  <c r="N6284" i="9" a="1"/>
  <c r="N6284" i="9" s="1"/>
  <c r="N6285" i="9" a="1"/>
  <c r="N6285" i="9" s="1"/>
  <c r="N6286" i="9" a="1"/>
  <c r="N6286" i="9"/>
  <c r="N6287" i="9" a="1"/>
  <c r="N6287" i="9" s="1"/>
  <c r="N6288" i="9" a="1"/>
  <c r="N6288" i="9" s="1"/>
  <c r="N6289" i="9" a="1"/>
  <c r="N6289" i="9" s="1"/>
  <c r="N6291" i="9" a="1"/>
  <c r="N6291" i="9" s="1"/>
  <c r="N6292" i="9" a="1"/>
  <c r="N6292" i="9" s="1"/>
  <c r="N6293" i="9" a="1"/>
  <c r="N6293" i="9" s="1"/>
  <c r="N6294" i="9" a="1"/>
  <c r="N6294" i="9" s="1"/>
  <c r="N6295" i="9" a="1"/>
  <c r="N6295" i="9" s="1"/>
  <c r="N6296" i="9" a="1"/>
  <c r="N6296" i="9" s="1"/>
  <c r="N6297" i="9" a="1"/>
  <c r="N6297" i="9" s="1"/>
  <c r="N6298" i="9" a="1"/>
  <c r="N6298" i="9" s="1"/>
  <c r="N6299" i="9" a="1"/>
  <c r="N6299" i="9" s="1"/>
  <c r="N6300" i="9" a="1"/>
  <c r="N6300" i="9" s="1"/>
  <c r="N6301" i="9" a="1"/>
  <c r="N6301" i="9" s="1"/>
  <c r="N6302" i="9" a="1"/>
  <c r="N6302" i="9" s="1"/>
  <c r="N6303" i="9" a="1"/>
  <c r="N6303" i="9" s="1"/>
  <c r="N6304" i="9" a="1"/>
  <c r="N6304" i="9" s="1"/>
  <c r="N6305" i="9" a="1"/>
  <c r="N6305" i="9" s="1"/>
  <c r="N6307" i="9" a="1"/>
  <c r="N6307" i="9" s="1"/>
  <c r="N6308" i="9" a="1"/>
  <c r="N6308" i="9" s="1"/>
  <c r="N6309" i="9" a="1"/>
  <c r="N6309" i="9" s="1"/>
  <c r="N6310" i="9" a="1"/>
  <c r="N6310" i="9" s="1"/>
  <c r="N6311" i="9" a="1"/>
  <c r="N6311" i="9" s="1"/>
  <c r="N6312" i="9" a="1"/>
  <c r="N6312" i="9" s="1"/>
  <c r="N6313" i="9" a="1"/>
  <c r="N6313" i="9" s="1"/>
  <c r="N6314" i="9" a="1"/>
  <c r="N6314" i="9" s="1"/>
  <c r="N6315" i="9" a="1"/>
  <c r="N6315" i="9" s="1"/>
  <c r="N6316" i="9" a="1"/>
  <c r="N6316" i="9" s="1"/>
  <c r="N6317" i="9" a="1"/>
  <c r="N6317" i="9" s="1"/>
  <c r="N6318" i="9" a="1"/>
  <c r="N6318" i="9"/>
  <c r="N6319" i="9" a="1"/>
  <c r="N6319" i="9" s="1"/>
  <c r="N6320" i="9" a="1"/>
  <c r="N6320" i="9" s="1"/>
  <c r="N6321" i="9" a="1"/>
  <c r="N6321" i="9" s="1"/>
  <c r="N6323" i="9" a="1"/>
  <c r="N6323" i="9" s="1"/>
  <c r="N6324" i="9" a="1"/>
  <c r="N6324" i="9" s="1"/>
  <c r="N6325" i="9" a="1"/>
  <c r="N6325" i="9" s="1"/>
  <c r="N6326" i="9" a="1"/>
  <c r="N6326" i="9"/>
  <c r="N6327" i="9" a="1"/>
  <c r="N6327" i="9" s="1"/>
  <c r="N6328" i="9" a="1"/>
  <c r="N6328" i="9" s="1"/>
  <c r="N6329" i="9" a="1"/>
  <c r="N6329" i="9" s="1"/>
  <c r="N6330" i="9" a="1"/>
  <c r="N6330" i="9" s="1"/>
  <c r="N6331" i="9" a="1"/>
  <c r="N6331" i="9" s="1"/>
  <c r="N6332" i="9" a="1"/>
  <c r="N6332" i="9" s="1"/>
  <c r="N6333" i="9" a="1"/>
  <c r="N6333" i="9" s="1"/>
  <c r="N6334" i="9" a="1"/>
  <c r="N6334" i="9" s="1"/>
  <c r="N6335" i="9" a="1"/>
  <c r="N6335" i="9" s="1"/>
  <c r="N6336" i="9" a="1"/>
  <c r="N6336" i="9" s="1"/>
  <c r="N6337" i="9" a="1"/>
  <c r="N6337" i="9" s="1"/>
  <c r="N6339" i="9" a="1"/>
  <c r="N6339" i="9" s="1"/>
  <c r="N6340" i="9" a="1"/>
  <c r="N6340" i="9" s="1"/>
  <c r="N6341" i="9" a="1"/>
  <c r="N6341" i="9" s="1"/>
  <c r="N6342" i="9" a="1"/>
  <c r="N6342" i="9" s="1"/>
  <c r="N6343" i="9" a="1"/>
  <c r="N6343" i="9" s="1"/>
  <c r="N6344" i="9" a="1"/>
  <c r="N6344" i="9" s="1"/>
  <c r="N6345" i="9" a="1"/>
  <c r="N6345" i="9" s="1"/>
  <c r="N6346" i="9" a="1"/>
  <c r="N6346" i="9" s="1"/>
  <c r="N6347" i="9" a="1"/>
  <c r="N6347" i="9" s="1"/>
  <c r="N6348" i="9" a="1"/>
  <c r="N6348" i="9" s="1"/>
  <c r="N6349" i="9" a="1"/>
  <c r="N6349" i="9" s="1"/>
  <c r="N6350" i="9" a="1"/>
  <c r="N6350" i="9"/>
  <c r="N6351" i="9" a="1"/>
  <c r="N6351" i="9" s="1"/>
  <c r="N6352" i="9" a="1"/>
  <c r="N6352" i="9" s="1"/>
  <c r="N6353" i="9" a="1"/>
  <c r="N6353" i="9" s="1"/>
  <c r="N6355" i="9" a="1"/>
  <c r="N6355" i="9" s="1"/>
  <c r="N6356" i="9" a="1"/>
  <c r="N6356" i="9" s="1"/>
  <c r="N6357" i="9" a="1"/>
  <c r="N6357" i="9" s="1"/>
  <c r="N6358" i="9" a="1"/>
  <c r="N6358" i="9" s="1"/>
  <c r="N6359" i="9" a="1"/>
  <c r="N6359" i="9" s="1"/>
  <c r="N6360" i="9" a="1"/>
  <c r="N6360" i="9" s="1"/>
  <c r="N6361" i="9" a="1"/>
  <c r="N6361" i="9" s="1"/>
  <c r="N6362" i="9" a="1"/>
  <c r="N6362" i="9" s="1"/>
  <c r="N6363" i="9" a="1"/>
  <c r="N6363" i="9" s="1"/>
  <c r="N6364" i="9" a="1"/>
  <c r="N6364" i="9" s="1"/>
  <c r="N6365" i="9" a="1"/>
  <c r="N6365" i="9" s="1"/>
  <c r="N6366" i="9" a="1"/>
  <c r="N6366" i="9" s="1"/>
  <c r="N6367" i="9" a="1"/>
  <c r="N6367" i="9" s="1"/>
  <c r="N6368" i="9" a="1"/>
  <c r="N6368" i="9" s="1"/>
  <c r="N6369" i="9" a="1"/>
  <c r="N6369" i="9" s="1"/>
  <c r="N6371" i="9" a="1"/>
  <c r="N6371" i="9" s="1"/>
  <c r="N6372" i="9" a="1"/>
  <c r="N6372" i="9" s="1"/>
  <c r="N6373" i="9" a="1"/>
  <c r="N6373" i="9" s="1"/>
  <c r="N6374" i="9" a="1"/>
  <c r="N6374" i="9" s="1"/>
  <c r="N6375" i="9" a="1"/>
  <c r="N6375" i="9" s="1"/>
  <c r="N6376" i="9" a="1"/>
  <c r="N6376" i="9" s="1"/>
  <c r="N6377" i="9" a="1"/>
  <c r="N6377" i="9" s="1"/>
  <c r="N6378" i="9" a="1"/>
  <c r="N6378" i="9" s="1"/>
  <c r="N6379" i="9" a="1"/>
  <c r="N6379" i="9" s="1"/>
  <c r="N6380" i="9" a="1"/>
  <c r="N6380" i="9" s="1"/>
  <c r="N6381" i="9" a="1"/>
  <c r="N6381" i="9" s="1"/>
  <c r="N6382" i="9" a="1"/>
  <c r="N6382" i="9" s="1"/>
  <c r="N6383" i="9" a="1"/>
  <c r="N6383" i="9" s="1"/>
  <c r="N6384" i="9" a="1"/>
  <c r="N6384" i="9" s="1"/>
  <c r="N6385" i="9" a="1"/>
  <c r="N6385" i="9" s="1"/>
  <c r="N6387" i="9" a="1"/>
  <c r="N6387" i="9" s="1"/>
  <c r="N6388" i="9" a="1"/>
  <c r="N6388" i="9" s="1"/>
  <c r="N6389" i="9" a="1"/>
  <c r="N6389" i="9" s="1"/>
  <c r="N6390" i="9" a="1"/>
  <c r="N6390" i="9" s="1"/>
  <c r="N6391" i="9" a="1"/>
  <c r="N6391" i="9" s="1"/>
  <c r="N6392" i="9" a="1"/>
  <c r="N6392" i="9" s="1"/>
  <c r="N6393" i="9" a="1"/>
  <c r="N6393" i="9" s="1"/>
  <c r="N6394" i="9" a="1"/>
  <c r="N6394" i="9" s="1"/>
  <c r="N6395" i="9" a="1"/>
  <c r="N6395" i="9" s="1"/>
  <c r="N6396" i="9" a="1"/>
  <c r="N6396" i="9" s="1"/>
  <c r="N6397" i="9" a="1"/>
  <c r="N6397" i="9" s="1"/>
  <c r="N6398" i="9" a="1"/>
  <c r="N6398" i="9" s="1"/>
  <c r="N6399" i="9" a="1"/>
  <c r="N6399" i="9" s="1"/>
  <c r="N6400" i="9" a="1"/>
  <c r="N6400" i="9" s="1"/>
  <c r="N6401" i="9" a="1"/>
  <c r="N6401" i="9" s="1"/>
  <c r="N6403" i="9" a="1"/>
  <c r="N6403" i="9" s="1"/>
  <c r="N6404" i="9" a="1"/>
  <c r="N6404" i="9" s="1"/>
  <c r="N6405" i="9" a="1"/>
  <c r="N6405" i="9" s="1"/>
  <c r="N6406" i="9" a="1"/>
  <c r="N6406" i="9" s="1"/>
  <c r="N6407" i="9" a="1"/>
  <c r="N6407" i="9" s="1"/>
  <c r="N6408" i="9" a="1"/>
  <c r="N6408" i="9" s="1"/>
  <c r="N6409" i="9" a="1"/>
  <c r="N6409" i="9" s="1"/>
  <c r="N6410" i="9" a="1"/>
  <c r="N6410" i="9" s="1"/>
  <c r="N6411" i="9" a="1"/>
  <c r="N6411" i="9" s="1"/>
  <c r="N6412" i="9" a="1"/>
  <c r="N6412" i="9" s="1"/>
  <c r="N6413" i="9" a="1"/>
  <c r="N6413" i="9" s="1"/>
  <c r="N6414" i="9" a="1"/>
  <c r="N6414" i="9" s="1"/>
  <c r="N6415" i="9" a="1"/>
  <c r="N6415" i="9" s="1"/>
  <c r="N6416" i="9" a="1"/>
  <c r="N6416" i="9" s="1"/>
  <c r="N6417" i="9" a="1"/>
  <c r="N6417" i="9" s="1"/>
  <c r="N6419" i="9" a="1"/>
  <c r="N6419" i="9" s="1"/>
  <c r="N6420" i="9" a="1"/>
  <c r="N6420" i="9" s="1"/>
  <c r="N6421" i="9" a="1"/>
  <c r="N6421" i="9" s="1"/>
  <c r="N6422" i="9" a="1"/>
  <c r="N6422" i="9" s="1"/>
  <c r="N6423" i="9" a="1"/>
  <c r="N6423" i="9" s="1"/>
  <c r="N6424" i="9" a="1"/>
  <c r="N6424" i="9" s="1"/>
  <c r="N6425" i="9" a="1"/>
  <c r="N6425" i="9" s="1"/>
  <c r="N6426" i="9" a="1"/>
  <c r="N6426" i="9" s="1"/>
  <c r="N6427" i="9" a="1"/>
  <c r="N6427" i="9" s="1"/>
  <c r="N6428" i="9" a="1"/>
  <c r="N6428" i="9" s="1"/>
  <c r="N6429" i="9" a="1"/>
  <c r="N6429" i="9" s="1"/>
  <c r="N6430" i="9" a="1"/>
  <c r="N6430" i="9" s="1"/>
  <c r="N6431" i="9" a="1"/>
  <c r="N6431" i="9" s="1"/>
  <c r="N6432" i="9" a="1"/>
  <c r="N6432" i="9" s="1"/>
  <c r="N6433" i="9" a="1"/>
  <c r="N6433" i="9" s="1"/>
  <c r="N6435" i="9" a="1"/>
  <c r="N6435" i="9" s="1"/>
  <c r="N6436" i="9" a="1"/>
  <c r="N6436" i="9" s="1"/>
  <c r="N6437" i="9" a="1"/>
  <c r="N6437" i="9" s="1"/>
  <c r="N6438" i="9" a="1"/>
  <c r="N6438" i="9" s="1"/>
  <c r="N6439" i="9" a="1"/>
  <c r="N6439" i="9" s="1"/>
  <c r="N6440" i="9" a="1"/>
  <c r="N6440" i="9" s="1"/>
  <c r="N6441" i="9" a="1"/>
  <c r="N6441" i="9" s="1"/>
  <c r="N6442" i="9" a="1"/>
  <c r="N6442" i="9" s="1"/>
  <c r="N6443" i="9" a="1"/>
  <c r="N6443" i="9" s="1"/>
  <c r="N6444" i="9" a="1"/>
  <c r="N6444" i="9" s="1"/>
  <c r="N6445" i="9" a="1"/>
  <c r="N6445" i="9" s="1"/>
  <c r="N6446" i="9" a="1"/>
  <c r="N6446" i="9" s="1"/>
  <c r="N6447" i="9" a="1"/>
  <c r="N6447" i="9" s="1"/>
  <c r="N6448" i="9" a="1"/>
  <c r="N6448" i="9" s="1"/>
  <c r="N6449" i="9" a="1"/>
  <c r="N6449" i="9" s="1"/>
  <c r="N6451" i="9" a="1"/>
  <c r="N6451" i="9" s="1"/>
  <c r="N6452" i="9" a="1"/>
  <c r="N6452" i="9" s="1"/>
  <c r="N6453" i="9" a="1"/>
  <c r="N6453" i="9" s="1"/>
  <c r="N6454" i="9" a="1"/>
  <c r="N6454" i="9" s="1"/>
  <c r="N6455" i="9" a="1"/>
  <c r="N6455" i="9" s="1"/>
  <c r="N6456" i="9" a="1"/>
  <c r="N6456" i="9" s="1"/>
  <c r="N6457" i="9" a="1"/>
  <c r="N6457" i="9" s="1"/>
  <c r="N6458" i="9" a="1"/>
  <c r="N6458" i="9" s="1"/>
  <c r="N6459" i="9" a="1"/>
  <c r="N6459" i="9" s="1"/>
  <c r="N6460" i="9" a="1"/>
  <c r="N6460" i="9" s="1"/>
  <c r="N6461" i="9" a="1"/>
  <c r="N6461" i="9" s="1"/>
  <c r="N6462" i="9" a="1"/>
  <c r="N6462" i="9" s="1"/>
  <c r="N6463" i="9" a="1"/>
  <c r="N6463" i="9" s="1"/>
  <c r="N6464" i="9" a="1"/>
  <c r="N6464" i="9" s="1"/>
  <c r="N6465" i="9" a="1"/>
  <c r="N6465" i="9" s="1"/>
  <c r="N6467" i="9" a="1"/>
  <c r="N6467" i="9" s="1"/>
  <c r="N6468" i="9" a="1"/>
  <c r="N6468" i="9" s="1"/>
  <c r="N6469" i="9" a="1"/>
  <c r="N6469" i="9" s="1"/>
  <c r="N6470" i="9" a="1"/>
  <c r="N6470" i="9" s="1"/>
  <c r="N6471" i="9" a="1"/>
  <c r="N6471" i="9" s="1"/>
  <c r="N6472" i="9" a="1"/>
  <c r="N6472" i="9" s="1"/>
  <c r="N6473" i="9" a="1"/>
  <c r="N6473" i="9" s="1"/>
  <c r="N6474" i="9" a="1"/>
  <c r="N6474" i="9" s="1"/>
  <c r="N6475" i="9" a="1"/>
  <c r="N6475" i="9" s="1"/>
  <c r="N6476" i="9" a="1"/>
  <c r="N6476" i="9" s="1"/>
  <c r="N6477" i="9" a="1"/>
  <c r="N6477" i="9" s="1"/>
  <c r="N6478" i="9" a="1"/>
  <c r="N6478" i="9" s="1"/>
  <c r="N6479" i="9" a="1"/>
  <c r="N6479" i="9" s="1"/>
  <c r="N6480" i="9" a="1"/>
  <c r="N6480" i="9" s="1"/>
  <c r="N6481" i="9" a="1"/>
  <c r="N6481" i="9" s="1"/>
  <c r="N6483" i="9" a="1"/>
  <c r="N6483" i="9" s="1"/>
  <c r="N6484" i="9" a="1"/>
  <c r="N6484" i="9" s="1"/>
  <c r="N6485" i="9" a="1"/>
  <c r="N6485" i="9" s="1"/>
  <c r="N6486" i="9" a="1"/>
  <c r="N6486" i="9" s="1"/>
  <c r="N6487" i="9" a="1"/>
  <c r="N6487" i="9" s="1"/>
  <c r="N6488" i="9" a="1"/>
  <c r="N6488" i="9" s="1"/>
  <c r="N6489" i="9" a="1"/>
  <c r="N6489" i="9" s="1"/>
  <c r="N6490" i="9" a="1"/>
  <c r="N6490" i="9" s="1"/>
  <c r="N6491" i="9" a="1"/>
  <c r="N6491" i="9" s="1"/>
  <c r="N6492" i="9" a="1"/>
  <c r="N6492" i="9" s="1"/>
  <c r="N6493" i="9" a="1"/>
  <c r="N6493" i="9" s="1"/>
  <c r="N6494" i="9" a="1"/>
  <c r="N6494" i="9" s="1"/>
  <c r="N6495" i="9" a="1"/>
  <c r="N6495" i="9" s="1"/>
  <c r="N6496" i="9" a="1"/>
  <c r="N6496" i="9" s="1"/>
  <c r="N6497" i="9" a="1"/>
  <c r="N6497" i="9" s="1"/>
  <c r="N6499" i="9" a="1"/>
  <c r="N6499" i="9" s="1"/>
  <c r="N6500" i="9" a="1"/>
  <c r="N6500" i="9" s="1"/>
  <c r="N6501" i="9" a="1"/>
  <c r="N6501" i="9" s="1"/>
  <c r="N6502" i="9" a="1"/>
  <c r="N6502" i="9" s="1"/>
  <c r="N6503" i="9" a="1"/>
  <c r="N6503" i="9" s="1"/>
  <c r="N6504" i="9" a="1"/>
  <c r="N6504" i="9" s="1"/>
  <c r="N6505" i="9" a="1"/>
  <c r="N6505" i="9" s="1"/>
  <c r="N6506" i="9" a="1"/>
  <c r="N6506" i="9" s="1"/>
  <c r="N6507" i="9" a="1"/>
  <c r="N6507" i="9" s="1"/>
  <c r="N6508" i="9" a="1"/>
  <c r="N6508" i="9" s="1"/>
  <c r="N6509" i="9" a="1"/>
  <c r="N6509" i="9" s="1"/>
  <c r="N6510" i="9" a="1"/>
  <c r="N6510" i="9" s="1"/>
  <c r="N6511" i="9" a="1"/>
  <c r="N6511" i="9" s="1"/>
  <c r="N6512" i="9" a="1"/>
  <c r="N6512" i="9" s="1"/>
  <c r="N6513" i="9" a="1"/>
  <c r="N6513" i="9" s="1"/>
  <c r="N6515" i="9" a="1"/>
  <c r="N6515" i="9" s="1"/>
  <c r="N6516" i="9" a="1"/>
  <c r="N6516" i="9" s="1"/>
  <c r="N6517" i="9" a="1"/>
  <c r="N6517" i="9" s="1"/>
  <c r="N6518" i="9" a="1"/>
  <c r="N6518" i="9" s="1"/>
  <c r="N6519" i="9" a="1"/>
  <c r="N6519" i="9" s="1"/>
  <c r="N6520" i="9" a="1"/>
  <c r="N6520" i="9" s="1"/>
  <c r="N6521" i="9" a="1"/>
  <c r="N6521" i="9" s="1"/>
  <c r="N6522" i="9" a="1"/>
  <c r="N6522" i="9" s="1"/>
  <c r="N6523" i="9" a="1"/>
  <c r="N6523" i="9" s="1"/>
  <c r="N6524" i="9" a="1"/>
  <c r="N6524" i="9" s="1"/>
  <c r="N6525" i="9" a="1"/>
  <c r="N6525" i="9" s="1"/>
  <c r="N6526" i="9" a="1"/>
  <c r="N6526" i="9" s="1"/>
  <c r="N6527" i="9" a="1"/>
  <c r="N6527" i="9" s="1"/>
  <c r="N6528" i="9" a="1"/>
  <c r="N6528" i="9" s="1"/>
  <c r="N6529" i="9" a="1"/>
  <c r="N6529" i="9" s="1"/>
  <c r="N6531" i="9" a="1"/>
  <c r="N6531" i="9" s="1"/>
  <c r="N6532" i="9" a="1"/>
  <c r="N6532" i="9" s="1"/>
  <c r="N6533" i="9" a="1"/>
  <c r="N6533" i="9" s="1"/>
  <c r="N6534" i="9" a="1"/>
  <c r="N6534" i="9" s="1"/>
  <c r="N6535" i="9" a="1"/>
  <c r="N6535" i="9" s="1"/>
  <c r="N6536" i="9" a="1"/>
  <c r="N6536" i="9" s="1"/>
  <c r="N6537" i="9" a="1"/>
  <c r="N6537" i="9" s="1"/>
  <c r="N6538" i="9" a="1"/>
  <c r="N6538" i="9" s="1"/>
  <c r="N6539" i="9" a="1"/>
  <c r="N6539" i="9" s="1"/>
  <c r="N6540" i="9" a="1"/>
  <c r="N6540" i="9" s="1"/>
  <c r="N6541" i="9" a="1"/>
  <c r="N6541" i="9" s="1"/>
  <c r="N6542" i="9" a="1"/>
  <c r="N6542" i="9" s="1"/>
  <c r="N6543" i="9" a="1"/>
  <c r="N6543" i="9" s="1"/>
  <c r="N6544" i="9" a="1"/>
  <c r="N6544" i="9" s="1"/>
  <c r="N6545" i="9" a="1"/>
  <c r="N6545" i="9" s="1"/>
  <c r="N6547" i="9" a="1"/>
  <c r="N6547" i="9" s="1"/>
  <c r="N6548" i="9" a="1"/>
  <c r="N6548" i="9" s="1"/>
  <c r="N6549" i="9" a="1"/>
  <c r="N6549" i="9" s="1"/>
  <c r="N6550" i="9" a="1"/>
  <c r="N6550" i="9" s="1"/>
  <c r="N6551" i="9" a="1"/>
  <c r="N6551" i="9" s="1"/>
  <c r="N6552" i="9" a="1"/>
  <c r="N6552" i="9" s="1"/>
  <c r="N6553" i="9" a="1"/>
  <c r="N6553" i="9" s="1"/>
  <c r="N6554" i="9" a="1"/>
  <c r="N6554" i="9" s="1"/>
  <c r="N6555" i="9" a="1"/>
  <c r="N6555" i="9" s="1"/>
  <c r="N6556" i="9" a="1"/>
  <c r="N6556" i="9" s="1"/>
  <c r="N6557" i="9" a="1"/>
  <c r="N6557" i="9" s="1"/>
  <c r="N6558" i="9" a="1"/>
  <c r="N6558" i="9" s="1"/>
  <c r="N6559" i="9" a="1"/>
  <c r="N6559" i="9" s="1"/>
  <c r="N6560" i="9" a="1"/>
  <c r="N6560" i="9" s="1"/>
  <c r="N6561" i="9" a="1"/>
  <c r="N6561" i="9" s="1"/>
  <c r="N6563" i="9" a="1"/>
  <c r="N6563" i="9" s="1"/>
  <c r="N6564" i="9" a="1"/>
  <c r="N6564" i="9" s="1"/>
  <c r="N6565" i="9" a="1"/>
  <c r="N6565" i="9" s="1"/>
  <c r="N6566" i="9" a="1"/>
  <c r="N6566" i="9" s="1"/>
  <c r="N6567" i="9" a="1"/>
  <c r="N6567" i="9" s="1"/>
  <c r="N6568" i="9" a="1"/>
  <c r="N6568" i="9" s="1"/>
  <c r="N6569" i="9" a="1"/>
  <c r="N6569" i="9" s="1"/>
  <c r="N6570" i="9" a="1"/>
  <c r="N6570" i="9" s="1"/>
  <c r="N6571" i="9" a="1"/>
  <c r="N6571" i="9" s="1"/>
  <c r="N6572" i="9" a="1"/>
  <c r="N6572" i="9" s="1"/>
  <c r="N6573" i="9" a="1"/>
  <c r="N6573" i="9" s="1"/>
  <c r="N6574" i="9" a="1"/>
  <c r="N6574" i="9" s="1"/>
  <c r="N6575" i="9" a="1"/>
  <c r="N6575" i="9" s="1"/>
  <c r="N6576" i="9" a="1"/>
  <c r="N6576" i="9" s="1"/>
  <c r="N6577" i="9" a="1"/>
  <c r="N6577" i="9" s="1"/>
  <c r="N6579" i="9" a="1"/>
  <c r="N6579" i="9" s="1"/>
  <c r="N6580" i="9" a="1"/>
  <c r="N6580" i="9" s="1"/>
  <c r="N6581" i="9" a="1"/>
  <c r="N6581" i="9" s="1"/>
  <c r="N6582" i="9" a="1"/>
  <c r="N6582" i="9" s="1"/>
  <c r="N6583" i="9" a="1"/>
  <c r="N6583" i="9" s="1"/>
  <c r="N6584" i="9" a="1"/>
  <c r="N6584" i="9" s="1"/>
  <c r="N6585" i="9" a="1"/>
  <c r="N6585" i="9" s="1"/>
  <c r="N6586" i="9" a="1"/>
  <c r="N6586" i="9" s="1"/>
  <c r="N6587" i="9" a="1"/>
  <c r="N6587" i="9" s="1"/>
  <c r="N6588" i="9" a="1"/>
  <c r="N6588" i="9" s="1"/>
  <c r="N6589" i="9" a="1"/>
  <c r="N6589" i="9" s="1"/>
  <c r="N6590" i="9" a="1"/>
  <c r="N6590" i="9" s="1"/>
  <c r="N6591" i="9" a="1"/>
  <c r="N6591" i="9" s="1"/>
  <c r="N6592" i="9" a="1"/>
  <c r="N6592" i="9" s="1"/>
  <c r="N6593" i="9" a="1"/>
  <c r="N6593" i="9" s="1"/>
  <c r="N6595" i="9" a="1"/>
  <c r="N6595" i="9" s="1"/>
  <c r="N6596" i="9" a="1"/>
  <c r="N6596" i="9" s="1"/>
  <c r="N6597" i="9" a="1"/>
  <c r="N6597" i="9" s="1"/>
  <c r="N6598" i="9" a="1"/>
  <c r="N6598" i="9" s="1"/>
  <c r="N6599" i="9" a="1"/>
  <c r="N6599" i="9" s="1"/>
  <c r="N6600" i="9" a="1"/>
  <c r="N6600" i="9" s="1"/>
  <c r="N6601" i="9" a="1"/>
  <c r="N6601" i="9" s="1"/>
  <c r="N6602" i="9" a="1"/>
  <c r="N6602" i="9" s="1"/>
  <c r="N6603" i="9" a="1"/>
  <c r="N6603" i="9" s="1"/>
  <c r="N6604" i="9" a="1"/>
  <c r="N6604" i="9" s="1"/>
  <c r="N6605" i="9" a="1"/>
  <c r="N6605" i="9" s="1"/>
  <c r="N6606" i="9" a="1"/>
  <c r="N6606" i="9" s="1"/>
  <c r="N6607" i="9" a="1"/>
  <c r="N6607" i="9" s="1"/>
  <c r="N6608" i="9" a="1"/>
  <c r="N6608" i="9" s="1"/>
  <c r="N6609" i="9" a="1"/>
  <c r="N6609" i="9" s="1"/>
  <c r="N6611" i="9" a="1"/>
  <c r="N6611" i="9" s="1"/>
  <c r="N6612" i="9" a="1"/>
  <c r="N6612" i="9" s="1"/>
  <c r="N6613" i="9" a="1"/>
  <c r="N6613" i="9" s="1"/>
  <c r="N6614" i="9" a="1"/>
  <c r="N6614" i="9" s="1"/>
  <c r="N6615" i="9" a="1"/>
  <c r="N6615" i="9" s="1"/>
  <c r="N6616" i="9" a="1"/>
  <c r="N6616" i="9" s="1"/>
  <c r="N6617" i="9" a="1"/>
  <c r="N6617" i="9" s="1"/>
  <c r="N6618" i="9" a="1"/>
  <c r="N6618" i="9" s="1"/>
  <c r="N6619" i="9" a="1"/>
  <c r="N6619" i="9" s="1"/>
  <c r="N6620" i="9" a="1"/>
  <c r="N6620" i="9" s="1"/>
  <c r="N6621" i="9" a="1"/>
  <c r="N6621" i="9" s="1"/>
  <c r="N6622" i="9" a="1"/>
  <c r="N6622" i="9" s="1"/>
  <c r="N6623" i="9" a="1"/>
  <c r="N6623" i="9" s="1"/>
  <c r="N6624" i="9" a="1"/>
  <c r="N6624" i="9" s="1"/>
  <c r="N6625" i="9" a="1"/>
  <c r="N6625" i="9" s="1"/>
  <c r="N6627" i="9" a="1"/>
  <c r="N6627" i="9" s="1"/>
  <c r="N6628" i="9" a="1"/>
  <c r="N6628" i="9" s="1"/>
  <c r="N6629" i="9" a="1"/>
  <c r="N6629" i="9" s="1"/>
  <c r="N6630" i="9" a="1"/>
  <c r="N6630" i="9" s="1"/>
  <c r="N6631" i="9" a="1"/>
  <c r="N6631" i="9" s="1"/>
  <c r="N6632" i="9" a="1"/>
  <c r="N6632" i="9" s="1"/>
  <c r="N6633" i="9" a="1"/>
  <c r="N6633" i="9" s="1"/>
  <c r="N6634" i="9" a="1"/>
  <c r="N6634" i="9" s="1"/>
  <c r="N6635" i="9" a="1"/>
  <c r="N6635" i="9" s="1"/>
  <c r="N6636" i="9" a="1"/>
  <c r="N6636" i="9" s="1"/>
  <c r="N6637" i="9" a="1"/>
  <c r="N6637" i="9" s="1"/>
  <c r="N6638" i="9" a="1"/>
  <c r="N6638" i="9" s="1"/>
  <c r="N6639" i="9" a="1"/>
  <c r="N6639" i="9" s="1"/>
  <c r="N6640" i="9" a="1"/>
  <c r="N6640" i="9" s="1"/>
  <c r="N6641" i="9" a="1"/>
  <c r="N6641" i="9" s="1"/>
  <c r="N6643" i="9" a="1"/>
  <c r="N6643" i="9" s="1"/>
  <c r="N6644" i="9" a="1"/>
  <c r="N6644" i="9" s="1"/>
  <c r="N6645" i="9" a="1"/>
  <c r="N6645" i="9" s="1"/>
  <c r="N6646" i="9" a="1"/>
  <c r="N6646" i="9" s="1"/>
  <c r="N6647" i="9" a="1"/>
  <c r="N6647" i="9" s="1"/>
  <c r="N6648" i="9" a="1"/>
  <c r="N6648" i="9" s="1"/>
  <c r="N6649" i="9" a="1"/>
  <c r="N6649" i="9" s="1"/>
  <c r="N6650" i="9" a="1"/>
  <c r="N6650" i="9" s="1"/>
  <c r="N6651" i="9" a="1"/>
  <c r="N6651" i="9" s="1"/>
  <c r="N6652" i="9" a="1"/>
  <c r="N6652" i="9" s="1"/>
  <c r="N6653" i="9" a="1"/>
  <c r="N6653" i="9" s="1"/>
  <c r="N6654" i="9" a="1"/>
  <c r="N6654" i="9" s="1"/>
  <c r="N6655" i="9" a="1"/>
  <c r="N6655" i="9" s="1"/>
  <c r="N6656" i="9" a="1"/>
  <c r="N6656" i="9" s="1"/>
  <c r="N6657" i="9" a="1"/>
  <c r="N6657" i="9" s="1"/>
  <c r="N6659" i="9" a="1"/>
  <c r="N6659" i="9" s="1"/>
  <c r="N6660" i="9" a="1"/>
  <c r="N6660" i="9" s="1"/>
  <c r="N6661" i="9" a="1"/>
  <c r="N6661" i="9" s="1"/>
  <c r="N6662" i="9" a="1"/>
  <c r="N6662" i="9" s="1"/>
  <c r="N6663" i="9" a="1"/>
  <c r="N6663" i="9" s="1"/>
  <c r="N6664" i="9" a="1"/>
  <c r="N6664" i="9" s="1"/>
  <c r="N6665" i="9" a="1"/>
  <c r="N6665" i="9" s="1"/>
  <c r="N6666" i="9" a="1"/>
  <c r="N6666" i="9" s="1"/>
  <c r="N6667" i="9" a="1"/>
  <c r="N6667" i="9" s="1"/>
  <c r="N6668" i="9" a="1"/>
  <c r="N6668" i="9" s="1"/>
  <c r="N6669" i="9" a="1"/>
  <c r="N6669" i="9" s="1"/>
  <c r="N6670" i="9" a="1"/>
  <c r="N6670" i="9" s="1"/>
  <c r="N6671" i="9" a="1"/>
  <c r="N6671" i="9" s="1"/>
  <c r="N6672" i="9" a="1"/>
  <c r="N6672" i="9" s="1"/>
  <c r="N6673" i="9" a="1"/>
  <c r="N6673" i="9" s="1"/>
  <c r="N6675" i="9" a="1"/>
  <c r="N6675" i="9" s="1"/>
  <c r="N6676" i="9" a="1"/>
  <c r="N6676" i="9" s="1"/>
  <c r="N6677" i="9" a="1"/>
  <c r="N6677" i="9" s="1"/>
  <c r="N6678" i="9" a="1"/>
  <c r="N6678" i="9" s="1"/>
  <c r="N6679" i="9" a="1"/>
  <c r="N6679" i="9" s="1"/>
  <c r="N6680" i="9" a="1"/>
  <c r="N6680" i="9" s="1"/>
  <c r="N6681" i="9" a="1"/>
  <c r="N6681" i="9" s="1"/>
  <c r="N6682" i="9" a="1"/>
  <c r="N6682" i="9" s="1"/>
  <c r="N6683" i="9" a="1"/>
  <c r="N6683" i="9" s="1"/>
  <c r="N6684" i="9" a="1"/>
  <c r="N6684" i="9" s="1"/>
  <c r="N6685" i="9" a="1"/>
  <c r="N6685" i="9" s="1"/>
  <c r="N6686" i="9" a="1"/>
  <c r="N6686" i="9" s="1"/>
  <c r="N6687" i="9" a="1"/>
  <c r="N6687" i="9" s="1"/>
  <c r="N6688" i="9" a="1"/>
  <c r="N6688" i="9" s="1"/>
  <c r="N6689" i="9" a="1"/>
  <c r="N6689" i="9" s="1"/>
  <c r="N6691" i="9" a="1"/>
  <c r="N6691" i="9" s="1"/>
  <c r="N6692" i="9" a="1"/>
  <c r="N6692" i="9" s="1"/>
  <c r="N6693" i="9" a="1"/>
  <c r="N6693" i="9" s="1"/>
  <c r="N6694" i="9" a="1"/>
  <c r="N6694" i="9" s="1"/>
  <c r="N6695" i="9" a="1"/>
  <c r="N6695" i="9" s="1"/>
  <c r="N6696" i="9" a="1"/>
  <c r="N6696" i="9" s="1"/>
  <c r="N6697" i="9" a="1"/>
  <c r="N6697" i="9" s="1"/>
  <c r="N6698" i="9" a="1"/>
  <c r="N6698" i="9" s="1"/>
  <c r="N6699" i="9" a="1"/>
  <c r="N6699" i="9" s="1"/>
  <c r="N6700" i="9" a="1"/>
  <c r="N6700" i="9" s="1"/>
  <c r="N6701" i="9" a="1"/>
  <c r="N6701" i="9" s="1"/>
  <c r="N6702" i="9" a="1"/>
  <c r="N6702" i="9" s="1"/>
  <c r="N6703" i="9" a="1"/>
  <c r="N6703" i="9" s="1"/>
  <c r="N6704" i="9" a="1"/>
  <c r="N6704" i="9" s="1"/>
  <c r="N6705" i="9" a="1"/>
  <c r="N6705" i="9" s="1"/>
  <c r="N6707" i="9" a="1"/>
  <c r="N6707" i="9" s="1"/>
  <c r="N6708" i="9" a="1"/>
  <c r="N6708" i="9" s="1"/>
  <c r="N6709" i="9" a="1"/>
  <c r="N6709" i="9" s="1"/>
  <c r="N6710" i="9" a="1"/>
  <c r="N6710" i="9" s="1"/>
  <c r="N6711" i="9" a="1"/>
  <c r="N6711" i="9" s="1"/>
  <c r="N6712" i="9" a="1"/>
  <c r="N6712" i="9" s="1"/>
  <c r="N6713" i="9" a="1"/>
  <c r="N6713" i="9" s="1"/>
  <c r="N6714" i="9" a="1"/>
  <c r="N6714" i="9" s="1"/>
  <c r="N6715" i="9" a="1"/>
  <c r="N6715" i="9" s="1"/>
  <c r="N6716" i="9" a="1"/>
  <c r="N6716" i="9" s="1"/>
  <c r="N6717" i="9" a="1"/>
  <c r="N6717" i="9" s="1"/>
  <c r="N6718" i="9" a="1"/>
  <c r="N6718" i="9" s="1"/>
  <c r="N6719" i="9" a="1"/>
  <c r="N6719" i="9" s="1"/>
  <c r="N6720" i="9" a="1"/>
  <c r="N6720" i="9" s="1"/>
  <c r="N6721" i="9" a="1"/>
  <c r="N6721" i="9" s="1"/>
  <c r="N6723" i="9" a="1"/>
  <c r="N6723" i="9" s="1"/>
  <c r="N6724" i="9" a="1"/>
  <c r="N6724" i="9" s="1"/>
  <c r="N6725" i="9" a="1"/>
  <c r="N6725" i="9" s="1"/>
  <c r="N6726" i="9" a="1"/>
  <c r="N6726" i="9" s="1"/>
  <c r="N6727" i="9" a="1"/>
  <c r="N6727" i="9" s="1"/>
  <c r="N6728" i="9" a="1"/>
  <c r="N6728" i="9" s="1"/>
  <c r="N6729" i="9" a="1"/>
  <c r="N6729" i="9" s="1"/>
  <c r="N6730" i="9" a="1"/>
  <c r="N6730" i="9" s="1"/>
  <c r="N6731" i="9" a="1"/>
  <c r="N6731" i="9" s="1"/>
  <c r="N6732" i="9" a="1"/>
  <c r="N6732" i="9" s="1"/>
  <c r="N6733" i="9" a="1"/>
  <c r="N6733" i="9" s="1"/>
  <c r="N6734" i="9" a="1"/>
  <c r="N6734" i="9" s="1"/>
  <c r="N6735" i="9" a="1"/>
  <c r="N6735" i="9" s="1"/>
  <c r="N6736" i="9" a="1"/>
  <c r="N6736" i="9" s="1"/>
  <c r="N6737" i="9" a="1"/>
  <c r="N6737" i="9" s="1"/>
  <c r="N6739" i="9" a="1"/>
  <c r="N6739" i="9" s="1"/>
  <c r="N6740" i="9" a="1"/>
  <c r="N6740" i="9" s="1"/>
  <c r="N6741" i="9" a="1"/>
  <c r="N6741" i="9" s="1"/>
  <c r="N6742" i="9" a="1"/>
  <c r="N6742" i="9" s="1"/>
  <c r="N6743" i="9" a="1"/>
  <c r="N6743" i="9" s="1"/>
  <c r="N6744" i="9" a="1"/>
  <c r="N6744" i="9" s="1"/>
  <c r="N6745" i="9" a="1"/>
  <c r="N6745" i="9" s="1"/>
  <c r="N6746" i="9" a="1"/>
  <c r="N6746" i="9" s="1"/>
  <c r="N6747" i="9" a="1"/>
  <c r="N6747" i="9" s="1"/>
  <c r="N6748" i="9" a="1"/>
  <c r="N6748" i="9" s="1"/>
  <c r="N6749" i="9" a="1"/>
  <c r="N6749" i="9" s="1"/>
  <c r="N6750" i="9" a="1"/>
  <c r="N6750" i="9" s="1"/>
  <c r="N6751" i="9" a="1"/>
  <c r="N6751" i="9" s="1"/>
  <c r="N6752" i="9" a="1"/>
  <c r="N6752" i="9" s="1"/>
  <c r="N6753" i="9" a="1"/>
  <c r="N6753" i="9" s="1"/>
  <c r="N6755" i="9" a="1"/>
  <c r="N6755" i="9" s="1"/>
  <c r="N6756" i="9" a="1"/>
  <c r="N6756" i="9" s="1"/>
  <c r="N6757" i="9" a="1"/>
  <c r="N6757" i="9" s="1"/>
  <c r="N6758" i="9" a="1"/>
  <c r="N6758" i="9" s="1"/>
  <c r="N6759" i="9" a="1"/>
  <c r="N6759" i="9" s="1"/>
  <c r="N6760" i="9" a="1"/>
  <c r="N6760" i="9" s="1"/>
  <c r="N6761" i="9" a="1"/>
  <c r="N6761" i="9" s="1"/>
  <c r="N6762" i="9" a="1"/>
  <c r="N6762" i="9" s="1"/>
  <c r="N6763" i="9" a="1"/>
  <c r="N6763" i="9" s="1"/>
  <c r="N6764" i="9" a="1"/>
  <c r="N6764" i="9" s="1"/>
  <c r="N6765" i="9" a="1"/>
  <c r="N6765" i="9" s="1"/>
  <c r="N6766" i="9" a="1"/>
  <c r="N6766" i="9" s="1"/>
  <c r="N6767" i="9" a="1"/>
  <c r="N6767" i="9" s="1"/>
  <c r="N6768" i="9" a="1"/>
  <c r="N6768" i="9" s="1"/>
  <c r="N6769" i="9" a="1"/>
  <c r="N6769" i="9" s="1"/>
  <c r="N6771" i="9" a="1"/>
  <c r="N6771" i="9" s="1"/>
  <c r="N6772" i="9" a="1"/>
  <c r="N6772" i="9" s="1"/>
  <c r="N6773" i="9" a="1"/>
  <c r="N6773" i="9" s="1"/>
  <c r="N6774" i="9" a="1"/>
  <c r="N6774" i="9" s="1"/>
  <c r="N6775" i="9" a="1"/>
  <c r="N6775" i="9" s="1"/>
  <c r="N6776" i="9" a="1"/>
  <c r="N6776" i="9" s="1"/>
  <c r="N6777" i="9" a="1"/>
  <c r="N6777" i="9" s="1"/>
  <c r="N6778" i="9" a="1"/>
  <c r="N6778" i="9" s="1"/>
  <c r="N6779" i="9" a="1"/>
  <c r="N6779" i="9" s="1"/>
  <c r="N6780" i="9" a="1"/>
  <c r="N6780" i="9" s="1"/>
  <c r="N6781" i="9" a="1"/>
  <c r="N6781" i="9" s="1"/>
  <c r="N6782" i="9" a="1"/>
  <c r="N6782" i="9" s="1"/>
  <c r="N6783" i="9" a="1"/>
  <c r="N6783" i="9" s="1"/>
  <c r="N6784" i="9" a="1"/>
  <c r="N6784" i="9" s="1"/>
  <c r="N6785" i="9" a="1"/>
  <c r="N6785" i="9" s="1"/>
  <c r="N6787" i="9" a="1"/>
  <c r="N6787" i="9" s="1"/>
  <c r="N6788" i="9" a="1"/>
  <c r="N6788" i="9" s="1"/>
  <c r="N6789" i="9" a="1"/>
  <c r="N6789" i="9" s="1"/>
  <c r="N6790" i="9" a="1"/>
  <c r="N6790" i="9" s="1"/>
  <c r="N6791" i="9" a="1"/>
  <c r="N6791" i="9" s="1"/>
  <c r="N6792" i="9" a="1"/>
  <c r="N6792" i="9" s="1"/>
  <c r="N6793" i="9" a="1"/>
  <c r="N6793" i="9" s="1"/>
  <c r="N6794" i="9" a="1"/>
  <c r="N6794" i="9" s="1"/>
  <c r="N6795" i="9" a="1"/>
  <c r="N6795" i="9" s="1"/>
  <c r="N6796" i="9" a="1"/>
  <c r="N6796" i="9" s="1"/>
  <c r="N6797" i="9" a="1"/>
  <c r="N6797" i="9" s="1"/>
  <c r="N6798" i="9" a="1"/>
  <c r="N6798" i="9" s="1"/>
  <c r="N6799" i="9" a="1"/>
  <c r="N6799" i="9" s="1"/>
  <c r="N6800" i="9" a="1"/>
  <c r="N6800" i="9" s="1"/>
  <c r="N6801" i="9" a="1"/>
  <c r="N6801" i="9" s="1"/>
  <c r="N6803" i="9" a="1"/>
  <c r="N6803" i="9" s="1"/>
  <c r="N6804" i="9" a="1"/>
  <c r="N6804" i="9" s="1"/>
  <c r="N6805" i="9" a="1"/>
  <c r="N6805" i="9" s="1"/>
  <c r="N6806" i="9" a="1"/>
  <c r="N6806" i="9" s="1"/>
  <c r="N6807" i="9" a="1"/>
  <c r="N6807" i="9" s="1"/>
  <c r="N6808" i="9" a="1"/>
  <c r="N6808" i="9" s="1"/>
  <c r="N6809" i="9" a="1"/>
  <c r="N6809" i="9" s="1"/>
  <c r="N6810" i="9" a="1"/>
  <c r="N6810" i="9" s="1"/>
  <c r="N6811" i="9" a="1"/>
  <c r="N6811" i="9" s="1"/>
  <c r="N6812" i="9" a="1"/>
  <c r="N6812" i="9" s="1"/>
  <c r="N6813" i="9" a="1"/>
  <c r="N6813" i="9" s="1"/>
  <c r="N6814" i="9" a="1"/>
  <c r="N6814" i="9" s="1"/>
  <c r="N6815" i="9" a="1"/>
  <c r="N6815" i="9" s="1"/>
  <c r="N6816" i="9" a="1"/>
  <c r="N6816" i="9" s="1"/>
  <c r="N6817" i="9" a="1"/>
  <c r="N6817" i="9" s="1"/>
  <c r="N6819" i="9" a="1"/>
  <c r="N6819" i="9" s="1"/>
  <c r="N6820" i="9" a="1"/>
  <c r="N6820" i="9" s="1"/>
  <c r="N6821" i="9" a="1"/>
  <c r="N6821" i="9" s="1"/>
  <c r="N6822" i="9" a="1"/>
  <c r="N6822" i="9" s="1"/>
  <c r="N6823" i="9" a="1"/>
  <c r="N6823" i="9" s="1"/>
  <c r="N6824" i="9" a="1"/>
  <c r="N6824" i="9" s="1"/>
  <c r="N6825" i="9" a="1"/>
  <c r="N6825" i="9" s="1"/>
  <c r="N6826" i="9" a="1"/>
  <c r="N6826" i="9" s="1"/>
  <c r="N6827" i="9" a="1"/>
  <c r="N6827" i="9" s="1"/>
  <c r="N6828" i="9" a="1"/>
  <c r="N6828" i="9" s="1"/>
  <c r="N6829" i="9" a="1"/>
  <c r="N6829" i="9" s="1"/>
  <c r="N6830" i="9" a="1"/>
  <c r="N6830" i="9" s="1"/>
  <c r="N6831" i="9" a="1"/>
  <c r="N6831" i="9" s="1"/>
  <c r="N6832" i="9" a="1"/>
  <c r="N6832" i="9" s="1"/>
  <c r="N6833" i="9" a="1"/>
  <c r="N6833" i="9" s="1"/>
  <c r="N6835" i="9" a="1"/>
  <c r="N6835" i="9" s="1"/>
  <c r="N6836" i="9" a="1"/>
  <c r="N6836" i="9" s="1"/>
  <c r="N6837" i="9" a="1"/>
  <c r="N6837" i="9" s="1"/>
  <c r="N6838" i="9" a="1"/>
  <c r="N6838" i="9" s="1"/>
  <c r="N6839" i="9" a="1"/>
  <c r="N6839" i="9" s="1"/>
  <c r="N6840" i="9" a="1"/>
  <c r="N6840" i="9" s="1"/>
  <c r="N6841" i="9" a="1"/>
  <c r="N6841" i="9" s="1"/>
  <c r="N6842" i="9" a="1"/>
  <c r="N6842" i="9" s="1"/>
  <c r="N6843" i="9" a="1"/>
  <c r="N6843" i="9" s="1"/>
  <c r="N6844" i="9" a="1"/>
  <c r="N6844" i="9" s="1"/>
  <c r="N6845" i="9" a="1"/>
  <c r="N6845" i="9" s="1"/>
  <c r="N6846" i="9" a="1"/>
  <c r="N6846" i="9" s="1"/>
  <c r="N6847" i="9" a="1"/>
  <c r="N6847" i="9" s="1"/>
  <c r="N6848" i="9" a="1"/>
  <c r="N6848" i="9" s="1"/>
  <c r="N6849" i="9" a="1"/>
  <c r="N6849" i="9" s="1"/>
  <c r="N6851" i="9" a="1"/>
  <c r="N6851" i="9" s="1"/>
  <c r="N6852" i="9" a="1"/>
  <c r="N6852" i="9" s="1"/>
  <c r="N6853" i="9" a="1"/>
  <c r="N6853" i="9" s="1"/>
  <c r="N6854" i="9" a="1"/>
  <c r="N6854" i="9" s="1"/>
  <c r="N6855" i="9" a="1"/>
  <c r="N6855" i="9" s="1"/>
  <c r="N6856" i="9" a="1"/>
  <c r="N6856" i="9" s="1"/>
  <c r="N6857" i="9" a="1"/>
  <c r="N6857" i="9" s="1"/>
  <c r="N6858" i="9" a="1"/>
  <c r="N6858" i="9" s="1"/>
  <c r="N6859" i="9" a="1"/>
  <c r="N6859" i="9" s="1"/>
  <c r="N6860" i="9" a="1"/>
  <c r="N6860" i="9" s="1"/>
  <c r="N6861" i="9" a="1"/>
  <c r="N6861" i="9" s="1"/>
  <c r="N6862" i="9" a="1"/>
  <c r="N6862" i="9" s="1"/>
  <c r="N6863" i="9" a="1"/>
  <c r="N6863" i="9" s="1"/>
  <c r="N6864" i="9" a="1"/>
  <c r="N6864" i="9" s="1"/>
  <c r="N6865" i="9" a="1"/>
  <c r="N6865" i="9" s="1"/>
  <c r="N6867" i="9" a="1"/>
  <c r="N6867" i="9" s="1"/>
  <c r="N6868" i="9" a="1"/>
  <c r="N6868" i="9" s="1"/>
  <c r="N6869" i="9" a="1"/>
  <c r="N6869" i="9" s="1"/>
  <c r="N6870" i="9" a="1"/>
  <c r="N6870" i="9" s="1"/>
  <c r="N6871" i="9" a="1"/>
  <c r="N6871" i="9" s="1"/>
  <c r="N6872" i="9" a="1"/>
  <c r="N6872" i="9" s="1"/>
  <c r="N6873" i="9" a="1"/>
  <c r="N6873" i="9" s="1"/>
  <c r="N6874" i="9" a="1"/>
  <c r="N6874" i="9" s="1"/>
  <c r="N6875" i="9" a="1"/>
  <c r="N6875" i="9" s="1"/>
  <c r="N6876" i="9" a="1"/>
  <c r="N6876" i="9" s="1"/>
  <c r="N6877" i="9" a="1"/>
  <c r="N6877" i="9" s="1"/>
  <c r="N6878" i="9" a="1"/>
  <c r="N6878" i="9" s="1"/>
  <c r="N6879" i="9" a="1"/>
  <c r="N6879" i="9" s="1"/>
  <c r="N6880" i="9" a="1"/>
  <c r="N6880" i="9" s="1"/>
  <c r="N6881" i="9" a="1"/>
  <c r="N6881" i="9" s="1"/>
  <c r="N6883" i="9" a="1"/>
  <c r="N6883" i="9" s="1"/>
  <c r="N6884" i="9" a="1"/>
  <c r="N6884" i="9" s="1"/>
  <c r="N6885" i="9" a="1"/>
  <c r="N6885" i="9" s="1"/>
  <c r="N6886" i="9" a="1"/>
  <c r="N6886" i="9" s="1"/>
  <c r="N6887" i="9" a="1"/>
  <c r="N6887" i="9" s="1"/>
  <c r="N6888" i="9" a="1"/>
  <c r="N6888" i="9" s="1"/>
  <c r="N6889" i="9" a="1"/>
  <c r="N6889" i="9" s="1"/>
  <c r="N6890" i="9" a="1"/>
  <c r="N6890" i="9" s="1"/>
  <c r="N6891" i="9" a="1"/>
  <c r="N6891" i="9" s="1"/>
  <c r="N6892" i="9" a="1"/>
  <c r="N6892" i="9" s="1"/>
  <c r="N6893" i="9" a="1"/>
  <c r="N6893" i="9" s="1"/>
  <c r="N6894" i="9" a="1"/>
  <c r="N6894" i="9" s="1"/>
  <c r="N6895" i="9" a="1"/>
  <c r="N6895" i="9" s="1"/>
  <c r="N6896" i="9" a="1"/>
  <c r="N6896" i="9" s="1"/>
  <c r="N6897" i="9" a="1"/>
  <c r="N6897" i="9" s="1"/>
  <c r="N6899" i="9" a="1"/>
  <c r="N6899" i="9" s="1"/>
  <c r="N6900" i="9" a="1"/>
  <c r="N6900" i="9" s="1"/>
  <c r="N6901" i="9" a="1"/>
  <c r="N6901" i="9" s="1"/>
  <c r="N6902" i="9" a="1"/>
  <c r="N6902" i="9" s="1"/>
  <c r="N6903" i="9" a="1"/>
  <c r="N6903" i="9" s="1"/>
  <c r="N6904" i="9" a="1"/>
  <c r="N6904" i="9" s="1"/>
  <c r="N6905" i="9" a="1"/>
  <c r="N6905" i="9" s="1"/>
  <c r="N6906" i="9" a="1"/>
  <c r="N6906" i="9" s="1"/>
  <c r="N6907" i="9" a="1"/>
  <c r="N6907" i="9" s="1"/>
  <c r="N6908" i="9" a="1"/>
  <c r="N6908" i="9" s="1"/>
  <c r="N6909" i="9" a="1"/>
  <c r="N6909" i="9" s="1"/>
  <c r="N6910" i="9" a="1"/>
  <c r="N6910" i="9" s="1"/>
  <c r="N6911" i="9" a="1"/>
  <c r="N6911" i="9" s="1"/>
  <c r="N6912" i="9" a="1"/>
  <c r="N6912" i="9" s="1"/>
  <c r="N6913" i="9" a="1"/>
  <c r="N6913" i="9" s="1"/>
  <c r="N6915" i="9" a="1"/>
  <c r="N6915" i="9" s="1"/>
  <c r="N6916" i="9" a="1"/>
  <c r="N6916" i="9" s="1"/>
  <c r="N6917" i="9" a="1"/>
  <c r="N6917" i="9" s="1"/>
  <c r="N6918" i="9" a="1"/>
  <c r="N6918" i="9" s="1"/>
  <c r="N6919" i="9" a="1"/>
  <c r="N6919" i="9" s="1"/>
  <c r="N6920" i="9" a="1"/>
  <c r="N6920" i="9" s="1"/>
  <c r="N6921" i="9" a="1"/>
  <c r="N6921" i="9" s="1"/>
  <c r="N6922" i="9" a="1"/>
  <c r="N6922" i="9" s="1"/>
  <c r="N6923" i="9" a="1"/>
  <c r="N6923" i="9" s="1"/>
  <c r="N6924" i="9" a="1"/>
  <c r="N6924" i="9" s="1"/>
  <c r="N6925" i="9" a="1"/>
  <c r="N6925" i="9" s="1"/>
  <c r="N6926" i="9" a="1"/>
  <c r="N6926" i="9" s="1"/>
  <c r="N6927" i="9" a="1"/>
  <c r="N6927" i="9" s="1"/>
  <c r="N6928" i="9" a="1"/>
  <c r="N6928" i="9" s="1"/>
  <c r="N6929" i="9" a="1"/>
  <c r="N6929" i="9" s="1"/>
  <c r="N6931" i="9" a="1"/>
  <c r="N6931" i="9" s="1"/>
  <c r="N6932" i="9" a="1"/>
  <c r="N6932" i="9" s="1"/>
  <c r="N6933" i="9" a="1"/>
  <c r="N6933" i="9" s="1"/>
  <c r="N6934" i="9" a="1"/>
  <c r="N6934" i="9" s="1"/>
  <c r="N6935" i="9" a="1"/>
  <c r="N6935" i="9" s="1"/>
  <c r="N6936" i="9" a="1"/>
  <c r="N6936" i="9" s="1"/>
  <c r="N6937" i="9" a="1"/>
  <c r="N6937" i="9" s="1"/>
  <c r="N6938" i="9" a="1"/>
  <c r="N6938" i="9" s="1"/>
  <c r="N6939" i="9" a="1"/>
  <c r="N6939" i="9" s="1"/>
  <c r="N6940" i="9" a="1"/>
  <c r="N6940" i="9" s="1"/>
  <c r="N6941" i="9" a="1"/>
  <c r="N6941" i="9" s="1"/>
  <c r="N6942" i="9" a="1"/>
  <c r="N6942" i="9" s="1"/>
  <c r="N6943" i="9" a="1"/>
  <c r="N6943" i="9" s="1"/>
  <c r="N6944" i="9" a="1"/>
  <c r="N6944" i="9" s="1"/>
  <c r="N6945" i="9" a="1"/>
  <c r="N6945" i="9" s="1"/>
  <c r="N6947" i="9" a="1"/>
  <c r="N6947" i="9" s="1"/>
  <c r="N6948" i="9" a="1"/>
  <c r="N6948" i="9" s="1"/>
  <c r="N6949" i="9" a="1"/>
  <c r="N6949" i="9" s="1"/>
  <c r="N6950" i="9" a="1"/>
  <c r="N6950" i="9" s="1"/>
  <c r="N6951" i="9" a="1"/>
  <c r="N6951" i="9" s="1"/>
  <c r="N6952" i="9" a="1"/>
  <c r="N6952" i="9" s="1"/>
  <c r="N6953" i="9" a="1"/>
  <c r="N6953" i="9" s="1"/>
  <c r="N6954" i="9" a="1"/>
  <c r="N6954" i="9" s="1"/>
  <c r="N6955" i="9" a="1"/>
  <c r="N6955" i="9" s="1"/>
  <c r="N6956" i="9" a="1"/>
  <c r="N6956" i="9" s="1"/>
  <c r="N6957" i="9" a="1"/>
  <c r="N6957" i="9" s="1"/>
  <c r="N6958" i="9" a="1"/>
  <c r="N6958" i="9" s="1"/>
  <c r="N6959" i="9" a="1"/>
  <c r="N6959" i="9" s="1"/>
  <c r="N6960" i="9" a="1"/>
  <c r="N6960" i="9" s="1"/>
  <c r="N6961" i="9" a="1"/>
  <c r="N6961" i="9" s="1"/>
  <c r="N6963" i="9" a="1"/>
  <c r="N6963" i="9" s="1"/>
  <c r="N6964" i="9" a="1"/>
  <c r="N6964" i="9" s="1"/>
  <c r="N6965" i="9" a="1"/>
  <c r="N6965" i="9" s="1"/>
  <c r="N6966" i="9" a="1"/>
  <c r="N6966" i="9" s="1"/>
  <c r="N6967" i="9" a="1"/>
  <c r="N6967" i="9" s="1"/>
  <c r="N6968" i="9" a="1"/>
  <c r="N6968" i="9" s="1"/>
  <c r="N6969" i="9" a="1"/>
  <c r="N6969" i="9" s="1"/>
  <c r="N6970" i="9" a="1"/>
  <c r="N6970" i="9" s="1"/>
  <c r="N6971" i="9" a="1"/>
  <c r="N6971" i="9" s="1"/>
  <c r="N6972" i="9" a="1"/>
  <c r="N6972" i="9" s="1"/>
  <c r="N6973" i="9" a="1"/>
  <c r="N6973" i="9" s="1"/>
  <c r="N6974" i="9" a="1"/>
  <c r="N6974" i="9" s="1"/>
  <c r="N6975" i="9" a="1"/>
  <c r="N6975" i="9" s="1"/>
  <c r="N6976" i="9" a="1"/>
  <c r="N6976" i="9" s="1"/>
  <c r="N6977" i="9" a="1"/>
  <c r="N6977" i="9" s="1"/>
  <c r="N6979" i="9" a="1"/>
  <c r="N6979" i="9" s="1"/>
  <c r="N6980" i="9" a="1"/>
  <c r="N6980" i="9" s="1"/>
  <c r="N6981" i="9" a="1"/>
  <c r="N6981" i="9" s="1"/>
  <c r="N6982" i="9" a="1"/>
  <c r="N6982" i="9" s="1"/>
  <c r="N6983" i="9" a="1"/>
  <c r="N6983" i="9" s="1"/>
  <c r="N6984" i="9" a="1"/>
  <c r="N6984" i="9" s="1"/>
  <c r="N6985" i="9" a="1"/>
  <c r="N6985" i="9" s="1"/>
  <c r="N6986" i="9" a="1"/>
  <c r="N6986" i="9" s="1"/>
  <c r="N6987" i="9" a="1"/>
  <c r="N6987" i="9" s="1"/>
  <c r="N6988" i="9" a="1"/>
  <c r="N6988" i="9" s="1"/>
  <c r="N6989" i="9" a="1"/>
  <c r="N6989" i="9" s="1"/>
  <c r="N6990" i="9" a="1"/>
  <c r="N6990" i="9" s="1"/>
  <c r="N6991" i="9" a="1"/>
  <c r="N6991" i="9" s="1"/>
  <c r="N6992" i="9" a="1"/>
  <c r="N6992" i="9" s="1"/>
  <c r="N6993" i="9" a="1"/>
  <c r="N6993" i="9" s="1"/>
  <c r="N6995" i="9" a="1"/>
  <c r="N6995" i="9" s="1"/>
  <c r="N6996" i="9" a="1"/>
  <c r="N6996" i="9" s="1"/>
  <c r="N6997" i="9" a="1"/>
  <c r="N6997" i="9" s="1"/>
  <c r="N6998" i="9" a="1"/>
  <c r="N6998" i="9" s="1"/>
  <c r="N6999" i="9" a="1"/>
  <c r="N6999" i="9" s="1"/>
  <c r="N7000" i="9" a="1"/>
  <c r="N7000" i="9" s="1"/>
  <c r="N7001" i="9" a="1"/>
  <c r="N7001" i="9" s="1"/>
  <c r="N7002" i="9" a="1"/>
  <c r="N7002" i="9" s="1"/>
  <c r="N7003" i="9" a="1"/>
  <c r="N7003" i="9" s="1"/>
  <c r="N7004" i="9" a="1"/>
  <c r="N7004" i="9" s="1"/>
  <c r="N7005" i="9" a="1"/>
  <c r="N7005" i="9" s="1"/>
  <c r="N7006" i="9" a="1"/>
  <c r="N7006" i="9" s="1"/>
  <c r="N7007" i="9" a="1"/>
  <c r="N7007" i="9" s="1"/>
  <c r="N7008" i="9" a="1"/>
  <c r="N7008" i="9" s="1"/>
  <c r="N7009" i="9" a="1"/>
  <c r="N7009" i="9" s="1"/>
  <c r="N7011" i="9" a="1"/>
  <c r="N7011" i="9" s="1"/>
  <c r="N7012" i="9" a="1"/>
  <c r="N7012" i="9" s="1"/>
  <c r="N7013" i="9" a="1"/>
  <c r="N7013" i="9" s="1"/>
  <c r="N7014" i="9" a="1"/>
  <c r="N7014" i="9" s="1"/>
  <c r="N7015" i="9" a="1"/>
  <c r="N7015" i="9" s="1"/>
  <c r="N7016" i="9" a="1"/>
  <c r="N7016" i="9" s="1"/>
  <c r="N7017" i="9" a="1"/>
  <c r="N7017" i="9" s="1"/>
  <c r="N7018" i="9" a="1"/>
  <c r="N7018" i="9" s="1"/>
  <c r="N7019" i="9" a="1"/>
  <c r="N7019" i="9" s="1"/>
  <c r="N7020" i="9" a="1"/>
  <c r="N7020" i="9" s="1"/>
  <c r="N7021" i="9" a="1"/>
  <c r="N7021" i="9" s="1"/>
  <c r="N7022" i="9" a="1"/>
  <c r="N7022" i="9" s="1"/>
  <c r="N7023" i="9" a="1"/>
  <c r="N7023" i="9" s="1"/>
  <c r="N7024" i="9" a="1"/>
  <c r="N7024" i="9" s="1"/>
  <c r="N7025" i="9" a="1"/>
  <c r="N7025" i="9" s="1"/>
  <c r="N7027" i="9" a="1"/>
  <c r="N7027" i="9" s="1"/>
  <c r="N7028" i="9" a="1"/>
  <c r="N7028" i="9" s="1"/>
  <c r="N7029" i="9" a="1"/>
  <c r="N7029" i="9" s="1"/>
  <c r="N7030" i="9" a="1"/>
  <c r="N7030" i="9" s="1"/>
  <c r="N7031" i="9" a="1"/>
  <c r="N7031" i="9" s="1"/>
  <c r="N7032" i="9" a="1"/>
  <c r="N7032" i="9" s="1"/>
  <c r="N7033" i="9" a="1"/>
  <c r="N7033" i="9" s="1"/>
  <c r="N7034" i="9" a="1"/>
  <c r="N7034" i="9" s="1"/>
  <c r="N7035" i="9" a="1"/>
  <c r="N7035" i="9" s="1"/>
  <c r="N7036" i="9" a="1"/>
  <c r="N7036" i="9" s="1"/>
  <c r="N7037" i="9" a="1"/>
  <c r="N7037" i="9" s="1"/>
  <c r="N7038" i="9" a="1"/>
  <c r="N7038" i="9" s="1"/>
  <c r="N7039" i="9" a="1"/>
  <c r="N7039" i="9" s="1"/>
  <c r="N7040" i="9" a="1"/>
  <c r="N7040" i="9" s="1"/>
  <c r="N7041" i="9" a="1"/>
  <c r="N7041" i="9" s="1"/>
  <c r="N7043" i="9" a="1"/>
  <c r="N7043" i="9" s="1"/>
  <c r="N7044" i="9" a="1"/>
  <c r="N7044" i="9" s="1"/>
  <c r="N7045" i="9" a="1"/>
  <c r="N7045" i="9" s="1"/>
  <c r="N7046" i="9" a="1"/>
  <c r="N7046" i="9" s="1"/>
  <c r="N7047" i="9" a="1"/>
  <c r="N7047" i="9" s="1"/>
  <c r="N7048" i="9" a="1"/>
  <c r="N7048" i="9" s="1"/>
  <c r="N7049" i="9" a="1"/>
  <c r="N7049" i="9" s="1"/>
  <c r="N7050" i="9" a="1"/>
  <c r="N7050" i="9" s="1"/>
  <c r="N7051" i="9" a="1"/>
  <c r="N7051" i="9" s="1"/>
  <c r="N7052" i="9" a="1"/>
  <c r="N7052" i="9" s="1"/>
  <c r="N7053" i="9" a="1"/>
  <c r="N7053" i="9" s="1"/>
  <c r="N7054" i="9" a="1"/>
  <c r="N7054" i="9" s="1"/>
  <c r="N7055" i="9" a="1"/>
  <c r="N7055" i="9" s="1"/>
  <c r="N7056" i="9" a="1"/>
  <c r="N7056" i="9" s="1"/>
  <c r="N7057" i="9" a="1"/>
  <c r="N7057" i="9" s="1"/>
  <c r="N7059" i="9" a="1"/>
  <c r="N7059" i="9" s="1"/>
  <c r="N7060" i="9" a="1"/>
  <c r="N7060" i="9" s="1"/>
  <c r="N7061" i="9" a="1"/>
  <c r="N7061" i="9" s="1"/>
  <c r="N7062" i="9" a="1"/>
  <c r="N7062" i="9" s="1"/>
  <c r="N7063" i="9" a="1"/>
  <c r="N7063" i="9" s="1"/>
  <c r="N7064" i="9" a="1"/>
  <c r="N7064" i="9" s="1"/>
  <c r="N7065" i="9" a="1"/>
  <c r="N7065" i="9" s="1"/>
  <c r="N7066" i="9" a="1"/>
  <c r="N7066" i="9" s="1"/>
  <c r="N7067" i="9" a="1"/>
  <c r="N7067" i="9" s="1"/>
  <c r="N7068" i="9" a="1"/>
  <c r="N7068" i="9" s="1"/>
  <c r="N7069" i="9" a="1"/>
  <c r="N7069" i="9" s="1"/>
  <c r="N7070" i="9" a="1"/>
  <c r="N7070" i="9" s="1"/>
  <c r="N7071" i="9" a="1"/>
  <c r="N7071" i="9" s="1"/>
  <c r="N7072" i="9" a="1"/>
  <c r="N7072" i="9" s="1"/>
  <c r="N7073" i="9" a="1"/>
  <c r="N7073" i="9" s="1"/>
  <c r="N7075" i="9" a="1"/>
  <c r="N7075" i="9" s="1"/>
  <c r="N7076" i="9" a="1"/>
  <c r="N7076" i="9" s="1"/>
  <c r="N7077" i="9" a="1"/>
  <c r="N7077" i="9" s="1"/>
  <c r="N7078" i="9" a="1"/>
  <c r="N7078" i="9" s="1"/>
  <c r="N7079" i="9" a="1"/>
  <c r="N7079" i="9" s="1"/>
  <c r="N7080" i="9" a="1"/>
  <c r="N7080" i="9" s="1"/>
  <c r="N7081" i="9" a="1"/>
  <c r="N7081" i="9" s="1"/>
  <c r="N7082" i="9" a="1"/>
  <c r="N7082" i="9" s="1"/>
  <c r="N7083" i="9" a="1"/>
  <c r="N7083" i="9" s="1"/>
  <c r="N7084" i="9" a="1"/>
  <c r="N7084" i="9" s="1"/>
  <c r="N7085" i="9" a="1"/>
  <c r="N7085" i="9" s="1"/>
  <c r="N7086" i="9" a="1"/>
  <c r="N7086" i="9" s="1"/>
  <c r="N7087" i="9" a="1"/>
  <c r="N7087" i="9" s="1"/>
  <c r="N7088" i="9" a="1"/>
  <c r="N7088" i="9" s="1"/>
  <c r="N7089" i="9" a="1"/>
  <c r="N7089" i="9" s="1"/>
  <c r="N7091" i="9" a="1"/>
  <c r="N7091" i="9" s="1"/>
  <c r="N7092" i="9" a="1"/>
  <c r="N7092" i="9" s="1"/>
  <c r="N7093" i="9" a="1"/>
  <c r="N7093" i="9" s="1"/>
  <c r="N7094" i="9" a="1"/>
  <c r="N7094" i="9" s="1"/>
  <c r="N7095" i="9" a="1"/>
  <c r="N7095" i="9" s="1"/>
  <c r="N7096" i="9" a="1"/>
  <c r="N7096" i="9" s="1"/>
  <c r="N7097" i="9" a="1"/>
  <c r="N7097" i="9" s="1"/>
  <c r="N7098" i="9" a="1"/>
  <c r="N7098" i="9" s="1"/>
  <c r="N7099" i="9" a="1"/>
  <c r="N7099" i="9" s="1"/>
  <c r="N7100" i="9" a="1"/>
  <c r="N7100" i="9" s="1"/>
  <c r="N7101" i="9" a="1"/>
  <c r="N7101" i="9" s="1"/>
  <c r="N7102" i="9" a="1"/>
  <c r="N7102" i="9" s="1"/>
  <c r="N7103" i="9" a="1"/>
  <c r="N7103" i="9" s="1"/>
  <c r="N7104" i="9" a="1"/>
  <c r="N7104" i="9" s="1"/>
  <c r="N7105" i="9" a="1"/>
  <c r="N7105" i="9" s="1"/>
  <c r="N7107" i="9" a="1"/>
  <c r="N7107" i="9" s="1"/>
  <c r="N7108" i="9" a="1"/>
  <c r="N7108" i="9" s="1"/>
  <c r="N7109" i="9" a="1"/>
  <c r="N7109" i="9" s="1"/>
  <c r="N7110" i="9" a="1"/>
  <c r="N7110" i="9" s="1"/>
  <c r="N7111" i="9" a="1"/>
  <c r="N7111" i="9" s="1"/>
  <c r="N7112" i="9" a="1"/>
  <c r="N7112" i="9" s="1"/>
  <c r="N7113" i="9" a="1"/>
  <c r="N7113" i="9" s="1"/>
  <c r="N7114" i="9" a="1"/>
  <c r="N7114" i="9" s="1"/>
  <c r="N7115" i="9" a="1"/>
  <c r="N7115" i="9" s="1"/>
  <c r="N7116" i="9" a="1"/>
  <c r="N7116" i="9" s="1"/>
  <c r="N7117" i="9" a="1"/>
  <c r="N7117" i="9" s="1"/>
  <c r="N7118" i="9" a="1"/>
  <c r="N7118" i="9" s="1"/>
  <c r="N7119" i="9" a="1"/>
  <c r="N7119" i="9" s="1"/>
  <c r="N7120" i="9" a="1"/>
  <c r="N7120" i="9" s="1"/>
  <c r="N7121" i="9" a="1"/>
  <c r="N7121" i="9" s="1"/>
  <c r="N7123" i="9" a="1"/>
  <c r="N7123" i="9" s="1"/>
  <c r="N7124" i="9" a="1"/>
  <c r="N7124" i="9" s="1"/>
  <c r="N7125" i="9" a="1"/>
  <c r="N7125" i="9" s="1"/>
  <c r="N7126" i="9" a="1"/>
  <c r="N7126" i="9" s="1"/>
  <c r="N7127" i="9" a="1"/>
  <c r="N7127" i="9" s="1"/>
  <c r="N7128" i="9" a="1"/>
  <c r="N7128" i="9" s="1"/>
  <c r="N7129" i="9" a="1"/>
  <c r="N7129" i="9" s="1"/>
  <c r="N7130" i="9" a="1"/>
  <c r="N7130" i="9" s="1"/>
  <c r="N7131" i="9" a="1"/>
  <c r="N7131" i="9" s="1"/>
  <c r="N7132" i="9" a="1"/>
  <c r="N7132" i="9" s="1"/>
  <c r="N7133" i="9" a="1"/>
  <c r="N7133" i="9" s="1"/>
  <c r="N7134" i="9" a="1"/>
  <c r="N7134" i="9" s="1"/>
  <c r="N7135" i="9" a="1"/>
  <c r="N7135" i="9" s="1"/>
  <c r="N7136" i="9" a="1"/>
  <c r="N7136" i="9" s="1"/>
  <c r="N7137" i="9" a="1"/>
  <c r="N7137" i="9" s="1"/>
  <c r="N7139" i="9" a="1"/>
  <c r="N7139" i="9" s="1"/>
  <c r="N7140" i="9" a="1"/>
  <c r="N7140" i="9" s="1"/>
  <c r="N7141" i="9" a="1"/>
  <c r="N7141" i="9" s="1"/>
  <c r="N7142" i="9" a="1"/>
  <c r="N7142" i="9" s="1"/>
  <c r="N7143" i="9" a="1"/>
  <c r="N7143" i="9" s="1"/>
  <c r="N7144" i="9" a="1"/>
  <c r="N7144" i="9" s="1"/>
  <c r="N7145" i="9" a="1"/>
  <c r="N7145" i="9" s="1"/>
  <c r="N7146" i="9" a="1"/>
  <c r="N7146" i="9" s="1"/>
  <c r="N7147" i="9" a="1"/>
  <c r="N7147" i="9" s="1"/>
  <c r="N7148" i="9" a="1"/>
  <c r="N7148" i="9" s="1"/>
  <c r="N7149" i="9" a="1"/>
  <c r="N7149" i="9" s="1"/>
  <c r="N7150" i="9" a="1"/>
  <c r="N7150" i="9" s="1"/>
  <c r="N7151" i="9" a="1"/>
  <c r="N7151" i="9" s="1"/>
  <c r="N7152" i="9" a="1"/>
  <c r="N7152" i="9" s="1"/>
  <c r="N7153" i="9" a="1"/>
  <c r="N7153" i="9" s="1"/>
  <c r="N7155" i="9" a="1"/>
  <c r="N7155" i="9" s="1"/>
  <c r="N7156" i="9" a="1"/>
  <c r="N7156" i="9" s="1"/>
  <c r="N7157" i="9" a="1"/>
  <c r="N7157" i="9" s="1"/>
  <c r="N7158" i="9" a="1"/>
  <c r="N7158" i="9" s="1"/>
  <c r="N7159" i="9" a="1"/>
  <c r="N7159" i="9" s="1"/>
  <c r="N7160" i="9" a="1"/>
  <c r="N7160" i="9" s="1"/>
  <c r="N7161" i="9" a="1"/>
  <c r="N7161" i="9" s="1"/>
  <c r="N7162" i="9" a="1"/>
  <c r="N7162" i="9" s="1"/>
  <c r="N7163" i="9" a="1"/>
  <c r="N7163" i="9" s="1"/>
  <c r="N7164" i="9" a="1"/>
  <c r="N7164" i="9" s="1"/>
  <c r="N7165" i="9" a="1"/>
  <c r="N7165" i="9" s="1"/>
  <c r="N7166" i="9" a="1"/>
  <c r="N7166" i="9" s="1"/>
  <c r="N7167" i="9" a="1"/>
  <c r="N7167" i="9" s="1"/>
  <c r="N7168" i="9" a="1"/>
  <c r="N7168" i="9" s="1"/>
  <c r="N7169" i="9" a="1"/>
  <c r="N7169" i="9" s="1"/>
  <c r="N7171" i="9" a="1"/>
  <c r="N7171" i="9" s="1"/>
  <c r="N7172" i="9" a="1"/>
  <c r="N7172" i="9" s="1"/>
  <c r="N7173" i="9" a="1"/>
  <c r="N7173" i="9" s="1"/>
  <c r="N7174" i="9" a="1"/>
  <c r="N7174" i="9" s="1"/>
  <c r="N7175" i="9" a="1"/>
  <c r="N7175" i="9" s="1"/>
  <c r="N7176" i="9" a="1"/>
  <c r="N7176" i="9" s="1"/>
  <c r="N7177" i="9" a="1"/>
  <c r="N7177" i="9" s="1"/>
  <c r="N7178" i="9" a="1"/>
  <c r="N7178" i="9" s="1"/>
  <c r="N7179" i="9" a="1"/>
  <c r="N7179" i="9" s="1"/>
  <c r="N7180" i="9" a="1"/>
  <c r="N7180" i="9" s="1"/>
  <c r="N7181" i="9" a="1"/>
  <c r="N7181" i="9" s="1"/>
  <c r="N7182" i="9" a="1"/>
  <c r="N7182" i="9" s="1"/>
  <c r="N7183" i="9" a="1"/>
  <c r="N7183" i="9" s="1"/>
  <c r="N7184" i="9" a="1"/>
  <c r="N7184" i="9" s="1"/>
  <c r="N7185" i="9" a="1"/>
  <c r="N7185" i="9" s="1"/>
  <c r="N7187" i="9" a="1"/>
  <c r="N7187" i="9" s="1"/>
  <c r="N7188" i="9" a="1"/>
  <c r="N7188" i="9" s="1"/>
  <c r="N7189" i="9" a="1"/>
  <c r="N7189" i="9" s="1"/>
  <c r="N7190" i="9" a="1"/>
  <c r="N7190" i="9" s="1"/>
  <c r="N7191" i="9" a="1"/>
  <c r="N7191" i="9" s="1"/>
  <c r="N7192" i="9" a="1"/>
  <c r="N7192" i="9" s="1"/>
  <c r="N7193" i="9" a="1"/>
  <c r="N7193" i="9" s="1"/>
  <c r="N7194" i="9" a="1"/>
  <c r="N7194" i="9" s="1"/>
  <c r="N7195" i="9" a="1"/>
  <c r="N7195" i="9" s="1"/>
  <c r="N7196" i="9" a="1"/>
  <c r="N7196" i="9" s="1"/>
  <c r="N7197" i="9" a="1"/>
  <c r="N7197" i="9" s="1"/>
  <c r="N7198" i="9" a="1"/>
  <c r="N7198" i="9" s="1"/>
  <c r="N7199" i="9" a="1"/>
  <c r="N7199" i="9" s="1"/>
  <c r="N7200" i="9" a="1"/>
  <c r="N7200" i="9" s="1"/>
  <c r="N7201" i="9" a="1"/>
  <c r="N7201" i="9" s="1"/>
  <c r="N7203" i="9" a="1"/>
  <c r="N7203" i="9" s="1"/>
  <c r="N7204" i="9" a="1"/>
  <c r="N7204" i="9" s="1"/>
  <c r="N7205" i="9" a="1"/>
  <c r="N7205" i="9" s="1"/>
  <c r="N7206" i="9" a="1"/>
  <c r="N7206" i="9" s="1"/>
  <c r="N7207" i="9" a="1"/>
  <c r="N7207" i="9" s="1"/>
  <c r="N7208" i="9" a="1"/>
  <c r="N7208" i="9" s="1"/>
  <c r="N7209" i="9" a="1"/>
  <c r="N7209" i="9" s="1"/>
  <c r="N7210" i="9" a="1"/>
  <c r="N7210" i="9" s="1"/>
  <c r="N7211" i="9" a="1"/>
  <c r="N7211" i="9" s="1"/>
  <c r="N7212" i="9" a="1"/>
  <c r="N7212" i="9" s="1"/>
  <c r="N7213" i="9" a="1"/>
  <c r="N7213" i="9" s="1"/>
  <c r="N7214" i="9" a="1"/>
  <c r="N7214" i="9" s="1"/>
  <c r="N7215" i="9" a="1"/>
  <c r="N7215" i="9" s="1"/>
  <c r="N7216" i="9" a="1"/>
  <c r="N7216" i="9" s="1"/>
  <c r="N7217" i="9" a="1"/>
  <c r="N7217" i="9" s="1"/>
  <c r="N7219" i="9" a="1"/>
  <c r="N7219" i="9" s="1"/>
  <c r="N7220" i="9" a="1"/>
  <c r="N7220" i="9" s="1"/>
  <c r="N7221" i="9" a="1"/>
  <c r="N7221" i="9" s="1"/>
  <c r="N7222" i="9" a="1"/>
  <c r="N7222" i="9" s="1"/>
  <c r="N7223" i="9" a="1"/>
  <c r="N7223" i="9" s="1"/>
  <c r="N7224" i="9" a="1"/>
  <c r="N7224" i="9" s="1"/>
  <c r="N7225" i="9" a="1"/>
  <c r="N7225" i="9" s="1"/>
  <c r="N7226" i="9" a="1"/>
  <c r="N7226" i="9" s="1"/>
  <c r="N7227" i="9" a="1"/>
  <c r="N7227" i="9" s="1"/>
  <c r="N7228" i="9" a="1"/>
  <c r="N7228" i="9" s="1"/>
  <c r="N7229" i="9" a="1"/>
  <c r="N7229" i="9" s="1"/>
  <c r="N7230" i="9" a="1"/>
  <c r="N7230" i="9" s="1"/>
  <c r="N7231" i="9" a="1"/>
  <c r="N7231" i="9" s="1"/>
  <c r="N7232" i="9" a="1"/>
  <c r="N7232" i="9" s="1"/>
  <c r="N7233" i="9" a="1"/>
  <c r="N7233" i="9" s="1"/>
  <c r="N7235" i="9" a="1"/>
  <c r="N7235" i="9" s="1"/>
  <c r="N7236" i="9" a="1"/>
  <c r="N7236" i="9" s="1"/>
  <c r="N7237" i="9" a="1"/>
  <c r="N7237" i="9" s="1"/>
  <c r="N7238" i="9" a="1"/>
  <c r="N7238" i="9" s="1"/>
  <c r="N7239" i="9" a="1"/>
  <c r="N7239" i="9" s="1"/>
  <c r="N7240" i="9" a="1"/>
  <c r="N7240" i="9" s="1"/>
  <c r="N7241" i="9" a="1"/>
  <c r="N7241" i="9" s="1"/>
  <c r="N7242" i="9" a="1"/>
  <c r="N7242" i="9" s="1"/>
  <c r="N7243" i="9" a="1"/>
  <c r="N7243" i="9" s="1"/>
  <c r="N7244" i="9" a="1"/>
  <c r="N7244" i="9" s="1"/>
  <c r="N7245" i="9" a="1"/>
  <c r="N7245" i="9" s="1"/>
  <c r="N7246" i="9" a="1"/>
  <c r="N7246" i="9" s="1"/>
  <c r="N7247" i="9" a="1"/>
  <c r="N7247" i="9" s="1"/>
  <c r="N7248" i="9" a="1"/>
  <c r="N7248" i="9" s="1"/>
  <c r="N7249" i="9" a="1"/>
  <c r="N7249" i="9" s="1"/>
  <c r="N7251" i="9" a="1"/>
  <c r="N7251" i="9" s="1"/>
  <c r="N7252" i="9" a="1"/>
  <c r="N7252" i="9" s="1"/>
  <c r="N7253" i="9" a="1"/>
  <c r="N7253" i="9" s="1"/>
  <c r="N7254" i="9" a="1"/>
  <c r="N7254" i="9" s="1"/>
  <c r="N7255" i="9" a="1"/>
  <c r="N7255" i="9" s="1"/>
  <c r="N7256" i="9" a="1"/>
  <c r="N7256" i="9" s="1"/>
  <c r="N7257" i="9" a="1"/>
  <c r="N7257" i="9" s="1"/>
  <c r="N7258" i="9" a="1"/>
  <c r="N7258" i="9" s="1"/>
  <c r="N7259" i="9" a="1"/>
  <c r="N7259" i="9" s="1"/>
  <c r="N7260" i="9" a="1"/>
  <c r="N7260" i="9" s="1"/>
  <c r="N7261" i="9" a="1"/>
  <c r="N7261" i="9" s="1"/>
  <c r="N7262" i="9" a="1"/>
  <c r="N7262" i="9" s="1"/>
  <c r="N7263" i="9" a="1"/>
  <c r="N7263" i="9" s="1"/>
  <c r="N7264" i="9" a="1"/>
  <c r="N7264" i="9" s="1"/>
  <c r="N7265" i="9" a="1"/>
  <c r="N7265" i="9" s="1"/>
  <c r="N7267" i="9" a="1"/>
  <c r="N7267" i="9" s="1"/>
  <c r="N7268" i="9" a="1"/>
  <c r="N7268" i="9" s="1"/>
  <c r="N7269" i="9" a="1"/>
  <c r="N7269" i="9" s="1"/>
  <c r="N7270" i="9" a="1"/>
  <c r="N7270" i="9" s="1"/>
  <c r="N7271" i="9" a="1"/>
  <c r="N7271" i="9" s="1"/>
  <c r="N7272" i="9" a="1"/>
  <c r="N7272" i="9" s="1"/>
  <c r="N7273" i="9" a="1"/>
  <c r="N7273" i="9" s="1"/>
  <c r="N7274" i="9" a="1"/>
  <c r="N7274" i="9" s="1"/>
  <c r="N7275" i="9" a="1"/>
  <c r="N7275" i="9" s="1"/>
  <c r="N7276" i="9" a="1"/>
  <c r="N7276" i="9" s="1"/>
  <c r="N7277" i="9" a="1"/>
  <c r="N7277" i="9" s="1"/>
  <c r="N7278" i="9" a="1"/>
  <c r="N7278" i="9" s="1"/>
  <c r="N7279" i="9" a="1"/>
  <c r="N7279" i="9" s="1"/>
  <c r="N7280" i="9" a="1"/>
  <c r="N7280" i="9" s="1"/>
  <c r="N7281" i="9" a="1"/>
  <c r="N7281" i="9" s="1"/>
  <c r="N7283" i="9" a="1"/>
  <c r="N7283" i="9" s="1"/>
  <c r="N7284" i="9" a="1"/>
  <c r="N7284" i="9" s="1"/>
  <c r="N7285" i="9" a="1"/>
  <c r="N7285" i="9" s="1"/>
  <c r="N7286" i="9" a="1"/>
  <c r="N7286" i="9" s="1"/>
  <c r="N7287" i="9" a="1"/>
  <c r="N7287" i="9" s="1"/>
  <c r="N7288" i="9" a="1"/>
  <c r="N7288" i="9" s="1"/>
  <c r="N7289" i="9" a="1"/>
  <c r="N7289" i="9" s="1"/>
  <c r="N7290" i="9" a="1"/>
  <c r="N7290" i="9" s="1"/>
  <c r="N7291" i="9" a="1"/>
  <c r="N7291" i="9" s="1"/>
  <c r="N7292" i="9" a="1"/>
  <c r="N7292" i="9" s="1"/>
  <c r="N7293" i="9" a="1"/>
  <c r="N7293" i="9" s="1"/>
  <c r="N7294" i="9" a="1"/>
  <c r="N7294" i="9" s="1"/>
  <c r="N7295" i="9" a="1"/>
  <c r="N7295" i="9" s="1"/>
  <c r="N7296" i="9" a="1"/>
  <c r="N7296" i="9" s="1"/>
  <c r="N7297" i="9" a="1"/>
  <c r="N7297" i="9" s="1"/>
  <c r="N7299" i="9" a="1"/>
  <c r="N7299" i="9" s="1"/>
  <c r="N7300" i="9" a="1"/>
  <c r="N7300" i="9" s="1"/>
  <c r="N7301" i="9" a="1"/>
  <c r="N7301" i="9" s="1"/>
  <c r="N7302" i="9" a="1"/>
  <c r="N7302" i="9" s="1"/>
  <c r="N7303" i="9" a="1"/>
  <c r="N7303" i="9" s="1"/>
  <c r="N7304" i="9" a="1"/>
  <c r="N7304" i="9" s="1"/>
  <c r="N7305" i="9" a="1"/>
  <c r="N7305" i="9" s="1"/>
  <c r="N7306" i="9" a="1"/>
  <c r="N7306" i="9" s="1"/>
  <c r="N7307" i="9" a="1"/>
  <c r="N7307" i="9" s="1"/>
  <c r="N7308" i="9" a="1"/>
  <c r="N7308" i="9" s="1"/>
  <c r="N7309" i="9" a="1"/>
  <c r="N7309" i="9" s="1"/>
  <c r="N7310" i="9" a="1"/>
  <c r="N7310" i="9" s="1"/>
  <c r="N7311" i="9" a="1"/>
  <c r="N7311" i="9" s="1"/>
  <c r="N7312" i="9" a="1"/>
  <c r="N7312" i="9" s="1"/>
  <c r="N7313" i="9" a="1"/>
  <c r="N7313" i="9" s="1"/>
  <c r="N7315" i="9" a="1"/>
  <c r="N7315" i="9" s="1"/>
  <c r="N7316" i="9" a="1"/>
  <c r="N7316" i="9" s="1"/>
  <c r="N7317" i="9" a="1"/>
  <c r="N7317" i="9" s="1"/>
  <c r="N7318" i="9" a="1"/>
  <c r="N7318" i="9" s="1"/>
  <c r="N7319" i="9" a="1"/>
  <c r="N7319" i="9" s="1"/>
  <c r="N7320" i="9" a="1"/>
  <c r="N7320" i="9" s="1"/>
  <c r="N7321" i="9" a="1"/>
  <c r="N7321" i="9" s="1"/>
  <c r="N7322" i="9" a="1"/>
  <c r="N7322" i="9" s="1"/>
  <c r="N7323" i="9" a="1"/>
  <c r="N7323" i="9" s="1"/>
  <c r="N7324" i="9" a="1"/>
  <c r="N7324" i="9" s="1"/>
  <c r="N7325" i="9" a="1"/>
  <c r="N7325" i="9" s="1"/>
  <c r="N7326" i="9" a="1"/>
  <c r="N7326" i="9" s="1"/>
  <c r="N7327" i="9" a="1"/>
  <c r="N7327" i="9" s="1"/>
  <c r="N7328" i="9" a="1"/>
  <c r="N7328" i="9" s="1"/>
  <c r="N7329" i="9" a="1"/>
  <c r="N7329" i="9" s="1"/>
  <c r="N7331" i="9" a="1"/>
  <c r="N7331" i="9" s="1"/>
  <c r="N7332" i="9" a="1"/>
  <c r="N7332" i="9" s="1"/>
  <c r="N7333" i="9" a="1"/>
  <c r="N7333" i="9" s="1"/>
  <c r="N7334" i="9" a="1"/>
  <c r="N7334" i="9" s="1"/>
  <c r="N7335" i="9" a="1"/>
  <c r="N7335" i="9" s="1"/>
  <c r="N7336" i="9" a="1"/>
  <c r="N7336" i="9" s="1"/>
  <c r="N7337" i="9" a="1"/>
  <c r="N7337" i="9" s="1"/>
  <c r="N7338" i="9" a="1"/>
  <c r="N7338" i="9" s="1"/>
  <c r="N7339" i="9" a="1"/>
  <c r="N7339" i="9" s="1"/>
  <c r="N7340" i="9" a="1"/>
  <c r="N7340" i="9" s="1"/>
  <c r="N7341" i="9" a="1"/>
  <c r="N7341" i="9" s="1"/>
  <c r="N7342" i="9" a="1"/>
  <c r="N7342" i="9" s="1"/>
  <c r="N7343" i="9" a="1"/>
  <c r="N7343" i="9" s="1"/>
  <c r="N7344" i="9" a="1"/>
  <c r="N7344" i="9" s="1"/>
  <c r="N7345" i="9" a="1"/>
  <c r="N7345" i="9" s="1"/>
  <c r="N7347" i="9" a="1"/>
  <c r="N7347" i="9" s="1"/>
  <c r="N7348" i="9" a="1"/>
  <c r="N7348" i="9" s="1"/>
  <c r="N7349" i="9" a="1"/>
  <c r="N7349" i="9" s="1"/>
  <c r="N7350" i="9" a="1"/>
  <c r="N7350" i="9" s="1"/>
  <c r="N7351" i="9" a="1"/>
  <c r="N7351" i="9" s="1"/>
  <c r="N7352" i="9" a="1"/>
  <c r="N7352" i="9" s="1"/>
  <c r="N7353" i="9" a="1"/>
  <c r="N7353" i="9" s="1"/>
  <c r="N7354" i="9" a="1"/>
  <c r="N7354" i="9" s="1"/>
  <c r="N7355" i="9" a="1"/>
  <c r="N7355" i="9" s="1"/>
  <c r="N7356" i="9" a="1"/>
  <c r="N7356" i="9" s="1"/>
  <c r="N7357" i="9" a="1"/>
  <c r="N7357" i="9" s="1"/>
  <c r="N7358" i="9" a="1"/>
  <c r="N7358" i="9" s="1"/>
  <c r="N7359" i="9" a="1"/>
  <c r="N7359" i="9" s="1"/>
  <c r="N7360" i="9" a="1"/>
  <c r="N7360" i="9" s="1"/>
  <c r="N7361" i="9" a="1"/>
  <c r="N7361" i="9" s="1"/>
  <c r="N7363" i="9" a="1"/>
  <c r="N7363" i="9" s="1"/>
  <c r="N7364" i="9" a="1"/>
  <c r="N7364" i="9" s="1"/>
  <c r="N7365" i="9" a="1"/>
  <c r="N7365" i="9" s="1"/>
  <c r="N7366" i="9" a="1"/>
  <c r="N7366" i="9" s="1"/>
  <c r="N7367" i="9" a="1"/>
  <c r="N7367" i="9" s="1"/>
  <c r="N7368" i="9" a="1"/>
  <c r="N7368" i="9" s="1"/>
  <c r="N7369" i="9" a="1"/>
  <c r="N7369" i="9" s="1"/>
  <c r="N7370" i="9" a="1"/>
  <c r="N7370" i="9" s="1"/>
  <c r="N7371" i="9" a="1"/>
  <c r="N7371" i="9" s="1"/>
  <c r="N7372" i="9" a="1"/>
  <c r="N7372" i="9" s="1"/>
  <c r="N7373" i="9" a="1"/>
  <c r="N7373" i="9" s="1"/>
  <c r="N7374" i="9" a="1"/>
  <c r="N7374" i="9" s="1"/>
  <c r="N7375" i="9" a="1"/>
  <c r="N7375" i="9" s="1"/>
  <c r="N7376" i="9" a="1"/>
  <c r="N7376" i="9" s="1"/>
  <c r="N7377" i="9" a="1"/>
  <c r="N7377" i="9" s="1"/>
  <c r="N7379" i="9" a="1"/>
  <c r="N7379" i="9" s="1"/>
  <c r="N7380" i="9" a="1"/>
  <c r="N7380" i="9" s="1"/>
  <c r="N7381" i="9" a="1"/>
  <c r="N7381" i="9" s="1"/>
  <c r="N7382" i="9" a="1"/>
  <c r="N7382" i="9" s="1"/>
  <c r="N7383" i="9" a="1"/>
  <c r="N7383" i="9" s="1"/>
  <c r="N7384" i="9" a="1"/>
  <c r="N7384" i="9" s="1"/>
  <c r="N7385" i="9" a="1"/>
  <c r="N7385" i="9" s="1"/>
  <c r="N7386" i="9" a="1"/>
  <c r="N7386" i="9" s="1"/>
  <c r="N7387" i="9" a="1"/>
  <c r="N7387" i="9" s="1"/>
  <c r="N7388" i="9" a="1"/>
  <c r="N7388" i="9" s="1"/>
  <c r="N7389" i="9" a="1"/>
  <c r="N7389" i="9" s="1"/>
  <c r="N7390" i="9" a="1"/>
  <c r="N7390" i="9" s="1"/>
  <c r="N7391" i="9" a="1"/>
  <c r="N7391" i="9" s="1"/>
  <c r="N7392" i="9" a="1"/>
  <c r="N7392" i="9" s="1"/>
  <c r="N7393" i="9" a="1"/>
  <c r="N7393" i="9" s="1"/>
  <c r="N7395" i="9" a="1"/>
  <c r="N7395" i="9" s="1"/>
  <c r="N7396" i="9" a="1"/>
  <c r="N7396" i="9" s="1"/>
  <c r="N7397" i="9" a="1"/>
  <c r="N7397" i="9" s="1"/>
  <c r="N7398" i="9" a="1"/>
  <c r="N7398" i="9" s="1"/>
  <c r="N7399" i="9" a="1"/>
  <c r="N7399" i="9" s="1"/>
  <c r="N7400" i="9" a="1"/>
  <c r="N7400" i="9" s="1"/>
  <c r="N7401" i="9" a="1"/>
  <c r="N7401" i="9" s="1"/>
  <c r="N7402" i="9" a="1"/>
  <c r="N7402" i="9" s="1"/>
  <c r="N7403" i="9" a="1"/>
  <c r="N7403" i="9" s="1"/>
  <c r="N7404" i="9" a="1"/>
  <c r="N7404" i="9" s="1"/>
  <c r="N7405" i="9" a="1"/>
  <c r="N7405" i="9" s="1"/>
  <c r="N7406" i="9" a="1"/>
  <c r="N7406" i="9" s="1"/>
  <c r="N7407" i="9" a="1"/>
  <c r="N7407" i="9" s="1"/>
  <c r="N7408" i="9" a="1"/>
  <c r="N7408" i="9" s="1"/>
  <c r="N7409" i="9" a="1"/>
  <c r="N7409" i="9" s="1"/>
  <c r="N7411" i="9" a="1"/>
  <c r="N7411" i="9" s="1"/>
  <c r="N7412" i="9" a="1"/>
  <c r="N7412" i="9" s="1"/>
  <c r="N7413" i="9" a="1"/>
  <c r="N7413" i="9" s="1"/>
  <c r="N7414" i="9" a="1"/>
  <c r="N7414" i="9" s="1"/>
  <c r="N7415" i="9" a="1"/>
  <c r="N7415" i="9" s="1"/>
  <c r="N7416" i="9" a="1"/>
  <c r="N7416" i="9" s="1"/>
  <c r="N7417" i="9" a="1"/>
  <c r="N7417" i="9" s="1"/>
  <c r="N7418" i="9" a="1"/>
  <c r="N7418" i="9" s="1"/>
  <c r="N7419" i="9" a="1"/>
  <c r="N7419" i="9" s="1"/>
  <c r="N7420" i="9" a="1"/>
  <c r="N7420" i="9" s="1"/>
  <c r="N7421" i="9" a="1"/>
  <c r="N7421" i="9" s="1"/>
  <c r="N7422" i="9" a="1"/>
  <c r="N7422" i="9" s="1"/>
  <c r="N7423" i="9" a="1"/>
  <c r="N7423" i="9" s="1"/>
  <c r="N7424" i="9" a="1"/>
  <c r="N7424" i="9" s="1"/>
  <c r="N7425" i="9" a="1"/>
  <c r="N7425" i="9" s="1"/>
  <c r="N7427" i="9" a="1"/>
  <c r="N7427" i="9" s="1"/>
  <c r="N7428" i="9" a="1"/>
  <c r="N7428" i="9" s="1"/>
  <c r="N7429" i="9" a="1"/>
  <c r="N7429" i="9" s="1"/>
  <c r="N7430" i="9" a="1"/>
  <c r="N7430" i="9" s="1"/>
  <c r="N7431" i="9" a="1"/>
  <c r="N7431" i="9" s="1"/>
  <c r="N7432" i="9" a="1"/>
  <c r="N7432" i="9" s="1"/>
  <c r="N7433" i="9" a="1"/>
  <c r="N7433" i="9" s="1"/>
  <c r="N7434" i="9" a="1"/>
  <c r="N7434" i="9" s="1"/>
  <c r="N7435" i="9" a="1"/>
  <c r="N7435" i="9" s="1"/>
  <c r="N7436" i="9" a="1"/>
  <c r="N7436" i="9" s="1"/>
  <c r="N7437" i="9" a="1"/>
  <c r="N7437" i="9" s="1"/>
  <c r="N7438" i="9" a="1"/>
  <c r="N7438" i="9" s="1"/>
  <c r="N7439" i="9" a="1"/>
  <c r="N7439" i="9" s="1"/>
  <c r="N7440" i="9" a="1"/>
  <c r="N7440" i="9" s="1"/>
  <c r="N7441" i="9" a="1"/>
  <c r="N7441" i="9" s="1"/>
  <c r="N7443" i="9" a="1"/>
  <c r="N7443" i="9" s="1"/>
  <c r="N7444" i="9" a="1"/>
  <c r="N7444" i="9" s="1"/>
  <c r="N7445" i="9" a="1"/>
  <c r="N7445" i="9" s="1"/>
  <c r="N7446" i="9" a="1"/>
  <c r="N7446" i="9" s="1"/>
  <c r="N7447" i="9" a="1"/>
  <c r="N7447" i="9" s="1"/>
  <c r="N7448" i="9" a="1"/>
  <c r="N7448" i="9" s="1"/>
  <c r="N7449" i="9" a="1"/>
  <c r="N7449" i="9" s="1"/>
  <c r="N7450" i="9" a="1"/>
  <c r="N7450" i="9" s="1"/>
  <c r="N7451" i="9" a="1"/>
  <c r="N7451" i="9" s="1"/>
  <c r="N7452" i="9" a="1"/>
  <c r="N7452" i="9" s="1"/>
  <c r="N7453" i="9" a="1"/>
  <c r="N7453" i="9" s="1"/>
  <c r="N7454" i="9" a="1"/>
  <c r="N7454" i="9" s="1"/>
  <c r="N7455" i="9" a="1"/>
  <c r="N7455" i="9" s="1"/>
  <c r="N7456" i="9" a="1"/>
  <c r="N7456" i="9" s="1"/>
  <c r="N7457" i="9" a="1"/>
  <c r="N7457" i="9" s="1"/>
  <c r="N7459" i="9" a="1"/>
  <c r="N7459" i="9" s="1"/>
  <c r="N7460" i="9" a="1"/>
  <c r="N7460" i="9" s="1"/>
  <c r="N7461" i="9" a="1"/>
  <c r="N7461" i="9" s="1"/>
  <c r="N7462" i="9" a="1"/>
  <c r="N7462" i="9" s="1"/>
  <c r="N7463" i="9" a="1"/>
  <c r="N7463" i="9" s="1"/>
  <c r="N7464" i="9" a="1"/>
  <c r="N7464" i="9" s="1"/>
  <c r="N7465" i="9" a="1"/>
  <c r="N7465" i="9" s="1"/>
  <c r="N7466" i="9" a="1"/>
  <c r="N7466" i="9" s="1"/>
  <c r="N7467" i="9" a="1"/>
  <c r="N7467" i="9" s="1"/>
  <c r="N7468" i="9" a="1"/>
  <c r="N7468" i="9" s="1"/>
  <c r="N7469" i="9" a="1"/>
  <c r="N7469" i="9" s="1"/>
  <c r="N7470" i="9" a="1"/>
  <c r="N7470" i="9" s="1"/>
  <c r="N7471" i="9" a="1"/>
  <c r="N7471" i="9" s="1"/>
  <c r="N7472" i="9" a="1"/>
  <c r="N7472" i="9" s="1"/>
  <c r="N7473" i="9" a="1"/>
  <c r="N7473" i="9" s="1"/>
  <c r="N7475" i="9" a="1"/>
  <c r="N7475" i="9" s="1"/>
  <c r="N7476" i="9" a="1"/>
  <c r="N7476" i="9" s="1"/>
  <c r="N7477" i="9" a="1"/>
  <c r="N7477" i="9" s="1"/>
  <c r="N7478" i="9" a="1"/>
  <c r="N7478" i="9" s="1"/>
  <c r="N7479" i="9" a="1"/>
  <c r="N7479" i="9" s="1"/>
  <c r="N7480" i="9" a="1"/>
  <c r="N7480" i="9" s="1"/>
  <c r="N7481" i="9" a="1"/>
  <c r="N7481" i="9" s="1"/>
  <c r="N7482" i="9" a="1"/>
  <c r="N7482" i="9" s="1"/>
  <c r="N7483" i="9" a="1"/>
  <c r="N7483" i="9" s="1"/>
  <c r="N7484" i="9" a="1"/>
  <c r="N7484" i="9" s="1"/>
  <c r="N7485" i="9" a="1"/>
  <c r="N7485" i="9" s="1"/>
  <c r="N7486" i="9" a="1"/>
  <c r="N7486" i="9" s="1"/>
  <c r="N7487" i="9" a="1"/>
  <c r="N7487" i="9" s="1"/>
  <c r="N7488" i="9" a="1"/>
  <c r="N7488" i="9" s="1"/>
  <c r="N7489" i="9" a="1"/>
  <c r="N7489" i="9" s="1"/>
  <c r="N7491" i="9" a="1"/>
  <c r="N7491" i="9" s="1"/>
  <c r="N7492" i="9" a="1"/>
  <c r="N7492" i="9" s="1"/>
  <c r="N7493" i="9" a="1"/>
  <c r="N7493" i="9" s="1"/>
  <c r="N7494" i="9" a="1"/>
  <c r="N7494" i="9" s="1"/>
  <c r="N7495" i="9" a="1"/>
  <c r="N7495" i="9" s="1"/>
  <c r="N7496" i="9" a="1"/>
  <c r="N7496" i="9" s="1"/>
  <c r="N7497" i="9" a="1"/>
  <c r="N7497" i="9" s="1"/>
  <c r="N7498" i="9" a="1"/>
  <c r="N7498" i="9" s="1"/>
  <c r="N7499" i="9" a="1"/>
  <c r="N7499" i="9" s="1"/>
  <c r="N7500" i="9" a="1"/>
  <c r="N7500" i="9" s="1"/>
  <c r="N7501" i="9" a="1"/>
  <c r="N7501" i="9" s="1"/>
  <c r="N7502" i="9" a="1"/>
  <c r="N7502" i="9" s="1"/>
  <c r="N7503" i="9" a="1"/>
  <c r="N7503" i="9" s="1"/>
  <c r="N7504" i="9" a="1"/>
  <c r="N7504" i="9" s="1"/>
  <c r="N7505" i="9" a="1"/>
  <c r="N7505" i="9" s="1"/>
  <c r="N7507" i="9" a="1"/>
  <c r="N7507" i="9" s="1"/>
  <c r="N7508" i="9" a="1"/>
  <c r="N7508" i="9" s="1"/>
  <c r="N7509" i="9" a="1"/>
  <c r="N7509" i="9" s="1"/>
  <c r="N7510" i="9" a="1"/>
  <c r="N7510" i="9" s="1"/>
  <c r="N7511" i="9" a="1"/>
  <c r="N7511" i="9" s="1"/>
  <c r="N7512" i="9" a="1"/>
  <c r="N7512" i="9" s="1"/>
  <c r="N7513" i="9" a="1"/>
  <c r="N7513" i="9" s="1"/>
  <c r="N7514" i="9" a="1"/>
  <c r="N7514" i="9" s="1"/>
  <c r="N7515" i="9" a="1"/>
  <c r="N7515" i="9" s="1"/>
  <c r="N7516" i="9" a="1"/>
  <c r="N7516" i="9" s="1"/>
  <c r="N7517" i="9" a="1"/>
  <c r="N7517" i="9" s="1"/>
  <c r="N7518" i="9" a="1"/>
  <c r="N7518" i="9" s="1"/>
  <c r="N7519" i="9" a="1"/>
  <c r="N7519" i="9" s="1"/>
  <c r="N7520" i="9" a="1"/>
  <c r="N7520" i="9" s="1"/>
  <c r="N7521" i="9" a="1"/>
  <c r="N7521" i="9" s="1"/>
  <c r="N7523" i="9" a="1"/>
  <c r="N7523" i="9" s="1"/>
  <c r="N7524" i="9" a="1"/>
  <c r="N7524" i="9" s="1"/>
  <c r="N7525" i="9" a="1"/>
  <c r="N7525" i="9" s="1"/>
  <c r="N7526" i="9" a="1"/>
  <c r="N7526" i="9" s="1"/>
  <c r="N7527" i="9" a="1"/>
  <c r="N7527" i="9" s="1"/>
  <c r="N7528" i="9" a="1"/>
  <c r="N7528" i="9" s="1"/>
  <c r="N7529" i="9" a="1"/>
  <c r="N7529" i="9" s="1"/>
  <c r="N7530" i="9" a="1"/>
  <c r="N7530" i="9" s="1"/>
  <c r="N7531" i="9" a="1"/>
  <c r="N7531" i="9" s="1"/>
  <c r="N7532" i="9" a="1"/>
  <c r="N7532" i="9" s="1"/>
  <c r="N7533" i="9" a="1"/>
  <c r="N7533" i="9" s="1"/>
  <c r="N7534" i="9" a="1"/>
  <c r="N7534" i="9" s="1"/>
  <c r="N7535" i="9" a="1"/>
  <c r="N7535" i="9" s="1"/>
  <c r="N7536" i="9" a="1"/>
  <c r="N7536" i="9" s="1"/>
  <c r="N7537" i="9" a="1"/>
  <c r="N7537" i="9" s="1"/>
  <c r="N7539" i="9" a="1"/>
  <c r="N7539" i="9" s="1"/>
  <c r="N7540" i="9" a="1"/>
  <c r="N7540" i="9" s="1"/>
  <c r="N7541" i="9" a="1"/>
  <c r="N7541" i="9" s="1"/>
  <c r="N7542" i="9" a="1"/>
  <c r="N7542" i="9" s="1"/>
  <c r="N7543" i="9" a="1"/>
  <c r="N7543" i="9" s="1"/>
  <c r="N7544" i="9" a="1"/>
  <c r="N7544" i="9" s="1"/>
  <c r="N7545" i="9" a="1"/>
  <c r="N7545" i="9" s="1"/>
  <c r="N7546" i="9" a="1"/>
  <c r="N7546" i="9" s="1"/>
  <c r="N7547" i="9" a="1"/>
  <c r="N7547" i="9" s="1"/>
  <c r="N7548" i="9" a="1"/>
  <c r="N7548" i="9" s="1"/>
  <c r="N7549" i="9" a="1"/>
  <c r="N7549" i="9" s="1"/>
  <c r="N7550" i="9" a="1"/>
  <c r="N7550" i="9" s="1"/>
  <c r="N7551" i="9" a="1"/>
  <c r="N7551" i="9" s="1"/>
  <c r="N7552" i="9" a="1"/>
  <c r="N7552" i="9" s="1"/>
  <c r="N7553" i="9" a="1"/>
  <c r="N7553" i="9" s="1"/>
  <c r="N7555" i="9" a="1"/>
  <c r="N7555" i="9" s="1"/>
  <c r="N7556" i="9" a="1"/>
  <c r="N7556" i="9" s="1"/>
  <c r="N7557" i="9" a="1"/>
  <c r="N7557" i="9" s="1"/>
  <c r="N7558" i="9" a="1"/>
  <c r="N7558" i="9" s="1"/>
  <c r="N7559" i="9" a="1"/>
  <c r="N7559" i="9" s="1"/>
  <c r="N7560" i="9" a="1"/>
  <c r="N7560" i="9" s="1"/>
  <c r="N7561" i="9" a="1"/>
  <c r="N7561" i="9" s="1"/>
  <c r="N7562" i="9" a="1"/>
  <c r="N7562" i="9" s="1"/>
  <c r="N7563" i="9" a="1"/>
  <c r="N7563" i="9" s="1"/>
  <c r="N7564" i="9" a="1"/>
  <c r="N7564" i="9" s="1"/>
  <c r="N7565" i="9" a="1"/>
  <c r="N7565" i="9" s="1"/>
  <c r="N7566" i="9" a="1"/>
  <c r="N7566" i="9" s="1"/>
  <c r="N7567" i="9" a="1"/>
  <c r="N7567" i="9" s="1"/>
  <c r="N7568" i="9" a="1"/>
  <c r="N7568" i="9" s="1"/>
  <c r="N7569" i="9" a="1"/>
  <c r="N7569" i="9" s="1"/>
  <c r="N7571" i="9" a="1"/>
  <c r="N7571" i="9" s="1"/>
  <c r="N7572" i="9" a="1"/>
  <c r="N7572" i="9" s="1"/>
  <c r="N7573" i="9" a="1"/>
  <c r="N7573" i="9" s="1"/>
  <c r="N7574" i="9" a="1"/>
  <c r="N7574" i="9" s="1"/>
  <c r="N7575" i="9" a="1"/>
  <c r="N7575" i="9" s="1"/>
  <c r="N7576" i="9" a="1"/>
  <c r="N7576" i="9" s="1"/>
  <c r="N7577" i="9" a="1"/>
  <c r="N7577" i="9" s="1"/>
  <c r="N7578" i="9" a="1"/>
  <c r="N7578" i="9" s="1"/>
  <c r="N7579" i="9" a="1"/>
  <c r="N7579" i="9" s="1"/>
  <c r="N7580" i="9" a="1"/>
  <c r="N7580" i="9" s="1"/>
  <c r="N7581" i="9" a="1"/>
  <c r="N7581" i="9" s="1"/>
  <c r="N7582" i="9" a="1"/>
  <c r="N7582" i="9" s="1"/>
  <c r="N7583" i="9" a="1"/>
  <c r="N7583" i="9" s="1"/>
  <c r="N7584" i="9" a="1"/>
  <c r="N7584" i="9" s="1"/>
  <c r="N7585" i="9" a="1"/>
  <c r="N7585" i="9" s="1"/>
  <c r="N7587" i="9" a="1"/>
  <c r="N7587" i="9" s="1"/>
  <c r="N7588" i="9" a="1"/>
  <c r="N7588" i="9" s="1"/>
  <c r="N7589" i="9" a="1"/>
  <c r="N7589" i="9" s="1"/>
  <c r="N7590" i="9" a="1"/>
  <c r="N7590" i="9" s="1"/>
  <c r="N7591" i="9" a="1"/>
  <c r="N7591" i="9" s="1"/>
  <c r="N7592" i="9" a="1"/>
  <c r="N7592" i="9" s="1"/>
  <c r="N7593" i="9" a="1"/>
  <c r="N7593" i="9" s="1"/>
  <c r="N7594" i="9" a="1"/>
  <c r="N7594" i="9" s="1"/>
  <c r="N7595" i="9" a="1"/>
  <c r="N7595" i="9" s="1"/>
  <c r="N7596" i="9" a="1"/>
  <c r="N7596" i="9" s="1"/>
  <c r="N7597" i="9" a="1"/>
  <c r="N7597" i="9" s="1"/>
  <c r="N7598" i="9" a="1"/>
  <c r="N7598" i="9" s="1"/>
  <c r="N7599" i="9" a="1"/>
  <c r="N7599" i="9" s="1"/>
  <c r="N7600" i="9" a="1"/>
  <c r="N7600" i="9"/>
  <c r="N7601" i="9" a="1"/>
  <c r="N7601" i="9" s="1"/>
  <c r="N7603" i="9" a="1"/>
  <c r="N7603" i="9"/>
  <c r="N7604" i="9" a="1"/>
  <c r="N7604" i="9" s="1"/>
  <c r="N7605" i="9" a="1"/>
  <c r="N7605" i="9" s="1"/>
  <c r="N7606" i="9" a="1"/>
  <c r="N7606" i="9" s="1"/>
  <c r="N7607" i="9" a="1"/>
  <c r="N7607" i="9" s="1"/>
  <c r="N7608" i="9" a="1"/>
  <c r="N7608" i="9" s="1"/>
  <c r="N7609" i="9" a="1"/>
  <c r="N7609" i="9"/>
  <c r="N7610" i="9" a="1"/>
  <c r="N7610" i="9" s="1"/>
  <c r="N7611" i="9" a="1"/>
  <c r="N7611" i="9" s="1"/>
  <c r="N7612" i="9" a="1"/>
  <c r="N7612" i="9" s="1"/>
  <c r="N7613" i="9" a="1"/>
  <c r="N7613" i="9" s="1"/>
  <c r="N7614" i="9" a="1"/>
  <c r="N7614" i="9" s="1"/>
  <c r="N7615" i="9" a="1"/>
  <c r="N7615" i="9"/>
  <c r="N7616" i="9" a="1"/>
  <c r="N7616" i="9" s="1"/>
  <c r="N7617" i="9" a="1"/>
  <c r="N7617" i="9"/>
  <c r="N7619" i="9" a="1"/>
  <c r="N7619" i="9" s="1"/>
  <c r="N7620" i="9" a="1"/>
  <c r="N7620" i="9" s="1"/>
  <c r="N7621" i="9" a="1"/>
  <c r="N7621" i="9" s="1"/>
  <c r="N7622" i="9" a="1"/>
  <c r="N7622" i="9" s="1"/>
  <c r="N7623" i="9" a="1"/>
  <c r="N7623" i="9" s="1"/>
  <c r="N7624" i="9" a="1"/>
  <c r="N7624" i="9" s="1"/>
  <c r="N7625" i="9" a="1"/>
  <c r="N7625" i="9" s="1"/>
  <c r="N7626" i="9" a="1"/>
  <c r="N7626" i="9" s="1"/>
  <c r="N7627" i="9" a="1"/>
  <c r="N7627" i="9" s="1"/>
  <c r="N7628" i="9" a="1"/>
  <c r="N7628" i="9" s="1"/>
  <c r="N7629" i="9" a="1"/>
  <c r="N7629" i="9" s="1"/>
  <c r="N7630" i="9" a="1"/>
  <c r="N7630" i="9" s="1"/>
  <c r="N7631" i="9" a="1"/>
  <c r="N7631" i="9" s="1"/>
  <c r="N7632" i="9" a="1"/>
  <c r="N7632" i="9" s="1"/>
  <c r="N7633" i="9" a="1"/>
  <c r="N7633" i="9"/>
  <c r="N7635" i="9" a="1"/>
  <c r="N7635" i="9" s="1"/>
  <c r="N7636" i="9" a="1"/>
  <c r="N7636" i="9" s="1"/>
  <c r="N7637" i="9" a="1"/>
  <c r="N7637" i="9" s="1"/>
  <c r="N7638" i="9" a="1"/>
  <c r="N7638" i="9" s="1"/>
  <c r="N7639" i="9" a="1"/>
  <c r="N7639" i="9"/>
  <c r="N7640" i="9" a="1"/>
  <c r="N7640" i="9" s="1"/>
  <c r="N7641" i="9" a="1"/>
  <c r="N7641" i="9" s="1"/>
  <c r="N7642" i="9" a="1"/>
  <c r="N7642" i="9" s="1"/>
  <c r="N7643" i="9" a="1"/>
  <c r="N7643" i="9" s="1"/>
  <c r="N7644" i="9" a="1"/>
  <c r="N7644" i="9" s="1"/>
  <c r="N7645" i="9" a="1"/>
  <c r="N7645" i="9" s="1"/>
  <c r="N7646" i="9" a="1"/>
  <c r="N7646" i="9" s="1"/>
  <c r="N7647" i="9" a="1"/>
  <c r="N7647" i="9"/>
  <c r="N7648" i="9" a="1"/>
  <c r="N7648" i="9" s="1"/>
  <c r="N7649" i="9" a="1"/>
  <c r="N7649" i="9"/>
  <c r="N7651" i="9" a="1"/>
  <c r="N7651" i="9" s="1"/>
  <c r="N7652" i="9" a="1"/>
  <c r="N7652" i="9" s="1"/>
  <c r="N7653" i="9" a="1"/>
  <c r="N7653" i="9" s="1"/>
  <c r="N7654" i="9" a="1"/>
  <c r="N7654" i="9" s="1"/>
  <c r="N7655" i="9" a="1"/>
  <c r="N7655" i="9"/>
  <c r="N7656" i="9" a="1"/>
  <c r="N7656" i="9" s="1"/>
  <c r="N7657" i="9" a="1"/>
  <c r="N7657" i="9"/>
  <c r="N7658" i="9" a="1"/>
  <c r="N7658" i="9" s="1"/>
  <c r="N7659" i="9" a="1"/>
  <c r="N7659" i="9" s="1"/>
  <c r="N7660" i="9" a="1"/>
  <c r="N7660" i="9" s="1"/>
  <c r="N7661" i="9" a="1"/>
  <c r="N7661" i="9" s="1"/>
  <c r="N7662" i="9" a="1"/>
  <c r="N7662" i="9" s="1"/>
  <c r="N7663" i="9" a="1"/>
  <c r="N7663" i="9"/>
  <c r="N7664" i="9" a="1"/>
  <c r="N7664" i="9" s="1"/>
  <c r="N7665" i="9" a="1"/>
  <c r="N7665" i="9"/>
  <c r="N7667" i="9" a="1"/>
  <c r="N7667" i="9" s="1"/>
  <c r="N7668" i="9" a="1"/>
  <c r="N7668" i="9" s="1"/>
  <c r="N7669" i="9" a="1"/>
  <c r="N7669" i="9" s="1"/>
  <c r="N7670" i="9" a="1"/>
  <c r="N7670" i="9" s="1"/>
  <c r="N7671" i="9" a="1"/>
  <c r="N7671" i="9"/>
  <c r="N7672" i="9" a="1"/>
  <c r="N7672" i="9" s="1"/>
  <c r="N7673" i="9" a="1"/>
  <c r="N7673" i="9" s="1"/>
  <c r="N7674" i="9" a="1"/>
  <c r="N7674" i="9" s="1"/>
  <c r="N7675" i="9" a="1"/>
  <c r="N7675" i="9"/>
  <c r="N7676" i="9" a="1"/>
  <c r="N7676" i="9" s="1"/>
  <c r="N7677" i="9" a="1"/>
  <c r="N7677" i="9" s="1"/>
  <c r="N7678" i="9" a="1"/>
  <c r="N7678" i="9" s="1"/>
  <c r="N7679" i="9" a="1"/>
  <c r="N7679" i="9" s="1"/>
  <c r="N7680" i="9" a="1"/>
  <c r="N7680" i="9" s="1"/>
  <c r="N7681" i="9" a="1"/>
  <c r="N7681" i="9"/>
  <c r="N7683" i="9" a="1"/>
  <c r="N7683" i="9" s="1"/>
  <c r="N7684" i="9" a="1"/>
  <c r="N7684" i="9" s="1"/>
  <c r="N7685" i="9" a="1"/>
  <c r="N7685" i="9" s="1"/>
  <c r="N7686" i="9" a="1"/>
  <c r="N7686" i="9" s="1"/>
  <c r="N7687" i="9" a="1"/>
  <c r="N7687" i="9" s="1"/>
  <c r="N7688" i="9" a="1"/>
  <c r="N7688" i="9" s="1"/>
  <c r="N7689" i="9" a="1"/>
  <c r="N7689" i="9"/>
  <c r="N7690" i="9" a="1"/>
  <c r="N7690" i="9" s="1"/>
  <c r="N7691" i="9" a="1"/>
  <c r="N7691" i="9"/>
  <c r="N7692" i="9" a="1"/>
  <c r="N7692" i="9" s="1"/>
  <c r="N7693" i="9" a="1"/>
  <c r="N7693" i="9" s="1"/>
  <c r="N7694" i="9" a="1"/>
  <c r="N7694" i="9" s="1"/>
  <c r="N7695" i="9" a="1"/>
  <c r="N7695" i="9"/>
  <c r="N7696" i="9" a="1"/>
  <c r="N7696" i="9" s="1"/>
  <c r="N7697" i="9" a="1"/>
  <c r="N7697" i="9"/>
  <c r="N7699" i="9" a="1"/>
  <c r="N7699" i="9" s="1"/>
  <c r="N7700" i="9" a="1"/>
  <c r="N7700" i="9" s="1"/>
  <c r="N7701" i="9" a="1"/>
  <c r="N7701" i="9" s="1"/>
  <c r="N7702" i="9" a="1"/>
  <c r="N7702" i="9" s="1"/>
  <c r="N7703" i="9" a="1"/>
  <c r="N7703" i="9" s="1"/>
  <c r="N7704" i="9" a="1"/>
  <c r="N7704" i="9" s="1"/>
  <c r="N7705" i="9" a="1"/>
  <c r="N7705" i="9" s="1"/>
  <c r="N7706" i="9" a="1"/>
  <c r="N7706" i="9" s="1"/>
  <c r="N7707" i="9" a="1"/>
  <c r="N7707" i="9"/>
  <c r="N7708" i="9" a="1"/>
  <c r="N7708" i="9" s="1"/>
  <c r="N7709" i="9" a="1"/>
  <c r="N7709" i="9" s="1"/>
  <c r="N7710" i="9" a="1"/>
  <c r="N7710" i="9" s="1"/>
  <c r="N7711" i="9" a="1"/>
  <c r="N7711" i="9" s="1"/>
  <c r="N7712" i="9" a="1"/>
  <c r="N7712" i="9" s="1"/>
  <c r="N7713" i="9" a="1"/>
  <c r="N7713" i="9" s="1"/>
  <c r="N7715" i="9" a="1"/>
  <c r="N7715" i="9" s="1"/>
  <c r="N7716" i="9" a="1"/>
  <c r="N7716" i="9" s="1"/>
  <c r="N7717" i="9" a="1"/>
  <c r="N7717" i="9" s="1"/>
  <c r="N7718" i="9" a="1"/>
  <c r="N7718" i="9" s="1"/>
  <c r="N7719" i="9" a="1"/>
  <c r="N7719" i="9" s="1"/>
  <c r="N7720" i="9" a="1"/>
  <c r="N7720" i="9" s="1"/>
  <c r="N7721" i="9" a="1"/>
  <c r="N7721" i="9"/>
  <c r="N7722" i="9" a="1"/>
  <c r="N7722" i="9" s="1"/>
  <c r="N7723" i="9" a="1"/>
  <c r="N7723" i="9"/>
  <c r="N7724" i="9" a="1"/>
  <c r="N7724" i="9" s="1"/>
  <c r="N7725" i="9" a="1"/>
  <c r="N7725" i="9" s="1"/>
  <c r="N7726" i="9" a="1"/>
  <c r="N7726" i="9" s="1"/>
  <c r="N7727" i="9" a="1"/>
  <c r="N7727" i="9"/>
  <c r="N7728" i="9" a="1"/>
  <c r="N7728" i="9" s="1"/>
  <c r="N7729" i="9" a="1"/>
  <c r="N7729" i="9" s="1"/>
  <c r="N7731" i="9" a="1"/>
  <c r="N7731" i="9" s="1"/>
  <c r="N7732" i="9" a="1"/>
  <c r="N7732" i="9" s="1"/>
  <c r="N7733" i="9" a="1"/>
  <c r="N7733" i="9" s="1"/>
  <c r="N7734" i="9" a="1"/>
  <c r="N7734" i="9" s="1"/>
  <c r="N7735" i="9" a="1"/>
  <c r="N7735" i="9"/>
  <c r="N7736" i="9" a="1"/>
  <c r="N7736" i="9" s="1"/>
  <c r="N7737" i="9" a="1"/>
  <c r="N7737" i="9"/>
  <c r="N7738" i="9" a="1"/>
  <c r="N7738" i="9" s="1"/>
  <c r="N7739" i="9" a="1"/>
  <c r="N7739" i="9" s="1"/>
  <c r="N7740" i="9" a="1"/>
  <c r="N7740" i="9" s="1"/>
  <c r="N7741" i="9" a="1"/>
  <c r="N7741" i="9" s="1"/>
  <c r="N7742" i="9" a="1"/>
  <c r="N7742" i="9" s="1"/>
  <c r="N7743" i="9" a="1"/>
  <c r="N7743" i="9" s="1"/>
  <c r="N7744" i="9" a="1"/>
  <c r="N7744" i="9" s="1"/>
  <c r="N7745" i="9" a="1"/>
  <c r="N7745" i="9" s="1"/>
  <c r="N7747" i="9" a="1"/>
  <c r="N7747" i="9"/>
  <c r="N7748" i="9" a="1"/>
  <c r="N7748" i="9" s="1"/>
  <c r="N7749" i="9" a="1"/>
  <c r="N7749" i="9" s="1"/>
  <c r="N7750" i="9" a="1"/>
  <c r="N7750" i="9" s="1"/>
  <c r="N7751" i="9" a="1"/>
  <c r="N7751" i="9"/>
  <c r="N7752" i="9" a="1"/>
  <c r="N7752" i="9" s="1"/>
  <c r="N7753" i="9" a="1"/>
  <c r="N7753" i="9" s="1"/>
  <c r="N7754" i="9" a="1"/>
  <c r="N7754" i="9" s="1"/>
  <c r="N7755" i="9" a="1"/>
  <c r="N7755" i="9" s="1"/>
  <c r="N7756" i="9" a="1"/>
  <c r="N7756" i="9" s="1"/>
  <c r="N7757" i="9" a="1"/>
  <c r="N7757" i="9" s="1"/>
  <c r="N7758" i="9" a="1"/>
  <c r="N7758" i="9" s="1"/>
  <c r="N7759" i="9" a="1"/>
  <c r="N7759" i="9"/>
  <c r="N7760" i="9" a="1"/>
  <c r="N7760" i="9" s="1"/>
  <c r="N7761" i="9" a="1"/>
  <c r="N7761" i="9"/>
  <c r="N7763" i="9" a="1"/>
  <c r="N7763" i="9" s="1"/>
  <c r="N7764" i="9" a="1"/>
  <c r="N7764" i="9" s="1"/>
  <c r="N7765" i="9" a="1"/>
  <c r="N7765" i="9" s="1"/>
  <c r="N7766" i="9" a="1"/>
  <c r="N7766" i="9" s="1"/>
  <c r="N7767" i="9" a="1"/>
  <c r="N7767" i="9"/>
  <c r="N7768" i="9" a="1"/>
  <c r="N7768" i="9" s="1"/>
  <c r="N7769" i="9" a="1"/>
  <c r="N7769" i="9" s="1"/>
  <c r="N7770" i="9" a="1"/>
  <c r="N7770" i="9" s="1"/>
  <c r="N7771" i="9" a="1"/>
  <c r="N7771" i="9"/>
  <c r="N7772" i="9" a="1"/>
  <c r="N7772" i="9" s="1"/>
  <c r="N7773" i="9" a="1"/>
  <c r="N7773" i="9" s="1"/>
  <c r="N7774" i="9" a="1"/>
  <c r="N7774" i="9" s="1"/>
  <c r="N7775" i="9" a="1"/>
  <c r="N7775" i="9" s="1"/>
  <c r="N7776" i="9" a="1"/>
  <c r="N7776" i="9" s="1"/>
  <c r="N7777" i="9" a="1"/>
  <c r="N7777" i="9"/>
  <c r="N7779" i="9" a="1"/>
  <c r="N7779" i="9"/>
  <c r="N7780" i="9" a="1"/>
  <c r="N7780" i="9" s="1"/>
  <c r="N7781" i="9" a="1"/>
  <c r="N7781" i="9" s="1"/>
  <c r="N7782" i="9" a="1"/>
  <c r="N7782" i="9" s="1"/>
  <c r="N7783" i="9" a="1"/>
  <c r="N7783" i="9" s="1"/>
  <c r="N7784" i="9" a="1"/>
  <c r="N7784" i="9" s="1"/>
  <c r="N7785" i="9" a="1"/>
  <c r="N7785" i="9" s="1"/>
  <c r="N7786" i="9" a="1"/>
  <c r="N7786" i="9" s="1"/>
  <c r="N7787" i="9" a="1"/>
  <c r="N7787" i="9"/>
  <c r="N7788" i="9" a="1"/>
  <c r="N7788" i="9" s="1"/>
  <c r="N7789" i="9" a="1"/>
  <c r="N7789" i="9" s="1"/>
  <c r="N7790" i="9" a="1"/>
  <c r="N7790" i="9" s="1"/>
  <c r="N7791" i="9" a="1"/>
  <c r="N7791" i="9"/>
  <c r="N7792" i="9" a="1"/>
  <c r="N7792" i="9" s="1"/>
  <c r="N7793" i="9" a="1"/>
  <c r="N7793" i="9"/>
  <c r="N7795" i="9" a="1"/>
  <c r="N7795" i="9" s="1"/>
  <c r="N7796" i="9" a="1"/>
  <c r="N7796" i="9" s="1"/>
  <c r="N7797" i="9" a="1"/>
  <c r="N7797" i="9" s="1"/>
  <c r="N7798" i="9" a="1"/>
  <c r="N7798" i="9" s="1"/>
  <c r="N7799" i="9" a="1"/>
  <c r="N7799" i="9" s="1"/>
  <c r="N7800" i="9" a="1"/>
  <c r="N7800" i="9" s="1"/>
  <c r="N7801" i="9" a="1"/>
  <c r="N7801" i="9" s="1"/>
  <c r="N7802" i="9" a="1"/>
  <c r="N7802" i="9" s="1"/>
  <c r="N7803" i="9" a="1"/>
  <c r="N7803" i="9"/>
  <c r="N7804" i="9" a="1"/>
  <c r="N7804" i="9" s="1"/>
  <c r="N7805" i="9" a="1"/>
  <c r="N7805" i="9" s="1"/>
  <c r="N7806" i="9" a="1"/>
  <c r="N7806" i="9" s="1"/>
  <c r="N7807" i="9" a="1"/>
  <c r="N7807" i="9"/>
  <c r="N7808" i="9" a="1"/>
  <c r="N7808" i="9" s="1"/>
  <c r="N7809" i="9" a="1"/>
  <c r="N7809" i="9" s="1"/>
  <c r="N7811" i="9" a="1"/>
  <c r="N7811" i="9" s="1"/>
  <c r="N7812" i="9" a="1"/>
  <c r="N7812" i="9" s="1"/>
  <c r="N7813" i="9" a="1"/>
  <c r="N7813" i="9" s="1"/>
  <c r="N7814" i="9" a="1"/>
  <c r="N7814" i="9" s="1"/>
  <c r="N7815" i="9" a="1"/>
  <c r="N7815" i="9" s="1"/>
  <c r="N7816" i="9" a="1"/>
  <c r="N7816" i="9" s="1"/>
  <c r="N7817" i="9" a="1"/>
  <c r="N7817" i="9"/>
  <c r="N7818" i="9" a="1"/>
  <c r="N7818" i="9" s="1"/>
  <c r="N7819" i="9" a="1"/>
  <c r="N7819" i="9"/>
  <c r="N7820" i="9" a="1"/>
  <c r="N7820" i="9" s="1"/>
  <c r="N7821" i="9" a="1"/>
  <c r="N7821" i="9" s="1"/>
  <c r="N7822" i="9" a="1"/>
  <c r="N7822" i="9" s="1"/>
  <c r="N7823" i="9" a="1"/>
  <c r="N7823" i="9"/>
  <c r="N7824" i="9" a="1"/>
  <c r="N7824" i="9" s="1"/>
  <c r="N7825" i="9" a="1"/>
  <c r="N7825" i="9" s="1"/>
  <c r="N7827" i="9" a="1"/>
  <c r="N7827" i="9" s="1"/>
  <c r="N7828" i="9" a="1"/>
  <c r="N7828" i="9" s="1"/>
  <c r="N7829" i="9" a="1"/>
  <c r="N7829" i="9" s="1"/>
  <c r="N7830" i="9" a="1"/>
  <c r="N7830" i="9" s="1"/>
  <c r="N7831" i="9" a="1"/>
  <c r="N7831" i="9"/>
  <c r="N7832" i="9" a="1"/>
  <c r="N7832" i="9" s="1"/>
  <c r="N7833" i="9" a="1"/>
  <c r="N7833" i="9"/>
  <c r="N7834" i="9" a="1"/>
  <c r="N7834" i="9" s="1"/>
  <c r="N7835" i="9" a="1"/>
  <c r="N7835" i="9" s="1"/>
  <c r="N7836" i="9" a="1"/>
  <c r="N7836" i="9" s="1"/>
  <c r="N7837" i="9" a="1"/>
  <c r="N7837" i="9" s="1"/>
  <c r="N7838" i="9" a="1"/>
  <c r="N7838" i="9" s="1"/>
  <c r="N7839" i="9" a="1"/>
  <c r="N7839" i="9" s="1"/>
  <c r="N7840" i="9" a="1"/>
  <c r="N7840" i="9" s="1"/>
  <c r="N7841" i="9" a="1"/>
  <c r="N7841" i="9" s="1"/>
  <c r="N7843" i="9" a="1"/>
  <c r="N7843" i="9"/>
  <c r="N7844" i="9" a="1"/>
  <c r="N7844" i="9" s="1"/>
  <c r="N7845" i="9" a="1"/>
  <c r="N7845" i="9" s="1"/>
  <c r="N7846" i="9" a="1"/>
  <c r="N7846" i="9" s="1"/>
  <c r="N7847" i="9" a="1"/>
  <c r="N7847" i="9"/>
  <c r="N7848" i="9" a="1"/>
  <c r="N7848" i="9" s="1"/>
  <c r="N7849" i="9" a="1"/>
  <c r="N7849" i="9" s="1"/>
  <c r="N7850" i="9" a="1"/>
  <c r="N7850" i="9" s="1"/>
  <c r="N7851" i="9" a="1"/>
  <c r="N7851" i="9" s="1"/>
  <c r="N7852" i="9" a="1"/>
  <c r="N7852" i="9" s="1"/>
  <c r="N7853" i="9" a="1"/>
  <c r="N7853" i="9" s="1"/>
  <c r="N7854" i="9" a="1"/>
  <c r="N7854" i="9" s="1"/>
  <c r="N7855" i="9" a="1"/>
  <c r="N7855" i="9" s="1"/>
  <c r="N7856" i="9" a="1"/>
  <c r="N7856" i="9" s="1"/>
  <c r="N7857" i="9" a="1"/>
  <c r="N7857" i="9"/>
  <c r="N7859" i="9" a="1"/>
  <c r="N7859" i="9" s="1"/>
  <c r="N7860" i="9" a="1"/>
  <c r="N7860" i="9" s="1"/>
  <c r="N7861" i="9" a="1"/>
  <c r="N7861" i="9" s="1"/>
  <c r="N7862" i="9" a="1"/>
  <c r="N7862" i="9" s="1"/>
  <c r="N7863" i="9" a="1"/>
  <c r="N7863" i="9"/>
  <c r="N7864" i="9" a="1"/>
  <c r="N7864" i="9" s="1"/>
  <c r="N7865" i="9" a="1"/>
  <c r="N7865" i="9" s="1"/>
  <c r="N7866" i="9" a="1"/>
  <c r="N7866" i="9" s="1"/>
  <c r="N7867" i="9" a="1"/>
  <c r="N7867" i="9"/>
  <c r="N7868" i="9" a="1"/>
  <c r="N7868" i="9" s="1"/>
  <c r="N7869" i="9" a="1"/>
  <c r="N7869" i="9" s="1"/>
  <c r="N7870" i="9" a="1"/>
  <c r="N7870" i="9" s="1"/>
  <c r="N7871" i="9" a="1"/>
  <c r="N7871" i="9" s="1"/>
  <c r="N7872" i="9" a="1"/>
  <c r="N7872" i="9" s="1"/>
  <c r="N7873" i="9" a="1"/>
  <c r="N7873" i="9"/>
  <c r="N7875" i="9" a="1"/>
  <c r="N7875" i="9" s="1"/>
  <c r="N7876" i="9" a="1"/>
  <c r="N7876" i="9" s="1"/>
  <c r="N7877" i="9" a="1"/>
  <c r="N7877" i="9" s="1"/>
  <c r="N7878" i="9" a="1"/>
  <c r="N7878" i="9" s="1"/>
  <c r="N7879" i="9" a="1"/>
  <c r="N7879" i="9" s="1"/>
  <c r="N7880" i="9" a="1"/>
  <c r="N7880" i="9" s="1"/>
  <c r="N7881" i="9" a="1"/>
  <c r="N7881" i="9" s="1"/>
  <c r="N7882" i="9" a="1"/>
  <c r="N7882" i="9" s="1"/>
  <c r="N7883" i="9" a="1"/>
  <c r="N7883" i="9"/>
  <c r="N7884" i="9" a="1"/>
  <c r="N7884" i="9" s="1"/>
  <c r="N7885" i="9" a="1"/>
  <c r="N7885" i="9" s="1"/>
  <c r="N7886" i="9" a="1"/>
  <c r="N7886" i="9" s="1"/>
  <c r="N7887" i="9" a="1"/>
  <c r="N7887" i="9"/>
  <c r="N7888" i="9" a="1"/>
  <c r="N7888" i="9" s="1"/>
  <c r="N7889" i="9" a="1"/>
  <c r="N7889" i="9"/>
  <c r="N7891" i="9" a="1"/>
  <c r="N7891" i="9" s="1"/>
  <c r="N7892" i="9" a="1"/>
  <c r="N7892" i="9" s="1"/>
  <c r="N7893" i="9" a="1"/>
  <c r="N7893" i="9" s="1"/>
  <c r="N7894" i="9" a="1"/>
  <c r="N7894" i="9" s="1"/>
  <c r="N7895" i="9" a="1"/>
  <c r="N7895" i="9" s="1"/>
  <c r="N7896" i="9" a="1"/>
  <c r="N7896" i="9" s="1"/>
  <c r="N7897" i="9" a="1"/>
  <c r="N7897" i="9" s="1"/>
  <c r="N7898" i="9" a="1"/>
  <c r="N7898" i="9" s="1"/>
  <c r="N7899" i="9" a="1"/>
  <c r="N7899" i="9"/>
  <c r="N7900" i="9" a="1"/>
  <c r="N7900" i="9" s="1"/>
  <c r="N7901" i="9" a="1"/>
  <c r="N7901" i="9" s="1"/>
  <c r="N7902" i="9" a="1"/>
  <c r="N7902" i="9" s="1"/>
  <c r="N7903" i="9" a="1"/>
  <c r="N7903" i="9"/>
  <c r="N7904" i="9" a="1"/>
  <c r="N7904" i="9" s="1"/>
  <c r="N7905" i="9" a="1"/>
  <c r="N7905" i="9" s="1"/>
  <c r="N7907" i="9" a="1"/>
  <c r="N7907" i="9" s="1"/>
  <c r="N7908" i="9" a="1"/>
  <c r="N7908" i="9" s="1"/>
  <c r="N7909" i="9" a="1"/>
  <c r="N7909" i="9" s="1"/>
  <c r="N7910" i="9" a="1"/>
  <c r="N7910" i="9" s="1"/>
  <c r="N7911" i="9" a="1"/>
  <c r="N7911" i="9"/>
  <c r="N7912" i="9" a="1"/>
  <c r="N7912" i="9" s="1"/>
  <c r="N7913" i="9" a="1"/>
  <c r="N7913" i="9"/>
  <c r="N7914" i="9" a="1"/>
  <c r="N7914" i="9" s="1"/>
  <c r="N7915" i="9" a="1"/>
  <c r="N7915" i="9" s="1"/>
  <c r="N7916" i="9" a="1"/>
  <c r="N7916" i="9" s="1"/>
  <c r="N7917" i="9" a="1"/>
  <c r="N7917" i="9" s="1"/>
  <c r="N7918" i="9" a="1"/>
  <c r="N7918" i="9" s="1"/>
  <c r="N7919" i="9" a="1"/>
  <c r="N7919" i="9"/>
  <c r="N7920" i="9" a="1"/>
  <c r="N7920" i="9" s="1"/>
  <c r="N7921" i="9" a="1"/>
  <c r="N7921" i="9" s="1"/>
  <c r="N7923" i="9" a="1"/>
  <c r="N7923" i="9" s="1"/>
  <c r="N7924" i="9" a="1"/>
  <c r="N7924" i="9" s="1"/>
  <c r="N7925" i="9" a="1"/>
  <c r="N7925" i="9" s="1"/>
  <c r="N7926" i="9" a="1"/>
  <c r="N7926" i="9" s="1"/>
  <c r="N7927" i="9" a="1"/>
  <c r="N7927" i="9" s="1"/>
  <c r="N7928" i="9" a="1"/>
  <c r="N7928" i="9" s="1"/>
  <c r="N7929" i="9" a="1"/>
  <c r="N7929" i="9" s="1"/>
  <c r="N7930" i="9" a="1"/>
  <c r="N7930" i="9" s="1"/>
  <c r="N7931" i="9" a="1"/>
  <c r="N7931" i="9"/>
  <c r="N7932" i="9" a="1"/>
  <c r="N7932" i="9" s="1"/>
  <c r="N7933" i="9" a="1"/>
  <c r="N7933" i="9" s="1"/>
  <c r="N7934" i="9" a="1"/>
  <c r="N7934" i="9" s="1"/>
  <c r="N7935" i="9" a="1"/>
  <c r="N7935" i="9"/>
  <c r="N7936" i="9" a="1"/>
  <c r="N7936" i="9" s="1"/>
  <c r="N7937" i="9" a="1"/>
  <c r="N7937" i="9" s="1"/>
  <c r="N7939" i="9" a="1"/>
  <c r="N7939" i="9" s="1"/>
  <c r="N7940" i="9" a="1"/>
  <c r="N7940" i="9" s="1"/>
  <c r="N7941" i="9" a="1"/>
  <c r="N7941" i="9" s="1"/>
  <c r="N7942" i="9" a="1"/>
  <c r="N7942" i="9" s="1"/>
  <c r="N7943" i="9" a="1"/>
  <c r="N7943" i="9" s="1"/>
  <c r="N7944" i="9" a="1"/>
  <c r="N7944" i="9" s="1"/>
  <c r="N7945" i="9" a="1"/>
  <c r="N7945" i="9"/>
  <c r="N7946" i="9" a="1"/>
  <c r="N7946" i="9" s="1"/>
  <c r="N7947" i="9" a="1"/>
  <c r="N7947" i="9" s="1"/>
  <c r="N7948" i="9" a="1"/>
  <c r="N7948" i="9" s="1"/>
  <c r="N7949" i="9" a="1"/>
  <c r="N7949" i="9" s="1"/>
  <c r="N7950" i="9" a="1"/>
  <c r="N7950" i="9" s="1"/>
  <c r="N7951" i="9" a="1"/>
  <c r="N7951" i="9" s="1"/>
  <c r="N7952" i="9" a="1"/>
  <c r="N7952" i="9" s="1"/>
  <c r="N7953" i="9" a="1"/>
  <c r="N7953" i="9"/>
  <c r="N7955" i="9" a="1"/>
  <c r="N7955" i="9"/>
  <c r="N7956" i="9" a="1"/>
  <c r="N7956" i="9" s="1"/>
  <c r="N7957" i="9" a="1"/>
  <c r="N7957" i="9" s="1"/>
  <c r="N7958" i="9" a="1"/>
  <c r="N7958" i="9" s="1"/>
  <c r="N7959" i="9" a="1"/>
  <c r="N7959" i="9" s="1"/>
  <c r="N7960" i="9" a="1"/>
  <c r="N7960" i="9" s="1"/>
  <c r="N7961" i="9" a="1"/>
  <c r="N7961" i="9" s="1"/>
  <c r="N7962" i="9" a="1"/>
  <c r="N7962" i="9" s="1"/>
  <c r="N7963" i="9" a="1"/>
  <c r="N7963" i="9" s="1"/>
  <c r="N7964" i="9" a="1"/>
  <c r="N7964" i="9" s="1"/>
  <c r="N7965" i="9" a="1"/>
  <c r="N7965" i="9" s="1"/>
  <c r="N7966" i="9" a="1"/>
  <c r="N7966" i="9" s="1"/>
  <c r="N7967" i="9" a="1"/>
  <c r="N7967" i="9" s="1"/>
  <c r="N7968" i="9" a="1"/>
  <c r="N7968" i="9" s="1"/>
  <c r="N7969" i="9" a="1"/>
  <c r="N7969" i="9" s="1"/>
  <c r="N7971" i="9" a="1"/>
  <c r="N7971" i="9"/>
  <c r="N7972" i="9" a="1"/>
  <c r="N7972" i="9" s="1"/>
  <c r="N7973" i="9" a="1"/>
  <c r="N7973" i="9" s="1"/>
  <c r="N7974" i="9" a="1"/>
  <c r="N7974" i="9" s="1"/>
  <c r="N7975" i="9" a="1"/>
  <c r="N7975" i="9" s="1"/>
  <c r="N7976" i="9" a="1"/>
  <c r="N7976" i="9" s="1"/>
  <c r="N7977" i="9" a="1"/>
  <c r="N7977" i="9" s="1"/>
  <c r="N7978" i="9" a="1"/>
  <c r="N7978" i="9" s="1"/>
  <c r="N7979" i="9" a="1"/>
  <c r="N7979" i="9" s="1"/>
  <c r="N7980" i="9" a="1"/>
  <c r="N7980" i="9" s="1"/>
  <c r="N7981" i="9" a="1"/>
  <c r="N7981" i="9" s="1"/>
  <c r="N7982" i="9" a="1"/>
  <c r="N7982" i="9" s="1"/>
  <c r="N7983" i="9" a="1"/>
  <c r="N7983" i="9" s="1"/>
  <c r="N7984" i="9" a="1"/>
  <c r="N7984" i="9" s="1"/>
  <c r="N7985" i="9" a="1"/>
  <c r="N7985" i="9" s="1"/>
  <c r="N7987" i="9" a="1"/>
  <c r="N7987" i="9" s="1"/>
  <c r="N7988" i="9" a="1"/>
  <c r="N7988" i="9" s="1"/>
  <c r="N7989" i="9" a="1"/>
  <c r="N7989" i="9" s="1"/>
  <c r="N7990" i="9" a="1"/>
  <c r="N7990" i="9" s="1"/>
  <c r="N7991" i="9" a="1"/>
  <c r="N7991" i="9" s="1"/>
  <c r="N7992" i="9" a="1"/>
  <c r="N7992" i="9" s="1"/>
  <c r="N7993" i="9" a="1"/>
  <c r="N7993" i="9" s="1"/>
  <c r="N7994" i="9" a="1"/>
  <c r="N7994" i="9" s="1"/>
  <c r="N7995" i="9" a="1"/>
  <c r="N7995" i="9"/>
  <c r="N7996" i="9" a="1"/>
  <c r="N7996" i="9" s="1"/>
  <c r="N7997" i="9" a="1"/>
  <c r="N7997" i="9" s="1"/>
  <c r="N7998" i="9" a="1"/>
  <c r="N7998" i="9" s="1"/>
  <c r="N7999" i="9" a="1"/>
  <c r="N7999" i="9"/>
  <c r="N8000" i="9" a="1"/>
  <c r="N8000" i="9" s="1"/>
  <c r="N8001" i="9" a="1"/>
  <c r="N8001" i="9" s="1"/>
  <c r="N8003" i="9" a="1"/>
  <c r="N8003" i="9" s="1"/>
  <c r="N8004" i="9" a="1"/>
  <c r="N8004" i="9" s="1"/>
  <c r="N8005" i="9" a="1"/>
  <c r="N8005" i="9" s="1"/>
  <c r="N8006" i="9" a="1"/>
  <c r="N8006" i="9" s="1"/>
  <c r="N8007" i="9" a="1"/>
  <c r="N8007" i="9"/>
  <c r="N8008" i="9" a="1"/>
  <c r="N8008" i="9" s="1"/>
  <c r="N8009" i="9" a="1"/>
  <c r="N8009" i="9" s="1"/>
  <c r="N8010" i="9" a="1"/>
  <c r="N8010" i="9" s="1"/>
  <c r="N8011" i="9" a="1"/>
  <c r="N8011" i="9" s="1"/>
  <c r="N8012" i="9" a="1"/>
  <c r="N8012" i="9" s="1"/>
  <c r="N8013" i="9" a="1"/>
  <c r="N8013" i="9" s="1"/>
  <c r="N8014" i="9" a="1"/>
  <c r="N8014" i="9" s="1"/>
  <c r="N8015" i="9" a="1"/>
  <c r="N8015" i="9" s="1"/>
  <c r="N8016" i="9" a="1"/>
  <c r="N8016" i="9" s="1"/>
  <c r="N8017" i="9" a="1"/>
  <c r="N8017" i="9"/>
  <c r="N8019" i="9" a="1"/>
  <c r="N8019" i="9"/>
  <c r="N8020" i="9" a="1"/>
  <c r="N8020" i="9" s="1"/>
  <c r="N8021" i="9" a="1"/>
  <c r="N8021" i="9" s="1"/>
  <c r="N8022" i="9" a="1"/>
  <c r="N8022" i="9" s="1"/>
  <c r="N8023" i="9" a="1"/>
  <c r="N8023" i="9" s="1"/>
  <c r="N8024" i="9" a="1"/>
  <c r="N8024" i="9" s="1"/>
  <c r="N8025" i="9" a="1"/>
  <c r="N8025" i="9" s="1"/>
  <c r="N8026" i="9" a="1"/>
  <c r="N8026" i="9" s="1"/>
  <c r="N8027" i="9" a="1"/>
  <c r="N8027" i="9" s="1"/>
  <c r="N8028" i="9" a="1"/>
  <c r="N8028" i="9" s="1"/>
  <c r="N8029" i="9" a="1"/>
  <c r="N8029" i="9" s="1"/>
  <c r="N8030" i="9" a="1"/>
  <c r="N8030" i="9" s="1"/>
  <c r="N8031" i="9" a="1"/>
  <c r="N8031" i="9" s="1"/>
  <c r="N8032" i="9" a="1"/>
  <c r="N8032" i="9" s="1"/>
  <c r="N8033" i="9" a="1"/>
  <c r="N8033" i="9" s="1"/>
  <c r="N8035" i="9" a="1"/>
  <c r="N8035" i="9" s="1"/>
  <c r="N8036" i="9" a="1"/>
  <c r="N8036" i="9" s="1"/>
  <c r="N8037" i="9" a="1"/>
  <c r="N8037" i="9" s="1"/>
  <c r="N8038" i="9" a="1"/>
  <c r="N8038" i="9" s="1"/>
  <c r="N8039" i="9" a="1"/>
  <c r="N8039" i="9"/>
  <c r="N8040" i="9" a="1"/>
  <c r="N8040" i="9" s="1"/>
  <c r="N8041" i="9" a="1"/>
  <c r="N8041" i="9"/>
  <c r="N8042" i="9" a="1"/>
  <c r="N8042" i="9" s="1"/>
  <c r="N8043" i="9" a="1"/>
  <c r="N8043" i="9" s="1"/>
  <c r="N8044" i="9" a="1"/>
  <c r="N8044" i="9" s="1"/>
  <c r="N8045" i="9" a="1"/>
  <c r="N8045" i="9" s="1"/>
  <c r="N8046" i="9" a="1"/>
  <c r="N8046" i="9" s="1"/>
  <c r="N8047" i="9" a="1"/>
  <c r="N8047" i="9"/>
  <c r="N8048" i="9" a="1"/>
  <c r="N8048" i="9" s="1"/>
  <c r="N8049" i="9" a="1"/>
  <c r="N8049" i="9" s="1"/>
  <c r="N8051" i="9" a="1"/>
  <c r="N8051" i="9" s="1"/>
  <c r="N8052" i="9" a="1"/>
  <c r="N8052" i="9" s="1"/>
  <c r="N8053" i="9" a="1"/>
  <c r="N8053" i="9" s="1"/>
  <c r="N8054" i="9" a="1"/>
  <c r="N8054" i="9" s="1"/>
  <c r="N8055" i="9" a="1"/>
  <c r="N8055" i="9" s="1"/>
  <c r="N8056" i="9" a="1"/>
  <c r="N8056" i="9" s="1"/>
  <c r="N8057" i="9" a="1"/>
  <c r="N8057" i="9" s="1"/>
  <c r="N8058" i="9" a="1"/>
  <c r="N8058" i="9" s="1"/>
  <c r="N8059" i="9" a="1"/>
  <c r="N8059" i="9" s="1"/>
  <c r="N8060" i="9" a="1"/>
  <c r="N8060" i="9" s="1"/>
  <c r="N8061" i="9" a="1"/>
  <c r="N8061" i="9" s="1"/>
  <c r="N8062" i="9" a="1"/>
  <c r="N8062" i="9" s="1"/>
  <c r="N8063" i="9" a="1"/>
  <c r="N8063" i="9" s="1"/>
  <c r="N8064" i="9" a="1"/>
  <c r="N8064" i="9" s="1"/>
  <c r="N8065" i="9" a="1"/>
  <c r="N8065" i="9"/>
  <c r="N8067" i="9" a="1"/>
  <c r="N8067" i="9" s="1"/>
  <c r="N8068" i="9" a="1"/>
  <c r="N8068" i="9" s="1"/>
  <c r="N8069" i="9" a="1"/>
  <c r="N8069" i="9" s="1"/>
  <c r="N8070" i="9" a="1"/>
  <c r="N8070" i="9" s="1"/>
  <c r="N8071" i="9" a="1"/>
  <c r="N8071" i="9" s="1"/>
  <c r="N8072" i="9" a="1"/>
  <c r="N8072" i="9" s="1"/>
  <c r="N8073" i="9" a="1"/>
  <c r="N8073" i="9"/>
  <c r="N8074" i="9" a="1"/>
  <c r="N8074" i="9" s="1"/>
  <c r="N8075" i="9" a="1"/>
  <c r="N8075" i="9" s="1"/>
  <c r="N8076" i="9" a="1"/>
  <c r="N8076" i="9" s="1"/>
  <c r="N8077" i="9" a="1"/>
  <c r="N8077" i="9" s="1"/>
  <c r="N8078" i="9" a="1"/>
  <c r="N8078" i="9" s="1"/>
  <c r="N8079" i="9" a="1"/>
  <c r="N8079" i="9"/>
  <c r="N8080" i="9" a="1"/>
  <c r="N8080" i="9" s="1"/>
  <c r="N8081" i="9" a="1"/>
  <c r="N8081" i="9"/>
  <c r="N8083" i="9" a="1"/>
  <c r="N8083" i="9" s="1"/>
  <c r="N8084" i="9" a="1"/>
  <c r="N8084" i="9" s="1"/>
  <c r="N8085" i="9" a="1"/>
  <c r="N8085" i="9" s="1"/>
  <c r="N8086" i="9" a="1"/>
  <c r="N8086" i="9" s="1"/>
  <c r="N8087" i="9" a="1"/>
  <c r="N8087" i="9" s="1"/>
  <c r="N8088" i="9" a="1"/>
  <c r="N8088" i="9" s="1"/>
  <c r="N8089" i="9" a="1"/>
  <c r="N8089" i="9" s="1"/>
  <c r="N8090" i="9" a="1"/>
  <c r="N8090" i="9" s="1"/>
  <c r="N8091" i="9" a="1"/>
  <c r="N8091" i="9" s="1"/>
  <c r="N8092" i="9" a="1"/>
  <c r="N8092" i="9" s="1"/>
  <c r="N8093" i="9" a="1"/>
  <c r="N8093" i="9" s="1"/>
  <c r="N8094" i="9" a="1"/>
  <c r="N8094" i="9" s="1"/>
  <c r="N8095" i="9" a="1"/>
  <c r="N8095" i="9"/>
  <c r="N8096" i="9" a="1"/>
  <c r="N8096" i="9" s="1"/>
  <c r="N8097" i="9" a="1"/>
  <c r="N8097" i="9" s="1"/>
  <c r="N8099" i="9" a="1"/>
  <c r="N8099" i="9" s="1"/>
  <c r="N8100" i="9" a="1"/>
  <c r="N8100" i="9" s="1"/>
  <c r="N8101" i="9" a="1"/>
  <c r="N8101" i="9" s="1"/>
  <c r="N8102" i="9" a="1"/>
  <c r="N8102" i="9" s="1"/>
  <c r="N8103" i="9" a="1"/>
  <c r="N8103" i="9"/>
  <c r="N8104" i="9" a="1"/>
  <c r="N8104" i="9" s="1"/>
  <c r="N8105" i="9" a="1"/>
  <c r="N8105" i="9"/>
  <c r="N8106" i="9" a="1"/>
  <c r="N8106" i="9" s="1"/>
  <c r="N8107" i="9" a="1"/>
  <c r="N8107" i="9" s="1"/>
  <c r="N8108" i="9" a="1"/>
  <c r="N8108" i="9" s="1"/>
  <c r="N8109" i="9" a="1"/>
  <c r="N8109" i="9" s="1"/>
  <c r="N8110" i="9" a="1"/>
  <c r="N8110" i="9" s="1"/>
  <c r="N8111" i="9" a="1"/>
  <c r="N8111" i="9"/>
  <c r="N8112" i="9" a="1"/>
  <c r="N8112" i="9" s="1"/>
  <c r="N8113" i="9" a="1"/>
  <c r="N8113" i="9" s="1"/>
  <c r="N8115" i="9" a="1"/>
  <c r="N8115" i="9" s="1"/>
  <c r="N8116" i="9" a="1"/>
  <c r="N8116" i="9" s="1"/>
  <c r="N8117" i="9" a="1"/>
  <c r="N8117" i="9" s="1"/>
  <c r="N8118" i="9" a="1"/>
  <c r="N8118" i="9" s="1"/>
  <c r="N8119" i="9" a="1"/>
  <c r="N8119" i="9" s="1"/>
  <c r="N8120" i="9" a="1"/>
  <c r="N8120" i="9" s="1"/>
  <c r="N8121" i="9" a="1"/>
  <c r="N8121" i="9" s="1"/>
  <c r="N8122" i="9" a="1"/>
  <c r="N8122" i="9" s="1"/>
  <c r="N8123" i="9" a="1"/>
  <c r="N8123" i="9" s="1"/>
  <c r="N8124" i="9" a="1"/>
  <c r="N8124" i="9" s="1"/>
  <c r="N8125" i="9" a="1"/>
  <c r="N8125" i="9" s="1"/>
  <c r="N8126" i="9" a="1"/>
  <c r="N8126" i="9" s="1"/>
  <c r="N8127" i="9" a="1"/>
  <c r="N8127" i="9" s="1"/>
  <c r="N8128" i="9" a="1"/>
  <c r="N8128" i="9" s="1"/>
  <c r="N8129" i="9" a="1"/>
  <c r="N8129" i="9"/>
  <c r="N8131" i="9" a="1"/>
  <c r="N8131" i="9" s="1"/>
  <c r="N8132" i="9" a="1"/>
  <c r="N8132" i="9" s="1"/>
  <c r="N8133" i="9" a="1"/>
  <c r="N8133" i="9" s="1"/>
  <c r="N8134" i="9" a="1"/>
  <c r="N8134" i="9" s="1"/>
  <c r="N8135" i="9" a="1"/>
  <c r="N8135" i="9" s="1"/>
  <c r="N8136" i="9" a="1"/>
  <c r="N8136" i="9" s="1"/>
  <c r="N8137" i="9" a="1"/>
  <c r="N8137" i="9" s="1"/>
  <c r="N8138" i="9" a="1"/>
  <c r="N8138" i="9" s="1"/>
  <c r="N8139" i="9" a="1"/>
  <c r="N8139" i="9" s="1"/>
  <c r="N8140" i="9" a="1"/>
  <c r="N8140" i="9" s="1"/>
  <c r="N8141" i="9" a="1"/>
  <c r="N8141" i="9" s="1"/>
  <c r="N8142" i="9" a="1"/>
  <c r="N8142" i="9" s="1"/>
  <c r="N8143" i="9" a="1"/>
  <c r="N8143" i="9" s="1"/>
  <c r="N8144" i="9" a="1"/>
  <c r="N8144" i="9" s="1"/>
  <c r="N8145" i="9" a="1"/>
  <c r="N8145" i="9"/>
  <c r="N8147" i="9" a="1"/>
  <c r="N8147" i="9" s="1"/>
  <c r="N8148" i="9" a="1"/>
  <c r="N8148" i="9" s="1"/>
  <c r="N8149" i="9" a="1"/>
  <c r="N8149" i="9" s="1"/>
  <c r="N8150" i="9" a="1"/>
  <c r="N8150" i="9" s="1"/>
  <c r="N8151" i="9" a="1"/>
  <c r="N8151" i="9" s="1"/>
  <c r="N8152" i="9" a="1"/>
  <c r="N8152" i="9" s="1"/>
  <c r="N8153" i="9" a="1"/>
  <c r="N8153" i="9" s="1"/>
  <c r="N8154" i="9" a="1"/>
  <c r="N8154" i="9" s="1"/>
  <c r="N8155" i="9" a="1"/>
  <c r="N8155" i="9" s="1"/>
  <c r="N8156" i="9" a="1"/>
  <c r="N8156" i="9" s="1"/>
  <c r="N8157" i="9" a="1"/>
  <c r="N8157" i="9" s="1"/>
  <c r="N8158" i="9" a="1"/>
  <c r="N8158" i="9" s="1"/>
  <c r="N8159" i="9" a="1"/>
  <c r="N8159" i="9"/>
  <c r="N8160" i="9" a="1"/>
  <c r="N8160" i="9" s="1"/>
  <c r="N8161" i="9" a="1"/>
  <c r="N8161" i="9" s="1"/>
  <c r="N8163" i="9" a="1"/>
  <c r="N8163" i="9" s="1"/>
  <c r="N8164" i="9" a="1"/>
  <c r="N8164" i="9" s="1"/>
  <c r="N8165" i="9" a="1"/>
  <c r="N8165" i="9" s="1"/>
  <c r="N8166" i="9" a="1"/>
  <c r="N8166" i="9" s="1"/>
  <c r="N8167" i="9" a="1"/>
  <c r="N8167" i="9" s="1"/>
  <c r="N8168" i="9" a="1"/>
  <c r="N8168" i="9" s="1"/>
  <c r="N8169" i="9" a="1"/>
  <c r="N8169" i="9" s="1"/>
  <c r="N8170" i="9" a="1"/>
  <c r="N8170" i="9" s="1"/>
  <c r="N8171" i="9" a="1"/>
  <c r="N8171" i="9" s="1"/>
  <c r="N8172" i="9" a="1"/>
  <c r="N8172" i="9" s="1"/>
  <c r="N8173" i="9" a="1"/>
  <c r="N8173" i="9" s="1"/>
  <c r="N8174" i="9" a="1"/>
  <c r="N8174" i="9" s="1"/>
  <c r="N8175" i="9" a="1"/>
  <c r="N8175" i="9" s="1"/>
  <c r="N8176" i="9" a="1"/>
  <c r="N8176" i="9" s="1"/>
  <c r="N8177" i="9" a="1"/>
  <c r="N8177" i="9"/>
  <c r="N8179" i="9" a="1"/>
  <c r="N8179" i="9" s="1"/>
  <c r="N8180" i="9" a="1"/>
  <c r="N8180" i="9" s="1"/>
  <c r="N8181" i="9" a="1"/>
  <c r="N8181" i="9" s="1"/>
  <c r="N8182" i="9" a="1"/>
  <c r="N8182" i="9" s="1"/>
  <c r="N8183" i="9" a="1"/>
  <c r="N8183" i="9"/>
  <c r="N8184" i="9" a="1"/>
  <c r="N8184" i="9" s="1"/>
  <c r="N8185" i="9" a="1"/>
  <c r="N8185" i="9" s="1"/>
  <c r="N8186" i="9" a="1"/>
  <c r="N8186" i="9" s="1"/>
  <c r="N8187" i="9" a="1"/>
  <c r="N8187" i="9" s="1"/>
  <c r="N8188" i="9" a="1"/>
  <c r="N8188" i="9" s="1"/>
  <c r="N8189" i="9" a="1"/>
  <c r="N8189" i="9" s="1"/>
  <c r="N8190" i="9" a="1"/>
  <c r="N8190" i="9" s="1"/>
  <c r="N8191" i="9" a="1"/>
  <c r="N8191" i="9" s="1"/>
  <c r="N8192" i="9" a="1"/>
  <c r="N8192" i="9" s="1"/>
  <c r="N8193" i="9" a="1"/>
  <c r="N8193" i="9" s="1"/>
  <c r="N8195" i="9" a="1"/>
  <c r="N8195" i="9" s="1"/>
  <c r="N8196" i="9" a="1"/>
  <c r="N8196" i="9" s="1"/>
  <c r="N8197" i="9" a="1"/>
  <c r="N8197" i="9" s="1"/>
  <c r="N8198" i="9" a="1"/>
  <c r="N8198" i="9" s="1"/>
  <c r="N8199" i="9" a="1"/>
  <c r="N8199" i="9"/>
  <c r="N8200" i="9" a="1"/>
  <c r="N8200" i="9" s="1"/>
  <c r="N8201" i="9" a="1"/>
  <c r="N8201" i="9" s="1"/>
  <c r="N8202" i="9" a="1"/>
  <c r="N8202" i="9" s="1"/>
  <c r="N8203" i="9" a="1"/>
  <c r="N8203" i="9" s="1"/>
  <c r="N8204" i="9" a="1"/>
  <c r="N8204" i="9" s="1"/>
  <c r="N8205" i="9" a="1"/>
  <c r="N8205" i="9" s="1"/>
  <c r="N8206" i="9" a="1"/>
  <c r="N8206" i="9" s="1"/>
  <c r="N8207" i="9" a="1"/>
  <c r="N8207" i="9"/>
  <c r="N8208" i="9" a="1"/>
  <c r="N8208" i="9" s="1"/>
  <c r="N8209" i="9" a="1"/>
  <c r="N8209" i="9"/>
  <c r="N8211" i="9" a="1"/>
  <c r="N8211" i="9" s="1"/>
  <c r="N8212" i="9" a="1"/>
  <c r="N8212" i="9" s="1"/>
  <c r="N8213" i="9" a="1"/>
  <c r="N8213" i="9" s="1"/>
  <c r="N8214" i="9" a="1"/>
  <c r="N8214" i="9" s="1"/>
  <c r="N8215" i="9" a="1"/>
  <c r="N8215" i="9" s="1"/>
  <c r="N8216" i="9" a="1"/>
  <c r="N8216" i="9" s="1"/>
  <c r="N8217" i="9" a="1"/>
  <c r="N8217" i="9"/>
  <c r="N8218" i="9" a="1"/>
  <c r="N8218" i="9" s="1"/>
  <c r="N8219" i="9" a="1"/>
  <c r="N8219" i="9" s="1"/>
  <c r="N8220" i="9" a="1"/>
  <c r="N8220" i="9" s="1"/>
  <c r="N8221" i="9" a="1"/>
  <c r="N8221" i="9" s="1"/>
  <c r="N8222" i="9" a="1"/>
  <c r="N8222" i="9" s="1"/>
  <c r="N8223" i="9" a="1"/>
  <c r="N8223" i="9" s="1"/>
  <c r="N8224" i="9" a="1"/>
  <c r="N8224" i="9" s="1"/>
  <c r="N8225" i="9" a="1"/>
  <c r="N8225" i="9"/>
  <c r="N8227" i="9" a="1"/>
  <c r="N8227" i="9" s="1"/>
  <c r="N8228" i="9" a="1"/>
  <c r="N8228" i="9" s="1"/>
  <c r="N8229" i="9" a="1"/>
  <c r="N8229" i="9" s="1"/>
  <c r="N8230" i="9" a="1"/>
  <c r="N8230" i="9" s="1"/>
  <c r="N8231" i="9" a="1"/>
  <c r="N8231" i="9"/>
  <c r="N8232" i="9" a="1"/>
  <c r="N8232" i="9" s="1"/>
  <c r="N8233" i="9" a="1"/>
  <c r="N8233" i="9" s="1"/>
  <c r="N8234" i="9" a="1"/>
  <c r="N8234" i="9" s="1"/>
  <c r="N8235" i="9" a="1"/>
  <c r="N8235" i="9" s="1"/>
  <c r="N8236" i="9" a="1"/>
  <c r="N8236" i="9" s="1"/>
  <c r="N8237" i="9" a="1"/>
  <c r="N8237" i="9" s="1"/>
  <c r="N8238" i="9" a="1"/>
  <c r="N8238" i="9" s="1"/>
  <c r="N8239" i="9" a="1"/>
  <c r="N8239" i="9" s="1"/>
  <c r="N8240" i="9" a="1"/>
  <c r="N8240" i="9" s="1"/>
  <c r="N8241" i="9" a="1"/>
  <c r="N8241" i="9" s="1"/>
  <c r="N8243" i="9" a="1"/>
  <c r="N8243" i="9" s="1"/>
  <c r="N8244" i="9" a="1"/>
  <c r="N8244" i="9" s="1"/>
  <c r="N8245" i="9" a="1"/>
  <c r="N8245" i="9" s="1"/>
  <c r="N8246" i="9" a="1"/>
  <c r="N8246" i="9" s="1"/>
  <c r="N8247" i="9" a="1"/>
  <c r="N8247" i="9" s="1"/>
  <c r="N8248" i="9" a="1"/>
  <c r="N8248" i="9" s="1"/>
  <c r="N8249" i="9" a="1"/>
  <c r="N8249" i="9" s="1"/>
  <c r="N8250" i="9" a="1"/>
  <c r="N8250" i="9" s="1"/>
  <c r="N8251" i="9" a="1"/>
  <c r="N8251" i="9" s="1"/>
  <c r="N8252" i="9" a="1"/>
  <c r="N8252" i="9" s="1"/>
  <c r="N8253" i="9" a="1"/>
  <c r="N8253" i="9" s="1"/>
  <c r="N8254" i="9" a="1"/>
  <c r="N8254" i="9" s="1"/>
  <c r="N8255" i="9" a="1"/>
  <c r="N8255" i="9" s="1"/>
  <c r="N8256" i="9" a="1"/>
  <c r="N8256" i="9" s="1"/>
  <c r="N8257" i="9" a="1"/>
  <c r="N8257" i="9" s="1"/>
  <c r="N8259" i="9" a="1"/>
  <c r="N8259" i="9" s="1"/>
  <c r="N8260" i="9" a="1"/>
  <c r="N8260" i="9" s="1"/>
  <c r="N8261" i="9" a="1"/>
  <c r="N8261" i="9" s="1"/>
  <c r="N8262" i="9" a="1"/>
  <c r="N8262" i="9" s="1"/>
  <c r="N8263" i="9" a="1"/>
  <c r="N8263" i="9" s="1"/>
  <c r="N8264" i="9" a="1"/>
  <c r="N8264" i="9" s="1"/>
  <c r="N8265" i="9" a="1"/>
  <c r="N8265" i="9"/>
  <c r="N8266" i="9" a="1"/>
  <c r="N8266" i="9" s="1"/>
  <c r="N8267" i="9" a="1"/>
  <c r="N8267" i="9" s="1"/>
  <c r="N8268" i="9" a="1"/>
  <c r="N8268" i="9" s="1"/>
  <c r="N8269" i="9" a="1"/>
  <c r="N8269" i="9" s="1"/>
  <c r="N8270" i="9" a="1"/>
  <c r="N8270" i="9" s="1"/>
  <c r="N8271" i="9" a="1"/>
  <c r="N8271" i="9" s="1"/>
  <c r="N8272" i="9" a="1"/>
  <c r="N8272" i="9" s="1"/>
  <c r="N8273" i="9" a="1"/>
  <c r="N8273" i="9"/>
  <c r="N8275" i="9" a="1"/>
  <c r="N8275" i="9" s="1"/>
  <c r="N8276" i="9" a="1"/>
  <c r="N8276" i="9" s="1"/>
  <c r="N8277" i="9" a="1"/>
  <c r="N8277" i="9" s="1"/>
  <c r="N8278" i="9" a="1"/>
  <c r="N8278" i="9" s="1"/>
  <c r="N8279" i="9" a="1"/>
  <c r="N8279" i="9"/>
  <c r="N8280" i="9" a="1"/>
  <c r="N8280" i="9" s="1"/>
  <c r="N8281" i="9" a="1"/>
  <c r="N8281" i="9" s="1"/>
  <c r="N8282" i="9" a="1"/>
  <c r="N8282" i="9" s="1"/>
  <c r="N8283" i="9" a="1"/>
  <c r="N8283" i="9" s="1"/>
  <c r="N8284" i="9" a="1"/>
  <c r="N8284" i="9" s="1"/>
  <c r="N8285" i="9" a="1"/>
  <c r="N8285" i="9" s="1"/>
  <c r="N8286" i="9" a="1"/>
  <c r="N8286" i="9" s="1"/>
  <c r="N8287" i="9" a="1"/>
  <c r="N8287" i="9" s="1"/>
  <c r="N8288" i="9" a="1"/>
  <c r="N8288" i="9" s="1"/>
  <c r="N8289" i="9" a="1"/>
  <c r="N8289" i="9" s="1"/>
  <c r="N8291" i="9" a="1"/>
  <c r="N8291" i="9" s="1"/>
  <c r="N8292" i="9" a="1"/>
  <c r="N8292" i="9" s="1"/>
  <c r="N8293" i="9" a="1"/>
  <c r="N8293" i="9" s="1"/>
  <c r="N8294" i="9" a="1"/>
  <c r="N8294" i="9" s="1"/>
  <c r="N8295" i="9" a="1"/>
  <c r="N8295" i="9"/>
  <c r="N8296" i="9" a="1"/>
  <c r="N8296" i="9" s="1"/>
  <c r="N8297" i="9" a="1"/>
  <c r="N8297" i="9" s="1"/>
  <c r="N8298" i="9" a="1"/>
  <c r="N8298" i="9" s="1"/>
  <c r="N8299" i="9" a="1"/>
  <c r="N8299" i="9" s="1"/>
  <c r="N8300" i="9" a="1"/>
  <c r="N8300" i="9" s="1"/>
  <c r="N8301" i="9" a="1"/>
  <c r="N8301" i="9" s="1"/>
  <c r="N8302" i="9" a="1"/>
  <c r="N8302" i="9" s="1"/>
  <c r="N8303" i="9" a="1"/>
  <c r="N8303" i="9"/>
  <c r="N8304" i="9" a="1"/>
  <c r="N8304" i="9" s="1"/>
  <c r="N8305" i="9" a="1"/>
  <c r="N8305" i="9"/>
  <c r="N8307" i="9" a="1"/>
  <c r="N8307" i="9"/>
  <c r="N8308" i="9" a="1"/>
  <c r="N8308" i="9" s="1"/>
  <c r="N8309" i="9" a="1"/>
  <c r="N8309" i="9" s="1"/>
  <c r="N8310" i="9" a="1"/>
  <c r="N8310" i="9" s="1"/>
  <c r="N8311" i="9" a="1"/>
  <c r="N8311" i="9"/>
  <c r="N8312" i="9" a="1"/>
  <c r="N8312" i="9" s="1"/>
  <c r="N8313" i="9" a="1"/>
  <c r="N8313" i="9" s="1"/>
  <c r="N8314" i="9" a="1"/>
  <c r="N8314" i="9" s="1"/>
  <c r="N8315" i="9" a="1"/>
  <c r="N8315" i="9" s="1"/>
  <c r="N8316" i="9" a="1"/>
  <c r="N8316" i="9" s="1"/>
  <c r="N8317" i="9" a="1"/>
  <c r="N8317" i="9" s="1"/>
  <c r="N8318" i="9" a="1"/>
  <c r="N8318" i="9" s="1"/>
  <c r="N8319" i="9" a="1"/>
  <c r="N8319" i="9" s="1"/>
  <c r="N8320" i="9" a="1"/>
  <c r="N8320" i="9" s="1"/>
  <c r="N8321" i="9" a="1"/>
  <c r="N8321" i="9"/>
  <c r="N8323" i="9" a="1"/>
  <c r="N8323" i="9" s="1"/>
  <c r="N8324" i="9" a="1"/>
  <c r="N8324" i="9" s="1"/>
  <c r="N8325" i="9" a="1"/>
  <c r="N8325" i="9" s="1"/>
  <c r="N8326" i="9" a="1"/>
  <c r="N8326" i="9" s="1"/>
  <c r="N8327" i="9" a="1"/>
  <c r="N8327" i="9" s="1"/>
  <c r="N8328" i="9" a="1"/>
  <c r="N8328" i="9" s="1"/>
  <c r="N8329" i="9" a="1"/>
  <c r="N8329" i="9"/>
  <c r="N8330" i="9" a="1"/>
  <c r="N8330" i="9" s="1"/>
  <c r="N8331" i="9" a="1"/>
  <c r="N8331" i="9" s="1"/>
  <c r="N8332" i="9" a="1"/>
  <c r="N8332" i="9" s="1"/>
  <c r="N8333" i="9" a="1"/>
  <c r="N8333" i="9" s="1"/>
  <c r="N8334" i="9" a="1"/>
  <c r="N8334" i="9" s="1"/>
  <c r="N8335" i="9" a="1"/>
  <c r="N8335" i="9"/>
  <c r="N8336" i="9" a="1"/>
  <c r="N8336" i="9" s="1"/>
  <c r="N8337" i="9" a="1"/>
  <c r="N8337" i="9"/>
  <c r="N8339" i="9" a="1"/>
  <c r="N8339" i="9" s="1"/>
  <c r="N8340" i="9" a="1"/>
  <c r="N8340" i="9" s="1"/>
  <c r="N8341" i="9" a="1"/>
  <c r="N8341" i="9" s="1"/>
  <c r="N8342" i="9" a="1"/>
  <c r="N8342" i="9" s="1"/>
  <c r="N8343" i="9" a="1"/>
  <c r="N8343" i="9" s="1"/>
  <c r="N8344" i="9" a="1"/>
  <c r="N8344" i="9" s="1"/>
  <c r="N8345" i="9" a="1"/>
  <c r="N8345" i="9"/>
  <c r="N8346" i="9" a="1"/>
  <c r="N8346" i="9" s="1"/>
  <c r="N8347" i="9" a="1"/>
  <c r="N8347" i="9"/>
  <c r="N8348" i="9" a="1"/>
  <c r="N8348" i="9" s="1"/>
  <c r="N8349" i="9" a="1"/>
  <c r="N8349" i="9" s="1"/>
  <c r="N8350" i="9" a="1"/>
  <c r="N8350" i="9" s="1"/>
  <c r="N8351" i="9" a="1"/>
  <c r="N8351" i="9"/>
  <c r="N8352" i="9" a="1"/>
  <c r="N8352" i="9" s="1"/>
  <c r="N8353" i="9" a="1"/>
  <c r="N8353" i="9"/>
  <c r="N8355" i="9" a="1"/>
  <c r="N8355" i="9" s="1"/>
  <c r="N8356" i="9" a="1"/>
  <c r="N8356" i="9" s="1"/>
  <c r="N8357" i="9" a="1"/>
  <c r="N8357" i="9" s="1"/>
  <c r="N8358" i="9" a="1"/>
  <c r="N8358" i="9" s="1"/>
  <c r="N8359" i="9" a="1"/>
  <c r="N8359" i="9" s="1"/>
  <c r="N8360" i="9" a="1"/>
  <c r="N8360" i="9" s="1"/>
  <c r="N8361" i="9" a="1"/>
  <c r="N8361" i="9"/>
  <c r="N8362" i="9" a="1"/>
  <c r="N8362" i="9" s="1"/>
  <c r="N8363" i="9" a="1"/>
  <c r="N8363" i="9"/>
  <c r="N8364" i="9" a="1"/>
  <c r="N8364" i="9" s="1"/>
  <c r="N8365" i="9" a="1"/>
  <c r="N8365" i="9" s="1"/>
  <c r="N8366" i="9" a="1"/>
  <c r="N8366" i="9" s="1"/>
  <c r="N8367" i="9" a="1"/>
  <c r="N8367" i="9" s="1"/>
  <c r="N8368" i="9" a="1"/>
  <c r="N8368" i="9" s="1"/>
  <c r="N8369" i="9" a="1"/>
  <c r="N8369" i="9"/>
  <c r="N8371" i="9" a="1"/>
  <c r="N8371" i="9" s="1"/>
  <c r="N8372" i="9" a="1"/>
  <c r="N8372" i="9" s="1"/>
  <c r="N8373" i="9" a="1"/>
  <c r="N8373" i="9" s="1"/>
  <c r="N8374" i="9" a="1"/>
  <c r="N8374" i="9" s="1"/>
  <c r="N8375" i="9" a="1"/>
  <c r="N8375" i="9" s="1"/>
  <c r="N8376" i="9" a="1"/>
  <c r="N8376" i="9" s="1"/>
  <c r="N8377" i="9" a="1"/>
  <c r="N8377" i="9" s="1"/>
  <c r="N8378" i="9" a="1"/>
  <c r="N8378" i="9" s="1"/>
  <c r="N8379" i="9" a="1"/>
  <c r="N8379" i="9"/>
  <c r="N8380" i="9" a="1"/>
  <c r="N8380" i="9" s="1"/>
  <c r="N8381" i="9" a="1"/>
  <c r="N8381" i="9" s="1"/>
  <c r="N8382" i="9" a="1"/>
  <c r="N8382" i="9" s="1"/>
  <c r="N8383" i="9" a="1"/>
  <c r="N8383" i="9" s="1"/>
  <c r="N8384" i="9" a="1"/>
  <c r="N8384" i="9" s="1"/>
  <c r="N8385" i="9" a="1"/>
  <c r="N8385" i="9" s="1"/>
  <c r="N8387" i="9" a="1"/>
  <c r="N8387" i="9" s="1"/>
  <c r="N8388" i="9" a="1"/>
  <c r="N8388" i="9" s="1"/>
  <c r="N8389" i="9" a="1"/>
  <c r="N8389" i="9" s="1"/>
  <c r="N8390" i="9" a="1"/>
  <c r="N8390" i="9" s="1"/>
  <c r="N8391" i="9" a="1"/>
  <c r="N8391" i="9" s="1"/>
  <c r="N8392" i="9" a="1"/>
  <c r="N8392" i="9" s="1"/>
  <c r="N8393" i="9" a="1"/>
  <c r="N8393" i="9"/>
  <c r="N8394" i="9" a="1"/>
  <c r="N8394" i="9" s="1"/>
  <c r="N8395" i="9" a="1"/>
  <c r="N8395" i="9" s="1"/>
  <c r="N8396" i="9" a="1"/>
  <c r="N8396" i="9" s="1"/>
  <c r="N8397" i="9" a="1"/>
  <c r="N8397" i="9" s="1"/>
  <c r="N8398" i="9" a="1"/>
  <c r="N8398" i="9" s="1"/>
  <c r="N8399" i="9" a="1"/>
  <c r="N8399" i="9"/>
  <c r="N8400" i="9" a="1"/>
  <c r="N8400" i="9" s="1"/>
  <c r="N8401" i="9" a="1"/>
  <c r="N8401" i="9" s="1"/>
  <c r="N8403" i="9" a="1"/>
  <c r="N8403" i="9"/>
  <c r="N8404" i="9" a="1"/>
  <c r="N8404" i="9" s="1"/>
  <c r="N8405" i="9" a="1"/>
  <c r="N8405" i="9" s="1"/>
  <c r="N8406" i="9" a="1"/>
  <c r="N8406" i="9" s="1"/>
  <c r="N8407" i="9" a="1"/>
  <c r="N8407" i="9" s="1"/>
  <c r="N8408" i="9" a="1"/>
  <c r="N8408" i="9" s="1"/>
  <c r="N8409" i="9" a="1"/>
  <c r="N8409" i="9" s="1"/>
  <c r="N8410" i="9" a="1"/>
  <c r="N8410" i="9" s="1"/>
  <c r="N8411" i="9" a="1"/>
  <c r="N8411" i="9"/>
  <c r="N8412" i="9" a="1"/>
  <c r="N8412" i="9" s="1"/>
  <c r="N8413" i="9" a="1"/>
  <c r="N8413" i="9" s="1"/>
  <c r="N8414" i="9" a="1"/>
  <c r="N8414" i="9" s="1"/>
  <c r="N8415" i="9" a="1"/>
  <c r="N8415" i="9"/>
  <c r="N8416" i="9" a="1"/>
  <c r="N8416" i="9" s="1"/>
  <c r="N8417" i="9" a="1"/>
  <c r="N8417" i="9" s="1"/>
  <c r="N8419" i="9" a="1"/>
  <c r="N8419" i="9" s="1"/>
  <c r="N8420" i="9" a="1"/>
  <c r="N8420" i="9" s="1"/>
  <c r="N8421" i="9" a="1"/>
  <c r="N8421" i="9" s="1"/>
  <c r="N8422" i="9" a="1"/>
  <c r="N8422" i="9" s="1"/>
  <c r="N8423" i="9" a="1"/>
  <c r="N8423" i="9" s="1"/>
  <c r="N8424" i="9" a="1"/>
  <c r="N8424" i="9" s="1"/>
  <c r="N8425" i="9" a="1"/>
  <c r="N8425" i="9" s="1"/>
  <c r="N8426" i="9" a="1"/>
  <c r="N8426" i="9" s="1"/>
  <c r="N8427" i="9" a="1"/>
  <c r="N8427" i="9" s="1"/>
  <c r="N8428" i="9" a="1"/>
  <c r="N8428" i="9" s="1"/>
  <c r="N8429" i="9" a="1"/>
  <c r="N8429" i="9" s="1"/>
  <c r="N8430" i="9" a="1"/>
  <c r="N8430" i="9" s="1"/>
  <c r="N8431" i="9" a="1"/>
  <c r="N8431" i="9" s="1"/>
  <c r="N8432" i="9" a="1"/>
  <c r="N8432" i="9" s="1"/>
  <c r="N8433" i="9" a="1"/>
  <c r="N8433" i="9" s="1"/>
  <c r="N8435" i="9" a="1"/>
  <c r="N8435" i="9"/>
  <c r="N8436" i="9" a="1"/>
  <c r="N8436" i="9" s="1"/>
  <c r="N8437" i="9" a="1"/>
  <c r="N8437" i="9" s="1"/>
  <c r="N8438" i="9" a="1"/>
  <c r="N8438" i="9" s="1"/>
  <c r="N8439" i="9" a="1"/>
  <c r="N8439" i="9"/>
  <c r="N8440" i="9" a="1"/>
  <c r="N8440" i="9" s="1"/>
  <c r="N8441" i="9" a="1"/>
  <c r="N8441" i="9"/>
  <c r="N8442" i="9" a="1"/>
  <c r="N8442" i="9" s="1"/>
  <c r="N8443" i="9" a="1"/>
  <c r="N8443" i="9" s="1"/>
  <c r="N8444" i="9" a="1"/>
  <c r="N8444" i="9" s="1"/>
  <c r="N8445" i="9" a="1"/>
  <c r="N8445" i="9" s="1"/>
  <c r="N8446" i="9" a="1"/>
  <c r="N8446" i="9" s="1"/>
  <c r="N8447" i="9" a="1"/>
  <c r="N8447" i="9" s="1"/>
  <c r="N8448" i="9" a="1"/>
  <c r="N8448" i="9" s="1"/>
  <c r="N8449" i="9" a="1"/>
  <c r="N8449" i="9" s="1"/>
  <c r="N8451" i="9" a="1"/>
  <c r="N8451" i="9"/>
  <c r="N8452" i="9" a="1"/>
  <c r="N8452" i="9" s="1"/>
  <c r="N8453" i="9" a="1"/>
  <c r="N8453" i="9" s="1"/>
  <c r="N8454" i="9" a="1"/>
  <c r="N8454" i="9" s="1"/>
  <c r="N8455" i="9" a="1"/>
  <c r="N8455" i="9" s="1"/>
  <c r="N8456" i="9" a="1"/>
  <c r="N8456" i="9" s="1"/>
  <c r="N8457" i="9" a="1"/>
  <c r="N8457" i="9"/>
  <c r="N8458" i="9" a="1"/>
  <c r="N8458" i="9" s="1"/>
  <c r="N8459" i="9" a="1"/>
  <c r="N8459" i="9" s="1"/>
  <c r="N8460" i="9" a="1"/>
  <c r="N8460" i="9" s="1"/>
  <c r="N8461" i="9" a="1"/>
  <c r="N8461" i="9" s="1"/>
  <c r="N8462" i="9" a="1"/>
  <c r="N8462" i="9" s="1"/>
  <c r="N8463" i="9" a="1"/>
  <c r="N8463" i="9"/>
  <c r="N8464" i="9" a="1"/>
  <c r="N8464" i="9" s="1"/>
  <c r="N8465" i="9" a="1"/>
  <c r="N8465" i="9" s="1"/>
  <c r="N8467" i="9" a="1"/>
  <c r="N8467" i="9" s="1"/>
  <c r="N8468" i="9" a="1"/>
  <c r="N8468" i="9" s="1"/>
  <c r="N8469" i="9" a="1"/>
  <c r="N8469" i="9" s="1"/>
  <c r="N8470" i="9" a="1"/>
  <c r="N8470" i="9" s="1"/>
  <c r="N8471" i="9" a="1"/>
  <c r="N8471" i="9" s="1"/>
  <c r="N8472" i="9" a="1"/>
  <c r="N8472" i="9" s="1"/>
  <c r="N8473" i="9" a="1"/>
  <c r="N8473" i="9"/>
  <c r="N8474" i="9" a="1"/>
  <c r="N8474" i="9" s="1"/>
  <c r="N8475" i="9" a="1"/>
  <c r="N8475" i="9"/>
  <c r="N8476" i="9" a="1"/>
  <c r="N8476" i="9" s="1"/>
  <c r="N8477" i="9" a="1"/>
  <c r="N8477" i="9" s="1"/>
  <c r="N8478" i="9" a="1"/>
  <c r="N8478" i="9" s="1"/>
  <c r="N8479" i="9" a="1"/>
  <c r="N8479" i="9" s="1"/>
  <c r="N8480" i="9" a="1"/>
  <c r="N8480" i="9" s="1"/>
  <c r="N8481" i="9" a="1"/>
  <c r="N8481" i="9"/>
  <c r="N8483" i="9" a="1"/>
  <c r="N8483" i="9" s="1"/>
  <c r="N8484" i="9" a="1"/>
  <c r="N8484" i="9" s="1"/>
  <c r="N8485" i="9" a="1"/>
  <c r="N8485" i="9" s="1"/>
  <c r="N8486" i="9" a="1"/>
  <c r="N8486" i="9" s="1"/>
  <c r="N8487" i="9" a="1"/>
  <c r="N8487" i="9" s="1"/>
  <c r="N8488" i="9" a="1"/>
  <c r="N8488" i="9" s="1"/>
  <c r="N8489" i="9" a="1"/>
  <c r="N8489" i="9" s="1"/>
  <c r="N8490" i="9" a="1"/>
  <c r="N8490" i="9" s="1"/>
  <c r="N8491" i="9" a="1"/>
  <c r="N8491" i="9" s="1"/>
  <c r="N8492" i="9" a="1"/>
  <c r="N8492" i="9" s="1"/>
  <c r="N8493" i="9" a="1"/>
  <c r="N8493" i="9" s="1"/>
  <c r="N8494" i="9" a="1"/>
  <c r="N8494" i="9" s="1"/>
  <c r="N8495" i="9" a="1"/>
  <c r="N8495" i="9"/>
  <c r="N8496" i="9" a="1"/>
  <c r="N8496" i="9" s="1"/>
  <c r="N8497" i="9" a="1"/>
  <c r="N8497" i="9" s="1"/>
  <c r="N8499" i="9" a="1"/>
  <c r="N8499" i="9"/>
  <c r="N8500" i="9" a="1"/>
  <c r="N8500" i="9" s="1"/>
  <c r="N8501" i="9" a="1"/>
  <c r="N8501" i="9" s="1"/>
  <c r="N8502" i="9" a="1"/>
  <c r="N8502" i="9" s="1"/>
  <c r="N8503" i="9" a="1"/>
  <c r="N8503" i="9" s="1"/>
  <c r="N8504" i="9" a="1"/>
  <c r="N8504" i="9" s="1"/>
  <c r="N8505" i="9" a="1"/>
  <c r="N8505" i="9"/>
  <c r="N8506" i="9" a="1"/>
  <c r="N8506" i="9" s="1"/>
  <c r="N8507" i="9" a="1"/>
  <c r="N8507" i="9"/>
  <c r="N8508" i="9" a="1"/>
  <c r="N8508" i="9" s="1"/>
  <c r="N8509" i="9" a="1"/>
  <c r="N8509" i="9" s="1"/>
  <c r="N8510" i="9" a="1"/>
  <c r="N8510" i="9" s="1"/>
  <c r="N8511" i="9" a="1"/>
  <c r="N8511" i="9"/>
  <c r="N8512" i="9" a="1"/>
  <c r="N8512" i="9" s="1"/>
  <c r="N8513" i="9" a="1"/>
  <c r="N8513" i="9"/>
  <c r="N8515" i="9" a="1"/>
  <c r="N8515" i="9" s="1"/>
  <c r="N8516" i="9" a="1"/>
  <c r="N8516" i="9" s="1"/>
  <c r="N8517" i="9" a="1"/>
  <c r="N8517" i="9" s="1"/>
  <c r="N8518" i="9" a="1"/>
  <c r="N8518" i="9" s="1"/>
  <c r="N8519" i="9" a="1"/>
  <c r="N8519" i="9" s="1"/>
  <c r="N8520" i="9" a="1"/>
  <c r="N8520" i="9" s="1"/>
  <c r="N8521" i="9" a="1"/>
  <c r="N8521" i="9"/>
  <c r="N8522" i="9" a="1"/>
  <c r="N8522" i="9" s="1"/>
  <c r="N8523" i="9" a="1"/>
  <c r="N8523" i="9" s="1"/>
  <c r="N8524" i="9" a="1"/>
  <c r="N8524" i="9" s="1"/>
  <c r="N8525" i="9" a="1"/>
  <c r="N8525" i="9" s="1"/>
  <c r="N8526" i="9" a="1"/>
  <c r="N8526" i="9" s="1"/>
  <c r="N8527" i="9" a="1"/>
  <c r="N8527" i="9"/>
  <c r="N8528" i="9" a="1"/>
  <c r="N8528" i="9" s="1"/>
  <c r="N8529" i="9" a="1"/>
  <c r="N8529" i="9"/>
  <c r="N8531" i="9" a="1"/>
  <c r="N8531" i="9" s="1"/>
  <c r="N8532" i="9" a="1"/>
  <c r="N8532" i="9" s="1"/>
  <c r="N8533" i="9" a="1"/>
  <c r="N8533" i="9" s="1"/>
  <c r="N8534" i="9" a="1"/>
  <c r="N8534" i="9" s="1"/>
  <c r="N8535" i="9" a="1"/>
  <c r="N8535" i="9"/>
  <c r="N8536" i="9" a="1"/>
  <c r="N8536" i="9" s="1"/>
  <c r="N8537" i="9" a="1"/>
  <c r="N8537" i="9" s="1"/>
  <c r="N8538" i="9" a="1"/>
  <c r="N8538" i="9" s="1"/>
  <c r="N8539" i="9" a="1"/>
  <c r="N8539" i="9" s="1"/>
  <c r="N8540" i="9" a="1"/>
  <c r="N8540" i="9" s="1"/>
  <c r="N8541" i="9" a="1"/>
  <c r="N8541" i="9" s="1"/>
  <c r="N8542" i="9" a="1"/>
  <c r="N8542" i="9" s="1"/>
  <c r="N8543" i="9" a="1"/>
  <c r="N8543" i="9"/>
  <c r="N8544" i="9" a="1"/>
  <c r="N8544" i="9" s="1"/>
  <c r="N8545" i="9" a="1"/>
  <c r="N8545" i="9"/>
  <c r="N8547" i="9" a="1"/>
  <c r="N8547" i="9" s="1"/>
  <c r="N8548" i="9" a="1"/>
  <c r="N8548" i="9" s="1"/>
  <c r="N8549" i="9" a="1"/>
  <c r="N8549" i="9" s="1"/>
  <c r="N8550" i="9" a="1"/>
  <c r="N8550" i="9" s="1"/>
  <c r="N8551" i="9" a="1"/>
  <c r="N8551" i="9"/>
  <c r="N8552" i="9" a="1"/>
  <c r="N8552" i="9" s="1"/>
  <c r="N8553" i="9" a="1"/>
  <c r="N8553" i="9" s="1"/>
  <c r="N8554" i="9" a="1"/>
  <c r="N8554" i="9" s="1"/>
  <c r="N8555" i="9" a="1"/>
  <c r="N8555" i="9" s="1"/>
  <c r="N8556" i="9" a="1"/>
  <c r="N8556" i="9" s="1"/>
  <c r="N8557" i="9" a="1"/>
  <c r="N8557" i="9" s="1"/>
  <c r="N8558" i="9" a="1"/>
  <c r="N8558" i="9" s="1"/>
  <c r="N8559" i="9" a="1"/>
  <c r="N8559" i="9" s="1"/>
  <c r="N8560" i="9" a="1"/>
  <c r="N8560" i="9" s="1"/>
  <c r="N8561" i="9" a="1"/>
  <c r="N8561" i="9"/>
  <c r="N8563" i="9" a="1"/>
  <c r="N8563" i="9"/>
  <c r="N8564" i="9" a="1"/>
  <c r="N8564" i="9" s="1"/>
  <c r="N8565" i="9" a="1"/>
  <c r="N8565" i="9" s="1"/>
  <c r="N8566" i="9" a="1"/>
  <c r="N8566" i="9" s="1"/>
  <c r="N8567" i="9" a="1"/>
  <c r="N8567" i="9"/>
  <c r="N8568" i="9" a="1"/>
  <c r="N8568" i="9" s="1"/>
  <c r="N8569" i="9" a="1"/>
  <c r="N8569" i="9"/>
  <c r="N8570" i="9" a="1"/>
  <c r="N8570" i="9" s="1"/>
  <c r="N8571" i="9" a="1"/>
  <c r="N8571" i="9" s="1"/>
  <c r="N8572" i="9" a="1"/>
  <c r="N8572" i="9" s="1"/>
  <c r="N8573" i="9" a="1"/>
  <c r="N8573" i="9" s="1"/>
  <c r="N8574" i="9" a="1"/>
  <c r="N8574" i="9" s="1"/>
  <c r="N8575" i="9" a="1"/>
  <c r="N8575" i="9"/>
  <c r="N8576" i="9" a="1"/>
  <c r="N8576" i="9" s="1"/>
  <c r="N8577" i="9" a="1"/>
  <c r="N8577" i="9" s="1"/>
  <c r="N8579" i="9" a="1"/>
  <c r="N8579" i="9" s="1"/>
  <c r="N8580" i="9" a="1"/>
  <c r="N8580" i="9" s="1"/>
  <c r="N8581" i="9" a="1"/>
  <c r="N8581" i="9" s="1"/>
  <c r="N8582" i="9" a="1"/>
  <c r="N8582" i="9" s="1"/>
  <c r="N8583" i="9" a="1"/>
  <c r="N8583" i="9" s="1"/>
  <c r="N8584" i="9" a="1"/>
  <c r="N8584" i="9" s="1"/>
  <c r="N8585" i="9" a="1"/>
  <c r="N8585" i="9"/>
  <c r="N8586" i="9" a="1"/>
  <c r="N8586" i="9" s="1"/>
  <c r="N8587" i="9" a="1"/>
  <c r="N8587" i="9" s="1"/>
  <c r="N8588" i="9" a="1"/>
  <c r="N8588" i="9" s="1"/>
  <c r="N8589" i="9" a="1"/>
  <c r="N8589" i="9" s="1"/>
  <c r="N8590" i="9" a="1"/>
  <c r="N8590" i="9" s="1"/>
  <c r="N8591" i="9" a="1"/>
  <c r="N8591" i="9"/>
  <c r="N8592" i="9" a="1"/>
  <c r="N8592" i="9" s="1"/>
  <c r="N8593" i="9" a="1"/>
  <c r="N8593" i="9" s="1"/>
  <c r="N8595" i="9" a="1"/>
  <c r="N8595" i="9" s="1"/>
  <c r="N8596" i="9" a="1"/>
  <c r="N8596" i="9" s="1"/>
  <c r="N8597" i="9" a="1"/>
  <c r="N8597" i="9" s="1"/>
  <c r="N8598" i="9" a="1"/>
  <c r="N8598" i="9" s="1"/>
  <c r="N8599" i="9" a="1"/>
  <c r="N8599" i="9" s="1"/>
  <c r="N8600" i="9" a="1"/>
  <c r="N8600" i="9" s="1"/>
  <c r="N8601" i="9" a="1"/>
  <c r="N8601" i="9"/>
  <c r="N8602" i="9" a="1"/>
  <c r="N8602" i="9" s="1"/>
  <c r="N8603" i="9" a="1"/>
  <c r="N8603" i="9" s="1"/>
  <c r="N8604" i="9" a="1"/>
  <c r="N8604" i="9" s="1"/>
  <c r="N8605" i="9" a="1"/>
  <c r="N8605" i="9" s="1"/>
  <c r="N8606" i="9" a="1"/>
  <c r="N8606" i="9" s="1"/>
  <c r="N8607" i="9" a="1"/>
  <c r="N8607" i="9" s="1"/>
  <c r="N8608" i="9" a="1"/>
  <c r="N8608" i="9" s="1"/>
  <c r="N8609" i="9" a="1"/>
  <c r="N8609" i="9" s="1"/>
  <c r="N8611" i="9" a="1"/>
  <c r="N8611" i="9" s="1"/>
  <c r="N8612" i="9" a="1"/>
  <c r="N8612" i="9" s="1"/>
  <c r="N8613" i="9" a="1"/>
  <c r="N8613" i="9" s="1"/>
  <c r="N8614" i="9" a="1"/>
  <c r="N8614" i="9" s="1"/>
  <c r="N8615" i="9" a="1"/>
  <c r="N8615" i="9"/>
  <c r="N8616" i="9" a="1"/>
  <c r="N8616" i="9" s="1"/>
  <c r="N8617" i="9" a="1"/>
  <c r="N8617" i="9"/>
  <c r="N8618" i="9" a="1"/>
  <c r="N8618" i="9" s="1"/>
  <c r="N8619" i="9" a="1"/>
  <c r="N8619" i="9" s="1"/>
  <c r="N8620" i="9" a="1"/>
  <c r="N8620" i="9" s="1"/>
  <c r="N8621" i="9" a="1"/>
  <c r="N8621" i="9" s="1"/>
  <c r="N8622" i="9" a="1"/>
  <c r="N8622" i="9" s="1"/>
  <c r="N8623" i="9" a="1"/>
  <c r="N8623" i="9"/>
  <c r="N8624" i="9" a="1"/>
  <c r="N8624" i="9" s="1"/>
  <c r="N8625" i="9" a="1"/>
  <c r="N8625" i="9"/>
  <c r="N8627" i="9" a="1"/>
  <c r="N8627" i="9" s="1"/>
  <c r="N8628" i="9" a="1"/>
  <c r="N8628" i="9" s="1"/>
  <c r="N8629" i="9" a="1"/>
  <c r="N8629" i="9" s="1"/>
  <c r="N8630" i="9" a="1"/>
  <c r="N8630" i="9" s="1"/>
  <c r="N8631" i="9" a="1"/>
  <c r="N8631" i="9"/>
  <c r="N8632" i="9" a="1"/>
  <c r="N8632" i="9" s="1"/>
  <c r="N8633" i="9" a="1"/>
  <c r="N8633" i="9" s="1"/>
  <c r="N8634" i="9" a="1"/>
  <c r="N8634" i="9" s="1"/>
  <c r="N8635" i="9" a="1"/>
  <c r="N8635" i="9" s="1"/>
  <c r="N8636" i="9" a="1"/>
  <c r="N8636" i="9" s="1"/>
  <c r="N8637" i="9" a="1"/>
  <c r="N8637" i="9" s="1"/>
  <c r="N8638" i="9" a="1"/>
  <c r="N8638" i="9" s="1"/>
  <c r="N8639" i="9" a="1"/>
  <c r="N8639" i="9" s="1"/>
  <c r="N8640" i="9" a="1"/>
  <c r="N8640" i="9" s="1"/>
  <c r="N8641" i="9" a="1"/>
  <c r="N8641" i="9"/>
  <c r="N8643" i="9" a="1"/>
  <c r="N8643" i="9" s="1"/>
  <c r="N8644" i="9" a="1"/>
  <c r="N8644" i="9" s="1"/>
  <c r="N8645" i="9" a="1"/>
  <c r="N8645" i="9" s="1"/>
  <c r="N8646" i="9" a="1"/>
  <c r="N8646" i="9" s="1"/>
  <c r="N8647" i="9" a="1"/>
  <c r="N8647" i="9"/>
  <c r="N8648" i="9" a="1"/>
  <c r="N8648" i="9" s="1"/>
  <c r="N8649" i="9" a="1"/>
  <c r="N8649" i="9" s="1"/>
  <c r="N8650" i="9" a="1"/>
  <c r="N8650" i="9" s="1"/>
  <c r="N8651" i="9" a="1"/>
  <c r="N8651" i="9"/>
  <c r="N8652" i="9" a="1"/>
  <c r="N8652" i="9" s="1"/>
  <c r="N8653" i="9" a="1"/>
  <c r="N8653" i="9" s="1"/>
  <c r="N8654" i="9" a="1"/>
  <c r="N8654" i="9" s="1"/>
  <c r="N8655" i="9" a="1"/>
  <c r="N8655" i="9" s="1"/>
  <c r="N8656" i="9" a="1"/>
  <c r="N8656" i="9" s="1"/>
  <c r="N8657" i="9" a="1"/>
  <c r="N8657" i="9" s="1"/>
  <c r="N8659" i="9" a="1"/>
  <c r="N8659" i="9"/>
  <c r="N8660" i="9" a="1"/>
  <c r="N8660" i="9" s="1"/>
  <c r="N8661" i="9" a="1"/>
  <c r="N8661" i="9" s="1"/>
  <c r="N8662" i="9" a="1"/>
  <c r="N8662" i="9" s="1"/>
  <c r="N8663" i="9" a="1"/>
  <c r="N8663" i="9"/>
  <c r="N8664" i="9" a="1"/>
  <c r="N8664" i="9" s="1"/>
  <c r="N8665" i="9" a="1"/>
  <c r="N8665" i="9"/>
  <c r="N8666" i="9" a="1"/>
  <c r="N8666" i="9" s="1"/>
  <c r="N8667" i="9" a="1"/>
  <c r="N8667" i="9" s="1"/>
  <c r="N8668" i="9" a="1"/>
  <c r="N8668" i="9" s="1"/>
  <c r="N8669" i="9" a="1"/>
  <c r="N8669" i="9" s="1"/>
  <c r="N8670" i="9" a="1"/>
  <c r="N8670" i="9" s="1"/>
  <c r="N8671" i="9" a="1"/>
  <c r="N8671" i="9" s="1"/>
  <c r="N8672" i="9" a="1"/>
  <c r="N8672" i="9" s="1"/>
  <c r="N8673" i="9" a="1"/>
  <c r="N8673" i="9" s="1"/>
  <c r="N8675" i="9" a="1"/>
  <c r="N8675" i="9" s="1"/>
  <c r="N8676" i="9" a="1"/>
  <c r="N8676" i="9" s="1"/>
  <c r="N8677" i="9" a="1"/>
  <c r="N8677" i="9" s="1"/>
  <c r="N8678" i="9" a="1"/>
  <c r="N8678" i="9" s="1"/>
  <c r="N8679" i="9" a="1"/>
  <c r="N8679" i="9" s="1"/>
  <c r="N8680" i="9" a="1"/>
  <c r="N8680" i="9" s="1"/>
  <c r="N8681" i="9" a="1"/>
  <c r="N8681" i="9" s="1"/>
  <c r="N8682" i="9" a="1"/>
  <c r="N8682" i="9" s="1"/>
  <c r="N8683" i="9" a="1"/>
  <c r="N8683" i="9" s="1"/>
  <c r="N8684" i="9" a="1"/>
  <c r="N8684" i="9" s="1"/>
  <c r="N8685" i="9" a="1"/>
  <c r="N8685" i="9" s="1"/>
  <c r="N8686" i="9" a="1"/>
  <c r="N8686" i="9" s="1"/>
  <c r="N8687" i="9" a="1"/>
  <c r="N8687" i="9"/>
  <c r="N8688" i="9" a="1"/>
  <c r="N8688" i="9" s="1"/>
  <c r="N8689" i="9" a="1"/>
  <c r="N8689" i="9" s="1"/>
  <c r="N8691" i="9" a="1"/>
  <c r="N8691" i="9" s="1"/>
  <c r="N8692" i="9" a="1"/>
  <c r="N8692" i="9" s="1"/>
  <c r="N8693" i="9" a="1"/>
  <c r="N8693" i="9" s="1"/>
  <c r="N8694" i="9" a="1"/>
  <c r="N8694" i="9" s="1"/>
  <c r="N8695" i="9" a="1"/>
  <c r="N8695" i="9" s="1"/>
  <c r="N8696" i="9" a="1"/>
  <c r="N8696" i="9" s="1"/>
  <c r="N8697" i="9" a="1"/>
  <c r="N8697" i="9"/>
  <c r="N8698" i="9" a="1"/>
  <c r="N8698" i="9" s="1"/>
  <c r="N8699" i="9" a="1"/>
  <c r="N8699" i="9" s="1"/>
  <c r="N8700" i="9" a="1"/>
  <c r="N8700" i="9" s="1"/>
  <c r="N8701" i="9" a="1"/>
  <c r="N8701" i="9" s="1"/>
  <c r="N8702" i="9" a="1"/>
  <c r="N8702" i="9" s="1"/>
  <c r="N8703" i="9" a="1"/>
  <c r="N8703" i="9" s="1"/>
  <c r="N8704" i="9" a="1"/>
  <c r="N8704" i="9" s="1"/>
  <c r="N8705" i="9" a="1"/>
  <c r="N8705" i="9"/>
  <c r="N8707" i="9" a="1"/>
  <c r="N8707" i="9" s="1"/>
  <c r="N8708" i="9" a="1"/>
  <c r="N8708" i="9" s="1"/>
  <c r="N8709" i="9" a="1"/>
  <c r="N8709" i="9" s="1"/>
  <c r="N8710" i="9" a="1"/>
  <c r="N8710" i="9" s="1"/>
  <c r="N8711" i="9" a="1"/>
  <c r="N8711" i="9" s="1"/>
  <c r="N8712" i="9" a="1"/>
  <c r="N8712" i="9" s="1"/>
  <c r="N8713" i="9" a="1"/>
  <c r="N8713" i="9" s="1"/>
  <c r="N8714" i="9" a="1"/>
  <c r="N8714" i="9" s="1"/>
  <c r="N8715" i="9" a="1"/>
  <c r="N8715" i="9" s="1"/>
  <c r="N8716" i="9" a="1"/>
  <c r="N8716" i="9" s="1"/>
  <c r="N8717" i="9" a="1"/>
  <c r="N8717" i="9" s="1"/>
  <c r="N8718" i="9" a="1"/>
  <c r="N8718" i="9" s="1"/>
  <c r="N8719" i="9" a="1"/>
  <c r="N8719" i="9"/>
  <c r="N8720" i="9" a="1"/>
  <c r="N8720" i="9" s="1"/>
  <c r="N8721" i="9" a="1"/>
  <c r="N8721" i="9"/>
  <c r="N8723" i="9" a="1"/>
  <c r="N8723" i="9" s="1"/>
  <c r="N8724" i="9" a="1"/>
  <c r="N8724" i="9" s="1"/>
  <c r="N8725" i="9" a="1"/>
  <c r="N8725" i="9" s="1"/>
  <c r="N8726" i="9" a="1"/>
  <c r="N8726" i="9" s="1"/>
  <c r="N8727" i="9" a="1"/>
  <c r="N8727" i="9" s="1"/>
  <c r="N8728" i="9" a="1"/>
  <c r="N8728" i="9" s="1"/>
  <c r="N8729" i="9" a="1"/>
  <c r="N8729" i="9"/>
  <c r="N8730" i="9" a="1"/>
  <c r="N8730" i="9" s="1"/>
  <c r="N8731" i="9" a="1"/>
  <c r="N8731" i="9" s="1"/>
  <c r="N8732" i="9" a="1"/>
  <c r="N8732" i="9" s="1"/>
  <c r="N8733" i="9" a="1"/>
  <c r="N8733" i="9" s="1"/>
  <c r="N8734" i="9" a="1"/>
  <c r="N8734" i="9" s="1"/>
  <c r="N8735" i="9" a="1"/>
  <c r="N8735" i="9"/>
  <c r="N8736" i="9" a="1"/>
  <c r="N8736" i="9" s="1"/>
  <c r="N8737" i="9" a="1"/>
  <c r="N8737" i="9" s="1"/>
  <c r="N8739" i="9" a="1"/>
  <c r="N8739" i="9" s="1"/>
  <c r="N8740" i="9" a="1"/>
  <c r="N8740" i="9" s="1"/>
  <c r="N8741" i="9" a="1"/>
  <c r="N8741" i="9" s="1"/>
  <c r="N8742" i="9" a="1"/>
  <c r="N8742" i="9" s="1"/>
  <c r="N8743" i="9" a="1"/>
  <c r="N8743" i="9" s="1"/>
  <c r="N8744" i="9" a="1"/>
  <c r="N8744" i="9" s="1"/>
  <c r="N8745" i="9" a="1"/>
  <c r="N8745" i="9"/>
  <c r="N8746" i="9" a="1"/>
  <c r="N8746" i="9" s="1"/>
  <c r="N8747" i="9" a="1"/>
  <c r="N8747" i="9" s="1"/>
  <c r="N8748" i="9" a="1"/>
  <c r="N8748" i="9" s="1"/>
  <c r="N8749" i="9" a="1"/>
  <c r="N8749" i="9" s="1"/>
  <c r="N8750" i="9" a="1"/>
  <c r="N8750" i="9" s="1"/>
  <c r="N8751" i="9" a="1"/>
  <c r="N8751" i="9" s="1"/>
  <c r="N8752" i="9" a="1"/>
  <c r="N8752" i="9" s="1"/>
  <c r="N8753" i="9" a="1"/>
  <c r="N8753" i="9"/>
  <c r="N8755" i="9" a="1"/>
  <c r="N8755" i="9" s="1"/>
  <c r="N8756" i="9" a="1"/>
  <c r="N8756" i="9" s="1"/>
  <c r="N8757" i="9" a="1"/>
  <c r="N8757" i="9" s="1"/>
  <c r="N8758" i="9" a="1"/>
  <c r="N8758" i="9" s="1"/>
  <c r="N8759" i="9" a="1"/>
  <c r="N8759" i="9" s="1"/>
  <c r="N8760" i="9" a="1"/>
  <c r="N8760" i="9" s="1"/>
  <c r="N8761" i="9" a="1"/>
  <c r="N8761" i="9" s="1"/>
  <c r="N8762" i="9" a="1"/>
  <c r="N8762" i="9" s="1"/>
  <c r="N8763" i="9" a="1"/>
  <c r="N8763" i="9" s="1"/>
  <c r="N8764" i="9" a="1"/>
  <c r="N8764" i="9" s="1"/>
  <c r="N8765" i="9" a="1"/>
  <c r="N8765" i="9" s="1"/>
  <c r="N8766" i="9" a="1"/>
  <c r="N8766" i="9" s="1"/>
  <c r="N8767" i="9" a="1"/>
  <c r="N8767" i="9"/>
  <c r="N8768" i="9" a="1"/>
  <c r="N8768" i="9" s="1"/>
  <c r="N8769" i="9" a="1"/>
  <c r="N8769" i="9"/>
  <c r="N8771" i="9" a="1"/>
  <c r="N8771" i="9" s="1"/>
  <c r="N8772" i="9" a="1"/>
  <c r="N8772" i="9" s="1"/>
  <c r="N8773" i="9" a="1"/>
  <c r="N8773" i="9" s="1"/>
  <c r="N8774" i="9" a="1"/>
  <c r="N8774" i="9" s="1"/>
  <c r="N8775" i="9" a="1"/>
  <c r="N8775" i="9"/>
  <c r="N8776" i="9" a="1"/>
  <c r="N8776" i="9" s="1"/>
  <c r="N8777" i="9" a="1"/>
  <c r="N8777" i="9"/>
  <c r="N8778" i="9" a="1"/>
  <c r="N8778" i="9" s="1"/>
  <c r="N8779" i="9" a="1"/>
  <c r="N8779" i="9" s="1"/>
  <c r="N8780" i="9" a="1"/>
  <c r="N8780" i="9" s="1"/>
  <c r="N8781" i="9" a="1"/>
  <c r="N8781" i="9" s="1"/>
  <c r="N8782" i="9" a="1"/>
  <c r="N8782" i="9" s="1"/>
  <c r="N8783" i="9" a="1"/>
  <c r="N8783" i="9"/>
  <c r="N8784" i="9" a="1"/>
  <c r="N8784" i="9" s="1"/>
  <c r="N8785" i="9" a="1"/>
  <c r="N8785" i="9" s="1"/>
  <c r="N8787" i="9" a="1"/>
  <c r="N8787" i="9" s="1"/>
  <c r="N8788" i="9" a="1"/>
  <c r="N8788" i="9" s="1"/>
  <c r="N8789" i="9" a="1"/>
  <c r="N8789" i="9" s="1"/>
  <c r="N8790" i="9" a="1"/>
  <c r="N8790" i="9" s="1"/>
  <c r="N8791" i="9" a="1"/>
  <c r="N8791" i="9" s="1"/>
  <c r="N8792" i="9" a="1"/>
  <c r="N8792" i="9" s="1"/>
  <c r="N8793" i="9" a="1"/>
  <c r="N8793" i="9" s="1"/>
  <c r="N8794" i="9" a="1"/>
  <c r="N8794" i="9" s="1"/>
  <c r="N8795" i="9" a="1"/>
  <c r="N8795" i="9" s="1"/>
  <c r="N8796" i="9" a="1"/>
  <c r="N8796" i="9" s="1"/>
  <c r="N8797" i="9" a="1"/>
  <c r="N8797" i="9" s="1"/>
  <c r="N8798" i="9" a="1"/>
  <c r="N8798" i="9" s="1"/>
  <c r="N8799" i="9" a="1"/>
  <c r="N8799" i="9" s="1"/>
  <c r="N8800" i="9" a="1"/>
  <c r="N8800" i="9" s="1"/>
  <c r="N8801" i="9" a="1"/>
  <c r="N8801" i="9"/>
  <c r="N8803" i="9" a="1"/>
  <c r="N8803" i="9" s="1"/>
  <c r="N8804" i="9" a="1"/>
  <c r="N8804" i="9" s="1"/>
  <c r="N8805" i="9" a="1"/>
  <c r="N8805" i="9" s="1"/>
  <c r="N8806" i="9" a="1"/>
  <c r="N8806" i="9" s="1"/>
  <c r="N8807" i="9" a="1"/>
  <c r="N8807" i="9" s="1"/>
  <c r="N8808" i="9" a="1"/>
  <c r="N8808" i="9" s="1"/>
  <c r="N8809" i="9" a="1"/>
  <c r="N8809" i="9" s="1"/>
  <c r="N8810" i="9" a="1"/>
  <c r="N8810" i="9" s="1"/>
  <c r="N8811" i="9" a="1"/>
  <c r="N8811" i="9" s="1"/>
  <c r="N8812" i="9" a="1"/>
  <c r="N8812" i="9" s="1"/>
  <c r="N8813" i="9" a="1"/>
  <c r="N8813" i="9" s="1"/>
  <c r="N8814" i="9" a="1"/>
  <c r="N8814" i="9" s="1"/>
  <c r="N8815" i="9" a="1"/>
  <c r="N8815" i="9" s="1"/>
  <c r="N8816" i="9" a="1"/>
  <c r="N8816" i="9" s="1"/>
  <c r="N8817" i="9" a="1"/>
  <c r="N8817" i="9"/>
  <c r="N8819" i="9" a="1"/>
  <c r="N8819" i="9" s="1"/>
  <c r="N8820" i="9" a="1"/>
  <c r="N8820" i="9" s="1"/>
  <c r="N8821" i="9" a="1"/>
  <c r="N8821" i="9" s="1"/>
  <c r="N8822" i="9" a="1"/>
  <c r="N8822" i="9" s="1"/>
  <c r="N8823" i="9" a="1"/>
  <c r="N8823" i="9"/>
  <c r="N8824" i="9" a="1"/>
  <c r="N8824" i="9" s="1"/>
  <c r="N8825" i="9" a="1"/>
  <c r="N8825" i="9" s="1"/>
  <c r="N8826" i="9" a="1"/>
  <c r="N8826" i="9" s="1"/>
  <c r="N8827" i="9" a="1"/>
  <c r="N8827" i="9" s="1"/>
  <c r="N8828" i="9" a="1"/>
  <c r="N8828" i="9" s="1"/>
  <c r="N8829" i="9" a="1"/>
  <c r="N8829" i="9" s="1"/>
  <c r="N8830" i="9" a="1"/>
  <c r="N8830" i="9" s="1"/>
  <c r="N8831" i="9" a="1"/>
  <c r="N8831" i="9"/>
  <c r="N8832" i="9" a="1"/>
  <c r="N8832" i="9" s="1"/>
  <c r="N8833" i="9" a="1"/>
  <c r="N8833" i="9"/>
  <c r="N8835" i="9" a="1"/>
  <c r="N8835" i="9" s="1"/>
  <c r="N8836" i="9" a="1"/>
  <c r="N8836" i="9" s="1"/>
  <c r="N8837" i="9" a="1"/>
  <c r="N8837" i="9" s="1"/>
  <c r="N8838" i="9" a="1"/>
  <c r="N8838" i="9" s="1"/>
  <c r="N8839" i="9" a="1"/>
  <c r="N8839" i="9" s="1"/>
  <c r="N8840" i="9" a="1"/>
  <c r="N8840" i="9" s="1"/>
  <c r="N8841" i="9" a="1"/>
  <c r="N8841" i="9" s="1"/>
  <c r="N8842" i="9" a="1"/>
  <c r="N8842" i="9" s="1"/>
  <c r="N8843" i="9" a="1"/>
  <c r="N8843" i="9" s="1"/>
  <c r="N8844" i="9" a="1"/>
  <c r="N8844" i="9" s="1"/>
  <c r="N8845" i="9" a="1"/>
  <c r="N8845" i="9" s="1"/>
  <c r="N8846" i="9" a="1"/>
  <c r="N8846" i="9" s="1"/>
  <c r="N8847" i="9" a="1"/>
  <c r="N8847" i="9" s="1"/>
  <c r="N8848" i="9" a="1"/>
  <c r="N8848" i="9" s="1"/>
  <c r="N8849" i="9" a="1"/>
  <c r="N8849" i="9" s="1"/>
  <c r="N8851" i="9" a="1"/>
  <c r="N8851" i="9" s="1"/>
  <c r="N8852" i="9" a="1"/>
  <c r="N8852" i="9" s="1"/>
  <c r="N8853" i="9" a="1"/>
  <c r="N8853" i="9" s="1"/>
  <c r="N8854" i="9" a="1"/>
  <c r="N8854" i="9" s="1"/>
  <c r="N8855" i="9" a="1"/>
  <c r="N8855" i="9" s="1"/>
  <c r="N8856" i="9" a="1"/>
  <c r="N8856" i="9" s="1"/>
  <c r="N8857" i="9" a="1"/>
  <c r="N8857" i="9" s="1"/>
  <c r="N8858" i="9" a="1"/>
  <c r="N8858" i="9" s="1"/>
  <c r="N8859" i="9" a="1"/>
  <c r="N8859" i="9" s="1"/>
  <c r="N8860" i="9" a="1"/>
  <c r="N8860" i="9" s="1"/>
  <c r="N8861" i="9" a="1"/>
  <c r="N8861" i="9" s="1"/>
  <c r="N8862" i="9" a="1"/>
  <c r="N8862" i="9" s="1"/>
  <c r="N8863" i="9" a="1"/>
  <c r="N8863" i="9"/>
  <c r="N8864" i="9" a="1"/>
  <c r="N8864" i="9" s="1"/>
  <c r="N8865" i="9" a="1"/>
  <c r="N8865" i="9"/>
  <c r="N8867" i="9" a="1"/>
  <c r="N8867" i="9" s="1"/>
  <c r="N8868" i="9" a="1"/>
  <c r="N8868" i="9" s="1"/>
  <c r="N8869" i="9" a="1"/>
  <c r="N8869" i="9" s="1"/>
  <c r="N8870" i="9" a="1"/>
  <c r="N8870" i="9" s="1"/>
  <c r="N8871" i="9" a="1"/>
  <c r="N8871" i="9" s="1"/>
  <c r="N8872" i="9" a="1"/>
  <c r="N8872" i="9" s="1"/>
  <c r="N8873" i="9" a="1"/>
  <c r="N8873" i="9"/>
  <c r="N8874" i="9" a="1"/>
  <c r="N8874" i="9" s="1"/>
  <c r="N8875" i="9" a="1"/>
  <c r="N8875" i="9" s="1"/>
  <c r="N8876" i="9" a="1"/>
  <c r="N8876" i="9" s="1"/>
  <c r="N8877" i="9" a="1"/>
  <c r="N8877" i="9" s="1"/>
  <c r="N8878" i="9" a="1"/>
  <c r="N8878" i="9" s="1"/>
  <c r="N8879" i="9" a="1"/>
  <c r="N8879" i="9"/>
  <c r="N8880" i="9" a="1"/>
  <c r="N8880" i="9" s="1"/>
  <c r="N8881" i="9" a="1"/>
  <c r="N8881" i="9" s="1"/>
  <c r="N8883" i="9" a="1"/>
  <c r="N8883" i="9" s="1"/>
  <c r="N8884" i="9" a="1"/>
  <c r="N8884" i="9" s="1"/>
  <c r="N8885" i="9" a="1"/>
  <c r="N8885" i="9" s="1"/>
  <c r="N8886" i="9" a="1"/>
  <c r="N8886" i="9" s="1"/>
  <c r="N8887" i="9" a="1"/>
  <c r="N8887" i="9" s="1"/>
  <c r="N8888" i="9" a="1"/>
  <c r="N8888" i="9" s="1"/>
  <c r="N8889" i="9" a="1"/>
  <c r="N8889" i="9" s="1"/>
  <c r="N8890" i="9" a="1"/>
  <c r="N8890" i="9" s="1"/>
  <c r="N8891" i="9" a="1"/>
  <c r="N8891" i="9" s="1"/>
  <c r="N8892" i="9" a="1"/>
  <c r="N8892" i="9" s="1"/>
  <c r="N8893" i="9" a="1"/>
  <c r="N8893" i="9" s="1"/>
  <c r="N8894" i="9" a="1"/>
  <c r="N8894" i="9" s="1"/>
  <c r="N8895" i="9" a="1"/>
  <c r="N8895" i="9"/>
  <c r="N8896" i="9" a="1"/>
  <c r="N8896" i="9" s="1"/>
  <c r="N8897" i="9" a="1"/>
  <c r="N8897" i="9" s="1"/>
  <c r="N8899" i="9" a="1"/>
  <c r="N8899" i="9" s="1"/>
  <c r="N8900" i="9" a="1"/>
  <c r="N8900" i="9" s="1"/>
  <c r="N8901" i="9" a="1"/>
  <c r="N8901" i="9" s="1"/>
  <c r="N8902" i="9" a="1"/>
  <c r="N8902" i="9" s="1"/>
  <c r="N8903" i="9" a="1"/>
  <c r="N8903" i="9" s="1"/>
  <c r="N8904" i="9" a="1"/>
  <c r="N8904" i="9" s="1"/>
  <c r="N8905" i="9" a="1"/>
  <c r="N8905" i="9" s="1"/>
  <c r="N8906" i="9" a="1"/>
  <c r="N8906" i="9" s="1"/>
  <c r="N8907" i="9" a="1"/>
  <c r="N8907" i="9" s="1"/>
  <c r="N8908" i="9" a="1"/>
  <c r="N8908" i="9" s="1"/>
  <c r="N8909" i="9" a="1"/>
  <c r="N8909" i="9" s="1"/>
  <c r="N8910" i="9" a="1"/>
  <c r="N8910" i="9" s="1"/>
  <c r="N8911" i="9" a="1"/>
  <c r="N8911" i="9"/>
  <c r="N8912" i="9" a="1"/>
  <c r="N8912" i="9" s="1"/>
  <c r="N8913" i="9" a="1"/>
  <c r="N8913" i="9" s="1"/>
  <c r="N8915" i="9" a="1"/>
  <c r="N8915" i="9" s="1"/>
  <c r="N8916" i="9" a="1"/>
  <c r="N8916" i="9" s="1"/>
  <c r="N8917" i="9" a="1"/>
  <c r="N8917" i="9" s="1"/>
  <c r="N8918" i="9" a="1"/>
  <c r="N8918" i="9" s="1"/>
  <c r="N8919" i="9" a="1"/>
  <c r="N8919" i="9"/>
  <c r="N8920" i="9" a="1"/>
  <c r="N8920" i="9" s="1"/>
  <c r="N8921" i="9" a="1"/>
  <c r="N8921" i="9" s="1"/>
  <c r="N8922" i="9" a="1"/>
  <c r="N8922" i="9" s="1"/>
  <c r="N8923" i="9" a="1"/>
  <c r="N8923" i="9"/>
  <c r="N8924" i="9" a="1"/>
  <c r="N8924" i="9" s="1"/>
  <c r="N8925" i="9" a="1"/>
  <c r="N8925" i="9" s="1"/>
  <c r="N8926" i="9" a="1"/>
  <c r="N8926" i="9" s="1"/>
  <c r="N8927" i="9" a="1"/>
  <c r="N8927" i="9" s="1"/>
  <c r="N8928" i="9" a="1"/>
  <c r="N8928" i="9" s="1"/>
  <c r="N8929" i="9" a="1"/>
  <c r="N8929" i="9" s="1"/>
  <c r="N8931" i="9" a="1"/>
  <c r="N8931" i="9"/>
  <c r="N8932" i="9" a="1"/>
  <c r="N8932" i="9" s="1"/>
  <c r="N8933" i="9" a="1"/>
  <c r="N8933" i="9" s="1"/>
  <c r="N8934" i="9" a="1"/>
  <c r="N8934" i="9" s="1"/>
  <c r="N8935" i="9" a="1"/>
  <c r="N8935" i="9"/>
  <c r="N8936" i="9" a="1"/>
  <c r="N8936" i="9" s="1"/>
  <c r="N8937" i="9" a="1"/>
  <c r="N8937" i="9" s="1"/>
  <c r="N8938" i="9" a="1"/>
  <c r="N8938" i="9" s="1"/>
  <c r="N8939" i="9" a="1"/>
  <c r="N8939" i="9"/>
  <c r="N8940" i="9" a="1"/>
  <c r="N8940" i="9" s="1"/>
  <c r="N8941" i="9" a="1"/>
  <c r="N8941" i="9" s="1"/>
  <c r="N8942" i="9" a="1"/>
  <c r="N8942" i="9" s="1"/>
  <c r="N8943" i="9" a="1"/>
  <c r="N8943" i="9" s="1"/>
  <c r="N8944" i="9" a="1"/>
  <c r="N8944" i="9" s="1"/>
  <c r="N8945" i="9" a="1"/>
  <c r="N8945" i="9" s="1"/>
  <c r="N8947" i="9" a="1"/>
  <c r="N8947" i="9" s="1"/>
  <c r="N8948" i="9" a="1"/>
  <c r="N8948" i="9" s="1"/>
  <c r="N8949" i="9" a="1"/>
  <c r="N8949" i="9" s="1"/>
  <c r="N8950" i="9" a="1"/>
  <c r="N8950" i="9" s="1"/>
  <c r="N8951" i="9" a="1"/>
  <c r="N8951" i="9"/>
  <c r="N8952" i="9" a="1"/>
  <c r="N8952" i="9" s="1"/>
  <c r="N8953" i="9" a="1"/>
  <c r="N8953" i="9" s="1"/>
  <c r="N8954" i="9" a="1"/>
  <c r="N8954" i="9" s="1"/>
  <c r="N8955" i="9" a="1"/>
  <c r="N8955" i="9" s="1"/>
  <c r="N8956" i="9" a="1"/>
  <c r="N8956" i="9" s="1"/>
  <c r="N8957" i="9" a="1"/>
  <c r="N8957" i="9" s="1"/>
  <c r="N8958" i="9" a="1"/>
  <c r="N8958" i="9" s="1"/>
  <c r="N8959" i="9" a="1"/>
  <c r="N8959" i="9"/>
  <c r="N8960" i="9" a="1"/>
  <c r="N8960" i="9" s="1"/>
  <c r="N8961" i="9" a="1"/>
  <c r="N8961" i="9" s="1"/>
  <c r="N8963" i="9" a="1"/>
  <c r="N8963" i="9" s="1"/>
  <c r="N8964" i="9" a="1"/>
  <c r="N8964" i="9" s="1"/>
  <c r="N8965" i="9" a="1"/>
  <c r="N8965" i="9" s="1"/>
  <c r="N8966" i="9" a="1"/>
  <c r="N8966" i="9" s="1"/>
  <c r="N8967" i="9" a="1"/>
  <c r="N8967" i="9" s="1"/>
  <c r="N8968" i="9" a="1"/>
  <c r="N8968" i="9" s="1"/>
  <c r="N8969" i="9" a="1"/>
  <c r="N8969" i="9" s="1"/>
  <c r="N8970" i="9" a="1"/>
  <c r="N8970" i="9" s="1"/>
  <c r="N8971" i="9" a="1"/>
  <c r="N8971" i="9" s="1"/>
  <c r="N8972" i="9" a="1"/>
  <c r="N8972" i="9" s="1"/>
  <c r="N8973" i="9" a="1"/>
  <c r="N8973" i="9" s="1"/>
  <c r="N8974" i="9" a="1"/>
  <c r="N8974" i="9" s="1"/>
  <c r="N8975" i="9" a="1"/>
  <c r="N8975" i="9" s="1"/>
  <c r="N8976" i="9" a="1"/>
  <c r="N8976" i="9" s="1"/>
  <c r="N8977" i="9" a="1"/>
  <c r="N8977" i="9" s="1"/>
  <c r="N8979" i="9" a="1"/>
  <c r="N8979" i="9" s="1"/>
  <c r="N8980" i="9" a="1"/>
  <c r="N8980" i="9" s="1"/>
  <c r="N8981" i="9" a="1"/>
  <c r="N8981" i="9" s="1"/>
  <c r="N8982" i="9" a="1"/>
  <c r="N8982" i="9" s="1"/>
  <c r="N8983" i="9" a="1"/>
  <c r="N8983" i="9" s="1"/>
  <c r="N8984" i="9" a="1"/>
  <c r="N8984" i="9" s="1"/>
  <c r="N8985" i="9" a="1"/>
  <c r="N8985" i="9" s="1"/>
  <c r="N8986" i="9" a="1"/>
  <c r="N8986" i="9" s="1"/>
  <c r="N8987" i="9" a="1"/>
  <c r="N8987" i="9" s="1"/>
  <c r="N8988" i="9" a="1"/>
  <c r="N8988" i="9" s="1"/>
  <c r="N8989" i="9" a="1"/>
  <c r="N8989" i="9" s="1"/>
  <c r="N8990" i="9" a="1"/>
  <c r="N8990" i="9" s="1"/>
  <c r="N8991" i="9" a="1"/>
  <c r="N8991" i="9"/>
  <c r="N8992" i="9" a="1"/>
  <c r="N8992" i="9" s="1"/>
  <c r="N8993" i="9" a="1"/>
  <c r="N8993" i="9" s="1"/>
  <c r="N8995" i="9" a="1"/>
  <c r="N8995" i="9" s="1"/>
  <c r="N8996" i="9" a="1"/>
  <c r="N8996" i="9" s="1"/>
  <c r="N8997" i="9" a="1"/>
  <c r="N8997" i="9" s="1"/>
  <c r="N8998" i="9" a="1"/>
  <c r="N8998" i="9" s="1"/>
  <c r="N8999" i="9" a="1"/>
  <c r="N8999" i="9" s="1"/>
  <c r="N9000" i="9" a="1"/>
  <c r="N9000" i="9" s="1"/>
  <c r="N9001" i="9" a="1"/>
  <c r="N9001" i="9" s="1"/>
  <c r="N9002" i="9" a="1"/>
  <c r="N9002" i="9" s="1"/>
  <c r="N9003" i="9" a="1"/>
  <c r="N9003" i="9" s="1"/>
  <c r="N9004" i="9" a="1"/>
  <c r="N9004" i="9" s="1"/>
  <c r="N9005" i="9" a="1"/>
  <c r="N9005" i="9" s="1"/>
  <c r="N9006" i="9" a="1"/>
  <c r="N9006" i="9" s="1"/>
  <c r="N9007" i="9" a="1"/>
  <c r="N9007" i="9" s="1"/>
  <c r="N9008" i="9" a="1"/>
  <c r="N9008" i="9" s="1"/>
  <c r="N9009" i="9" a="1"/>
  <c r="N9009" i="9" s="1"/>
  <c r="N9011" i="9" a="1"/>
  <c r="N9011" i="9" s="1"/>
  <c r="N9012" i="9" a="1"/>
  <c r="N9012" i="9" s="1"/>
  <c r="N9013" i="9" a="1"/>
  <c r="N9013" i="9" s="1"/>
  <c r="N9014" i="9" a="1"/>
  <c r="N9014" i="9" s="1"/>
  <c r="N9015" i="9" a="1"/>
  <c r="N9015" i="9" s="1"/>
  <c r="N9016" i="9" a="1"/>
  <c r="N9016" i="9" s="1"/>
  <c r="N9017" i="9" a="1"/>
  <c r="N9017" i="9" s="1"/>
  <c r="N9018" i="9" a="1"/>
  <c r="N9018" i="9" s="1"/>
  <c r="N9019" i="9" a="1"/>
  <c r="N9019" i="9" s="1"/>
  <c r="N9020" i="9" a="1"/>
  <c r="N9020" i="9" s="1"/>
  <c r="N9021" i="9" a="1"/>
  <c r="N9021" i="9" s="1"/>
  <c r="N9022" i="9" a="1"/>
  <c r="N9022" i="9" s="1"/>
  <c r="N9023" i="9" a="1"/>
  <c r="N9023" i="9"/>
  <c r="N9024" i="9" a="1"/>
  <c r="N9024" i="9" s="1"/>
  <c r="N9025" i="9" a="1"/>
  <c r="N9025" i="9" s="1"/>
  <c r="N9027" i="9" a="1"/>
  <c r="N9027" i="9" s="1"/>
  <c r="N9028" i="9" a="1"/>
  <c r="N9028" i="9" s="1"/>
  <c r="N9029" i="9" a="1"/>
  <c r="N9029" i="9" s="1"/>
  <c r="N9030" i="9" a="1"/>
  <c r="N9030" i="9" s="1"/>
  <c r="N9031" i="9" a="1"/>
  <c r="N9031" i="9" s="1"/>
  <c r="N9032" i="9" a="1"/>
  <c r="N9032" i="9" s="1"/>
  <c r="N9033" i="9" a="1"/>
  <c r="N9033" i="9" s="1"/>
  <c r="N9034" i="9" a="1"/>
  <c r="N9034" i="9" s="1"/>
  <c r="N9035" i="9" a="1"/>
  <c r="N9035" i="9" s="1"/>
  <c r="N9036" i="9" a="1"/>
  <c r="N9036" i="9" s="1"/>
  <c r="N9037" i="9" a="1"/>
  <c r="N9037" i="9" s="1"/>
  <c r="N9038" i="9" a="1"/>
  <c r="N9038" i="9" s="1"/>
  <c r="N9039" i="9" a="1"/>
  <c r="N9039" i="9" s="1"/>
  <c r="N9040" i="9" a="1"/>
  <c r="N9040" i="9" s="1"/>
  <c r="N9041" i="9" a="1"/>
  <c r="N9041" i="9" s="1"/>
  <c r="N9043" i="9" a="1"/>
  <c r="N9043" i="9" s="1"/>
  <c r="N9044" i="9" a="1"/>
  <c r="N9044" i="9" s="1"/>
  <c r="N9045" i="9" a="1"/>
  <c r="N9045" i="9" s="1"/>
  <c r="N9046" i="9" a="1"/>
  <c r="N9046" i="9" s="1"/>
  <c r="N9047" i="9" a="1"/>
  <c r="N9047" i="9" s="1"/>
  <c r="N9048" i="9" a="1"/>
  <c r="N9048" i="9" s="1"/>
  <c r="N9049" i="9" a="1"/>
  <c r="N9049" i="9" s="1"/>
  <c r="N9050" i="9" a="1"/>
  <c r="N9050" i="9" s="1"/>
  <c r="N9051" i="9" a="1"/>
  <c r="N9051" i="9" s="1"/>
  <c r="N9052" i="9" a="1"/>
  <c r="N9052" i="9" s="1"/>
  <c r="N9053" i="9" a="1"/>
  <c r="N9053" i="9" s="1"/>
  <c r="N9054" i="9" a="1"/>
  <c r="N9054" i="9" s="1"/>
  <c r="N9055" i="9" a="1"/>
  <c r="N9055" i="9"/>
  <c r="N9056" i="9" a="1"/>
  <c r="N9056" i="9" s="1"/>
  <c r="N9057" i="9" a="1"/>
  <c r="N9057" i="9" s="1"/>
  <c r="N9059" i="9" a="1"/>
  <c r="N9059" i="9" s="1"/>
  <c r="N9060" i="9" a="1"/>
  <c r="N9060" i="9" s="1"/>
  <c r="N9061" i="9" a="1"/>
  <c r="N9061" i="9" s="1"/>
  <c r="N9062" i="9" a="1"/>
  <c r="N9062" i="9" s="1"/>
  <c r="N9063" i="9" a="1"/>
  <c r="N9063" i="9" s="1"/>
  <c r="N9064" i="9" a="1"/>
  <c r="N9064" i="9" s="1"/>
  <c r="N9065" i="9" a="1"/>
  <c r="N9065" i="9" s="1"/>
  <c r="N9066" i="9" a="1"/>
  <c r="N9066" i="9" s="1"/>
  <c r="N9067" i="9" a="1"/>
  <c r="N9067" i="9" s="1"/>
  <c r="N9068" i="9" a="1"/>
  <c r="N9068" i="9" s="1"/>
  <c r="N9069" i="9" a="1"/>
  <c r="N9069" i="9" s="1"/>
  <c r="N9070" i="9" a="1"/>
  <c r="N9070" i="9" s="1"/>
  <c r="N9071" i="9" a="1"/>
  <c r="N9071" i="9" s="1"/>
  <c r="N9072" i="9" a="1"/>
  <c r="N9072" i="9" s="1"/>
  <c r="N9073" i="9" a="1"/>
  <c r="N9073" i="9" s="1"/>
  <c r="N9075" i="9" a="1"/>
  <c r="N9075" i="9" s="1"/>
  <c r="N9076" i="9" a="1"/>
  <c r="N9076" i="9" s="1"/>
  <c r="N9077" i="9" a="1"/>
  <c r="N9077" i="9" s="1"/>
  <c r="N9078" i="9" a="1"/>
  <c r="N9078" i="9" s="1"/>
  <c r="N9079" i="9" a="1"/>
  <c r="N9079" i="9"/>
  <c r="N9080" i="9" a="1"/>
  <c r="N9080" i="9" s="1"/>
  <c r="N9081" i="9" a="1"/>
  <c r="N9081" i="9" s="1"/>
  <c r="N9082" i="9" a="1"/>
  <c r="N9082" i="9" s="1"/>
  <c r="N9083" i="9" a="1"/>
  <c r="N9083" i="9" s="1"/>
  <c r="N9084" i="9" a="1"/>
  <c r="N9084" i="9" s="1"/>
  <c r="N9085" i="9" a="1"/>
  <c r="N9085" i="9" s="1"/>
  <c r="N9086" i="9" a="1"/>
  <c r="N9086" i="9" s="1"/>
  <c r="N9087" i="9" a="1"/>
  <c r="N9087" i="9"/>
  <c r="N9088" i="9" a="1"/>
  <c r="N9088" i="9" s="1"/>
  <c r="N9089" i="9" a="1"/>
  <c r="N9089" i="9" s="1"/>
  <c r="N9091" i="9" a="1"/>
  <c r="N9091" i="9" s="1"/>
  <c r="N9092" i="9" a="1"/>
  <c r="N9092" i="9" s="1"/>
  <c r="N9093" i="9" a="1"/>
  <c r="N9093" i="9" s="1"/>
  <c r="N9094" i="9" a="1"/>
  <c r="N9094" i="9" s="1"/>
  <c r="N9095" i="9" a="1"/>
  <c r="N9095" i="9" s="1"/>
  <c r="N9096" i="9" a="1"/>
  <c r="N9096" i="9" s="1"/>
  <c r="N9097" i="9" a="1"/>
  <c r="N9097" i="9" s="1"/>
  <c r="N9098" i="9" a="1"/>
  <c r="N9098" i="9" s="1"/>
  <c r="N9099" i="9" a="1"/>
  <c r="N9099" i="9" s="1"/>
  <c r="N9100" i="9" a="1"/>
  <c r="N9100" i="9" s="1"/>
  <c r="N9101" i="9" a="1"/>
  <c r="N9101" i="9" s="1"/>
  <c r="N9102" i="9" a="1"/>
  <c r="N9102" i="9" s="1"/>
  <c r="N9103" i="9" a="1"/>
  <c r="N9103" i="9" s="1"/>
  <c r="N9104" i="9" a="1"/>
  <c r="N9104" i="9" s="1"/>
  <c r="N9105" i="9" a="1"/>
  <c r="N9105" i="9" s="1"/>
  <c r="N9107" i="9" a="1"/>
  <c r="N9107" i="9" s="1"/>
  <c r="N9108" i="9" a="1"/>
  <c r="N9108" i="9" s="1"/>
  <c r="N9109" i="9" a="1"/>
  <c r="N9109" i="9" s="1"/>
  <c r="N9110" i="9" a="1"/>
  <c r="N9110" i="9" s="1"/>
  <c r="N9111" i="9" a="1"/>
  <c r="N9111" i="9" s="1"/>
  <c r="N9112" i="9" a="1"/>
  <c r="N9112" i="9" s="1"/>
  <c r="N9113" i="9" a="1"/>
  <c r="N9113" i="9" s="1"/>
  <c r="N9114" i="9" a="1"/>
  <c r="N9114" i="9" s="1"/>
  <c r="N9115" i="9" a="1"/>
  <c r="N9115" i="9" s="1"/>
  <c r="N9116" i="9" a="1"/>
  <c r="N9116" i="9" s="1"/>
  <c r="N9117" i="9" a="1"/>
  <c r="N9117" i="9" s="1"/>
  <c r="N9118" i="9" a="1"/>
  <c r="N9118" i="9" s="1"/>
  <c r="N9119" i="9" a="1"/>
  <c r="N9119" i="9"/>
  <c r="N9120" i="9" a="1"/>
  <c r="N9120" i="9" s="1"/>
  <c r="N9121" i="9" a="1"/>
  <c r="N9121" i="9" s="1"/>
  <c r="N9123" i="9" a="1"/>
  <c r="N9123" i="9" s="1"/>
  <c r="N9124" i="9" a="1"/>
  <c r="N9124" i="9" s="1"/>
  <c r="N9125" i="9" a="1"/>
  <c r="N9125" i="9" s="1"/>
  <c r="N9126" i="9" a="1"/>
  <c r="N9126" i="9" s="1"/>
  <c r="N9127" i="9" a="1"/>
  <c r="N9127" i="9" s="1"/>
  <c r="N9128" i="9" a="1"/>
  <c r="N9128" i="9" s="1"/>
  <c r="N9129" i="9" a="1"/>
  <c r="N9129" i="9" s="1"/>
  <c r="N9130" i="9" a="1"/>
  <c r="N9130" i="9" s="1"/>
  <c r="N9131" i="9" a="1"/>
  <c r="N9131" i="9" s="1"/>
  <c r="N9132" i="9" a="1"/>
  <c r="N9132" i="9" s="1"/>
  <c r="N9133" i="9" a="1"/>
  <c r="N9133" i="9" s="1"/>
  <c r="N9134" i="9" a="1"/>
  <c r="N9134" i="9" s="1"/>
  <c r="N9135" i="9" a="1"/>
  <c r="N9135" i="9" s="1"/>
  <c r="N9136" i="9" a="1"/>
  <c r="N9136" i="9" s="1"/>
  <c r="N9137" i="9" a="1"/>
  <c r="N9137" i="9" s="1"/>
  <c r="N9139" i="9" a="1"/>
  <c r="N9139" i="9" s="1"/>
  <c r="N9140" i="9" a="1"/>
  <c r="N9140" i="9" s="1"/>
  <c r="N9141" i="9" a="1"/>
  <c r="N9141" i="9" s="1"/>
  <c r="N9142" i="9" a="1"/>
  <c r="N9142" i="9" s="1"/>
  <c r="N9143" i="9" a="1"/>
  <c r="N9143" i="9" s="1"/>
  <c r="N9144" i="9" a="1"/>
  <c r="N9144" i="9" s="1"/>
  <c r="N9145" i="9" a="1"/>
  <c r="N9145" i="9" s="1"/>
  <c r="N9146" i="9" a="1"/>
  <c r="N9146" i="9" s="1"/>
  <c r="N9147" i="9" a="1"/>
  <c r="N9147" i="9" s="1"/>
  <c r="N9148" i="9" a="1"/>
  <c r="N9148" i="9" s="1"/>
  <c r="N9149" i="9" a="1"/>
  <c r="N9149" i="9" s="1"/>
  <c r="N9150" i="9" a="1"/>
  <c r="N9150" i="9" s="1"/>
  <c r="N9151" i="9" a="1"/>
  <c r="N9151" i="9"/>
  <c r="N9152" i="9" a="1"/>
  <c r="N9152" i="9" s="1"/>
  <c r="N9153" i="9" a="1"/>
  <c r="N9153" i="9" s="1"/>
  <c r="N9155" i="9" a="1"/>
  <c r="N9155" i="9" s="1"/>
  <c r="N9156" i="9" a="1"/>
  <c r="N9156" i="9" s="1"/>
  <c r="N9157" i="9" a="1"/>
  <c r="N9157" i="9" s="1"/>
  <c r="N9158" i="9" a="1"/>
  <c r="N9158" i="9" s="1"/>
  <c r="N9159" i="9" a="1"/>
  <c r="N9159" i="9" s="1"/>
  <c r="N9160" i="9" a="1"/>
  <c r="N9160" i="9" s="1"/>
  <c r="N9161" i="9" a="1"/>
  <c r="N9161" i="9" s="1"/>
  <c r="N9162" i="9" a="1"/>
  <c r="N9162" i="9" s="1"/>
  <c r="N9163" i="9" a="1"/>
  <c r="N9163" i="9" s="1"/>
  <c r="N9164" i="9" a="1"/>
  <c r="N9164" i="9" s="1"/>
  <c r="N9165" i="9" a="1"/>
  <c r="N9165" i="9" s="1"/>
  <c r="N9166" i="9" a="1"/>
  <c r="N9166" i="9" s="1"/>
  <c r="N9167" i="9" a="1"/>
  <c r="N9167" i="9" s="1"/>
  <c r="N9168" i="9" a="1"/>
  <c r="N9168" i="9" s="1"/>
  <c r="N9169" i="9" a="1"/>
  <c r="N9169" i="9" s="1"/>
  <c r="N9171" i="9" a="1"/>
  <c r="N9171" i="9" s="1"/>
  <c r="N9172" i="9" a="1"/>
  <c r="N9172" i="9" s="1"/>
  <c r="N9173" i="9" a="1"/>
  <c r="N9173" i="9" s="1"/>
  <c r="N9174" i="9" a="1"/>
  <c r="N9174" i="9" s="1"/>
  <c r="N9175" i="9" a="1"/>
  <c r="N9175" i="9" s="1"/>
  <c r="N9176" i="9" a="1"/>
  <c r="N9176" i="9" s="1"/>
  <c r="N9177" i="9" a="1"/>
  <c r="N9177" i="9" s="1"/>
  <c r="N9178" i="9" a="1"/>
  <c r="N9178" i="9" s="1"/>
  <c r="N9179" i="9" a="1"/>
  <c r="N9179" i="9" s="1"/>
  <c r="N9180" i="9" a="1"/>
  <c r="N9180" i="9" s="1"/>
  <c r="N9181" i="9" a="1"/>
  <c r="N9181" i="9" s="1"/>
  <c r="N9182" i="9" a="1"/>
  <c r="N9182" i="9" s="1"/>
  <c r="N9183" i="9" a="1"/>
  <c r="N9183" i="9"/>
  <c r="N9184" i="9" a="1"/>
  <c r="N9184" i="9" s="1"/>
  <c r="N9185" i="9" a="1"/>
  <c r="N9185" i="9" s="1"/>
  <c r="N9187" i="9" a="1"/>
  <c r="N9187" i="9" s="1"/>
  <c r="N9188" i="9" a="1"/>
  <c r="N9188" i="9" s="1"/>
  <c r="N9189" i="9" a="1"/>
  <c r="N9189" i="9" s="1"/>
  <c r="N9190" i="9" a="1"/>
  <c r="N9190" i="9" s="1"/>
  <c r="N9191" i="9" a="1"/>
  <c r="N9191" i="9" s="1"/>
  <c r="N9192" i="9" a="1"/>
  <c r="N9192" i="9" s="1"/>
  <c r="N9193" i="9" a="1"/>
  <c r="N9193" i="9" s="1"/>
  <c r="N9194" i="9" a="1"/>
  <c r="N9194" i="9" s="1"/>
  <c r="N9195" i="9" a="1"/>
  <c r="N9195" i="9" s="1"/>
  <c r="N9196" i="9" a="1"/>
  <c r="N9196" i="9" s="1"/>
  <c r="N9197" i="9" a="1"/>
  <c r="N9197" i="9" s="1"/>
  <c r="N9198" i="9" a="1"/>
  <c r="N9198" i="9" s="1"/>
  <c r="N9199" i="9" a="1"/>
  <c r="N9199" i="9"/>
  <c r="N9200" i="9" a="1"/>
  <c r="N9200" i="9" s="1"/>
  <c r="N9201" i="9" a="1"/>
  <c r="N9201" i="9" s="1"/>
  <c r="N9203" i="9" a="1"/>
  <c r="N9203" i="9"/>
  <c r="N9204" i="9" a="1"/>
  <c r="N9204" i="9" s="1"/>
  <c r="N9205" i="9" a="1"/>
  <c r="N9205" i="9" s="1"/>
  <c r="N9206" i="9" a="1"/>
  <c r="N9206" i="9" s="1"/>
  <c r="N9207" i="9" a="1"/>
  <c r="N9207" i="9" s="1"/>
  <c r="N9208" i="9" a="1"/>
  <c r="N9208" i="9" s="1"/>
  <c r="N9209" i="9" a="1"/>
  <c r="N9209" i="9" s="1"/>
  <c r="N9210" i="9" a="1"/>
  <c r="N9210" i="9" s="1"/>
  <c r="N9211" i="9" a="1"/>
  <c r="N9211" i="9" s="1"/>
  <c r="N9212" i="9" a="1"/>
  <c r="N9212" i="9" s="1"/>
  <c r="N9213" i="9" a="1"/>
  <c r="N9213" i="9" s="1"/>
  <c r="N9214" i="9" a="1"/>
  <c r="N9214" i="9" s="1"/>
  <c r="N9215" i="9" a="1"/>
  <c r="N9215" i="9"/>
  <c r="N9216" i="9" a="1"/>
  <c r="N9216" i="9" s="1"/>
  <c r="N9217" i="9" a="1"/>
  <c r="N9217" i="9" s="1"/>
  <c r="N9219" i="9" a="1"/>
  <c r="N9219" i="9" s="1"/>
  <c r="N9220" i="9" a="1"/>
  <c r="N9220" i="9" s="1"/>
  <c r="N9221" i="9" a="1"/>
  <c r="N9221" i="9" s="1"/>
  <c r="N9222" i="9" a="1"/>
  <c r="N9222" i="9" s="1"/>
  <c r="N9223" i="9" a="1"/>
  <c r="N9223" i="9" s="1"/>
  <c r="N9224" i="9" a="1"/>
  <c r="N9224" i="9" s="1"/>
  <c r="N9225" i="9" a="1"/>
  <c r="N9225" i="9" s="1"/>
  <c r="N9226" i="9" a="1"/>
  <c r="N9226" i="9" s="1"/>
  <c r="N9227" i="9" a="1"/>
  <c r="N9227" i="9" s="1"/>
  <c r="N9228" i="9" a="1"/>
  <c r="N9228" i="9" s="1"/>
  <c r="N9229" i="9" a="1"/>
  <c r="N9229" i="9" s="1"/>
  <c r="N9230" i="9" a="1"/>
  <c r="N9230" i="9" s="1"/>
  <c r="N9231" i="9" a="1"/>
  <c r="N9231" i="9" s="1"/>
  <c r="N9232" i="9" a="1"/>
  <c r="N9232" i="9" s="1"/>
  <c r="N9233" i="9" a="1"/>
  <c r="N9233" i="9" s="1"/>
  <c r="N9235" i="9" a="1"/>
  <c r="N9235" i="9" s="1"/>
  <c r="N9236" i="9" a="1"/>
  <c r="N9236" i="9" s="1"/>
  <c r="N9237" i="9" a="1"/>
  <c r="N9237" i="9" s="1"/>
  <c r="N9238" i="9" a="1"/>
  <c r="N9238" i="9" s="1"/>
  <c r="N9239" i="9" a="1"/>
  <c r="N9239" i="9" s="1"/>
  <c r="N9240" i="9" a="1"/>
  <c r="N9240" i="9" s="1"/>
  <c r="N9241" i="9" a="1"/>
  <c r="N9241" i="9" s="1"/>
  <c r="N9242" i="9" a="1"/>
  <c r="N9242" i="9" s="1"/>
  <c r="N9243" i="9" a="1"/>
  <c r="N9243" i="9" s="1"/>
  <c r="N9244" i="9" a="1"/>
  <c r="N9244" i="9" s="1"/>
  <c r="N9245" i="9" a="1"/>
  <c r="N9245" i="9" s="1"/>
  <c r="N9246" i="9" a="1"/>
  <c r="N9246" i="9" s="1"/>
  <c r="N9247" i="9" a="1"/>
  <c r="N9247" i="9" s="1"/>
  <c r="N9248" i="9" a="1"/>
  <c r="N9248" i="9" s="1"/>
  <c r="N9249" i="9" a="1"/>
  <c r="N9249" i="9" s="1"/>
  <c r="N9251" i="9" a="1"/>
  <c r="N9251" i="9"/>
  <c r="N9252" i="9" a="1"/>
  <c r="N9252" i="9" s="1"/>
  <c r="N9253" i="9" a="1"/>
  <c r="N9253" i="9" s="1"/>
  <c r="N9254" i="9" a="1"/>
  <c r="N9254" i="9" s="1"/>
  <c r="N9255" i="9" a="1"/>
  <c r="N9255" i="9"/>
  <c r="N9256" i="9" a="1"/>
  <c r="N9256" i="9" s="1"/>
  <c r="N9257" i="9" a="1"/>
  <c r="N9257" i="9" s="1"/>
  <c r="N9258" i="9" a="1"/>
  <c r="N9258" i="9" s="1"/>
  <c r="N9259" i="9" a="1"/>
  <c r="N9259" i="9" s="1"/>
  <c r="N9260" i="9" a="1"/>
  <c r="N9260" i="9" s="1"/>
  <c r="N9261" i="9" a="1"/>
  <c r="N9261" i="9" s="1"/>
  <c r="N9262" i="9" a="1"/>
  <c r="N9262" i="9" s="1"/>
  <c r="N9263" i="9" a="1"/>
  <c r="N9263" i="9"/>
  <c r="N9264" i="9" a="1"/>
  <c r="N9264" i="9" s="1"/>
  <c r="N9265" i="9" a="1"/>
  <c r="N9265" i="9" s="1"/>
  <c r="N9267" i="9" a="1"/>
  <c r="N9267" i="9" s="1"/>
  <c r="N9268" i="9" a="1"/>
  <c r="N9268" i="9" s="1"/>
  <c r="N9269" i="9" a="1"/>
  <c r="N9269" i="9" s="1"/>
  <c r="N9270" i="9" a="1"/>
  <c r="N9270" i="9" s="1"/>
  <c r="N9271" i="9" a="1"/>
  <c r="N9271" i="9"/>
  <c r="N9272" i="9" a="1"/>
  <c r="N9272" i="9" s="1"/>
  <c r="N9273" i="9" a="1"/>
  <c r="N9273" i="9" s="1"/>
  <c r="N9274" i="9" a="1"/>
  <c r="N9274" i="9" s="1"/>
  <c r="N9275" i="9" a="1"/>
  <c r="N9275" i="9" s="1"/>
  <c r="N9276" i="9" a="1"/>
  <c r="N9276" i="9" s="1"/>
  <c r="N9277" i="9" a="1"/>
  <c r="N9277" i="9" s="1"/>
  <c r="N9278" i="9" a="1"/>
  <c r="N9278" i="9" s="1"/>
  <c r="N9279" i="9" a="1"/>
  <c r="N9279" i="9" s="1"/>
  <c r="N9280" i="9" a="1"/>
  <c r="N9280" i="9" s="1"/>
  <c r="N9281" i="9" a="1"/>
  <c r="N9281" i="9" s="1"/>
  <c r="N9283" i="9" a="1"/>
  <c r="N9283" i="9" s="1"/>
  <c r="N9284" i="9" a="1"/>
  <c r="N9284" i="9" s="1"/>
  <c r="N9285" i="9" a="1"/>
  <c r="N9285" i="9" s="1"/>
  <c r="N9286" i="9" a="1"/>
  <c r="N9286" i="9" s="1"/>
  <c r="N9287" i="9" a="1"/>
  <c r="N9287" i="9" s="1"/>
  <c r="N9288" i="9" a="1"/>
  <c r="N9288" i="9" s="1"/>
  <c r="N9289" i="9" a="1"/>
  <c r="N9289" i="9" s="1"/>
  <c r="N9290" i="9" a="1"/>
  <c r="N9290" i="9" s="1"/>
  <c r="N9291" i="9" a="1"/>
  <c r="N9291" i="9"/>
  <c r="N9292" i="9" a="1"/>
  <c r="N9292" i="9" s="1"/>
  <c r="N9293" i="9" a="1"/>
  <c r="N9293" i="9" s="1"/>
  <c r="N9294" i="9" a="1"/>
  <c r="N9294" i="9" s="1"/>
  <c r="N9295" i="9" a="1"/>
  <c r="N9295" i="9"/>
  <c r="N9296" i="9" a="1"/>
  <c r="N9296" i="9" s="1"/>
  <c r="N9297" i="9" a="1"/>
  <c r="N9297" i="9" s="1"/>
  <c r="N9299" i="9" a="1"/>
  <c r="N9299" i="9" s="1"/>
  <c r="N9300" i="9" a="1"/>
  <c r="N9300" i="9" s="1"/>
  <c r="N9301" i="9" a="1"/>
  <c r="N9301" i="9" s="1"/>
  <c r="N9302" i="9" a="1"/>
  <c r="N9302" i="9" s="1"/>
  <c r="N9303" i="9" a="1"/>
  <c r="N9303" i="9" s="1"/>
  <c r="N9304" i="9" a="1"/>
  <c r="N9304" i="9" s="1"/>
  <c r="N9305" i="9" a="1"/>
  <c r="N9305" i="9" s="1"/>
  <c r="N9306" i="9" a="1"/>
  <c r="N9306" i="9" s="1"/>
  <c r="N9307" i="9" a="1"/>
  <c r="N9307" i="9" s="1"/>
  <c r="N9308" i="9" a="1"/>
  <c r="N9308" i="9" s="1"/>
  <c r="N9309" i="9" a="1"/>
  <c r="N9309" i="9" s="1"/>
  <c r="N9310" i="9" a="1"/>
  <c r="N9310" i="9" s="1"/>
  <c r="N9311" i="9" a="1"/>
  <c r="N9311" i="9" s="1"/>
  <c r="N9312" i="9" a="1"/>
  <c r="N9312" i="9" s="1"/>
  <c r="N9313" i="9" a="1"/>
  <c r="N9313" i="9" s="1"/>
  <c r="N9315" i="9" a="1"/>
  <c r="N9315" i="9"/>
  <c r="N9316" i="9" a="1"/>
  <c r="N9316" i="9" s="1"/>
  <c r="N9317" i="9" a="1"/>
  <c r="N9317" i="9" s="1"/>
  <c r="N9318" i="9" a="1"/>
  <c r="N9318" i="9" s="1"/>
  <c r="N9319" i="9" a="1"/>
  <c r="N9319" i="9" s="1"/>
  <c r="N9320" i="9" a="1"/>
  <c r="N9320" i="9" s="1"/>
  <c r="N9321" i="9" a="1"/>
  <c r="N9321" i="9" s="1"/>
  <c r="N9322" i="9" a="1"/>
  <c r="N9322" i="9" s="1"/>
  <c r="N9323" i="9" a="1"/>
  <c r="N9323" i="9" s="1"/>
  <c r="N9324" i="9" a="1"/>
  <c r="N9324" i="9" s="1"/>
  <c r="N9325" i="9" a="1"/>
  <c r="N9325" i="9" s="1"/>
  <c r="N9326" i="9" a="1"/>
  <c r="N9326" i="9" s="1"/>
  <c r="N9327" i="9" a="1"/>
  <c r="N9327" i="9"/>
  <c r="N9328" i="9" a="1"/>
  <c r="N9328" i="9" s="1"/>
  <c r="N9329" i="9" a="1"/>
  <c r="N9329" i="9" s="1"/>
  <c r="N9331" i="9" a="1"/>
  <c r="N9331" i="9"/>
  <c r="N9332" i="9" a="1"/>
  <c r="N9332" i="9" s="1"/>
  <c r="N9333" i="9" a="1"/>
  <c r="N9333" i="9" s="1"/>
  <c r="N9334" i="9" a="1"/>
  <c r="N9334" i="9" s="1"/>
  <c r="N9335" i="9" a="1"/>
  <c r="N9335" i="9"/>
  <c r="N9336" i="9" a="1"/>
  <c r="N9336" i="9" s="1"/>
  <c r="N9337" i="9" a="1"/>
  <c r="N9337" i="9" s="1"/>
  <c r="N9338" i="9" a="1"/>
  <c r="N9338" i="9" s="1"/>
  <c r="N9339" i="9" a="1"/>
  <c r="N9339" i="9" s="1"/>
  <c r="N9340" i="9" a="1"/>
  <c r="N9340" i="9" s="1"/>
  <c r="N9341" i="9" a="1"/>
  <c r="N9341" i="9" s="1"/>
  <c r="N9342" i="9" a="1"/>
  <c r="N9342" i="9" s="1"/>
  <c r="N9343" i="9" a="1"/>
  <c r="N9343" i="9"/>
  <c r="N9344" i="9" a="1"/>
  <c r="N9344" i="9" s="1"/>
  <c r="N9345" i="9" a="1"/>
  <c r="N9345" i="9" s="1"/>
  <c r="N9347" i="9" a="1"/>
  <c r="N9347" i="9" s="1"/>
  <c r="N9348" i="9" a="1"/>
  <c r="N9348" i="9" s="1"/>
  <c r="N9349" i="9" a="1"/>
  <c r="N9349" i="9" s="1"/>
  <c r="N9350" i="9" a="1"/>
  <c r="N9350" i="9" s="1"/>
  <c r="N9351" i="9" a="1"/>
  <c r="N9351" i="9"/>
  <c r="N9352" i="9" a="1"/>
  <c r="N9352" i="9" s="1"/>
  <c r="N9353" i="9" a="1"/>
  <c r="N9353" i="9" s="1"/>
  <c r="N9354" i="9" a="1"/>
  <c r="N9354" i="9" s="1"/>
  <c r="N9355" i="9" a="1"/>
  <c r="N9355" i="9" s="1"/>
  <c r="N9356" i="9" a="1"/>
  <c r="N9356" i="9" s="1"/>
  <c r="N9357" i="9" a="1"/>
  <c r="N9357" i="9" s="1"/>
  <c r="N9358" i="9" a="1"/>
  <c r="N9358" i="9" s="1"/>
  <c r="N9359" i="9" a="1"/>
  <c r="N9359" i="9"/>
  <c r="N9360" i="9" a="1"/>
  <c r="N9360" i="9" s="1"/>
  <c r="N9361" i="9" a="1"/>
  <c r="N9361" i="9" s="1"/>
  <c r="N9363" i="9" a="1"/>
  <c r="N9363" i="9" s="1"/>
  <c r="N9364" i="9" a="1"/>
  <c r="N9364" i="9" s="1"/>
  <c r="N9365" i="9" a="1"/>
  <c r="N9365" i="9" s="1"/>
  <c r="N9366" i="9" a="1"/>
  <c r="N9366" i="9" s="1"/>
  <c r="N9367" i="9" a="1"/>
  <c r="N9367" i="9"/>
  <c r="N9368" i="9" a="1"/>
  <c r="N9368" i="9" s="1"/>
  <c r="N9369" i="9" a="1"/>
  <c r="N9369" i="9" s="1"/>
  <c r="N9370" i="9" a="1"/>
  <c r="N9370" i="9" s="1"/>
  <c r="N9371" i="9" a="1"/>
  <c r="N9371" i="9" s="1"/>
  <c r="N9372" i="9" a="1"/>
  <c r="N9372" i="9" s="1"/>
  <c r="N9373" i="9" a="1"/>
  <c r="N9373" i="9" s="1"/>
  <c r="N9374" i="9" a="1"/>
  <c r="N9374" i="9" s="1"/>
  <c r="N9375" i="9" a="1"/>
  <c r="N9375" i="9"/>
  <c r="N9376" i="9" a="1"/>
  <c r="N9376" i="9" s="1"/>
  <c r="N9377" i="9" a="1"/>
  <c r="N9377" i="9" s="1"/>
  <c r="N9379" i="9" a="1"/>
  <c r="N9379" i="9" s="1"/>
  <c r="N9380" i="9" a="1"/>
  <c r="N9380" i="9" s="1"/>
  <c r="N9381" i="9" a="1"/>
  <c r="N9381" i="9" s="1"/>
  <c r="N9382" i="9" a="1"/>
  <c r="N9382" i="9" s="1"/>
  <c r="N9383" i="9" a="1"/>
  <c r="N9383" i="9"/>
  <c r="N9384" i="9" a="1"/>
  <c r="N9384" i="9" s="1"/>
  <c r="N9385" i="9" a="1"/>
  <c r="N9385" i="9" s="1"/>
  <c r="N9386" i="9" a="1"/>
  <c r="N9386" i="9" s="1"/>
  <c r="N9387" i="9" a="1"/>
  <c r="N9387" i="9" s="1"/>
  <c r="N9388" i="9" a="1"/>
  <c r="N9388" i="9" s="1"/>
  <c r="N9389" i="9" a="1"/>
  <c r="N9389" i="9" s="1"/>
  <c r="N9390" i="9" a="1"/>
  <c r="N9390" i="9" s="1"/>
  <c r="N9391" i="9" a="1"/>
  <c r="N9391" i="9" s="1"/>
  <c r="N9392" i="9" a="1"/>
  <c r="N9392" i="9" s="1"/>
  <c r="N9393" i="9" a="1"/>
  <c r="N9393" i="9" s="1"/>
  <c r="N9395" i="9" a="1"/>
  <c r="N9395" i="9" s="1"/>
  <c r="N9396" i="9" a="1"/>
  <c r="N9396" i="9" s="1"/>
  <c r="N9397" i="9" a="1"/>
  <c r="N9397" i="9" s="1"/>
  <c r="N9398" i="9" a="1"/>
  <c r="N9398" i="9" s="1"/>
  <c r="N9399" i="9" a="1"/>
  <c r="N9399" i="9"/>
  <c r="N9400" i="9" a="1"/>
  <c r="N9400" i="9" s="1"/>
  <c r="N9401" i="9" a="1"/>
  <c r="N9401" i="9" s="1"/>
  <c r="N9402" i="9" a="1"/>
  <c r="N9402" i="9" s="1"/>
  <c r="N9403" i="9" a="1"/>
  <c r="N9403" i="9" s="1"/>
  <c r="N9404" i="9" a="1"/>
  <c r="N9404" i="9" s="1"/>
  <c r="N9405" i="9" a="1"/>
  <c r="N9405" i="9" s="1"/>
  <c r="N9406" i="9" a="1"/>
  <c r="N9406" i="9" s="1"/>
  <c r="N9407" i="9" a="1"/>
  <c r="N9407" i="9"/>
  <c r="N9408" i="9" a="1"/>
  <c r="N9408" i="9" s="1"/>
  <c r="N9409" i="9" a="1"/>
  <c r="N9409" i="9" s="1"/>
  <c r="N9411" i="9" a="1"/>
  <c r="N9411" i="9" s="1"/>
  <c r="N9412" i="9" a="1"/>
  <c r="N9412" i="9" s="1"/>
  <c r="N9413" i="9" a="1"/>
  <c r="N9413" i="9" s="1"/>
  <c r="N9414" i="9" a="1"/>
  <c r="N9414" i="9" s="1"/>
  <c r="N9415" i="9" a="1"/>
  <c r="N9415" i="9"/>
  <c r="N9416" i="9" a="1"/>
  <c r="N9416" i="9" s="1"/>
  <c r="N9417" i="9" a="1"/>
  <c r="N9417" i="9" s="1"/>
  <c r="N9418" i="9" a="1"/>
  <c r="N9418" i="9" s="1"/>
  <c r="N9419" i="9" a="1"/>
  <c r="N9419" i="9" s="1"/>
  <c r="N9420" i="9" a="1"/>
  <c r="N9420" i="9" s="1"/>
  <c r="N9421" i="9" a="1"/>
  <c r="N9421" i="9" s="1"/>
  <c r="N9422" i="9" a="1"/>
  <c r="N9422" i="9" s="1"/>
  <c r="N9423" i="9" a="1"/>
  <c r="N9423" i="9"/>
  <c r="N9424" i="9" a="1"/>
  <c r="N9424" i="9" s="1"/>
  <c r="N9425" i="9" a="1"/>
  <c r="N9425" i="9" s="1"/>
  <c r="N9427" i="9" a="1"/>
  <c r="N9427" i="9" s="1"/>
  <c r="N9428" i="9" a="1"/>
  <c r="N9428" i="9" s="1"/>
  <c r="N9429" i="9" a="1"/>
  <c r="N9429" i="9" s="1"/>
  <c r="N9430" i="9" a="1"/>
  <c r="N9430" i="9" s="1"/>
  <c r="N9431" i="9" a="1"/>
  <c r="N9431" i="9" s="1"/>
  <c r="N9432" i="9" a="1"/>
  <c r="N9432" i="9" s="1"/>
  <c r="N9433" i="9" a="1"/>
  <c r="N9433" i="9" s="1"/>
  <c r="N9434" i="9" a="1"/>
  <c r="N9434" i="9" s="1"/>
  <c r="N9435" i="9" a="1"/>
  <c r="N9435" i="9" s="1"/>
  <c r="N9436" i="9" a="1"/>
  <c r="N9436" i="9" s="1"/>
  <c r="N9437" i="9" a="1"/>
  <c r="N9437" i="9" s="1"/>
  <c r="N9438" i="9" a="1"/>
  <c r="N9438" i="9" s="1"/>
  <c r="N9439" i="9" a="1"/>
  <c r="N9439" i="9"/>
  <c r="N9440" i="9" a="1"/>
  <c r="N9440" i="9" s="1"/>
  <c r="N9441" i="9" a="1"/>
  <c r="N9441" i="9" s="1"/>
  <c r="N9443" i="9" a="1"/>
  <c r="N9443" i="9" s="1"/>
  <c r="N9444" i="9" a="1"/>
  <c r="N9444" i="9" s="1"/>
  <c r="N9445" i="9" a="1"/>
  <c r="N9445" i="9" s="1"/>
  <c r="N9446" i="9" a="1"/>
  <c r="N9446" i="9" s="1"/>
  <c r="N9447" i="9" a="1"/>
  <c r="N9447" i="9"/>
  <c r="N9448" i="9" a="1"/>
  <c r="N9448" i="9" s="1"/>
  <c r="N9449" i="9" a="1"/>
  <c r="N9449" i="9" s="1"/>
  <c r="N9450" i="9" a="1"/>
  <c r="N9450" i="9" s="1"/>
  <c r="N9451" i="9" a="1"/>
  <c r="N9451" i="9" s="1"/>
  <c r="N9452" i="9" a="1"/>
  <c r="N9452" i="9" s="1"/>
  <c r="N9453" i="9" a="1"/>
  <c r="N9453" i="9" s="1"/>
  <c r="N9454" i="9" a="1"/>
  <c r="N9454" i="9" s="1"/>
  <c r="N9455" i="9" a="1"/>
  <c r="N9455" i="9" s="1"/>
  <c r="N9456" i="9" a="1"/>
  <c r="N9456" i="9" s="1"/>
  <c r="N9457" i="9" a="1"/>
  <c r="N9457" i="9" s="1"/>
  <c r="N9459" i="9" a="1"/>
  <c r="N9459" i="9" s="1"/>
  <c r="N9460" i="9" a="1"/>
  <c r="N9460" i="9" s="1"/>
  <c r="N9461" i="9" a="1"/>
  <c r="N9461" i="9" s="1"/>
  <c r="N9462" i="9" a="1"/>
  <c r="N9462" i="9" s="1"/>
  <c r="N9463" i="9" a="1"/>
  <c r="N9463" i="9" s="1"/>
  <c r="N9464" i="9" a="1"/>
  <c r="N9464" i="9" s="1"/>
  <c r="N9465" i="9" a="1"/>
  <c r="N9465" i="9" s="1"/>
  <c r="N9466" i="9" a="1"/>
  <c r="N9466" i="9" s="1"/>
  <c r="N9467" i="9" a="1"/>
  <c r="N9467" i="9" s="1"/>
  <c r="N9468" i="9" a="1"/>
  <c r="N9468" i="9" s="1"/>
  <c r="N9469" i="9" a="1"/>
  <c r="N9469" i="9" s="1"/>
  <c r="N9470" i="9" a="1"/>
  <c r="N9470" i="9" s="1"/>
  <c r="N9471" i="9" a="1"/>
  <c r="N9471" i="9" s="1"/>
  <c r="N9472" i="9" a="1"/>
  <c r="N9472" i="9" s="1"/>
  <c r="N9473" i="9" a="1"/>
  <c r="N9473" i="9" s="1"/>
  <c r="N9475" i="9" a="1"/>
  <c r="N9475" i="9" s="1"/>
  <c r="N9476" i="9" a="1"/>
  <c r="N9476" i="9" s="1"/>
  <c r="N9477" i="9" a="1"/>
  <c r="N9477" i="9" s="1"/>
  <c r="N9478" i="9" a="1"/>
  <c r="N9478" i="9" s="1"/>
  <c r="N9479" i="9" a="1"/>
  <c r="N9479" i="9"/>
  <c r="N9480" i="9" a="1"/>
  <c r="N9480" i="9" s="1"/>
  <c r="N9481" i="9" a="1"/>
  <c r="N9481" i="9" s="1"/>
  <c r="N9482" i="9" a="1"/>
  <c r="N9482" i="9" s="1"/>
  <c r="N9483" i="9" a="1"/>
  <c r="N9483" i="9" s="1"/>
  <c r="N9484" i="9" a="1"/>
  <c r="N9484" i="9" s="1"/>
  <c r="N9485" i="9" a="1"/>
  <c r="N9485" i="9" s="1"/>
  <c r="N9486" i="9" a="1"/>
  <c r="N9486" i="9" s="1"/>
  <c r="N9487" i="9" a="1"/>
  <c r="N9487" i="9"/>
  <c r="N9488" i="9" a="1"/>
  <c r="N9488" i="9" s="1"/>
  <c r="N9489" i="9" a="1"/>
  <c r="N9489" i="9" s="1"/>
  <c r="N9491" i="9" a="1"/>
  <c r="N9491" i="9" s="1"/>
  <c r="N9492" i="9" a="1"/>
  <c r="N9492" i="9" s="1"/>
  <c r="N9493" i="9" a="1"/>
  <c r="N9493" i="9" s="1"/>
  <c r="N9494" i="9" a="1"/>
  <c r="N9494" i="9" s="1"/>
  <c r="N9495" i="9" a="1"/>
  <c r="N9495" i="9"/>
  <c r="N9496" i="9" a="1"/>
  <c r="N9496" i="9" s="1"/>
  <c r="N9497" i="9" a="1"/>
  <c r="N9497" i="9" s="1"/>
  <c r="N9498" i="9" a="1"/>
  <c r="N9498" i="9" s="1"/>
  <c r="N9499" i="9" a="1"/>
  <c r="N9499" i="9" s="1"/>
  <c r="N9500" i="9" a="1"/>
  <c r="N9500" i="9" s="1"/>
  <c r="N9501" i="9" a="1"/>
  <c r="N9501" i="9" s="1"/>
  <c r="N9502" i="9" a="1"/>
  <c r="N9502" i="9" s="1"/>
  <c r="N9503" i="9" a="1"/>
  <c r="N9503" i="9" s="1"/>
  <c r="N9504" i="9" a="1"/>
  <c r="N9504" i="9" s="1"/>
  <c r="N9505" i="9" a="1"/>
  <c r="N9505" i="9" s="1"/>
  <c r="N9507" i="9" a="1"/>
  <c r="N9507" i="9" s="1"/>
  <c r="N9508" i="9" a="1"/>
  <c r="N9508" i="9" s="1"/>
  <c r="N9509" i="9" a="1"/>
  <c r="N9509" i="9" s="1"/>
  <c r="N9510" i="9" a="1"/>
  <c r="N9510" i="9" s="1"/>
  <c r="N9511" i="9" a="1"/>
  <c r="N9511" i="9"/>
  <c r="N9512" i="9" a="1"/>
  <c r="N9512" i="9" s="1"/>
  <c r="N9513" i="9" a="1"/>
  <c r="N9513" i="9" s="1"/>
  <c r="N9514" i="9" a="1"/>
  <c r="N9514" i="9" s="1"/>
  <c r="N9515" i="9" a="1"/>
  <c r="N9515" i="9" s="1"/>
  <c r="N9516" i="9" a="1"/>
  <c r="N9516" i="9" s="1"/>
  <c r="N9517" i="9" a="1"/>
  <c r="N9517" i="9" s="1"/>
  <c r="N9518" i="9" a="1"/>
  <c r="N9518" i="9" s="1"/>
  <c r="N9519" i="9" a="1"/>
  <c r="N9519" i="9" s="1"/>
  <c r="N9520" i="9" a="1"/>
  <c r="N9520" i="9" s="1"/>
  <c r="N9521" i="9" a="1"/>
  <c r="N9521" i="9" s="1"/>
  <c r="N9523" i="9" a="1"/>
  <c r="N9523" i="9" s="1"/>
  <c r="N9524" i="9" a="1"/>
  <c r="N9524" i="9" s="1"/>
  <c r="N9525" i="9" a="1"/>
  <c r="N9525" i="9" s="1"/>
  <c r="N9526" i="9" a="1"/>
  <c r="N9526" i="9" s="1"/>
  <c r="N9527" i="9" a="1"/>
  <c r="N9527" i="9" s="1"/>
  <c r="N9528" i="9" a="1"/>
  <c r="N9528" i="9" s="1"/>
  <c r="N9529" i="9" a="1"/>
  <c r="N9529" i="9" s="1"/>
  <c r="N9530" i="9" a="1"/>
  <c r="N9530" i="9" s="1"/>
  <c r="N9531" i="9" a="1"/>
  <c r="N9531" i="9" s="1"/>
  <c r="N9532" i="9" a="1"/>
  <c r="N9532" i="9" s="1"/>
  <c r="N9533" i="9" a="1"/>
  <c r="N9533" i="9" s="1"/>
  <c r="N9534" i="9" a="1"/>
  <c r="N9534" i="9" s="1"/>
  <c r="N9535" i="9" a="1"/>
  <c r="N9535" i="9" s="1"/>
  <c r="N9536" i="9" a="1"/>
  <c r="N9536" i="9" s="1"/>
  <c r="N9537" i="9" a="1"/>
  <c r="N9537" i="9" s="1"/>
  <c r="N9539" i="9" a="1"/>
  <c r="N9539" i="9" s="1"/>
  <c r="N9540" i="9" a="1"/>
  <c r="N9540" i="9" s="1"/>
  <c r="N9541" i="9" a="1"/>
  <c r="N9541" i="9" s="1"/>
  <c r="N9542" i="9" a="1"/>
  <c r="N9542" i="9" s="1"/>
  <c r="N9543" i="9" a="1"/>
  <c r="N9543" i="9"/>
  <c r="N9544" i="9" a="1"/>
  <c r="N9544" i="9" s="1"/>
  <c r="N9545" i="9" a="1"/>
  <c r="N9545" i="9" s="1"/>
  <c r="N9546" i="9" a="1"/>
  <c r="N9546" i="9" s="1"/>
  <c r="N9547" i="9" a="1"/>
  <c r="N9547" i="9" s="1"/>
  <c r="N9548" i="9" a="1"/>
  <c r="N9548" i="9" s="1"/>
  <c r="N9549" i="9" a="1"/>
  <c r="N9549" i="9" s="1"/>
  <c r="N9550" i="9" a="1"/>
  <c r="N9550" i="9" s="1"/>
  <c r="N9551" i="9" a="1"/>
  <c r="N9551" i="9"/>
  <c r="N9552" i="9" a="1"/>
  <c r="N9552" i="9" s="1"/>
  <c r="N9553" i="9" a="1"/>
  <c r="N9553" i="9" s="1"/>
  <c r="N9555" i="9" a="1"/>
  <c r="N9555" i="9" s="1"/>
  <c r="N9556" i="9" a="1"/>
  <c r="N9556" i="9" s="1"/>
  <c r="N9557" i="9" a="1"/>
  <c r="N9557" i="9" s="1"/>
  <c r="N9558" i="9" a="1"/>
  <c r="N9558" i="9" s="1"/>
  <c r="N9559" i="9" a="1"/>
  <c r="N9559" i="9" s="1"/>
  <c r="N9560" i="9" a="1"/>
  <c r="N9560" i="9" s="1"/>
  <c r="N9561" i="9" a="1"/>
  <c r="N9561" i="9" s="1"/>
  <c r="N9562" i="9" a="1"/>
  <c r="N9562" i="9" s="1"/>
  <c r="N9563" i="9" a="1"/>
  <c r="N9563" i="9" s="1"/>
  <c r="N9564" i="9" a="1"/>
  <c r="N9564" i="9" s="1"/>
  <c r="N9565" i="9" a="1"/>
  <c r="N9565" i="9" s="1"/>
  <c r="N9566" i="9" a="1"/>
  <c r="N9566" i="9" s="1"/>
  <c r="N9567" i="9" a="1"/>
  <c r="N9567" i="9" s="1"/>
  <c r="N9568" i="9" a="1"/>
  <c r="N9568" i="9" s="1"/>
  <c r="N9569" i="9" a="1"/>
  <c r="N9569" i="9" s="1"/>
  <c r="N9571" i="9" a="1"/>
  <c r="N9571" i="9" s="1"/>
  <c r="N9572" i="9" a="1"/>
  <c r="N9572" i="9" s="1"/>
  <c r="N9573" i="9" a="1"/>
  <c r="N9573" i="9" s="1"/>
  <c r="N9574" i="9" a="1"/>
  <c r="N9574" i="9" s="1"/>
  <c r="N9575" i="9" a="1"/>
  <c r="N9575" i="9" s="1"/>
  <c r="N9576" i="9" a="1"/>
  <c r="N9576" i="9" s="1"/>
  <c r="N9577" i="9" a="1"/>
  <c r="N9577" i="9" s="1"/>
  <c r="N9578" i="9" a="1"/>
  <c r="N9578" i="9" s="1"/>
  <c r="N9579" i="9" a="1"/>
  <c r="N9579" i="9" s="1"/>
  <c r="N9580" i="9" a="1"/>
  <c r="N9580" i="9" s="1"/>
  <c r="N9581" i="9" a="1"/>
  <c r="N9581" i="9" s="1"/>
  <c r="N9582" i="9" a="1"/>
  <c r="N9582" i="9" s="1"/>
  <c r="N9583" i="9" a="1"/>
  <c r="N9583" i="9"/>
  <c r="N9584" i="9" a="1"/>
  <c r="N9584" i="9" s="1"/>
  <c r="N9585" i="9" a="1"/>
  <c r="N9585" i="9" s="1"/>
  <c r="N9587" i="9" a="1"/>
  <c r="N9587" i="9" s="1"/>
  <c r="N9588" i="9" a="1"/>
  <c r="N9588" i="9" s="1"/>
  <c r="N9589" i="9" a="1"/>
  <c r="N9589" i="9" s="1"/>
  <c r="N9590" i="9" a="1"/>
  <c r="N9590" i="9" s="1"/>
  <c r="N9591" i="9" a="1"/>
  <c r="N9591" i="9"/>
  <c r="N9592" i="9" a="1"/>
  <c r="N9592" i="9" s="1"/>
  <c r="N9593" i="9" a="1"/>
  <c r="N9593" i="9" s="1"/>
  <c r="N9594" i="9" a="1"/>
  <c r="N9594" i="9" s="1"/>
  <c r="N9595" i="9" a="1"/>
  <c r="N9595" i="9" s="1"/>
  <c r="N9596" i="9" a="1"/>
  <c r="N9596" i="9" s="1"/>
  <c r="N9597" i="9" a="1"/>
  <c r="N9597" i="9" s="1"/>
  <c r="N9598" i="9" a="1"/>
  <c r="N9598" i="9" s="1"/>
  <c r="N9599" i="9" a="1"/>
  <c r="N9599" i="9" s="1"/>
  <c r="N9600" i="9" a="1"/>
  <c r="N9600" i="9" s="1"/>
  <c r="N9601" i="9" a="1"/>
  <c r="N9601" i="9" s="1"/>
  <c r="N9603" i="9" a="1"/>
  <c r="N9603" i="9" s="1"/>
  <c r="N9604" i="9" a="1"/>
  <c r="N9604" i="9" s="1"/>
  <c r="N9605" i="9" a="1"/>
  <c r="N9605" i="9" s="1"/>
  <c r="N9606" i="9" a="1"/>
  <c r="N9606" i="9" s="1"/>
  <c r="N9607" i="9" a="1"/>
  <c r="N9607" i="9" s="1"/>
  <c r="N9608" i="9" a="1"/>
  <c r="N9608" i="9" s="1"/>
  <c r="N9609" i="9" a="1"/>
  <c r="N9609" i="9" s="1"/>
  <c r="N9610" i="9" a="1"/>
  <c r="N9610" i="9" s="1"/>
  <c r="N9611" i="9" a="1"/>
  <c r="N9611" i="9" s="1"/>
  <c r="N9612" i="9" a="1"/>
  <c r="N9612" i="9" s="1"/>
  <c r="N9613" i="9" a="1"/>
  <c r="N9613" i="9" s="1"/>
  <c r="N9614" i="9" a="1"/>
  <c r="N9614" i="9" s="1"/>
  <c r="N9615" i="9" a="1"/>
  <c r="N9615" i="9"/>
  <c r="N9616" i="9" a="1"/>
  <c r="N9616" i="9" s="1"/>
  <c r="N9617" i="9" a="1"/>
  <c r="N9617" i="9" s="1"/>
  <c r="N9619" i="9" a="1"/>
  <c r="N9619" i="9" s="1"/>
  <c r="N9620" i="9" a="1"/>
  <c r="N9620" i="9" s="1"/>
  <c r="N9621" i="9" a="1"/>
  <c r="N9621" i="9" s="1"/>
  <c r="N9622" i="9" a="1"/>
  <c r="N9622" i="9" s="1"/>
  <c r="N9623" i="9" a="1"/>
  <c r="N9623" i="9" s="1"/>
  <c r="N9624" i="9" a="1"/>
  <c r="N9624" i="9" s="1"/>
  <c r="N9625" i="9" a="1"/>
  <c r="N9625" i="9" s="1"/>
  <c r="N9626" i="9" a="1"/>
  <c r="N9626" i="9" s="1"/>
  <c r="N9627" i="9" a="1"/>
  <c r="N9627" i="9" s="1"/>
  <c r="N9628" i="9" a="1"/>
  <c r="N9628" i="9" s="1"/>
  <c r="N9629" i="9" a="1"/>
  <c r="N9629" i="9" s="1"/>
  <c r="N9630" i="9" a="1"/>
  <c r="N9630" i="9" s="1"/>
  <c r="N9631" i="9" a="1"/>
  <c r="N9631" i="9" s="1"/>
  <c r="N9632" i="9" a="1"/>
  <c r="N9632" i="9" s="1"/>
  <c r="N9633" i="9" a="1"/>
  <c r="N9633" i="9" s="1"/>
  <c r="N9635" i="9" a="1"/>
  <c r="N9635" i="9" s="1"/>
  <c r="N9636" i="9" a="1"/>
  <c r="N9636" i="9" s="1"/>
  <c r="N9637" i="9" a="1"/>
  <c r="N9637" i="9" s="1"/>
  <c r="N9638" i="9" a="1"/>
  <c r="N9638" i="9" s="1"/>
  <c r="N9639" i="9" a="1"/>
  <c r="N9639" i="9" s="1"/>
  <c r="N9640" i="9" a="1"/>
  <c r="N9640" i="9" s="1"/>
  <c r="N9641" i="9" a="1"/>
  <c r="N9641" i="9" s="1"/>
  <c r="N9642" i="9" a="1"/>
  <c r="N9642" i="9" s="1"/>
  <c r="N9643" i="9" a="1"/>
  <c r="N9643" i="9" s="1"/>
  <c r="N9644" i="9" a="1"/>
  <c r="N9644" i="9" s="1"/>
  <c r="N9645" i="9" a="1"/>
  <c r="N9645" i="9" s="1"/>
  <c r="N9646" i="9" a="1"/>
  <c r="N9646" i="9" s="1"/>
  <c r="N9647" i="9" a="1"/>
  <c r="N9647" i="9" s="1"/>
  <c r="N9648" i="9" a="1"/>
  <c r="N9648" i="9" s="1"/>
  <c r="N9649" i="9" a="1"/>
  <c r="N9649" i="9" s="1"/>
  <c r="N9651" i="9" a="1"/>
  <c r="N9651" i="9" s="1"/>
  <c r="N9652" i="9" a="1"/>
  <c r="N9652" i="9" s="1"/>
  <c r="N9653" i="9" a="1"/>
  <c r="N9653" i="9" s="1"/>
  <c r="N9654" i="9" a="1"/>
  <c r="N9654" i="9" s="1"/>
  <c r="N9655" i="9" a="1"/>
  <c r="N9655" i="9" s="1"/>
  <c r="N9656" i="9" a="1"/>
  <c r="N9656" i="9" s="1"/>
  <c r="N9657" i="9" a="1"/>
  <c r="N9657" i="9" s="1"/>
  <c r="N9658" i="9" a="1"/>
  <c r="N9658" i="9" s="1"/>
  <c r="N9659" i="9" a="1"/>
  <c r="N9659" i="9" s="1"/>
  <c r="N9660" i="9" a="1"/>
  <c r="N9660" i="9" s="1"/>
  <c r="N9661" i="9" a="1"/>
  <c r="N9661" i="9" s="1"/>
  <c r="N9662" i="9" a="1"/>
  <c r="N9662" i="9" s="1"/>
  <c r="N9663" i="9" a="1"/>
  <c r="N9663" i="9" s="1"/>
  <c r="N9664" i="9" a="1"/>
  <c r="N9664" i="9" s="1"/>
  <c r="N9665" i="9" a="1"/>
  <c r="N9665" i="9" s="1"/>
  <c r="N9667" i="9" a="1"/>
  <c r="N9667" i="9" s="1"/>
  <c r="N9668" i="9" a="1"/>
  <c r="N9668" i="9" s="1"/>
  <c r="N9669" i="9" a="1"/>
  <c r="N9669" i="9" s="1"/>
  <c r="N9670" i="9" a="1"/>
  <c r="N9670" i="9" s="1"/>
  <c r="N9671" i="9" a="1"/>
  <c r="N9671" i="9" s="1"/>
  <c r="N9672" i="9" a="1"/>
  <c r="N9672" i="9" s="1"/>
  <c r="N9673" i="9" a="1"/>
  <c r="N9673" i="9" s="1"/>
  <c r="N9674" i="9" a="1"/>
  <c r="N9674" i="9" s="1"/>
  <c r="N9675" i="9" a="1"/>
  <c r="N9675" i="9" s="1"/>
  <c r="N9676" i="9" a="1"/>
  <c r="N9676" i="9" s="1"/>
  <c r="N9677" i="9" a="1"/>
  <c r="N9677" i="9" s="1"/>
  <c r="N9678" i="9" a="1"/>
  <c r="N9678" i="9" s="1"/>
  <c r="N9679" i="9" a="1"/>
  <c r="N9679" i="9"/>
  <c r="N9680" i="9" a="1"/>
  <c r="N9680" i="9" s="1"/>
  <c r="N9681" i="9" a="1"/>
  <c r="N9681" i="9" s="1"/>
  <c r="N9683" i="9" a="1"/>
  <c r="N9683" i="9" s="1"/>
  <c r="N9684" i="9" a="1"/>
  <c r="N9684" i="9" s="1"/>
  <c r="N9685" i="9" a="1"/>
  <c r="N9685" i="9" s="1"/>
  <c r="N9686" i="9" a="1"/>
  <c r="N9686" i="9" s="1"/>
  <c r="N9687" i="9" a="1"/>
  <c r="N9687" i="9" s="1"/>
  <c r="N9688" i="9" a="1"/>
  <c r="N9688" i="9" s="1"/>
  <c r="N9689" i="9" a="1"/>
  <c r="N9689" i="9" s="1"/>
  <c r="N9690" i="9" a="1"/>
  <c r="N9690" i="9" s="1"/>
  <c r="N9691" i="9" a="1"/>
  <c r="N9691" i="9" s="1"/>
  <c r="N9692" i="9" a="1"/>
  <c r="N9692" i="9" s="1"/>
  <c r="N9693" i="9" a="1"/>
  <c r="N9693" i="9" s="1"/>
  <c r="N9694" i="9" a="1"/>
  <c r="N9694" i="9" s="1"/>
  <c r="N9695" i="9" a="1"/>
  <c r="N9695" i="9" s="1"/>
  <c r="N9696" i="9" a="1"/>
  <c r="N9696" i="9" s="1"/>
  <c r="N9697" i="9" a="1"/>
  <c r="N9697" i="9" s="1"/>
  <c r="N9699" i="9" a="1"/>
  <c r="N9699" i="9" s="1"/>
  <c r="N9700" i="9" a="1"/>
  <c r="N9700" i="9" s="1"/>
  <c r="N9701" i="9" a="1"/>
  <c r="N9701" i="9" s="1"/>
  <c r="N9702" i="9" a="1"/>
  <c r="N9702" i="9" s="1"/>
  <c r="N9703" i="9" a="1"/>
  <c r="N9703" i="9" s="1"/>
  <c r="N9704" i="9" a="1"/>
  <c r="N9704" i="9" s="1"/>
  <c r="N9705" i="9" a="1"/>
  <c r="N9705" i="9" s="1"/>
  <c r="N9706" i="9" a="1"/>
  <c r="N9706" i="9" s="1"/>
  <c r="N9707" i="9" a="1"/>
  <c r="N9707" i="9" s="1"/>
  <c r="N9708" i="9" a="1"/>
  <c r="N9708" i="9" s="1"/>
  <c r="N9709" i="9" a="1"/>
  <c r="N9709" i="9" s="1"/>
  <c r="N9710" i="9" a="1"/>
  <c r="N9710" i="9" s="1"/>
  <c r="N9711" i="9" a="1"/>
  <c r="N9711" i="9"/>
  <c r="N9712" i="9" a="1"/>
  <c r="N9712" i="9" s="1"/>
  <c r="N9713" i="9" a="1"/>
  <c r="N9713" i="9" s="1"/>
  <c r="N9715" i="9" a="1"/>
  <c r="N9715" i="9" s="1"/>
  <c r="N9716" i="9" a="1"/>
  <c r="N9716" i="9" s="1"/>
  <c r="N9717" i="9" a="1"/>
  <c r="N9717" i="9" s="1"/>
  <c r="N9718" i="9" a="1"/>
  <c r="N9718" i="9" s="1"/>
  <c r="N9719" i="9" a="1"/>
  <c r="N9719" i="9"/>
  <c r="N9720" i="9" a="1"/>
  <c r="N9720" i="9" s="1"/>
  <c r="N9721" i="9" a="1"/>
  <c r="N9721" i="9" s="1"/>
  <c r="N9722" i="9" a="1"/>
  <c r="N9722" i="9" s="1"/>
  <c r="N9723" i="9" a="1"/>
  <c r="N9723" i="9" s="1"/>
  <c r="N9724" i="9" a="1"/>
  <c r="N9724" i="9" s="1"/>
  <c r="N9725" i="9" a="1"/>
  <c r="N9725" i="9" s="1"/>
  <c r="N9726" i="9" a="1"/>
  <c r="N9726" i="9" s="1"/>
  <c r="N9727" i="9" a="1"/>
  <c r="N9727" i="9" s="1"/>
  <c r="N9728" i="9" a="1"/>
  <c r="N9728" i="9" s="1"/>
  <c r="N9729" i="9" a="1"/>
  <c r="N9729" i="9" s="1"/>
  <c r="N9731" i="9" a="1"/>
  <c r="N9731" i="9" s="1"/>
  <c r="N9732" i="9" a="1"/>
  <c r="N9732" i="9" s="1"/>
  <c r="N9733" i="9" a="1"/>
  <c r="N9733" i="9" s="1"/>
  <c r="N9734" i="9" a="1"/>
  <c r="N9734" i="9" s="1"/>
  <c r="N9735" i="9" a="1"/>
  <c r="N9735" i="9" s="1"/>
  <c r="N9736" i="9" a="1"/>
  <c r="N9736" i="9" s="1"/>
  <c r="N9737" i="9" a="1"/>
  <c r="N9737" i="9" s="1"/>
  <c r="N9738" i="9" a="1"/>
  <c r="N9738" i="9" s="1"/>
  <c r="N9739" i="9" a="1"/>
  <c r="N9739" i="9" s="1"/>
  <c r="N9740" i="9" a="1"/>
  <c r="N9740" i="9" s="1"/>
  <c r="N9741" i="9" a="1"/>
  <c r="N9741" i="9" s="1"/>
  <c r="N9742" i="9" a="1"/>
  <c r="N9742" i="9" s="1"/>
  <c r="N9743" i="9" a="1"/>
  <c r="N9743" i="9"/>
  <c r="N9744" i="9" a="1"/>
  <c r="N9744" i="9" s="1"/>
  <c r="N9745" i="9" a="1"/>
  <c r="N9745" i="9" s="1"/>
  <c r="N9747" i="9" a="1"/>
  <c r="N9747" i="9" s="1"/>
  <c r="N9748" i="9" a="1"/>
  <c r="N9748" i="9" s="1"/>
  <c r="N9749" i="9" a="1"/>
  <c r="N9749" i="9" s="1"/>
  <c r="N9750" i="9" a="1"/>
  <c r="N9750" i="9" s="1"/>
  <c r="N9751" i="9" a="1"/>
  <c r="N9751" i="9" s="1"/>
  <c r="N9752" i="9" a="1"/>
  <c r="N9752" i="9" s="1"/>
  <c r="N9753" i="9" a="1"/>
  <c r="N9753" i="9" s="1"/>
  <c r="N9754" i="9" a="1"/>
  <c r="N9754" i="9" s="1"/>
  <c r="N9755" i="9" a="1"/>
  <c r="N9755" i="9" s="1"/>
  <c r="N9756" i="9" a="1"/>
  <c r="N9756" i="9" s="1"/>
  <c r="N9757" i="9" a="1"/>
  <c r="N9757" i="9" s="1"/>
  <c r="N9758" i="9" a="1"/>
  <c r="N9758" i="9" s="1"/>
  <c r="N9759" i="9" a="1"/>
  <c r="N9759" i="9" s="1"/>
  <c r="N9760" i="9" a="1"/>
  <c r="N9760" i="9" s="1"/>
  <c r="N9761" i="9" a="1"/>
  <c r="N9761" i="9" s="1"/>
  <c r="N9763" i="9" a="1"/>
  <c r="N9763" i="9" s="1"/>
  <c r="N9764" i="9" a="1"/>
  <c r="N9764" i="9" s="1"/>
  <c r="N9765" i="9" a="1"/>
  <c r="N9765" i="9" s="1"/>
  <c r="N9766" i="9" a="1"/>
  <c r="N9766" i="9" s="1"/>
  <c r="N9767" i="9" a="1"/>
  <c r="N9767" i="9" s="1"/>
  <c r="N9768" i="9" a="1"/>
  <c r="N9768" i="9" s="1"/>
  <c r="N9769" i="9" a="1"/>
  <c r="N9769" i="9" s="1"/>
  <c r="N9770" i="9" a="1"/>
  <c r="N9770" i="9" s="1"/>
  <c r="N9771" i="9" a="1"/>
  <c r="N9771" i="9" s="1"/>
  <c r="N9772" i="9" a="1"/>
  <c r="N9772" i="9" s="1"/>
  <c r="N9773" i="9" a="1"/>
  <c r="N9773" i="9" s="1"/>
  <c r="N9774" i="9" a="1"/>
  <c r="N9774" i="9" s="1"/>
  <c r="N9775" i="9" a="1"/>
  <c r="N9775" i="9" s="1"/>
  <c r="N9776" i="9" a="1"/>
  <c r="N9776" i="9" s="1"/>
  <c r="N9777" i="9" a="1"/>
  <c r="N9777" i="9" s="1"/>
  <c r="N9779" i="9" a="1"/>
  <c r="N9779" i="9" s="1"/>
  <c r="N9780" i="9" a="1"/>
  <c r="N9780" i="9" s="1"/>
  <c r="N9781" i="9" a="1"/>
  <c r="N9781" i="9" s="1"/>
  <c r="N9782" i="9" a="1"/>
  <c r="N9782" i="9" s="1"/>
  <c r="N9783" i="9" a="1"/>
  <c r="N9783" i="9" s="1"/>
  <c r="N9784" i="9" a="1"/>
  <c r="N9784" i="9" s="1"/>
  <c r="N9785" i="9" a="1"/>
  <c r="N9785" i="9" s="1"/>
  <c r="N9786" i="9" a="1"/>
  <c r="N9786" i="9" s="1"/>
  <c r="N9787" i="9" a="1"/>
  <c r="N9787" i="9" s="1"/>
  <c r="N9788" i="9" a="1"/>
  <c r="N9788" i="9" s="1"/>
  <c r="N9789" i="9" a="1"/>
  <c r="N9789" i="9" s="1"/>
  <c r="N9790" i="9" a="1"/>
  <c r="N9790" i="9" s="1"/>
  <c r="N9791" i="9" a="1"/>
  <c r="N9791" i="9" s="1"/>
  <c r="N9792" i="9" a="1"/>
  <c r="N9792" i="9" s="1"/>
  <c r="N9793" i="9" a="1"/>
  <c r="N9793" i="9" s="1"/>
  <c r="N9795" i="9" a="1"/>
  <c r="N9795" i="9" s="1"/>
  <c r="N9796" i="9" a="1"/>
  <c r="N9796" i="9" s="1"/>
  <c r="N9797" i="9" a="1"/>
  <c r="N9797" i="9" s="1"/>
  <c r="N9798" i="9" a="1"/>
  <c r="N9798" i="9" s="1"/>
  <c r="N9799" i="9" a="1"/>
  <c r="N9799" i="9" s="1"/>
  <c r="N9800" i="9" a="1"/>
  <c r="N9800" i="9" s="1"/>
  <c r="N9801" i="9" a="1"/>
  <c r="N9801" i="9" s="1"/>
  <c r="N9802" i="9" a="1"/>
  <c r="N9802" i="9" s="1"/>
  <c r="N9803" i="9" a="1"/>
  <c r="N9803" i="9" s="1"/>
  <c r="N9804" i="9" a="1"/>
  <c r="N9804" i="9" s="1"/>
  <c r="N9805" i="9" a="1"/>
  <c r="N9805" i="9" s="1"/>
  <c r="N9806" i="9" a="1"/>
  <c r="N9806" i="9" s="1"/>
  <c r="N9807" i="9" a="1"/>
  <c r="N9807" i="9" s="1"/>
  <c r="N9808" i="9" a="1"/>
  <c r="N9808" i="9" s="1"/>
  <c r="N9809" i="9" a="1"/>
  <c r="N9809" i="9" s="1"/>
  <c r="N9811" i="9" a="1"/>
  <c r="N9811" i="9" s="1"/>
  <c r="N9812" i="9" a="1"/>
  <c r="N9812" i="9" s="1"/>
  <c r="N9813" i="9" a="1"/>
  <c r="N9813" i="9" s="1"/>
  <c r="N9814" i="9" a="1"/>
  <c r="N9814" i="9" s="1"/>
  <c r="N9815" i="9" a="1"/>
  <c r="N9815" i="9" s="1"/>
  <c r="N9816" i="9" a="1"/>
  <c r="N9816" i="9" s="1"/>
  <c r="N9817" i="9" a="1"/>
  <c r="N9817" i="9"/>
  <c r="N9818" i="9" a="1"/>
  <c r="N9818" i="9" s="1"/>
  <c r="N9819" i="9" a="1"/>
  <c r="N9819" i="9" s="1"/>
  <c r="N9820" i="9" a="1"/>
  <c r="N9820" i="9" s="1"/>
  <c r="N9821" i="9" a="1"/>
  <c r="N9821" i="9" s="1"/>
  <c r="N9822" i="9" a="1"/>
  <c r="N9822" i="9" s="1"/>
  <c r="N9823" i="9" a="1"/>
  <c r="N9823" i="9" s="1"/>
  <c r="N9824" i="9" a="1"/>
  <c r="N9824" i="9" s="1"/>
  <c r="N9825" i="9" a="1"/>
  <c r="N9825" i="9"/>
  <c r="N9827" i="9" a="1"/>
  <c r="N9827" i="9" s="1"/>
  <c r="N9828" i="9" a="1"/>
  <c r="N9828" i="9" s="1"/>
  <c r="N9829" i="9" a="1"/>
  <c r="N9829" i="9" s="1"/>
  <c r="N9830" i="9" a="1"/>
  <c r="N9830" i="9" s="1"/>
  <c r="N9831" i="9" a="1"/>
  <c r="N9831" i="9" s="1"/>
  <c r="N9832" i="9" a="1"/>
  <c r="N9832" i="9" s="1"/>
  <c r="N9833" i="9" a="1"/>
  <c r="N9833" i="9" s="1"/>
  <c r="N9834" i="9" a="1"/>
  <c r="N9834" i="9" s="1"/>
  <c r="N9835" i="9" a="1"/>
  <c r="N9835" i="9" s="1"/>
  <c r="N9836" i="9" a="1"/>
  <c r="N9836" i="9" s="1"/>
  <c r="N9837" i="9" a="1"/>
  <c r="N9837" i="9" s="1"/>
  <c r="N9838" i="9" a="1"/>
  <c r="N9838" i="9" s="1"/>
  <c r="N9839" i="9" a="1"/>
  <c r="N9839" i="9" s="1"/>
  <c r="N9840" i="9" a="1"/>
  <c r="N9840" i="9" s="1"/>
  <c r="N9841" i="9" a="1"/>
  <c r="N9841" i="9" s="1"/>
  <c r="N9843" i="9" a="1"/>
  <c r="N9843" i="9" s="1"/>
  <c r="N9844" i="9" a="1"/>
  <c r="N9844" i="9" s="1"/>
  <c r="N9845" i="9" a="1"/>
  <c r="N9845" i="9" s="1"/>
  <c r="N9846" i="9" a="1"/>
  <c r="N9846" i="9" s="1"/>
  <c r="N9847" i="9" a="1"/>
  <c r="N9847" i="9" s="1"/>
  <c r="N9848" i="9" a="1"/>
  <c r="N9848" i="9" s="1"/>
  <c r="N9849" i="9" a="1"/>
  <c r="N9849" i="9"/>
  <c r="N9850" i="9" a="1"/>
  <c r="N9850" i="9" s="1"/>
  <c r="N9851" i="9" a="1"/>
  <c r="N9851" i="9" s="1"/>
  <c r="N9852" i="9" a="1"/>
  <c r="N9852" i="9" s="1"/>
  <c r="N9853" i="9" a="1"/>
  <c r="N9853" i="9" s="1"/>
  <c r="N9854" i="9" a="1"/>
  <c r="N9854" i="9" s="1"/>
  <c r="N9855" i="9" a="1"/>
  <c r="N9855" i="9" s="1"/>
  <c r="N9856" i="9" a="1"/>
  <c r="N9856" i="9" s="1"/>
  <c r="N9857" i="9" a="1"/>
  <c r="N9857" i="9"/>
  <c r="N9859" i="9" a="1"/>
  <c r="N9859" i="9" s="1"/>
  <c r="N9860" i="9" a="1"/>
  <c r="N9860" i="9" s="1"/>
  <c r="N9861" i="9" a="1"/>
  <c r="N9861" i="9" s="1"/>
  <c r="N9862" i="9" a="1"/>
  <c r="N9862" i="9" s="1"/>
  <c r="N9863" i="9" a="1"/>
  <c r="N9863" i="9" s="1"/>
  <c r="N9864" i="9" a="1"/>
  <c r="N9864" i="9" s="1"/>
  <c r="N9865" i="9" a="1"/>
  <c r="N9865" i="9" s="1"/>
  <c r="N9866" i="9" a="1"/>
  <c r="N9866" i="9" s="1"/>
  <c r="N9867" i="9" a="1"/>
  <c r="N9867" i="9" s="1"/>
  <c r="N9868" i="9" a="1"/>
  <c r="N9868" i="9" s="1"/>
  <c r="N9869" i="9" a="1"/>
  <c r="N9869" i="9" s="1"/>
  <c r="N9870" i="9" a="1"/>
  <c r="N9870" i="9" s="1"/>
  <c r="N9871" i="9" a="1"/>
  <c r="N9871" i="9" s="1"/>
  <c r="N9872" i="9" a="1"/>
  <c r="N9872" i="9" s="1"/>
  <c r="N9873" i="9" a="1"/>
  <c r="N9873" i="9" s="1"/>
  <c r="N9875" i="9" a="1"/>
  <c r="N9875" i="9" s="1"/>
  <c r="N9876" i="9" a="1"/>
  <c r="N9876" i="9" s="1"/>
  <c r="N9877" i="9" a="1"/>
  <c r="N9877" i="9" s="1"/>
  <c r="N9878" i="9" a="1"/>
  <c r="N9878" i="9" s="1"/>
  <c r="N9879" i="9" a="1"/>
  <c r="N9879" i="9" s="1"/>
  <c r="N9880" i="9" a="1"/>
  <c r="N9880" i="9" s="1"/>
  <c r="N9881" i="9" a="1"/>
  <c r="N9881" i="9" s="1"/>
  <c r="N9882" i="9" a="1"/>
  <c r="N9882" i="9" s="1"/>
  <c r="N9883" i="9" a="1"/>
  <c r="N9883" i="9" s="1"/>
  <c r="N9884" i="9" a="1"/>
  <c r="N9884" i="9" s="1"/>
  <c r="N9885" i="9" a="1"/>
  <c r="N9885" i="9" s="1"/>
  <c r="N9886" i="9" a="1"/>
  <c r="N9886" i="9" s="1"/>
  <c r="N9887" i="9" a="1"/>
  <c r="N9887" i="9" s="1"/>
  <c r="N9888" i="9" a="1"/>
  <c r="N9888" i="9" s="1"/>
  <c r="N9889" i="9" a="1"/>
  <c r="N9889" i="9"/>
  <c r="N9891" i="9" a="1"/>
  <c r="N9891" i="9" s="1"/>
  <c r="N9892" i="9" a="1"/>
  <c r="N9892" i="9" s="1"/>
  <c r="N9893" i="9" a="1"/>
  <c r="N9893" i="9" s="1"/>
  <c r="N9894" i="9" a="1"/>
  <c r="N9894" i="9" s="1"/>
  <c r="N9895" i="9" a="1"/>
  <c r="N9895" i="9" s="1"/>
  <c r="N9896" i="9" a="1"/>
  <c r="N9896" i="9" s="1"/>
  <c r="N9897" i="9" a="1"/>
  <c r="N9897" i="9" s="1"/>
  <c r="N9898" i="9" a="1"/>
  <c r="N9898" i="9" s="1"/>
  <c r="N9899" i="9" a="1"/>
  <c r="N9899" i="9" s="1"/>
  <c r="N9900" i="9" a="1"/>
  <c r="N9900" i="9" s="1"/>
  <c r="N9901" i="9" a="1"/>
  <c r="N9901" i="9" s="1"/>
  <c r="N9902" i="9" a="1"/>
  <c r="N9902" i="9" s="1"/>
  <c r="N9903" i="9" a="1"/>
  <c r="N9903" i="9" s="1"/>
  <c r="N9904" i="9" a="1"/>
  <c r="N9904" i="9" s="1"/>
  <c r="N9905" i="9" a="1"/>
  <c r="N9905" i="9" s="1"/>
  <c r="N9907" i="9" a="1"/>
  <c r="N9907" i="9" s="1"/>
  <c r="N9908" i="9" a="1"/>
  <c r="N9908" i="9" s="1"/>
  <c r="N9909" i="9" a="1"/>
  <c r="N9909" i="9" s="1"/>
  <c r="N9910" i="9" a="1"/>
  <c r="N9910" i="9" s="1"/>
  <c r="N9911" i="9" a="1"/>
  <c r="N9911" i="9" s="1"/>
  <c r="N9912" i="9" a="1"/>
  <c r="N9912" i="9" s="1"/>
  <c r="N9913" i="9" a="1"/>
  <c r="N9913" i="9"/>
  <c r="N9914" i="9" a="1"/>
  <c r="N9914" i="9" s="1"/>
  <c r="N9915" i="9" a="1"/>
  <c r="N9915" i="9" s="1"/>
  <c r="N9916" i="9" a="1"/>
  <c r="N9916" i="9" s="1"/>
  <c r="N9917" i="9" a="1"/>
  <c r="N9917" i="9" s="1"/>
  <c r="N9918" i="9" a="1"/>
  <c r="N9918" i="9" s="1"/>
  <c r="N9919" i="9" a="1"/>
  <c r="N9919" i="9" s="1"/>
  <c r="N9920" i="9" a="1"/>
  <c r="N9920" i="9" s="1"/>
  <c r="N9921" i="9" a="1"/>
  <c r="N9921" i="9"/>
  <c r="N9923" i="9" a="1"/>
  <c r="N9923" i="9" s="1"/>
  <c r="N9924" i="9" a="1"/>
  <c r="N9924" i="9" s="1"/>
  <c r="N9925" i="9" a="1"/>
  <c r="N9925" i="9" s="1"/>
  <c r="N9926" i="9" a="1"/>
  <c r="N9926" i="9" s="1"/>
  <c r="N9927" i="9" a="1"/>
  <c r="N9927" i="9" s="1"/>
  <c r="N9928" i="9" a="1"/>
  <c r="N9928" i="9" s="1"/>
  <c r="N9929" i="9" a="1"/>
  <c r="N9929" i="9" s="1"/>
  <c r="N9930" i="9" a="1"/>
  <c r="N9930" i="9" s="1"/>
  <c r="N9931" i="9" a="1"/>
  <c r="N9931" i="9" s="1"/>
  <c r="N9932" i="9" a="1"/>
  <c r="N9932" i="9" s="1"/>
  <c r="N9933" i="9" a="1"/>
  <c r="N9933" i="9" s="1"/>
  <c r="N9934" i="9" a="1"/>
  <c r="N9934" i="9" s="1"/>
  <c r="N9935" i="9" a="1"/>
  <c r="N9935" i="9" s="1"/>
  <c r="N9936" i="9" a="1"/>
  <c r="N9936" i="9" s="1"/>
  <c r="N9937" i="9" a="1"/>
  <c r="N9937" i="9" s="1"/>
  <c r="N9939" i="9" a="1"/>
  <c r="N9939" i="9" s="1"/>
  <c r="N9940" i="9" a="1"/>
  <c r="N9940" i="9" s="1"/>
  <c r="N9941" i="9" a="1"/>
  <c r="N9941" i="9" s="1"/>
  <c r="N9942" i="9" a="1"/>
  <c r="N9942" i="9" s="1"/>
  <c r="N9943" i="9" a="1"/>
  <c r="N9943" i="9" s="1"/>
  <c r="N9944" i="9" a="1"/>
  <c r="N9944" i="9" s="1"/>
  <c r="N9945" i="9" a="1"/>
  <c r="N9945" i="9" s="1"/>
  <c r="N9946" i="9" a="1"/>
  <c r="N9946" i="9" s="1"/>
  <c r="N9947" i="9" a="1"/>
  <c r="N9947" i="9" s="1"/>
  <c r="N9948" i="9" a="1"/>
  <c r="N9948" i="9" s="1"/>
  <c r="N9949" i="9" a="1"/>
  <c r="N9949" i="9" s="1"/>
  <c r="N9950" i="9" a="1"/>
  <c r="N9950" i="9" s="1"/>
  <c r="N9951" i="9" a="1"/>
  <c r="N9951" i="9" s="1"/>
  <c r="N9952" i="9" a="1"/>
  <c r="N9952" i="9" s="1"/>
  <c r="N9953" i="9" a="1"/>
  <c r="N9953" i="9"/>
  <c r="N9955" i="9" a="1"/>
  <c r="N9955" i="9" s="1"/>
  <c r="N9956" i="9" a="1"/>
  <c r="N9956" i="9" s="1"/>
  <c r="N9957" i="9" a="1"/>
  <c r="N9957" i="9" s="1"/>
  <c r="N9958" i="9" a="1"/>
  <c r="N9958" i="9" s="1"/>
  <c r="N9959" i="9" a="1"/>
  <c r="N9959" i="9" s="1"/>
  <c r="N9960" i="9" a="1"/>
  <c r="N9960" i="9" s="1"/>
  <c r="N9961" i="9" a="1"/>
  <c r="N9961" i="9" s="1"/>
  <c r="N9962" i="9" a="1"/>
  <c r="N9962" i="9" s="1"/>
  <c r="N9963" i="9" a="1"/>
  <c r="N9963" i="9" s="1"/>
  <c r="N9964" i="9" a="1"/>
  <c r="N9964" i="9" s="1"/>
  <c r="N9965" i="9" a="1"/>
  <c r="N9965" i="9" s="1"/>
  <c r="N9966" i="9" a="1"/>
  <c r="N9966" i="9" s="1"/>
  <c r="N9967" i="9" a="1"/>
  <c r="N9967" i="9" s="1"/>
  <c r="N9968" i="9" a="1"/>
  <c r="N9968" i="9" s="1"/>
  <c r="N9969" i="9" a="1"/>
  <c r="N9969" i="9" s="1"/>
  <c r="N9971" i="9" a="1"/>
  <c r="N9971" i="9" s="1"/>
  <c r="N9972" i="9" a="1"/>
  <c r="N9972" i="9" s="1"/>
  <c r="N9973" i="9" a="1"/>
  <c r="N9973" i="9" s="1"/>
  <c r="N9974" i="9" a="1"/>
  <c r="N9974" i="9" s="1"/>
  <c r="N9975" i="9" a="1"/>
  <c r="N9975" i="9" s="1"/>
  <c r="N9976" i="9" a="1"/>
  <c r="N9976" i="9" s="1"/>
  <c r="N9977" i="9" a="1"/>
  <c r="N9977" i="9" s="1"/>
  <c r="N9978" i="9" a="1"/>
  <c r="N9978" i="9" s="1"/>
  <c r="N9979" i="9" a="1"/>
  <c r="N9979" i="9" s="1"/>
  <c r="N9980" i="9" a="1"/>
  <c r="N9980" i="9" s="1"/>
  <c r="N9981" i="9" a="1"/>
  <c r="N9981" i="9" s="1"/>
  <c r="N9982" i="9" a="1"/>
  <c r="N9982" i="9" s="1"/>
  <c r="N9983" i="9" a="1"/>
  <c r="N9983" i="9" s="1"/>
  <c r="N9984" i="9" a="1"/>
  <c r="N9984" i="9" s="1"/>
  <c r="N9985" i="9" a="1"/>
  <c r="N9985" i="9"/>
  <c r="N9987" i="9" a="1"/>
  <c r="N9987" i="9" s="1"/>
  <c r="N9988" i="9" a="1"/>
  <c r="N9988" i="9" s="1"/>
  <c r="N9989" i="9" a="1"/>
  <c r="N9989" i="9" s="1"/>
  <c r="N9990" i="9" a="1"/>
  <c r="N9990" i="9" s="1"/>
  <c r="N9991" i="9" a="1"/>
  <c r="N9991" i="9" s="1"/>
  <c r="N9992" i="9" a="1"/>
  <c r="N9992" i="9" s="1"/>
  <c r="N9993" i="9" a="1"/>
  <c r="N9993" i="9" s="1"/>
  <c r="N9994" i="9" a="1"/>
  <c r="N9994" i="9" s="1"/>
  <c r="N9995" i="9" a="1"/>
  <c r="N9995" i="9" s="1"/>
  <c r="N9996" i="9" a="1"/>
  <c r="N9996" i="9" s="1"/>
  <c r="N9997" i="9" a="1"/>
  <c r="N9997" i="9" s="1"/>
  <c r="N9998" i="9" a="1"/>
  <c r="N9998" i="9" s="1"/>
  <c r="N9999" i="9" a="1"/>
  <c r="N9999" i="9" s="1"/>
  <c r="N10000" i="9" a="1"/>
  <c r="N10000" i="9" s="1"/>
  <c r="N10001" i="9" a="1"/>
  <c r="N10001" i="9" s="1"/>
  <c r="N10003" i="9" a="1"/>
  <c r="N10003" i="9" s="1"/>
  <c r="N10004" i="9" a="1"/>
  <c r="N10004" i="9" s="1"/>
  <c r="N10005" i="9" a="1"/>
  <c r="N10005" i="9" s="1"/>
  <c r="N10006" i="9" a="1"/>
  <c r="N10006" i="9" s="1"/>
  <c r="N10007" i="9" a="1"/>
  <c r="N10007" i="9" s="1"/>
  <c r="N10008" i="9" a="1"/>
  <c r="N10008" i="9" s="1"/>
  <c r="N10009" i="9" a="1"/>
  <c r="N10009" i="9" s="1"/>
  <c r="N10010" i="9" a="1"/>
  <c r="N10010" i="9" s="1"/>
  <c r="N10011" i="9" a="1"/>
  <c r="N10011" i="9" s="1"/>
  <c r="N10012" i="9" a="1"/>
  <c r="N10012" i="9" s="1"/>
  <c r="N10013" i="9" a="1"/>
  <c r="N10013" i="9" s="1"/>
  <c r="N10014" i="9" a="1"/>
  <c r="N10014" i="9" s="1"/>
  <c r="N10015" i="9" a="1"/>
  <c r="N10015" i="9" s="1"/>
  <c r="N10016" i="9" a="1"/>
  <c r="N10016" i="9" s="1"/>
  <c r="N10017" i="9" a="1"/>
  <c r="N10017" i="9"/>
  <c r="N10019" i="9" a="1"/>
  <c r="N10019" i="9" s="1"/>
  <c r="N10020" i="9" a="1"/>
  <c r="N10020" i="9" s="1"/>
  <c r="N10021" i="9" a="1"/>
  <c r="N10021" i="9" s="1"/>
  <c r="N10022" i="9" a="1"/>
  <c r="N10022" i="9" s="1"/>
  <c r="N10023" i="9" a="1"/>
  <c r="N10023" i="9" s="1"/>
  <c r="N10024" i="9" a="1"/>
  <c r="N10024" i="9" s="1"/>
  <c r="N10025" i="9" a="1"/>
  <c r="N10025" i="9" s="1"/>
  <c r="N10026" i="9" a="1"/>
  <c r="N10026" i="9" s="1"/>
  <c r="N10027" i="9" a="1"/>
  <c r="N10027" i="9" s="1"/>
  <c r="N10028" i="9" a="1"/>
  <c r="N10028" i="9" s="1"/>
  <c r="N10029" i="9" a="1"/>
  <c r="N10029" i="9" s="1"/>
  <c r="N10030" i="9" a="1"/>
  <c r="N10030" i="9" s="1"/>
  <c r="N10031" i="9" a="1"/>
  <c r="N10031" i="9" s="1"/>
  <c r="N10032" i="9" a="1"/>
  <c r="N10032" i="9" s="1"/>
  <c r="N10033" i="9" a="1"/>
  <c r="N10033" i="9" s="1"/>
  <c r="N10035" i="9" a="1"/>
  <c r="N10035" i="9" s="1"/>
  <c r="N10036" i="9" a="1"/>
  <c r="N10036" i="9" s="1"/>
  <c r="N10037" i="9" a="1"/>
  <c r="N10037" i="9" s="1"/>
  <c r="N10038" i="9" a="1"/>
  <c r="N10038" i="9" s="1"/>
  <c r="N10039" i="9" a="1"/>
  <c r="N10039" i="9" s="1"/>
  <c r="N10040" i="9" a="1"/>
  <c r="N10040" i="9" s="1"/>
  <c r="N10041" i="9" a="1"/>
  <c r="N10041" i="9"/>
  <c r="N10042" i="9" a="1"/>
  <c r="N10042" i="9" s="1"/>
  <c r="N10043" i="9" a="1"/>
  <c r="N10043" i="9" s="1"/>
  <c r="N10044" i="9" a="1"/>
  <c r="N10044" i="9" s="1"/>
  <c r="N10045" i="9" a="1"/>
  <c r="N10045" i="9" s="1"/>
  <c r="N10046" i="9" a="1"/>
  <c r="N10046" i="9" s="1"/>
  <c r="N10047" i="9" a="1"/>
  <c r="N10047" i="9" s="1"/>
  <c r="N10048" i="9" a="1"/>
  <c r="N10048" i="9" s="1"/>
  <c r="N10049" i="9" a="1"/>
  <c r="N10049" i="9"/>
  <c r="N10051" i="9" a="1"/>
  <c r="N10051" i="9" s="1"/>
  <c r="N10052" i="9" a="1"/>
  <c r="N10052" i="9" s="1"/>
  <c r="N10053" i="9" a="1"/>
  <c r="N10053" i="9" s="1"/>
  <c r="N10054" i="9" a="1"/>
  <c r="N10054" i="9" s="1"/>
  <c r="N10055" i="9" a="1"/>
  <c r="N10055" i="9" s="1"/>
  <c r="N10056" i="9" a="1"/>
  <c r="N10056" i="9" s="1"/>
  <c r="N10057" i="9" a="1"/>
  <c r="N10057" i="9" s="1"/>
  <c r="N10058" i="9" a="1"/>
  <c r="N10058" i="9" s="1"/>
  <c r="N10059" i="9" a="1"/>
  <c r="N10059" i="9" s="1"/>
  <c r="N10060" i="9" a="1"/>
  <c r="N10060" i="9" s="1"/>
  <c r="N10061" i="9" a="1"/>
  <c r="N10061" i="9" s="1"/>
  <c r="N10062" i="9" a="1"/>
  <c r="N10062" i="9" s="1"/>
  <c r="N10063" i="9" a="1"/>
  <c r="N10063" i="9" s="1"/>
  <c r="N10064" i="9" a="1"/>
  <c r="N10064" i="9" s="1"/>
  <c r="N10065" i="9" a="1"/>
  <c r="N10065" i="9" s="1"/>
  <c r="N10067" i="9" a="1"/>
  <c r="N10067" i="9" s="1"/>
  <c r="N10068" i="9" a="1"/>
  <c r="N10068" i="9" s="1"/>
  <c r="N10069" i="9" a="1"/>
  <c r="N10069" i="9" s="1"/>
  <c r="N10070" i="9" a="1"/>
  <c r="N10070" i="9" s="1"/>
  <c r="N10071" i="9" a="1"/>
  <c r="N10071" i="9" s="1"/>
  <c r="N10072" i="9" a="1"/>
  <c r="N10072" i="9" s="1"/>
  <c r="N10073" i="9" a="1"/>
  <c r="N10073" i="9" s="1"/>
  <c r="N10074" i="9" a="1"/>
  <c r="N10074" i="9" s="1"/>
  <c r="N10075" i="9" a="1"/>
  <c r="N10075" i="9" s="1"/>
  <c r="N10076" i="9" a="1"/>
  <c r="N10076" i="9" s="1"/>
  <c r="N10077" i="9" a="1"/>
  <c r="N10077" i="9" s="1"/>
  <c r="N10078" i="9" a="1"/>
  <c r="N10078" i="9" s="1"/>
  <c r="N10079" i="9" a="1"/>
  <c r="N10079" i="9" s="1"/>
  <c r="N10080" i="9" a="1"/>
  <c r="N10080" i="9" s="1"/>
  <c r="N10081" i="9" a="1"/>
  <c r="N10081" i="9"/>
  <c r="N10083" i="9" a="1"/>
  <c r="N10083" i="9" s="1"/>
  <c r="N10084" i="9" a="1"/>
  <c r="N10084" i="9" s="1"/>
  <c r="N10085" i="9" a="1"/>
  <c r="N10085" i="9" s="1"/>
  <c r="N10086" i="9" a="1"/>
  <c r="N10086" i="9" s="1"/>
  <c r="N10087" i="9" a="1"/>
  <c r="N10087" i="9" s="1"/>
  <c r="N10088" i="9" a="1"/>
  <c r="N10088" i="9" s="1"/>
  <c r="N10089" i="9" a="1"/>
  <c r="N10089" i="9" s="1"/>
  <c r="N10090" i="9" a="1"/>
  <c r="N10090" i="9" s="1"/>
  <c r="N10091" i="9" a="1"/>
  <c r="N10091" i="9" s="1"/>
  <c r="N10092" i="9" a="1"/>
  <c r="N10092" i="9" s="1"/>
  <c r="N10093" i="9" a="1"/>
  <c r="N10093" i="9" s="1"/>
  <c r="N10094" i="9" a="1"/>
  <c r="N10094" i="9" s="1"/>
  <c r="N10095" i="9" a="1"/>
  <c r="N10095" i="9" s="1"/>
  <c r="N10096" i="9" a="1"/>
  <c r="N10096" i="9" s="1"/>
  <c r="N10097" i="9" a="1"/>
  <c r="N10097" i="9"/>
  <c r="N10099" i="9" a="1"/>
  <c r="N10099" i="9" s="1"/>
  <c r="N10100" i="9" a="1"/>
  <c r="N10100" i="9" s="1"/>
  <c r="N10101" i="9" a="1"/>
  <c r="N10101" i="9" s="1"/>
  <c r="N10102" i="9" a="1"/>
  <c r="N10102" i="9" s="1"/>
  <c r="N10103" i="9" a="1"/>
  <c r="N10103" i="9" s="1"/>
  <c r="N10104" i="9" a="1"/>
  <c r="N10104" i="9" s="1"/>
  <c r="N10105" i="9" a="1"/>
  <c r="N10105" i="9" s="1"/>
  <c r="N10106" i="9" a="1"/>
  <c r="N10106" i="9" s="1"/>
  <c r="N10107" i="9" a="1"/>
  <c r="N10107" i="9" s="1"/>
  <c r="N10108" i="9" a="1"/>
  <c r="N10108" i="9" s="1"/>
  <c r="N10109" i="9" a="1"/>
  <c r="N10109" i="9" s="1"/>
  <c r="N10110" i="9" a="1"/>
  <c r="N10110" i="9" s="1"/>
  <c r="N10111" i="9" a="1"/>
  <c r="N10111" i="9" s="1"/>
  <c r="N10112" i="9" a="1"/>
  <c r="N10112" i="9" s="1"/>
  <c r="N10113" i="9" a="1"/>
  <c r="N10113" i="9"/>
  <c r="N10115" i="9" a="1"/>
  <c r="N10115" i="9" s="1"/>
  <c r="N10116" i="9" a="1"/>
  <c r="N10116" i="9" s="1"/>
  <c r="N10117" i="9" a="1"/>
  <c r="N10117" i="9" s="1"/>
  <c r="N10118" i="9" a="1"/>
  <c r="N10118" i="9" s="1"/>
  <c r="N10119" i="9" a="1"/>
  <c r="N10119" i="9" s="1"/>
  <c r="N10120" i="9" a="1"/>
  <c r="N10120" i="9" s="1"/>
  <c r="N10121" i="9" a="1"/>
  <c r="N10121" i="9" s="1"/>
  <c r="N10122" i="9" a="1"/>
  <c r="N10122" i="9" s="1"/>
  <c r="N10123" i="9" a="1"/>
  <c r="N10123" i="9" s="1"/>
  <c r="N10124" i="9" a="1"/>
  <c r="N10124" i="9" s="1"/>
  <c r="N10125" i="9" a="1"/>
  <c r="N10125" i="9" s="1"/>
  <c r="N10126" i="9" a="1"/>
  <c r="N10126" i="9" s="1"/>
  <c r="N10127" i="9" a="1"/>
  <c r="N10127" i="9" s="1"/>
  <c r="N10128" i="9" a="1"/>
  <c r="N10128" i="9" s="1"/>
  <c r="N10129" i="9" a="1"/>
  <c r="N10129" i="9" s="1"/>
  <c r="N10131" i="9" a="1"/>
  <c r="N10131" i="9" s="1"/>
  <c r="N10132" i="9" a="1"/>
  <c r="N10132" i="9" s="1"/>
  <c r="N10133" i="9" a="1"/>
  <c r="N10133" i="9" s="1"/>
  <c r="N10134" i="9" a="1"/>
  <c r="N10134" i="9" s="1"/>
  <c r="N10135" i="9" a="1"/>
  <c r="N10135" i="9" s="1"/>
  <c r="N10136" i="9" a="1"/>
  <c r="N10136" i="9" s="1"/>
  <c r="N10137" i="9" a="1"/>
  <c r="N10137" i="9" s="1"/>
  <c r="N10138" i="9" a="1"/>
  <c r="N10138" i="9" s="1"/>
  <c r="N10139" i="9" a="1"/>
  <c r="N10139" i="9" s="1"/>
  <c r="N10140" i="9" a="1"/>
  <c r="N10140" i="9" s="1"/>
  <c r="N10141" i="9" a="1"/>
  <c r="N10141" i="9" s="1"/>
  <c r="N10142" i="9" a="1"/>
  <c r="N10142" i="9" s="1"/>
  <c r="N10143" i="9" a="1"/>
  <c r="N10143" i="9" s="1"/>
  <c r="N10144" i="9" a="1"/>
  <c r="N10144" i="9" s="1"/>
  <c r="N10145" i="9" a="1"/>
  <c r="N10145" i="9"/>
  <c r="N10147" i="9" a="1"/>
  <c r="N10147" i="9" s="1"/>
  <c r="N10148" i="9" a="1"/>
  <c r="N10148" i="9" s="1"/>
  <c r="N10149" i="9" a="1"/>
  <c r="N10149" i="9" s="1"/>
  <c r="N10150" i="9" a="1"/>
  <c r="N10150" i="9" s="1"/>
  <c r="N10151" i="9" a="1"/>
  <c r="N10151" i="9" s="1"/>
  <c r="N10152" i="9" a="1"/>
  <c r="N10152" i="9" s="1"/>
  <c r="N10153" i="9" a="1"/>
  <c r="N10153" i="9" s="1"/>
  <c r="N10154" i="9" a="1"/>
  <c r="N10154" i="9" s="1"/>
  <c r="N10155" i="9" a="1"/>
  <c r="N10155" i="9" s="1"/>
  <c r="N10156" i="9" a="1"/>
  <c r="N10156" i="9" s="1"/>
  <c r="N10157" i="9" a="1"/>
  <c r="N10157" i="9" s="1"/>
  <c r="N10158" i="9" a="1"/>
  <c r="N10158" i="9" s="1"/>
  <c r="N10159" i="9" a="1"/>
  <c r="N10159" i="9" s="1"/>
  <c r="N10160" i="9" a="1"/>
  <c r="N10160" i="9" s="1"/>
  <c r="N10161" i="9" a="1"/>
  <c r="N10161" i="9" s="1"/>
  <c r="N10163" i="9" a="1"/>
  <c r="N10163" i="9" s="1"/>
  <c r="N10164" i="9" a="1"/>
  <c r="N10164" i="9" s="1"/>
  <c r="N10165" i="9" a="1"/>
  <c r="N10165" i="9" s="1"/>
  <c r="N10166" i="9" a="1"/>
  <c r="N10166" i="9" s="1"/>
  <c r="N10167" i="9" a="1"/>
  <c r="N10167" i="9" s="1"/>
  <c r="N10168" i="9" a="1"/>
  <c r="N10168" i="9" s="1"/>
  <c r="N10169" i="9" a="1"/>
  <c r="N10169" i="9" s="1"/>
  <c r="N10170" i="9" a="1"/>
  <c r="N10170" i="9" s="1"/>
  <c r="N10171" i="9" a="1"/>
  <c r="N10171" i="9" s="1"/>
  <c r="N10172" i="9" a="1"/>
  <c r="N10172" i="9" s="1"/>
  <c r="N10173" i="9" a="1"/>
  <c r="N10173" i="9" s="1"/>
  <c r="N10174" i="9" a="1"/>
  <c r="N10174" i="9" s="1"/>
  <c r="N10175" i="9" a="1"/>
  <c r="N10175" i="9" s="1"/>
  <c r="N10176" i="9" a="1"/>
  <c r="N10176" i="9" s="1"/>
  <c r="N10177" i="9" a="1"/>
  <c r="N10177" i="9"/>
  <c r="N10179" i="9" a="1"/>
  <c r="N10179" i="9" s="1"/>
  <c r="N10180" i="9" a="1"/>
  <c r="N10180" i="9" s="1"/>
  <c r="N10181" i="9" a="1"/>
  <c r="N10181" i="9" s="1"/>
  <c r="N10182" i="9" a="1"/>
  <c r="N10182" i="9" s="1"/>
  <c r="N10183" i="9" a="1"/>
  <c r="N10183" i="9" s="1"/>
  <c r="N10184" i="9" a="1"/>
  <c r="N10184" i="9" s="1"/>
  <c r="N10185" i="9" a="1"/>
  <c r="N10185" i="9" s="1"/>
  <c r="N10186" i="9" a="1"/>
  <c r="N10186" i="9" s="1"/>
  <c r="N10187" i="9" a="1"/>
  <c r="N10187" i="9" s="1"/>
  <c r="N10188" i="9" a="1"/>
  <c r="N10188" i="9" s="1"/>
  <c r="N10189" i="9" a="1"/>
  <c r="N10189" i="9" s="1"/>
  <c r="N10190" i="9" a="1"/>
  <c r="N10190" i="9" s="1"/>
  <c r="N10191" i="9" a="1"/>
  <c r="N10191" i="9" s="1"/>
  <c r="N10192" i="9" a="1"/>
  <c r="N10192" i="9" s="1"/>
  <c r="N10193" i="9" a="1"/>
  <c r="N10193" i="9" s="1"/>
  <c r="N10195" i="9" a="1"/>
  <c r="N10195" i="9" s="1"/>
  <c r="N10196" i="9" a="1"/>
  <c r="N10196" i="9" s="1"/>
  <c r="N10197" i="9" a="1"/>
  <c r="N10197" i="9" s="1"/>
  <c r="N10198" i="9" a="1"/>
  <c r="N10198" i="9" s="1"/>
  <c r="N10199" i="9" a="1"/>
  <c r="N10199" i="9" s="1"/>
  <c r="N10200" i="9" a="1"/>
  <c r="N10200" i="9" s="1"/>
  <c r="N10201" i="9" a="1"/>
  <c r="N10201" i="9" s="1"/>
  <c r="N10202" i="9" a="1"/>
  <c r="N10202" i="9" s="1"/>
  <c r="N10203" i="9" a="1"/>
  <c r="N10203" i="9" s="1"/>
  <c r="N10204" i="9" a="1"/>
  <c r="N10204" i="9" s="1"/>
  <c r="N10205" i="9" a="1"/>
  <c r="N10205" i="9" s="1"/>
  <c r="N10206" i="9" a="1"/>
  <c r="N10206" i="9" s="1"/>
  <c r="N10207" i="9" a="1"/>
  <c r="N10207" i="9" s="1"/>
  <c r="N10208" i="9" a="1"/>
  <c r="N10208" i="9" s="1"/>
  <c r="N10209" i="9" a="1"/>
  <c r="N10209" i="9"/>
  <c r="N10211" i="9" a="1"/>
  <c r="N10211" i="9" s="1"/>
  <c r="N10212" i="9" a="1"/>
  <c r="N10212" i="9" s="1"/>
  <c r="N10213" i="9" a="1"/>
  <c r="N10213" i="9" s="1"/>
  <c r="N10214" i="9" a="1"/>
  <c r="N10214" i="9" s="1"/>
  <c r="N10215" i="9" a="1"/>
  <c r="N10215" i="9" s="1"/>
  <c r="N10216" i="9" a="1"/>
  <c r="N10216" i="9" s="1"/>
  <c r="N10217" i="9" a="1"/>
  <c r="N10217" i="9" s="1"/>
  <c r="N10218" i="9" a="1"/>
  <c r="N10218" i="9" s="1"/>
  <c r="N10219" i="9" a="1"/>
  <c r="N10219" i="9" s="1"/>
  <c r="N10220" i="9" a="1"/>
  <c r="N10220" i="9" s="1"/>
  <c r="N10221" i="9" a="1"/>
  <c r="N10221" i="9" s="1"/>
  <c r="N10222" i="9" a="1"/>
  <c r="N10222" i="9" s="1"/>
  <c r="N10223" i="9" a="1"/>
  <c r="N10223" i="9" s="1"/>
  <c r="N10224" i="9" a="1"/>
  <c r="N10224" i="9" s="1"/>
  <c r="N10225" i="9" a="1"/>
  <c r="N10225" i="9" s="1"/>
  <c r="N10227" i="9" a="1"/>
  <c r="N10227" i="9" s="1"/>
  <c r="N10228" i="9" a="1"/>
  <c r="N10228" i="9" s="1"/>
  <c r="N10229" i="9" a="1"/>
  <c r="N10229" i="9" s="1"/>
  <c r="N10230" i="9" a="1"/>
  <c r="N10230" i="9" s="1"/>
  <c r="N10231" i="9" a="1"/>
  <c r="N10231" i="9" s="1"/>
  <c r="N10232" i="9" a="1"/>
  <c r="N10232" i="9" s="1"/>
  <c r="N10233" i="9" a="1"/>
  <c r="N10233" i="9" s="1"/>
  <c r="N10234" i="9" a="1"/>
  <c r="N10234" i="9" s="1"/>
  <c r="N10235" i="9" a="1"/>
  <c r="N10235" i="9" s="1"/>
  <c r="N10236" i="9" a="1"/>
  <c r="N10236" i="9" s="1"/>
  <c r="N10237" i="9" a="1"/>
  <c r="N10237" i="9" s="1"/>
  <c r="N10238" i="9" a="1"/>
  <c r="N10238" i="9" s="1"/>
  <c r="N10239" i="9" a="1"/>
  <c r="N10239" i="9" s="1"/>
  <c r="N10240" i="9" a="1"/>
  <c r="N10240" i="9" s="1"/>
  <c r="N10241" i="9" a="1"/>
  <c r="N10241" i="9"/>
  <c r="N10243" i="9" a="1"/>
  <c r="N10243" i="9" s="1"/>
  <c r="N10244" i="9" a="1"/>
  <c r="N10244" i="9" s="1"/>
  <c r="N10245" i="9" a="1"/>
  <c r="N10245" i="9" s="1"/>
  <c r="N10246" i="9" a="1"/>
  <c r="N10246" i="9" s="1"/>
  <c r="N10247" i="9" a="1"/>
  <c r="N10247" i="9" s="1"/>
  <c r="N10248" i="9" a="1"/>
  <c r="N10248" i="9" s="1"/>
  <c r="N10249" i="9" a="1"/>
  <c r="N10249" i="9" s="1"/>
  <c r="N10250" i="9" a="1"/>
  <c r="N10250" i="9" s="1"/>
  <c r="N10251" i="9" a="1"/>
  <c r="N10251" i="9" s="1"/>
  <c r="N10252" i="9" a="1"/>
  <c r="N10252" i="9" s="1"/>
  <c r="N10253" i="9" a="1"/>
  <c r="N10253" i="9" s="1"/>
  <c r="N10254" i="9" a="1"/>
  <c r="N10254" i="9" s="1"/>
  <c r="N10255" i="9" a="1"/>
  <c r="N10255" i="9" s="1"/>
  <c r="N10256" i="9" a="1"/>
  <c r="N10256" i="9" s="1"/>
  <c r="N10257" i="9" a="1"/>
  <c r="N10257" i="9" s="1"/>
  <c r="N10259" i="9" a="1"/>
  <c r="N10259" i="9" s="1"/>
  <c r="N10260" i="9" a="1"/>
  <c r="N10260" i="9" s="1"/>
  <c r="N10261" i="9" a="1"/>
  <c r="N10261" i="9" s="1"/>
  <c r="N10262" i="9" a="1"/>
  <c r="N10262" i="9" s="1"/>
  <c r="N10263" i="9" a="1"/>
  <c r="N10263" i="9" s="1"/>
  <c r="N10264" i="9" a="1"/>
  <c r="N10264" i="9" s="1"/>
  <c r="N10265" i="9" a="1"/>
  <c r="N10265" i="9" s="1"/>
  <c r="N10266" i="9" a="1"/>
  <c r="N10266" i="9" s="1"/>
  <c r="N10267" i="9" a="1"/>
  <c r="N10267" i="9" s="1"/>
  <c r="N10268" i="9" a="1"/>
  <c r="N10268" i="9" s="1"/>
  <c r="N10269" i="9" a="1"/>
  <c r="N10269" i="9" s="1"/>
  <c r="N10270" i="9" a="1"/>
  <c r="N10270" i="9" s="1"/>
  <c r="N10271" i="9" a="1"/>
  <c r="N10271" i="9" s="1"/>
  <c r="N10272" i="9" a="1"/>
  <c r="N10272" i="9" s="1"/>
  <c r="N10273" i="9" a="1"/>
  <c r="N10273" i="9"/>
  <c r="N10275" i="9" a="1"/>
  <c r="N10275" i="9" s="1"/>
  <c r="N10276" i="9" a="1"/>
  <c r="N10276" i="9" s="1"/>
  <c r="N10277" i="9" a="1"/>
  <c r="N10277" i="9" s="1"/>
  <c r="N10278" i="9" a="1"/>
  <c r="N10278" i="9" s="1"/>
  <c r="N10279" i="9" a="1"/>
  <c r="N10279" i="9" s="1"/>
  <c r="N10280" i="9" a="1"/>
  <c r="N10280" i="9" s="1"/>
  <c r="N10281" i="9" a="1"/>
  <c r="N10281" i="9" s="1"/>
  <c r="N10282" i="9" a="1"/>
  <c r="N10282" i="9" s="1"/>
  <c r="N10283" i="9" a="1"/>
  <c r="N10283" i="9" s="1"/>
  <c r="N10284" i="9" a="1"/>
  <c r="N10284" i="9" s="1"/>
  <c r="N10285" i="9" a="1"/>
  <c r="N10285" i="9" s="1"/>
  <c r="N10286" i="9" a="1"/>
  <c r="N10286" i="9" s="1"/>
  <c r="N10287" i="9" a="1"/>
  <c r="N10287" i="9" s="1"/>
  <c r="N10288" i="9" a="1"/>
  <c r="N10288" i="9" s="1"/>
  <c r="N10289" i="9" a="1"/>
  <c r="N10289" i="9" s="1"/>
  <c r="N10291" i="9" a="1"/>
  <c r="N10291" i="9" s="1"/>
  <c r="N10292" i="9" a="1"/>
  <c r="N10292" i="9" s="1"/>
  <c r="N10293" i="9" a="1"/>
  <c r="N10293" i="9" s="1"/>
  <c r="N10294" i="9" a="1"/>
  <c r="N10294" i="9" s="1"/>
  <c r="N10295" i="9" a="1"/>
  <c r="N10295" i="9" s="1"/>
  <c r="N10296" i="9" a="1"/>
  <c r="N10296" i="9" s="1"/>
  <c r="N10297" i="9" a="1"/>
  <c r="N10297" i="9" s="1"/>
  <c r="N10298" i="9" a="1"/>
  <c r="N10298" i="9" s="1"/>
  <c r="N10299" i="9" a="1"/>
  <c r="N10299" i="9" s="1"/>
  <c r="N10300" i="9" a="1"/>
  <c r="N10300" i="9" s="1"/>
  <c r="N10301" i="9" a="1"/>
  <c r="N10301" i="9" s="1"/>
  <c r="N10302" i="9" a="1"/>
  <c r="N10302" i="9" s="1"/>
  <c r="N10303" i="9" a="1"/>
  <c r="N10303" i="9" s="1"/>
  <c r="N10304" i="9" a="1"/>
  <c r="N10304" i="9" s="1"/>
  <c r="N10305" i="9" a="1"/>
  <c r="N10305" i="9"/>
  <c r="N10307" i="9" a="1"/>
  <c r="N10307" i="9" s="1"/>
  <c r="N10308" i="9" a="1"/>
  <c r="N10308" i="9" s="1"/>
  <c r="N10309" i="9" a="1"/>
  <c r="N10309" i="9" s="1"/>
  <c r="N10310" i="9" a="1"/>
  <c r="N10310" i="9" s="1"/>
  <c r="N10311" i="9" a="1"/>
  <c r="N10311" i="9" s="1"/>
  <c r="N10312" i="9" a="1"/>
  <c r="N10312" i="9" s="1"/>
  <c r="N10313" i="9" a="1"/>
  <c r="N10313" i="9" s="1"/>
  <c r="N10314" i="9" a="1"/>
  <c r="N10314" i="9" s="1"/>
  <c r="N10315" i="9" a="1"/>
  <c r="N10315" i="9" s="1"/>
  <c r="N10316" i="9" a="1"/>
  <c r="N10316" i="9" s="1"/>
  <c r="N10317" i="9" a="1"/>
  <c r="N10317" i="9" s="1"/>
  <c r="N10318" i="9" a="1"/>
  <c r="N10318" i="9" s="1"/>
  <c r="N10319" i="9" a="1"/>
  <c r="N10319" i="9" s="1"/>
  <c r="N10320" i="9" a="1"/>
  <c r="N10320" i="9" s="1"/>
  <c r="N10321" i="9" a="1"/>
  <c r="N10321" i="9" s="1"/>
  <c r="N10323" i="9" a="1"/>
  <c r="N10323" i="9" s="1"/>
  <c r="N10324" i="9" a="1"/>
  <c r="N10324" i="9" s="1"/>
  <c r="N10325" i="9" a="1"/>
  <c r="N10325" i="9" s="1"/>
  <c r="N10326" i="9" a="1"/>
  <c r="N10326" i="9" s="1"/>
  <c r="N10327" i="9" a="1"/>
  <c r="N10327" i="9" s="1"/>
  <c r="N10328" i="9" a="1"/>
  <c r="N10328" i="9" s="1"/>
  <c r="N10329" i="9" a="1"/>
  <c r="N10329" i="9" s="1"/>
  <c r="N10330" i="9" a="1"/>
  <c r="N10330" i="9" s="1"/>
  <c r="N10331" i="9" a="1"/>
  <c r="N10331" i="9" s="1"/>
  <c r="N10332" i="9" a="1"/>
  <c r="N10332" i="9" s="1"/>
  <c r="N10333" i="9" a="1"/>
  <c r="N10333" i="9" s="1"/>
  <c r="N10334" i="9" a="1"/>
  <c r="N10334" i="9" s="1"/>
  <c r="N10335" i="9" a="1"/>
  <c r="N10335" i="9" s="1"/>
  <c r="N10336" i="9" a="1"/>
  <c r="N10336" i="9" s="1"/>
  <c r="N10337" i="9" a="1"/>
  <c r="N10337" i="9" s="1"/>
  <c r="N10339" i="9" a="1"/>
  <c r="N10339" i="9" s="1"/>
  <c r="N10340" i="9" a="1"/>
  <c r="N10340" i="9" s="1"/>
  <c r="N10341" i="9" a="1"/>
  <c r="N10341" i="9" s="1"/>
  <c r="N10342" i="9" a="1"/>
  <c r="N10342" i="9" s="1"/>
  <c r="N10343" i="9" a="1"/>
  <c r="N10343" i="9" s="1"/>
  <c r="N10344" i="9" a="1"/>
  <c r="N10344" i="9" s="1"/>
  <c r="N10345" i="9" a="1"/>
  <c r="N10345" i="9" s="1"/>
  <c r="N10346" i="9" a="1"/>
  <c r="N10346" i="9" s="1"/>
  <c r="N10347" i="9" a="1"/>
  <c r="N10347" i="9" s="1"/>
  <c r="N10348" i="9" a="1"/>
  <c r="N10348" i="9" s="1"/>
  <c r="N10349" i="9" a="1"/>
  <c r="N10349" i="9" s="1"/>
  <c r="N10350" i="9" a="1"/>
  <c r="N10350" i="9" s="1"/>
  <c r="N10351" i="9" a="1"/>
  <c r="N10351" i="9" s="1"/>
  <c r="N10352" i="9" a="1"/>
  <c r="N10352" i="9" s="1"/>
  <c r="N10353" i="9" a="1"/>
  <c r="N10353" i="9" s="1"/>
  <c r="N10355" i="9" a="1"/>
  <c r="N10355" i="9" s="1"/>
  <c r="N10356" i="9" a="1"/>
  <c r="N10356" i="9" s="1"/>
  <c r="N10357" i="9" a="1"/>
  <c r="N10357" i="9" s="1"/>
  <c r="N10358" i="9" a="1"/>
  <c r="N10358" i="9" s="1"/>
  <c r="N10359" i="9" a="1"/>
  <c r="N10359" i="9" s="1"/>
  <c r="N10360" i="9" a="1"/>
  <c r="N10360" i="9" s="1"/>
  <c r="N10361" i="9" a="1"/>
  <c r="N10361" i="9" s="1"/>
  <c r="N10362" i="9" a="1"/>
  <c r="N10362" i="9" s="1"/>
  <c r="N10363" i="9" a="1"/>
  <c r="N10363" i="9" s="1"/>
  <c r="N10364" i="9" a="1"/>
  <c r="N10364" i="9" s="1"/>
  <c r="N10365" i="9" a="1"/>
  <c r="N10365" i="9" s="1"/>
  <c r="N10366" i="9" a="1"/>
  <c r="N10366" i="9" s="1"/>
  <c r="N10367" i="9" a="1"/>
  <c r="N10367" i="9" s="1"/>
  <c r="N10368" i="9" a="1"/>
  <c r="N10368" i="9" s="1"/>
  <c r="N10369" i="9" a="1"/>
  <c r="N10369" i="9" s="1"/>
  <c r="N10371" i="9" a="1"/>
  <c r="N10371" i="9" s="1"/>
  <c r="N10372" i="9" a="1"/>
  <c r="N10372" i="9"/>
  <c r="N10373" i="9" a="1"/>
  <c r="N10373" i="9" s="1"/>
  <c r="N10374" i="9" a="1"/>
  <c r="N10374" i="9" s="1"/>
  <c r="N10375" i="9" a="1"/>
  <c r="N10375" i="9" s="1"/>
  <c r="N10376" i="9" a="1"/>
  <c r="N10376" i="9" s="1"/>
  <c r="N10377" i="9" a="1"/>
  <c r="N10377" i="9" s="1"/>
  <c r="N10378" i="9" a="1"/>
  <c r="N10378" i="9"/>
  <c r="N10379" i="9" a="1"/>
  <c r="N10379" i="9" s="1"/>
  <c r="N10380" i="9" a="1"/>
  <c r="N10380" i="9"/>
  <c r="N10381" i="9" a="1"/>
  <c r="N10381" i="9" s="1"/>
  <c r="N10382" i="9" a="1"/>
  <c r="N10382" i="9" s="1"/>
  <c r="N10383" i="9" a="1"/>
  <c r="N10383" i="9" s="1"/>
  <c r="N10384" i="9" a="1"/>
  <c r="N10384" i="9" s="1"/>
  <c r="N10385" i="9" a="1"/>
  <c r="N10385" i="9" s="1"/>
  <c r="N10387" i="9" a="1"/>
  <c r="N10387" i="9" s="1"/>
  <c r="N10388" i="9" a="1"/>
  <c r="N10388" i="9" s="1"/>
  <c r="N10389" i="9" a="1"/>
  <c r="N10389" i="9" s="1"/>
  <c r="N10390" i="9" a="1"/>
  <c r="N10390" i="9" s="1"/>
  <c r="N10391" i="9" a="1"/>
  <c r="N10391" i="9" s="1"/>
  <c r="N10392" i="9" a="1"/>
  <c r="N10392" i="9" s="1"/>
  <c r="N10393" i="9" a="1"/>
  <c r="N10393" i="9" s="1"/>
  <c r="N10394" i="9" a="1"/>
  <c r="N10394" i="9" s="1"/>
  <c r="N10395" i="9" a="1"/>
  <c r="N10395" i="9" s="1"/>
  <c r="N10396" i="9" a="1"/>
  <c r="N10396" i="9" s="1"/>
  <c r="N10397" i="9" a="1"/>
  <c r="N10397" i="9" s="1"/>
  <c r="N10398" i="9" a="1"/>
  <c r="N10398" i="9"/>
  <c r="N10399" i="9" a="1"/>
  <c r="N10399" i="9" s="1"/>
  <c r="N10400" i="9" a="1"/>
  <c r="N10400" i="9" s="1"/>
  <c r="N10401" i="9" a="1"/>
  <c r="N10401" i="9" s="1"/>
  <c r="N10403" i="9" a="1"/>
  <c r="N10403" i="9" s="1"/>
  <c r="N10404" i="9" a="1"/>
  <c r="N10404" i="9"/>
  <c r="N10405" i="9" a="1"/>
  <c r="N10405" i="9" s="1"/>
  <c r="N10406" i="9" a="1"/>
  <c r="N10406" i="9"/>
  <c r="N10407" i="9" a="1"/>
  <c r="N10407" i="9" s="1"/>
  <c r="N10408" i="9" a="1"/>
  <c r="N10408" i="9" s="1"/>
  <c r="N10409" i="9" a="1"/>
  <c r="N10409" i="9" s="1"/>
  <c r="N10410" i="9" a="1"/>
  <c r="N10410" i="9" s="1"/>
  <c r="N10411" i="9" a="1"/>
  <c r="N10411" i="9" s="1"/>
  <c r="N10412" i="9" a="1"/>
  <c r="N10412" i="9"/>
  <c r="N10413" i="9" a="1"/>
  <c r="N10413" i="9" s="1"/>
  <c r="N10414" i="9" a="1"/>
  <c r="N10414" i="9" s="1"/>
  <c r="N10415" i="9" a="1"/>
  <c r="N10415" i="9" s="1"/>
  <c r="N10416" i="9" a="1"/>
  <c r="N10416" i="9" s="1"/>
  <c r="N10417" i="9" a="1"/>
  <c r="N10417" i="9" s="1"/>
  <c r="N10419" i="9" a="1"/>
  <c r="N10419" i="9" s="1"/>
  <c r="N10420" i="9" a="1"/>
  <c r="N10420" i="9" s="1"/>
  <c r="N10421" i="9" a="1"/>
  <c r="N10421" i="9" s="1"/>
  <c r="N10422" i="9" a="1"/>
  <c r="N10422" i="9" s="1"/>
  <c r="N10423" i="9" a="1"/>
  <c r="N10423" i="9" s="1"/>
  <c r="N10424" i="9" a="1"/>
  <c r="N10424" i="9" s="1"/>
  <c r="N10425" i="9" a="1"/>
  <c r="N10425" i="9" s="1"/>
  <c r="N10426" i="9" a="1"/>
  <c r="N10426" i="9" s="1"/>
  <c r="N10427" i="9" a="1"/>
  <c r="N10427" i="9" s="1"/>
  <c r="N10428" i="9" a="1"/>
  <c r="N10428" i="9" s="1"/>
  <c r="N10429" i="9" a="1"/>
  <c r="N10429" i="9" s="1"/>
  <c r="N10430" i="9" a="1"/>
  <c r="N10430" i="9"/>
  <c r="N10431" i="9" a="1"/>
  <c r="N10431" i="9" s="1"/>
  <c r="N10432" i="9" a="1"/>
  <c r="N10432" i="9" s="1"/>
  <c r="N10433" i="9" a="1"/>
  <c r="N10433" i="9" s="1"/>
  <c r="N10435" i="9" a="1"/>
  <c r="N10435" i="9" s="1"/>
  <c r="N10436" i="9" a="1"/>
  <c r="N10436" i="9" s="1"/>
  <c r="N10437" i="9" a="1"/>
  <c r="N10437" i="9" s="1"/>
  <c r="N10438" i="9" a="1"/>
  <c r="N10438" i="9"/>
  <c r="N10439" i="9" a="1"/>
  <c r="N10439" i="9" s="1"/>
  <c r="N10440" i="9" a="1"/>
  <c r="N10440" i="9" s="1"/>
  <c r="N10441" i="9" a="1"/>
  <c r="N10441" i="9" s="1"/>
  <c r="N10442" i="9" a="1"/>
  <c r="N10442" i="9"/>
  <c r="N10443" i="9" a="1"/>
  <c r="N10443" i="9" s="1"/>
  <c r="N10444" i="9" a="1"/>
  <c r="N10444" i="9" s="1"/>
  <c r="N10445" i="9" a="1"/>
  <c r="N10445" i="9" s="1"/>
  <c r="N10446" i="9" a="1"/>
  <c r="N10446" i="9" s="1"/>
  <c r="N10447" i="9" a="1"/>
  <c r="N10447" i="9" s="1"/>
  <c r="N10448" i="9" a="1"/>
  <c r="N10448" i="9" s="1"/>
  <c r="N10449" i="9" a="1"/>
  <c r="N10449" i="9" s="1"/>
  <c r="N10451" i="9" a="1"/>
  <c r="N10451" i="9" s="1"/>
  <c r="N10452" i="9" a="1"/>
  <c r="N10452" i="9" s="1"/>
  <c r="N10453" i="9" a="1"/>
  <c r="N10453" i="9" s="1"/>
  <c r="N10454" i="9" a="1"/>
  <c r="N10454" i="9" s="1"/>
  <c r="N10455" i="9" a="1"/>
  <c r="N10455" i="9" s="1"/>
  <c r="N10456" i="9" a="1"/>
  <c r="N10456" i="9" s="1"/>
  <c r="N10457" i="9" a="1"/>
  <c r="N10457" i="9" s="1"/>
  <c r="N10458" i="9" a="1"/>
  <c r="N10458" i="9" s="1"/>
  <c r="N10459" i="9" a="1"/>
  <c r="N10459" i="9" s="1"/>
  <c r="N10460" i="9" a="1"/>
  <c r="N10460" i="9" s="1"/>
  <c r="N10461" i="9" a="1"/>
  <c r="N10461" i="9" s="1"/>
  <c r="N10462" i="9" a="1"/>
  <c r="N10462" i="9" s="1"/>
  <c r="N10463" i="9" a="1"/>
  <c r="N10463" i="9" s="1"/>
  <c r="N10464" i="9" a="1"/>
  <c r="N10464" i="9" s="1"/>
  <c r="N10465" i="9" a="1"/>
  <c r="N10465" i="9" s="1"/>
  <c r="N10467" i="9" a="1"/>
  <c r="N10467" i="9" s="1"/>
  <c r="N10468" i="9" a="1"/>
  <c r="N10468" i="9"/>
  <c r="N10469" i="9" a="1"/>
  <c r="N10469" i="9" s="1"/>
  <c r="N10470" i="9" a="1"/>
  <c r="N10470" i="9" s="1"/>
  <c r="N10471" i="9" a="1"/>
  <c r="N10471" i="9" s="1"/>
  <c r="N10472" i="9" a="1"/>
  <c r="N10472" i="9" s="1"/>
  <c r="N10473" i="9" a="1"/>
  <c r="N10473" i="9" s="1"/>
  <c r="N10474" i="9" a="1"/>
  <c r="N10474" i="9"/>
  <c r="N10475" i="9" a="1"/>
  <c r="N10475" i="9" s="1"/>
  <c r="N10476" i="9" a="1"/>
  <c r="N10476" i="9"/>
  <c r="N10477" i="9" a="1"/>
  <c r="N10477" i="9" s="1"/>
  <c r="N10478" i="9" a="1"/>
  <c r="N10478" i="9" s="1"/>
  <c r="N10479" i="9" a="1"/>
  <c r="N10479" i="9" s="1"/>
  <c r="N10480" i="9" a="1"/>
  <c r="N10480" i="9" s="1"/>
  <c r="N10481" i="9" a="1"/>
  <c r="N10481" i="9" s="1"/>
  <c r="N10483" i="9" a="1"/>
  <c r="N10483" i="9" s="1"/>
  <c r="N10484" i="9" a="1"/>
  <c r="N10484" i="9" s="1"/>
  <c r="N10485" i="9" a="1"/>
  <c r="N10485" i="9" s="1"/>
  <c r="N10486" i="9" a="1"/>
  <c r="N10486" i="9" s="1"/>
  <c r="N10487" i="9" a="1"/>
  <c r="N10487" i="9" s="1"/>
  <c r="N10488" i="9" a="1"/>
  <c r="N10488" i="9" s="1"/>
  <c r="N10489" i="9" a="1"/>
  <c r="N10489" i="9" s="1"/>
  <c r="N10490" i="9" a="1"/>
  <c r="N10490" i="9" s="1"/>
  <c r="N10491" i="9" a="1"/>
  <c r="N10491" i="9" s="1"/>
  <c r="N10492" i="9" a="1"/>
  <c r="N10492" i="9" s="1"/>
  <c r="N10493" i="9" a="1"/>
  <c r="N10493" i="9" s="1"/>
  <c r="N10494" i="9" a="1"/>
  <c r="N10494" i="9"/>
  <c r="N10495" i="9" a="1"/>
  <c r="N10495" i="9" s="1"/>
  <c r="N10496" i="9" a="1"/>
  <c r="N10496" i="9" s="1"/>
  <c r="N10497" i="9" a="1"/>
  <c r="N10497" i="9" s="1"/>
  <c r="N10499" i="9" a="1"/>
  <c r="N10499" i="9" s="1"/>
  <c r="N10500" i="9" a="1"/>
  <c r="N10500" i="9"/>
  <c r="N10501" i="9" a="1"/>
  <c r="N10501" i="9" s="1"/>
  <c r="N10502" i="9" a="1"/>
  <c r="N10502" i="9"/>
  <c r="N10503" i="9" a="1"/>
  <c r="N10503" i="9" s="1"/>
  <c r="N10504" i="9" a="1"/>
  <c r="N10504" i="9" s="1"/>
  <c r="N10505" i="9" a="1"/>
  <c r="N10505" i="9" s="1"/>
  <c r="N10506" i="9" a="1"/>
  <c r="N10506" i="9" s="1"/>
  <c r="N10507" i="9" a="1"/>
  <c r="N10507" i="9" s="1"/>
  <c r="N10508" i="9" a="1"/>
  <c r="N10508" i="9"/>
  <c r="N10509" i="9" a="1"/>
  <c r="N10509" i="9" s="1"/>
  <c r="N10510" i="9" a="1"/>
  <c r="N10510" i="9" s="1"/>
  <c r="N10511" i="9" a="1"/>
  <c r="N10511" i="9" s="1"/>
  <c r="N10512" i="9" a="1"/>
  <c r="N10512" i="9" s="1"/>
  <c r="N10513" i="9" a="1"/>
  <c r="N10513" i="9" s="1"/>
  <c r="N10515" i="9" a="1"/>
  <c r="N10515" i="9" s="1"/>
  <c r="N10516" i="9" a="1"/>
  <c r="N10516" i="9" s="1"/>
  <c r="N10517" i="9" a="1"/>
  <c r="N10517" i="9" s="1"/>
  <c r="N10518" i="9" a="1"/>
  <c r="N10518" i="9" s="1"/>
  <c r="N10519" i="9" a="1"/>
  <c r="N10519" i="9" s="1"/>
  <c r="N10520" i="9" a="1"/>
  <c r="N10520" i="9" s="1"/>
  <c r="N10521" i="9" a="1"/>
  <c r="N10521" i="9" s="1"/>
  <c r="N10522" i="9" a="1"/>
  <c r="N10522" i="9" s="1"/>
  <c r="N10523" i="9" a="1"/>
  <c r="N10523" i="9" s="1"/>
  <c r="N10524" i="9" a="1"/>
  <c r="N10524" i="9" s="1"/>
  <c r="N10525" i="9" a="1"/>
  <c r="N10525" i="9" s="1"/>
  <c r="N10526" i="9" a="1"/>
  <c r="N10526" i="9"/>
  <c r="N10527" i="9" a="1"/>
  <c r="N10527" i="9" s="1"/>
  <c r="N10528" i="9" a="1"/>
  <c r="N10528" i="9" s="1"/>
  <c r="N10529" i="9" a="1"/>
  <c r="N10529" i="9" s="1"/>
  <c r="N10531" i="9" a="1"/>
  <c r="N10531" i="9" s="1"/>
  <c r="N10532" i="9" a="1"/>
  <c r="N10532" i="9" s="1"/>
  <c r="N10533" i="9" a="1"/>
  <c r="N10533" i="9" s="1"/>
  <c r="N10534" i="9" a="1"/>
  <c r="N10534" i="9"/>
  <c r="N10535" i="9" a="1"/>
  <c r="N10535" i="9" s="1"/>
  <c r="N10536" i="9" a="1"/>
  <c r="N10536" i="9" s="1"/>
  <c r="N10537" i="9" a="1"/>
  <c r="N10537" i="9" s="1"/>
  <c r="N10538" i="9" a="1"/>
  <c r="N10538" i="9"/>
  <c r="N10539" i="9" a="1"/>
  <c r="N10539" i="9" s="1"/>
  <c r="N10540" i="9" a="1"/>
  <c r="N10540" i="9" s="1"/>
  <c r="N10541" i="9" a="1"/>
  <c r="N10541" i="9" s="1"/>
  <c r="N10542" i="9" a="1"/>
  <c r="N10542" i="9" s="1"/>
  <c r="N10543" i="9" a="1"/>
  <c r="N10543" i="9" s="1"/>
  <c r="N10544" i="9" a="1"/>
  <c r="N10544" i="9" s="1"/>
  <c r="N10545" i="9" a="1"/>
  <c r="N10545" i="9" s="1"/>
  <c r="N10547" i="9" a="1"/>
  <c r="N10547" i="9" s="1"/>
  <c r="N10548" i="9" a="1"/>
  <c r="N10548" i="9" s="1"/>
  <c r="N10549" i="9" a="1"/>
  <c r="N10549" i="9" s="1"/>
  <c r="N10550" i="9" a="1"/>
  <c r="N10550" i="9" s="1"/>
  <c r="N10551" i="9" a="1"/>
  <c r="N10551" i="9" s="1"/>
  <c r="N10552" i="9" a="1"/>
  <c r="N10552" i="9" s="1"/>
  <c r="N10553" i="9" a="1"/>
  <c r="N10553" i="9" s="1"/>
  <c r="N10554" i="9" a="1"/>
  <c r="N10554" i="9" s="1"/>
  <c r="N10555" i="9" a="1"/>
  <c r="N10555" i="9" s="1"/>
  <c r="N10556" i="9" a="1"/>
  <c r="N10556" i="9" s="1"/>
  <c r="N10557" i="9" a="1"/>
  <c r="N10557" i="9" s="1"/>
  <c r="N10558" i="9" a="1"/>
  <c r="N10558" i="9" s="1"/>
  <c r="N10559" i="9" a="1"/>
  <c r="N10559" i="9" s="1"/>
  <c r="N10560" i="9" a="1"/>
  <c r="N10560" i="9" s="1"/>
  <c r="N10561" i="9" a="1"/>
  <c r="N10561" i="9" s="1"/>
  <c r="N10563" i="9" a="1"/>
  <c r="N10563" i="9" s="1"/>
  <c r="N10564" i="9" a="1"/>
  <c r="N10564" i="9"/>
  <c r="N10565" i="9" a="1"/>
  <c r="N10565" i="9" s="1"/>
  <c r="N10566" i="9" a="1"/>
  <c r="N10566" i="9" s="1"/>
  <c r="N10567" i="9" a="1"/>
  <c r="N10567" i="9" s="1"/>
  <c r="N10568" i="9" a="1"/>
  <c r="N10568" i="9" s="1"/>
  <c r="N10569" i="9" a="1"/>
  <c r="N10569" i="9" s="1"/>
  <c r="N10570" i="9" a="1"/>
  <c r="N10570" i="9"/>
  <c r="N10571" i="9" a="1"/>
  <c r="N10571" i="9" s="1"/>
  <c r="N10572" i="9" a="1"/>
  <c r="N10572" i="9"/>
  <c r="N10573" i="9" a="1"/>
  <c r="N10573" i="9" s="1"/>
  <c r="N10574" i="9" a="1"/>
  <c r="N10574" i="9" s="1"/>
  <c r="N10575" i="9" a="1"/>
  <c r="N10575" i="9" s="1"/>
  <c r="N10576" i="9" a="1"/>
  <c r="N10576" i="9" s="1"/>
  <c r="N10577" i="9" a="1"/>
  <c r="N10577" i="9" s="1"/>
  <c r="N10579" i="9" a="1"/>
  <c r="N10579" i="9" s="1"/>
  <c r="N10580" i="9" a="1"/>
  <c r="N10580" i="9" s="1"/>
  <c r="N10581" i="9" a="1"/>
  <c r="N10581" i="9" s="1"/>
  <c r="N10582" i="9" a="1"/>
  <c r="N10582" i="9" s="1"/>
  <c r="N10583" i="9" a="1"/>
  <c r="N10583" i="9" s="1"/>
  <c r="N10584" i="9" a="1"/>
  <c r="N10584" i="9" s="1"/>
  <c r="N10585" i="9" a="1"/>
  <c r="N10585" i="9" s="1"/>
  <c r="N10586" i="9" a="1"/>
  <c r="N10586" i="9" s="1"/>
  <c r="N10587" i="9" a="1"/>
  <c r="N10587" i="9" s="1"/>
  <c r="N10588" i="9" a="1"/>
  <c r="N10588" i="9" s="1"/>
  <c r="N10589" i="9" a="1"/>
  <c r="N10589" i="9" s="1"/>
  <c r="N10590" i="9" a="1"/>
  <c r="N10590" i="9"/>
  <c r="N10591" i="9" a="1"/>
  <c r="N10591" i="9" s="1"/>
  <c r="N10592" i="9" a="1"/>
  <c r="N10592" i="9" s="1"/>
  <c r="N10593" i="9" a="1"/>
  <c r="N10593" i="9" s="1"/>
  <c r="N10595" i="9" a="1"/>
  <c r="N10595" i="9" s="1"/>
  <c r="N10596" i="9" a="1"/>
  <c r="N10596" i="9"/>
  <c r="N10597" i="9" a="1"/>
  <c r="N10597" i="9" s="1"/>
  <c r="N10598" i="9" a="1"/>
  <c r="N10598" i="9"/>
  <c r="N10599" i="9" a="1"/>
  <c r="N10599" i="9" s="1"/>
  <c r="N10600" i="9" a="1"/>
  <c r="N10600" i="9" s="1"/>
  <c r="N10601" i="9" a="1"/>
  <c r="N10601" i="9" s="1"/>
  <c r="N10602" i="9" a="1"/>
  <c r="N10602" i="9" s="1"/>
  <c r="N10603" i="9" a="1"/>
  <c r="N10603" i="9" s="1"/>
  <c r="N10604" i="9" a="1"/>
  <c r="N10604" i="9"/>
  <c r="N10605" i="9" a="1"/>
  <c r="N10605" i="9" s="1"/>
  <c r="N10606" i="9" a="1"/>
  <c r="N10606" i="9" s="1"/>
  <c r="N10607" i="9" a="1"/>
  <c r="N10607" i="9" s="1"/>
  <c r="N10608" i="9" a="1"/>
  <c r="N10608" i="9" s="1"/>
  <c r="N10609" i="9" a="1"/>
  <c r="N10609" i="9" s="1"/>
  <c r="N10611" i="9" a="1"/>
  <c r="N10611" i="9" s="1"/>
  <c r="N10612" i="9" a="1"/>
  <c r="N10612" i="9" s="1"/>
  <c r="N10613" i="9" a="1"/>
  <c r="N10613" i="9" s="1"/>
  <c r="N10614" i="9" a="1"/>
  <c r="N10614" i="9" s="1"/>
  <c r="N10615" i="9" a="1"/>
  <c r="N10615" i="9" s="1"/>
  <c r="N10616" i="9" a="1"/>
  <c r="N10616" i="9" s="1"/>
  <c r="N10617" i="9" a="1"/>
  <c r="N10617" i="9" s="1"/>
  <c r="N10618" i="9" a="1"/>
  <c r="N10618" i="9" s="1"/>
  <c r="N10619" i="9" a="1"/>
  <c r="N10619" i="9" s="1"/>
  <c r="N10620" i="9" a="1"/>
  <c r="N10620" i="9" s="1"/>
  <c r="N10621" i="9" a="1"/>
  <c r="N10621" i="9" s="1"/>
  <c r="N10622" i="9" a="1"/>
  <c r="N10622" i="9"/>
  <c r="N10623" i="9" a="1"/>
  <c r="N10623" i="9" s="1"/>
  <c r="N10624" i="9" a="1"/>
  <c r="N10624" i="9" s="1"/>
  <c r="N10625" i="9" a="1"/>
  <c r="N10625" i="9" s="1"/>
  <c r="N10627" i="9" a="1"/>
  <c r="N10627" i="9" s="1"/>
  <c r="N10628" i="9" a="1"/>
  <c r="N10628" i="9" s="1"/>
  <c r="N10629" i="9" a="1"/>
  <c r="N10629" i="9" s="1"/>
  <c r="N10630" i="9" a="1"/>
  <c r="N10630" i="9"/>
  <c r="N10631" i="9" a="1"/>
  <c r="N10631" i="9" s="1"/>
  <c r="N10632" i="9" a="1"/>
  <c r="N10632" i="9" s="1"/>
  <c r="N10633" i="9" a="1"/>
  <c r="N10633" i="9" s="1"/>
  <c r="N10634" i="9" a="1"/>
  <c r="N10634" i="9"/>
  <c r="N10635" i="9" a="1"/>
  <c r="N10635" i="9" s="1"/>
  <c r="N10636" i="9" a="1"/>
  <c r="N10636" i="9" s="1"/>
  <c r="N10637" i="9" a="1"/>
  <c r="N10637" i="9" s="1"/>
  <c r="N10638" i="9" a="1"/>
  <c r="N10638" i="9" s="1"/>
  <c r="N10639" i="9" a="1"/>
  <c r="N10639" i="9" s="1"/>
  <c r="N10640" i="9" a="1"/>
  <c r="N10640" i="9" s="1"/>
  <c r="N10641" i="9" a="1"/>
  <c r="N10641" i="9" s="1"/>
  <c r="N10643" i="9" a="1"/>
  <c r="N10643" i="9" s="1"/>
  <c r="N10644" i="9" a="1"/>
  <c r="N10644" i="9" s="1"/>
  <c r="N10645" i="9" a="1"/>
  <c r="N10645" i="9" s="1"/>
  <c r="N10646" i="9" a="1"/>
  <c r="N10646" i="9" s="1"/>
  <c r="N10647" i="9" a="1"/>
  <c r="N10647" i="9" s="1"/>
  <c r="N10648" i="9" a="1"/>
  <c r="N10648" i="9" s="1"/>
  <c r="N10649" i="9" a="1"/>
  <c r="N10649" i="9" s="1"/>
  <c r="N10650" i="9" a="1"/>
  <c r="N10650" i="9" s="1"/>
  <c r="N10651" i="9" a="1"/>
  <c r="N10651" i="9" s="1"/>
  <c r="N10652" i="9" a="1"/>
  <c r="N10652" i="9" s="1"/>
  <c r="N10653" i="9" a="1"/>
  <c r="N10653" i="9" s="1"/>
  <c r="N10654" i="9" a="1"/>
  <c r="N10654" i="9" s="1"/>
  <c r="N10655" i="9" a="1"/>
  <c r="N10655" i="9" s="1"/>
  <c r="N10656" i="9" a="1"/>
  <c r="N10656" i="9" s="1"/>
  <c r="N10657" i="9" a="1"/>
  <c r="N10657" i="9" s="1"/>
  <c r="N10659" i="9" a="1"/>
  <c r="N10659" i="9" s="1"/>
  <c r="N10660" i="9" a="1"/>
  <c r="N10660" i="9"/>
  <c r="N10661" i="9" a="1"/>
  <c r="N10661" i="9" s="1"/>
  <c r="N10662" i="9" a="1"/>
  <c r="N10662" i="9" s="1"/>
  <c r="N10663" i="9" a="1"/>
  <c r="N10663" i="9" s="1"/>
  <c r="N10664" i="9" a="1"/>
  <c r="N10664" i="9" s="1"/>
  <c r="N10665" i="9" a="1"/>
  <c r="N10665" i="9" s="1"/>
  <c r="N10666" i="9" a="1"/>
  <c r="N10666" i="9"/>
  <c r="N10667" i="9" a="1"/>
  <c r="N10667" i="9" s="1"/>
  <c r="N10668" i="9" a="1"/>
  <c r="N10668" i="9"/>
  <c r="N10669" i="9" a="1"/>
  <c r="N10669" i="9" s="1"/>
  <c r="N10670" i="9" a="1"/>
  <c r="N10670" i="9" s="1"/>
  <c r="N10671" i="9" a="1"/>
  <c r="N10671" i="9" s="1"/>
  <c r="N10672" i="9" a="1"/>
  <c r="N10672" i="9" s="1"/>
  <c r="N10673" i="9" a="1"/>
  <c r="N10673" i="9" s="1"/>
  <c r="N10675" i="9" a="1"/>
  <c r="N10675" i="9" s="1"/>
  <c r="N10676" i="9" a="1"/>
  <c r="N10676" i="9" s="1"/>
  <c r="N10677" i="9" a="1"/>
  <c r="N10677" i="9" s="1"/>
  <c r="N10678" i="9" a="1"/>
  <c r="N10678" i="9" s="1"/>
  <c r="N10679" i="9" a="1"/>
  <c r="N10679" i="9" s="1"/>
  <c r="N10680" i="9" a="1"/>
  <c r="N10680" i="9" s="1"/>
  <c r="N10681" i="9" a="1"/>
  <c r="N10681" i="9" s="1"/>
  <c r="N10682" i="9" a="1"/>
  <c r="N10682" i="9" s="1"/>
  <c r="N10683" i="9" a="1"/>
  <c r="N10683" i="9" s="1"/>
  <c r="N10684" i="9" a="1"/>
  <c r="N10684" i="9" s="1"/>
  <c r="N10685" i="9" a="1"/>
  <c r="N10685" i="9" s="1"/>
  <c r="N10686" i="9" a="1"/>
  <c r="N10686" i="9"/>
  <c r="N10687" i="9" a="1"/>
  <c r="N10687" i="9" s="1"/>
  <c r="N10688" i="9" a="1"/>
  <c r="N10688" i="9" s="1"/>
  <c r="N10689" i="9" a="1"/>
  <c r="N10689" i="9" s="1"/>
  <c r="N10691" i="9" a="1"/>
  <c r="N10691" i="9" s="1"/>
  <c r="N10692" i="9" a="1"/>
  <c r="N10692" i="9"/>
  <c r="N10693" i="9" a="1"/>
  <c r="N10693" i="9" s="1"/>
  <c r="N10694" i="9" a="1"/>
  <c r="N10694" i="9" s="1"/>
  <c r="N10695" i="9" a="1"/>
  <c r="N10695" i="9" s="1"/>
  <c r="N10696" i="9" a="1"/>
  <c r="N10696" i="9" s="1"/>
  <c r="N10697" i="9" a="1"/>
  <c r="N10697" i="9" s="1"/>
  <c r="N10698" i="9" a="1"/>
  <c r="N10698" i="9" s="1"/>
  <c r="N10699" i="9" a="1"/>
  <c r="N10699" i="9" s="1"/>
  <c r="N10700" i="9" a="1"/>
  <c r="N10700" i="9" s="1"/>
  <c r="N10701" i="9" a="1"/>
  <c r="N10701" i="9" s="1"/>
  <c r="N10702" i="9" a="1"/>
  <c r="N10702" i="9" s="1"/>
  <c r="N10703" i="9" a="1"/>
  <c r="N10703" i="9" s="1"/>
  <c r="N10704" i="9" a="1"/>
  <c r="N10704" i="9" s="1"/>
  <c r="N10705" i="9" a="1"/>
  <c r="N10705" i="9" s="1"/>
  <c r="N10707" i="9" a="1"/>
  <c r="N10707" i="9" s="1"/>
  <c r="N10708" i="9" a="1"/>
  <c r="N10708" i="9" s="1"/>
  <c r="N10709" i="9" a="1"/>
  <c r="N10709" i="9" s="1"/>
  <c r="N10710" i="9" a="1"/>
  <c r="N10710" i="9" s="1"/>
  <c r="N10711" i="9" a="1"/>
  <c r="N10711" i="9" s="1"/>
  <c r="N10712" i="9" a="1"/>
  <c r="N10712" i="9" s="1"/>
  <c r="N10713" i="9" a="1"/>
  <c r="N10713" i="9" s="1"/>
  <c r="N10714" i="9" a="1"/>
  <c r="N10714" i="9"/>
  <c r="N10715" i="9" a="1"/>
  <c r="N10715" i="9" s="1"/>
  <c r="N10716" i="9" a="1"/>
  <c r="N10716" i="9"/>
  <c r="N10717" i="9" a="1"/>
  <c r="N10717" i="9" s="1"/>
  <c r="N10718" i="9" a="1"/>
  <c r="N10718" i="9" s="1"/>
  <c r="N10719" i="9" a="1"/>
  <c r="N10719" i="9" s="1"/>
  <c r="N10720" i="9" a="1"/>
  <c r="N10720" i="9" s="1"/>
  <c r="N10721" i="9" a="1"/>
  <c r="N10721" i="9" s="1"/>
  <c r="N10723" i="9" a="1"/>
  <c r="N10723" i="9" s="1"/>
  <c r="N10724" i="9" a="1"/>
  <c r="N10724" i="9"/>
  <c r="N10725" i="9" a="1"/>
  <c r="N10725" i="9" s="1"/>
  <c r="N10726" i="9" a="1"/>
  <c r="N10726" i="9" s="1"/>
  <c r="N10727" i="9" a="1"/>
  <c r="N10727" i="9" s="1"/>
  <c r="N10728" i="9" a="1"/>
  <c r="N10728" i="9" s="1"/>
  <c r="N10729" i="9" a="1"/>
  <c r="N10729" i="9" s="1"/>
  <c r="N10730" i="9" a="1"/>
  <c r="N10730" i="9"/>
  <c r="N10731" i="9" a="1"/>
  <c r="N10731" i="9" s="1"/>
  <c r="N10732" i="9" a="1"/>
  <c r="N10732" i="9" s="1"/>
  <c r="N10733" i="9" a="1"/>
  <c r="N10733" i="9" s="1"/>
  <c r="N10734" i="9" a="1"/>
  <c r="N10734" i="9" s="1"/>
  <c r="N10735" i="9" a="1"/>
  <c r="N10735" i="9" s="1"/>
  <c r="N10736" i="9" a="1"/>
  <c r="N10736" i="9" s="1"/>
  <c r="N10737" i="9" a="1"/>
  <c r="N10737" i="9" s="1"/>
  <c r="N10739" i="9" a="1"/>
  <c r="N10739" i="9" s="1"/>
  <c r="N10740" i="9" a="1"/>
  <c r="N10740" i="9"/>
  <c r="N10741" i="9" a="1"/>
  <c r="N10741" i="9" s="1"/>
  <c r="N10742" i="9" a="1"/>
  <c r="N10742" i="9" s="1"/>
  <c r="N10743" i="9" a="1"/>
  <c r="N10743" i="9" s="1"/>
  <c r="N10744" i="9" a="1"/>
  <c r="N10744" i="9" s="1"/>
  <c r="N10745" i="9" a="1"/>
  <c r="N10745" i="9" s="1"/>
  <c r="N10746" i="9" a="1"/>
  <c r="N10746" i="9" s="1"/>
  <c r="N10747" i="9" a="1"/>
  <c r="N10747" i="9" s="1"/>
  <c r="N10748" i="9" a="1"/>
  <c r="N10748" i="9" s="1"/>
  <c r="N10749" i="9" a="1"/>
  <c r="N10749" i="9" s="1"/>
  <c r="N10750" i="9" a="1"/>
  <c r="N10750" i="9" s="1"/>
  <c r="N10751" i="9" a="1"/>
  <c r="N10751" i="9" s="1"/>
  <c r="N10752" i="9" a="1"/>
  <c r="N10752" i="9" s="1"/>
  <c r="N10753" i="9" a="1"/>
  <c r="N10753" i="9" s="1"/>
  <c r="N10755" i="9" a="1"/>
  <c r="N10755" i="9" s="1"/>
  <c r="N10756" i="9" a="1"/>
  <c r="N10756" i="9" s="1"/>
  <c r="N10757" i="9" a="1"/>
  <c r="N10757" i="9" s="1"/>
  <c r="N10758" i="9" a="1"/>
  <c r="N10758" i="9" s="1"/>
  <c r="N10759" i="9" a="1"/>
  <c r="N10759" i="9" s="1"/>
  <c r="N10760" i="9" a="1"/>
  <c r="N10760" i="9" s="1"/>
  <c r="N10761" i="9" a="1"/>
  <c r="N10761" i="9" s="1"/>
  <c r="N10762" i="9" a="1"/>
  <c r="N10762" i="9"/>
  <c r="N10763" i="9" a="1"/>
  <c r="N10763" i="9" s="1"/>
  <c r="N10764" i="9" a="1"/>
  <c r="N10764" i="9" s="1"/>
  <c r="N10765" i="9" a="1"/>
  <c r="N10765" i="9" s="1"/>
  <c r="N10766" i="9" a="1"/>
  <c r="N10766" i="9" s="1"/>
  <c r="N10767" i="9" a="1"/>
  <c r="N10767" i="9" s="1"/>
  <c r="N10768" i="9" a="1"/>
  <c r="N10768" i="9" s="1"/>
  <c r="N10769" i="9" a="1"/>
  <c r="N10769" i="9" s="1"/>
  <c r="N10771" i="9" a="1"/>
  <c r="N10771" i="9" s="1"/>
  <c r="N10772" i="9" a="1"/>
  <c r="N10772" i="9"/>
  <c r="N10773" i="9" a="1"/>
  <c r="N10773" i="9" s="1"/>
  <c r="N10774" i="9" a="1"/>
  <c r="N10774" i="9" s="1"/>
  <c r="N10775" i="9" a="1"/>
  <c r="N10775" i="9" s="1"/>
  <c r="N10776" i="9" a="1"/>
  <c r="N10776" i="9" s="1"/>
  <c r="N10777" i="9" a="1"/>
  <c r="N10777" i="9" s="1"/>
  <c r="N10778" i="9" a="1"/>
  <c r="N10778" i="9"/>
  <c r="N10779" i="9" a="1"/>
  <c r="N10779" i="9" s="1"/>
  <c r="N10780" i="9" a="1"/>
  <c r="N10780" i="9" s="1"/>
  <c r="N10781" i="9" a="1"/>
  <c r="N10781" i="9" s="1"/>
  <c r="N10782" i="9" a="1"/>
  <c r="N10782" i="9" s="1"/>
  <c r="N10783" i="9" a="1"/>
  <c r="N10783" i="9" s="1"/>
  <c r="N10784" i="9" a="1"/>
  <c r="N10784" i="9" s="1"/>
  <c r="N10785" i="9" a="1"/>
  <c r="N10785" i="9" s="1"/>
  <c r="N10787" i="9" a="1"/>
  <c r="N10787" i="9" s="1"/>
  <c r="N10788" i="9" a="1"/>
  <c r="N10788" i="9"/>
  <c r="N10789" i="9" a="1"/>
  <c r="N10789" i="9" s="1"/>
  <c r="N10790" i="9" a="1"/>
  <c r="N10790" i="9" s="1"/>
  <c r="N10791" i="9" a="1"/>
  <c r="N10791" i="9" s="1"/>
  <c r="N10792" i="9" a="1"/>
  <c r="N10792" i="9" s="1"/>
  <c r="N10793" i="9" a="1"/>
  <c r="N10793" i="9" s="1"/>
  <c r="N10794" i="9" a="1"/>
  <c r="N10794" i="9" s="1"/>
  <c r="N10795" i="9" a="1"/>
  <c r="N10795" i="9" s="1"/>
  <c r="N10796" i="9" a="1"/>
  <c r="N10796" i="9" s="1"/>
  <c r="N10797" i="9" a="1"/>
  <c r="N10797" i="9" s="1"/>
  <c r="N10798" i="9" a="1"/>
  <c r="N10798" i="9" s="1"/>
  <c r="N10799" i="9" a="1"/>
  <c r="N10799" i="9" s="1"/>
  <c r="N10800" i="9" a="1"/>
  <c r="N10800" i="9" s="1"/>
  <c r="N10801" i="9" a="1"/>
  <c r="N10801" i="9" s="1"/>
  <c r="N10803" i="9" a="1"/>
  <c r="N10803" i="9" s="1"/>
  <c r="N10804" i="9" a="1"/>
  <c r="N10804" i="9" s="1"/>
  <c r="N10805" i="9" a="1"/>
  <c r="N10805" i="9" s="1"/>
  <c r="N10806" i="9" a="1"/>
  <c r="N10806" i="9" s="1"/>
  <c r="N10807" i="9" a="1"/>
  <c r="N10807" i="9" s="1"/>
  <c r="N10808" i="9" a="1"/>
  <c r="N10808" i="9" s="1"/>
  <c r="N10809" i="9" a="1"/>
  <c r="N10809" i="9" s="1"/>
  <c r="N10810" i="9" a="1"/>
  <c r="N10810" i="9"/>
  <c r="N10811" i="9" a="1"/>
  <c r="N10811" i="9" s="1"/>
  <c r="N10812" i="9" a="1"/>
  <c r="N10812" i="9"/>
  <c r="N10813" i="9" a="1"/>
  <c r="N10813" i="9" s="1"/>
  <c r="N10814" i="9" a="1"/>
  <c r="N10814" i="9" s="1"/>
  <c r="N10815" i="9" a="1"/>
  <c r="N10815" i="9" s="1"/>
  <c r="N10816" i="9" a="1"/>
  <c r="N10816" i="9" s="1"/>
  <c r="N10817" i="9" a="1"/>
  <c r="N10817" i="9" s="1"/>
  <c r="N10819" i="9" a="1"/>
  <c r="N10819" i="9" s="1"/>
  <c r="N10820" i="9" a="1"/>
  <c r="N10820" i="9"/>
  <c r="N10821" i="9" a="1"/>
  <c r="N10821" i="9" s="1"/>
  <c r="N10822" i="9" a="1"/>
  <c r="N10822" i="9" s="1"/>
  <c r="N10823" i="9" a="1"/>
  <c r="N10823" i="9" s="1"/>
  <c r="N10824" i="9" a="1"/>
  <c r="N10824" i="9" s="1"/>
  <c r="N10825" i="9" a="1"/>
  <c r="N10825" i="9" s="1"/>
  <c r="N10826" i="9" a="1"/>
  <c r="N10826" i="9"/>
  <c r="N10827" i="9" a="1"/>
  <c r="N10827" i="9" s="1"/>
  <c r="N10828" i="9" a="1"/>
  <c r="N10828" i="9" s="1"/>
  <c r="N10829" i="9" a="1"/>
  <c r="N10829" i="9" s="1"/>
  <c r="N10830" i="9" a="1"/>
  <c r="N10830" i="9" s="1"/>
  <c r="N10831" i="9" a="1"/>
  <c r="N10831" i="9" s="1"/>
  <c r="N10832" i="9" a="1"/>
  <c r="N10832" i="9" s="1"/>
  <c r="N10833" i="9" a="1"/>
  <c r="N10833" i="9" s="1"/>
  <c r="N10835" i="9" a="1"/>
  <c r="N10835" i="9" s="1"/>
  <c r="N10836" i="9" a="1"/>
  <c r="N10836" i="9"/>
  <c r="N10837" i="9" a="1"/>
  <c r="N10837" i="9" s="1"/>
  <c r="N10838" i="9" a="1"/>
  <c r="N10838" i="9" s="1"/>
  <c r="N10839" i="9" a="1"/>
  <c r="N10839" i="9" s="1"/>
  <c r="N10840" i="9" a="1"/>
  <c r="N10840" i="9" s="1"/>
  <c r="N10841" i="9" a="1"/>
  <c r="N10841" i="9" s="1"/>
  <c r="N10842" i="9" a="1"/>
  <c r="N10842" i="9" s="1"/>
  <c r="N10843" i="9" a="1"/>
  <c r="N10843" i="9" s="1"/>
  <c r="N10844" i="9" a="1"/>
  <c r="N10844" i="9" s="1"/>
  <c r="N10845" i="9" a="1"/>
  <c r="N10845" i="9" s="1"/>
  <c r="N10846" i="9" a="1"/>
  <c r="N10846" i="9" s="1"/>
  <c r="N10847" i="9" a="1"/>
  <c r="N10847" i="9" s="1"/>
  <c r="N10848" i="9" a="1"/>
  <c r="N10848" i="9" s="1"/>
  <c r="N10849" i="9" a="1"/>
  <c r="N10849" i="9" s="1"/>
  <c r="N10851" i="9" a="1"/>
  <c r="N10851" i="9" s="1"/>
  <c r="N10852" i="9" a="1"/>
  <c r="N10852" i="9" s="1"/>
  <c r="N10853" i="9" a="1"/>
  <c r="N10853" i="9" s="1"/>
  <c r="N10854" i="9" a="1"/>
  <c r="N10854" i="9" s="1"/>
  <c r="N10855" i="9" a="1"/>
  <c r="N10855" i="9" s="1"/>
  <c r="N10856" i="9" a="1"/>
  <c r="N10856" i="9" s="1"/>
  <c r="N10857" i="9" a="1"/>
  <c r="N10857" i="9" s="1"/>
  <c r="N10858" i="9" a="1"/>
  <c r="N10858" i="9"/>
  <c r="N10859" i="9" a="1"/>
  <c r="N10859" i="9" s="1"/>
  <c r="N10860" i="9" a="1"/>
  <c r="N10860" i="9"/>
  <c r="N10861" i="9" a="1"/>
  <c r="N10861" i="9" s="1"/>
  <c r="N10862" i="9" a="1"/>
  <c r="N10862" i="9" s="1"/>
  <c r="N10863" i="9" a="1"/>
  <c r="N10863" i="9" s="1"/>
  <c r="N10864" i="9" a="1"/>
  <c r="N10864" i="9" s="1"/>
  <c r="N10865" i="9" a="1"/>
  <c r="N10865" i="9" s="1"/>
  <c r="N10867" i="9" a="1"/>
  <c r="N10867" i="9" s="1"/>
  <c r="N10868" i="9" a="1"/>
  <c r="N10868" i="9"/>
  <c r="N10869" i="9" a="1"/>
  <c r="N10869" i="9" s="1"/>
  <c r="N10870" i="9" a="1"/>
  <c r="N10870" i="9" s="1"/>
  <c r="N10871" i="9" a="1"/>
  <c r="N10871" i="9" s="1"/>
  <c r="N10872" i="9" a="1"/>
  <c r="N10872" i="9" s="1"/>
  <c r="N10873" i="9" a="1"/>
  <c r="N10873" i="9" s="1"/>
  <c r="N10874" i="9" a="1"/>
  <c r="N10874" i="9"/>
  <c r="N10875" i="9" a="1"/>
  <c r="N10875" i="9" s="1"/>
  <c r="N10876" i="9" a="1"/>
  <c r="N10876" i="9" s="1"/>
  <c r="N10877" i="9" a="1"/>
  <c r="N10877" i="9" s="1"/>
  <c r="N10878" i="9" a="1"/>
  <c r="N10878" i="9" s="1"/>
  <c r="N10879" i="9" a="1"/>
  <c r="N10879" i="9" s="1"/>
  <c r="N10880" i="9" a="1"/>
  <c r="N10880" i="9" s="1"/>
  <c r="N10881" i="9" a="1"/>
  <c r="N10881" i="9" s="1"/>
  <c r="N10883" i="9" a="1"/>
  <c r="N10883" i="9" s="1"/>
  <c r="N10884" i="9" a="1"/>
  <c r="N10884" i="9"/>
  <c r="N10885" i="9" a="1"/>
  <c r="N10885" i="9" s="1"/>
  <c r="N10886" i="9" a="1"/>
  <c r="N10886" i="9" s="1"/>
  <c r="N10887" i="9" a="1"/>
  <c r="N10887" i="9" s="1"/>
  <c r="N10888" i="9" a="1"/>
  <c r="N10888" i="9" s="1"/>
  <c r="N10889" i="9" a="1"/>
  <c r="N10889" i="9" s="1"/>
  <c r="N10890" i="9" a="1"/>
  <c r="N10890" i="9" s="1"/>
  <c r="N10891" i="9" a="1"/>
  <c r="N10891" i="9" s="1"/>
  <c r="N10892" i="9" a="1"/>
  <c r="N10892" i="9" s="1"/>
  <c r="N10893" i="9" a="1"/>
  <c r="N10893" i="9" s="1"/>
  <c r="N10894" i="9" a="1"/>
  <c r="N10894" i="9" s="1"/>
  <c r="N10895" i="9" a="1"/>
  <c r="N10895" i="9" s="1"/>
  <c r="N10896" i="9" a="1"/>
  <c r="N10896" i="9" s="1"/>
  <c r="N10897" i="9" a="1"/>
  <c r="N10897" i="9" s="1"/>
  <c r="N10899" i="9" a="1"/>
  <c r="N10899" i="9" s="1"/>
  <c r="N10900" i="9" a="1"/>
  <c r="N10900" i="9" s="1"/>
  <c r="N10901" i="9" a="1"/>
  <c r="N10901" i="9" s="1"/>
  <c r="N10902" i="9" a="1"/>
  <c r="N10902" i="9" s="1"/>
  <c r="N10903" i="9" a="1"/>
  <c r="N10903" i="9" s="1"/>
  <c r="N10904" i="9" a="1"/>
  <c r="N10904" i="9" s="1"/>
  <c r="N10905" i="9" a="1"/>
  <c r="N10905" i="9" s="1"/>
  <c r="N10906" i="9" a="1"/>
  <c r="N10906" i="9"/>
  <c r="N10907" i="9" a="1"/>
  <c r="N10907" i="9" s="1"/>
  <c r="N10908" i="9" a="1"/>
  <c r="N10908" i="9" s="1"/>
  <c r="N10909" i="9" a="1"/>
  <c r="N10909" i="9" s="1"/>
  <c r="N10910" i="9" a="1"/>
  <c r="N10910" i="9" s="1"/>
  <c r="N10911" i="9" a="1"/>
  <c r="N10911" i="9" s="1"/>
  <c r="N10912" i="9" a="1"/>
  <c r="N10912" i="9" s="1"/>
  <c r="N10913" i="9" a="1"/>
  <c r="N10913" i="9" s="1"/>
  <c r="N10915" i="9" a="1"/>
  <c r="N10915" i="9" s="1"/>
  <c r="N10916" i="9" a="1"/>
  <c r="N10916" i="9"/>
  <c r="N10917" i="9" a="1"/>
  <c r="N10917" i="9" s="1"/>
  <c r="N10918" i="9" a="1"/>
  <c r="N10918" i="9" s="1"/>
  <c r="N10919" i="9" a="1"/>
  <c r="N10919" i="9" s="1"/>
  <c r="N10920" i="9" a="1"/>
  <c r="N10920" i="9" s="1"/>
  <c r="N10921" i="9" a="1"/>
  <c r="N10921" i="9" s="1"/>
  <c r="N10922" i="9" a="1"/>
  <c r="N10922" i="9"/>
  <c r="N10923" i="9" a="1"/>
  <c r="N10923" i="9" s="1"/>
  <c r="N10924" i="9" a="1"/>
  <c r="N10924" i="9" s="1"/>
  <c r="N10925" i="9" a="1"/>
  <c r="N10925" i="9" s="1"/>
  <c r="N10926" i="9" a="1"/>
  <c r="N10926" i="9" s="1"/>
  <c r="N10927" i="9" a="1"/>
  <c r="N10927" i="9" s="1"/>
  <c r="N10928" i="9" a="1"/>
  <c r="N10928" i="9" s="1"/>
  <c r="N10929" i="9" a="1"/>
  <c r="N10929" i="9" s="1"/>
  <c r="N10931" i="9" a="1"/>
  <c r="N10931" i="9" s="1"/>
  <c r="N10932" i="9" a="1"/>
  <c r="N10932" i="9"/>
  <c r="N10933" i="9" a="1"/>
  <c r="N10933" i="9" s="1"/>
  <c r="N10934" i="9" a="1"/>
  <c r="N10934" i="9" s="1"/>
  <c r="N10935" i="9" a="1"/>
  <c r="N10935" i="9" s="1"/>
  <c r="N10936" i="9" a="1"/>
  <c r="N10936" i="9" s="1"/>
  <c r="N10937" i="9" a="1"/>
  <c r="N10937" i="9" s="1"/>
  <c r="N10938" i="9" a="1"/>
  <c r="N10938" i="9" s="1"/>
  <c r="N10939" i="9" a="1"/>
  <c r="N10939" i="9" s="1"/>
  <c r="N10940" i="9" a="1"/>
  <c r="N10940" i="9" s="1"/>
  <c r="N10941" i="9" a="1"/>
  <c r="N10941" i="9" s="1"/>
  <c r="N10942" i="9" a="1"/>
  <c r="N10942" i="9" s="1"/>
  <c r="N10943" i="9" a="1"/>
  <c r="N10943" i="9" s="1"/>
  <c r="N10944" i="9" a="1"/>
  <c r="N10944" i="9" s="1"/>
  <c r="N10945" i="9" a="1"/>
  <c r="N10945" i="9" s="1"/>
  <c r="N10947" i="9" a="1"/>
  <c r="N10947" i="9" s="1"/>
  <c r="N10948" i="9" a="1"/>
  <c r="N10948" i="9" s="1"/>
  <c r="N10949" i="9" a="1"/>
  <c r="N10949" i="9" s="1"/>
  <c r="N10950" i="9" a="1"/>
  <c r="N10950" i="9" s="1"/>
  <c r="N10951" i="9" a="1"/>
  <c r="N10951" i="9" s="1"/>
  <c r="N10952" i="9" a="1"/>
  <c r="N10952" i="9" s="1"/>
  <c r="N10953" i="9" a="1"/>
  <c r="N10953" i="9" s="1"/>
  <c r="N10954" i="9" a="1"/>
  <c r="N10954" i="9"/>
  <c r="N10955" i="9" a="1"/>
  <c r="N10955" i="9" s="1"/>
  <c r="N10956" i="9" a="1"/>
  <c r="N10956" i="9"/>
  <c r="N10957" i="9" a="1"/>
  <c r="N10957" i="9" s="1"/>
  <c r="N10958" i="9" a="1"/>
  <c r="N10958" i="9" s="1"/>
  <c r="N10959" i="9" a="1"/>
  <c r="N10959" i="9" s="1"/>
  <c r="N10960" i="9" a="1"/>
  <c r="N10960" i="9" s="1"/>
  <c r="N10961" i="9" a="1"/>
  <c r="N10961" i="9" s="1"/>
  <c r="N10963" i="9" a="1"/>
  <c r="N10963" i="9" s="1"/>
  <c r="N10964" i="9" a="1"/>
  <c r="N10964" i="9"/>
  <c r="N10965" i="9" a="1"/>
  <c r="N10965" i="9" s="1"/>
  <c r="N10966" i="9" a="1"/>
  <c r="N10966" i="9" s="1"/>
  <c r="N10967" i="9" a="1"/>
  <c r="N10967" i="9" s="1"/>
  <c r="N10968" i="9" a="1"/>
  <c r="N10968" i="9" s="1"/>
  <c r="N10969" i="9" a="1"/>
  <c r="N10969" i="9" s="1"/>
  <c r="N10970" i="9" a="1"/>
  <c r="N10970" i="9"/>
  <c r="N10971" i="9" a="1"/>
  <c r="N10971" i="9" s="1"/>
  <c r="N10972" i="9" a="1"/>
  <c r="N10972" i="9" s="1"/>
  <c r="N10973" i="9" a="1"/>
  <c r="N10973" i="9" s="1"/>
  <c r="N10974" i="9" a="1"/>
  <c r="N10974" i="9" s="1"/>
  <c r="N10975" i="9" a="1"/>
  <c r="N10975" i="9" s="1"/>
  <c r="N10976" i="9" a="1"/>
  <c r="N10976" i="9" s="1"/>
  <c r="N10977" i="9" a="1"/>
  <c r="N10977" i="9" s="1"/>
  <c r="N10979" i="9" a="1"/>
  <c r="N10979" i="9" s="1"/>
  <c r="N10980" i="9" a="1"/>
  <c r="N10980" i="9"/>
  <c r="N10981" i="9" a="1"/>
  <c r="N10981" i="9" s="1"/>
  <c r="N10982" i="9" a="1"/>
  <c r="N10982" i="9" s="1"/>
  <c r="N10983" i="9" a="1"/>
  <c r="N10983" i="9" s="1"/>
  <c r="N10984" i="9" a="1"/>
  <c r="N10984" i="9" s="1"/>
  <c r="N10985" i="9" a="1"/>
  <c r="N10985" i="9" s="1"/>
  <c r="N10986" i="9" a="1"/>
  <c r="N10986" i="9" s="1"/>
  <c r="N10987" i="9" a="1"/>
  <c r="N10987" i="9" s="1"/>
  <c r="N10988" i="9" a="1"/>
  <c r="N10988" i="9" s="1"/>
  <c r="N10989" i="9" a="1"/>
  <c r="N10989" i="9" s="1"/>
  <c r="N10990" i="9" a="1"/>
  <c r="N10990" i="9" s="1"/>
  <c r="N10991" i="9" a="1"/>
  <c r="N10991" i="9" s="1"/>
  <c r="N10992" i="9" a="1"/>
  <c r="N10992" i="9" s="1"/>
  <c r="N10993" i="9" a="1"/>
  <c r="N10993" i="9" s="1"/>
  <c r="N10995" i="9" a="1"/>
  <c r="N10995" i="9" s="1"/>
  <c r="N10996" i="9" a="1"/>
  <c r="N10996" i="9" s="1"/>
  <c r="N10997" i="9" a="1"/>
  <c r="N10997" i="9" s="1"/>
  <c r="N10998" i="9" a="1"/>
  <c r="N10998" i="9" s="1"/>
  <c r="N10999" i="9" a="1"/>
  <c r="N10999" i="9" s="1"/>
  <c r="N11000" i="9" a="1"/>
  <c r="N11000" i="9" s="1"/>
  <c r="N11001" i="9" a="1"/>
  <c r="N11001" i="9" s="1"/>
  <c r="N11002" i="9" a="1"/>
  <c r="N11002" i="9"/>
  <c r="N11003" i="9" a="1"/>
  <c r="N11003" i="9" s="1"/>
  <c r="N11004" i="9" a="1"/>
  <c r="N11004" i="9"/>
  <c r="N11005" i="9" a="1"/>
  <c r="N11005" i="9" s="1"/>
  <c r="N11006" i="9" a="1"/>
  <c r="N11006" i="9" s="1"/>
  <c r="N11007" i="9" a="1"/>
  <c r="N11007" i="9" s="1"/>
  <c r="N11008" i="9" a="1"/>
  <c r="N11008" i="9" s="1"/>
  <c r="N11009" i="9" a="1"/>
  <c r="N11009" i="9" s="1"/>
  <c r="N11011" i="9" a="1"/>
  <c r="N11011" i="9" s="1"/>
  <c r="N11012" i="9" a="1"/>
  <c r="N11012" i="9"/>
  <c r="N11013" i="9" a="1"/>
  <c r="N11013" i="9" s="1"/>
  <c r="N11014" i="9" a="1"/>
  <c r="N11014" i="9" s="1"/>
  <c r="N11015" i="9" a="1"/>
  <c r="N11015" i="9" s="1"/>
  <c r="N11016" i="9" a="1"/>
  <c r="N11016" i="9" s="1"/>
  <c r="N11017" i="9" a="1"/>
  <c r="N11017" i="9" s="1"/>
  <c r="N11018" i="9" a="1"/>
  <c r="N11018" i="9"/>
  <c r="N11019" i="9" a="1"/>
  <c r="N11019" i="9" s="1"/>
  <c r="N11020" i="9" a="1"/>
  <c r="N11020" i="9" s="1"/>
  <c r="N11021" i="9" a="1"/>
  <c r="N11021" i="9" s="1"/>
  <c r="N11022" i="9" a="1"/>
  <c r="N11022" i="9" s="1"/>
  <c r="N11023" i="9" a="1"/>
  <c r="N11023" i="9" s="1"/>
  <c r="N11024" i="9" a="1"/>
  <c r="N11024" i="9" s="1"/>
  <c r="N11025" i="9" a="1"/>
  <c r="N11025" i="9" s="1"/>
  <c r="N11027" i="9" a="1"/>
  <c r="N11027" i="9" s="1"/>
  <c r="N11028" i="9" a="1"/>
  <c r="N11028" i="9"/>
  <c r="N11029" i="9" a="1"/>
  <c r="N11029" i="9" s="1"/>
  <c r="N11030" i="9" a="1"/>
  <c r="N11030" i="9" s="1"/>
  <c r="N11031" i="9" a="1"/>
  <c r="N11031" i="9" s="1"/>
  <c r="N11032" i="9" a="1"/>
  <c r="N11032" i="9" s="1"/>
  <c r="N11033" i="9" a="1"/>
  <c r="N11033" i="9" s="1"/>
  <c r="N11034" i="9" a="1"/>
  <c r="N11034" i="9" s="1"/>
  <c r="N11035" i="9" a="1"/>
  <c r="N11035" i="9" s="1"/>
  <c r="N11036" i="9" a="1"/>
  <c r="N11036" i="9" s="1"/>
  <c r="N11037" i="9" a="1"/>
  <c r="N11037" i="9" s="1"/>
  <c r="N11038" i="9" a="1"/>
  <c r="N11038" i="9" s="1"/>
  <c r="N11039" i="9" a="1"/>
  <c r="N11039" i="9" s="1"/>
  <c r="N11040" i="9" a="1"/>
  <c r="N11040" i="9" s="1"/>
  <c r="N11041" i="9" a="1"/>
  <c r="N11041" i="9" s="1"/>
  <c r="N11043" i="9" a="1"/>
  <c r="N11043" i="9" s="1"/>
  <c r="N11044" i="9" a="1"/>
  <c r="N11044" i="9" s="1"/>
  <c r="N11045" i="9" a="1"/>
  <c r="N11045" i="9" s="1"/>
  <c r="N11046" i="9" a="1"/>
  <c r="N11046" i="9" s="1"/>
  <c r="N11047" i="9" a="1"/>
  <c r="N11047" i="9" s="1"/>
  <c r="N11048" i="9" a="1"/>
  <c r="N11048" i="9" s="1"/>
  <c r="N11049" i="9" a="1"/>
  <c r="N11049" i="9" s="1"/>
  <c r="N11050" i="9" a="1"/>
  <c r="N11050" i="9"/>
  <c r="N11051" i="9" a="1"/>
  <c r="N11051" i="9" s="1"/>
  <c r="N11052" i="9" a="1"/>
  <c r="N11052" i="9" s="1"/>
  <c r="N11053" i="9" a="1"/>
  <c r="N11053" i="9" s="1"/>
  <c r="N11054" i="9" a="1"/>
  <c r="N11054" i="9" s="1"/>
  <c r="N11055" i="9" a="1"/>
  <c r="N11055" i="9" s="1"/>
  <c r="N11056" i="9" a="1"/>
  <c r="N11056" i="9" s="1"/>
  <c r="N11057" i="9" a="1"/>
  <c r="N11057" i="9" s="1"/>
  <c r="N11059" i="9" a="1"/>
  <c r="N11059" i="9" s="1"/>
  <c r="N11060" i="9" a="1"/>
  <c r="N11060" i="9"/>
  <c r="N11061" i="9" a="1"/>
  <c r="N11061" i="9" s="1"/>
  <c r="N11062" i="9" a="1"/>
  <c r="N11062" i="9" s="1"/>
  <c r="N11063" i="9" a="1"/>
  <c r="N11063" i="9" s="1"/>
  <c r="N11064" i="9" a="1"/>
  <c r="N11064" i="9" s="1"/>
  <c r="N11065" i="9" a="1"/>
  <c r="N11065" i="9" s="1"/>
  <c r="N11066" i="9" a="1"/>
  <c r="N11066" i="9"/>
  <c r="N11067" i="9" a="1"/>
  <c r="N11067" i="9" s="1"/>
  <c r="N11068" i="9" a="1"/>
  <c r="N11068" i="9" s="1"/>
  <c r="N11069" i="9" a="1"/>
  <c r="N11069" i="9" s="1"/>
  <c r="N11070" i="9" a="1"/>
  <c r="N11070" i="9" s="1"/>
  <c r="N11071" i="9" a="1"/>
  <c r="N11071" i="9" s="1"/>
  <c r="N11072" i="9" a="1"/>
  <c r="N11072" i="9" s="1"/>
  <c r="N11073" i="9" a="1"/>
  <c r="N11073" i="9" s="1"/>
  <c r="N11075" i="9" a="1"/>
  <c r="N11075" i="9" s="1"/>
  <c r="N11076" i="9" a="1"/>
  <c r="N11076" i="9"/>
  <c r="N11077" i="9" a="1"/>
  <c r="N11077" i="9" s="1"/>
  <c r="N11078" i="9" a="1"/>
  <c r="N11078" i="9" s="1"/>
  <c r="N11079" i="9" a="1"/>
  <c r="N11079" i="9" s="1"/>
  <c r="N11080" i="9" a="1"/>
  <c r="N11080" i="9" s="1"/>
  <c r="N11081" i="9" a="1"/>
  <c r="N11081" i="9" s="1"/>
  <c r="N11082" i="9" a="1"/>
  <c r="N11082" i="9" s="1"/>
  <c r="N11083" i="9" a="1"/>
  <c r="N11083" i="9" s="1"/>
  <c r="N11084" i="9" a="1"/>
  <c r="N11084" i="9" s="1"/>
  <c r="N11085" i="9" a="1"/>
  <c r="N11085" i="9" s="1"/>
  <c r="N11086" i="9" a="1"/>
  <c r="N11086" i="9" s="1"/>
  <c r="N11087" i="9" a="1"/>
  <c r="N11087" i="9" s="1"/>
  <c r="N11088" i="9" a="1"/>
  <c r="N11088" i="9" s="1"/>
  <c r="N11089" i="9" a="1"/>
  <c r="N11089" i="9" s="1"/>
  <c r="N11091" i="9" a="1"/>
  <c r="N11091" i="9" s="1"/>
  <c r="N11092" i="9" a="1"/>
  <c r="N11092" i="9" s="1"/>
  <c r="N11093" i="9" a="1"/>
  <c r="N11093" i="9" s="1"/>
  <c r="N11094" i="9" a="1"/>
  <c r="N11094" i="9" s="1"/>
  <c r="N11095" i="9" a="1"/>
  <c r="N11095" i="9" s="1"/>
  <c r="N11096" i="9" a="1"/>
  <c r="N11096" i="9" s="1"/>
  <c r="N11097" i="9" a="1"/>
  <c r="N11097" i="9" s="1"/>
  <c r="N11098" i="9" a="1"/>
  <c r="N11098" i="9"/>
  <c r="N11099" i="9" a="1"/>
  <c r="N11099" i="9" s="1"/>
  <c r="N11100" i="9" a="1"/>
  <c r="N11100" i="9"/>
  <c r="N11101" i="9" a="1"/>
  <c r="N11101" i="9" s="1"/>
  <c r="N11102" i="9" a="1"/>
  <c r="N11102" i="9" s="1"/>
  <c r="N11103" i="9" a="1"/>
  <c r="N11103" i="9" s="1"/>
  <c r="N11104" i="9" a="1"/>
  <c r="N11104" i="9" s="1"/>
  <c r="N11105" i="9" a="1"/>
  <c r="N11105" i="9"/>
  <c r="N11107" i="9" a="1"/>
  <c r="N11107" i="9"/>
  <c r="N11108" i="9" a="1"/>
  <c r="N11108" i="9" s="1"/>
  <c r="N11109" i="9" a="1"/>
  <c r="N11109" i="9"/>
  <c r="N11110" i="9" a="1"/>
  <c r="N11110" i="9" s="1"/>
  <c r="N11111" i="9" a="1"/>
  <c r="N11111" i="9" s="1"/>
  <c r="N11112" i="9" a="1"/>
  <c r="N11112" i="9" s="1"/>
  <c r="N11113" i="9" a="1"/>
  <c r="N11113" i="9"/>
  <c r="N11114" i="9" a="1"/>
  <c r="N11114" i="9" s="1"/>
  <c r="N11115" i="9" a="1"/>
  <c r="N11115" i="9"/>
  <c r="N11116" i="9" a="1"/>
  <c r="N11116" i="9" s="1"/>
  <c r="N11117" i="9" a="1"/>
  <c r="N11117" i="9" s="1"/>
  <c r="N11118" i="9" a="1"/>
  <c r="N11118" i="9" s="1"/>
  <c r="N11119" i="9" a="1"/>
  <c r="N11119" i="9" s="1"/>
  <c r="N11120" i="9" a="1"/>
  <c r="N11120" i="9" s="1"/>
  <c r="N11121" i="9" a="1"/>
  <c r="N11121" i="9"/>
  <c r="N11123" i="9" a="1"/>
  <c r="N11123" i="9"/>
  <c r="N11124" i="9" a="1"/>
  <c r="N11124" i="9" s="1"/>
  <c r="N11125" i="9" a="1"/>
  <c r="N11125" i="9" s="1"/>
  <c r="N11126" i="9" a="1"/>
  <c r="N11126" i="9" s="1"/>
  <c r="N11127" i="9" a="1"/>
  <c r="N11127" i="9" s="1"/>
  <c r="N11128" i="9" a="1"/>
  <c r="N11128" i="9" s="1"/>
  <c r="N11129" i="9" a="1"/>
  <c r="N11129" i="9"/>
  <c r="N11130" i="9" a="1"/>
  <c r="N11130" i="9" s="1"/>
  <c r="N11131" i="9" a="1"/>
  <c r="N11131" i="9"/>
  <c r="N11132" i="9" a="1"/>
  <c r="N11132" i="9" s="1"/>
  <c r="N11133" i="9" a="1"/>
  <c r="N11133" i="9" s="1"/>
  <c r="N11134" i="9" a="1"/>
  <c r="N11134" i="9" s="1"/>
  <c r="N11135" i="9" a="1"/>
  <c r="N11135" i="9" s="1"/>
  <c r="N11136" i="9" a="1"/>
  <c r="N11136" i="9" s="1"/>
  <c r="N11137" i="9" a="1"/>
  <c r="N11137" i="9"/>
  <c r="N11139" i="9" a="1"/>
  <c r="N11139" i="9"/>
  <c r="N11140" i="9" a="1"/>
  <c r="N11140" i="9" s="1"/>
  <c r="N11141" i="9" a="1"/>
  <c r="N11141" i="9" s="1"/>
  <c r="N11142" i="9" a="1"/>
  <c r="N11142" i="9" s="1"/>
  <c r="N11143" i="9" a="1"/>
  <c r="N11143" i="9" s="1"/>
  <c r="N11144" i="9" a="1"/>
  <c r="N11144" i="9" s="1"/>
  <c r="N11145" i="9" a="1"/>
  <c r="N11145" i="9"/>
  <c r="N11146" i="9" a="1"/>
  <c r="N11146" i="9" s="1"/>
  <c r="N11147" i="9" a="1"/>
  <c r="N11147" i="9"/>
  <c r="N11148" i="9" a="1"/>
  <c r="N11148" i="9" s="1"/>
  <c r="N11149" i="9" a="1"/>
  <c r="N11149" i="9"/>
  <c r="N11150" i="9" a="1"/>
  <c r="N11150" i="9" s="1"/>
  <c r="N11151" i="9" a="1"/>
  <c r="N11151" i="9" s="1"/>
  <c r="N11152" i="9" a="1"/>
  <c r="N11152" i="9" s="1"/>
  <c r="N11153" i="9" a="1"/>
  <c r="N11153" i="9"/>
  <c r="N11155" i="9" a="1"/>
  <c r="N11155" i="9"/>
  <c r="N11156" i="9" a="1"/>
  <c r="N11156" i="9" s="1"/>
  <c r="N11157" i="9" a="1"/>
  <c r="N11157" i="9" s="1"/>
  <c r="N11158" i="9" a="1"/>
  <c r="N11158" i="9" s="1"/>
  <c r="N11159" i="9" a="1"/>
  <c r="N11159" i="9" s="1"/>
  <c r="N11160" i="9" a="1"/>
  <c r="N11160" i="9" s="1"/>
  <c r="N11161" i="9" a="1"/>
  <c r="N11161" i="9"/>
  <c r="N11162" i="9" a="1"/>
  <c r="N11162" i="9" s="1"/>
  <c r="N11163" i="9" a="1"/>
  <c r="N11163" i="9"/>
  <c r="N11164" i="9" a="1"/>
  <c r="N11164" i="9" s="1"/>
  <c r="N11165" i="9" a="1"/>
  <c r="N11165" i="9"/>
  <c r="N11166" i="9" a="1"/>
  <c r="N11166" i="9" s="1"/>
  <c r="N11167" i="9" a="1"/>
  <c r="N11167" i="9" s="1"/>
  <c r="N11168" i="9" a="1"/>
  <c r="N11168" i="9" s="1"/>
  <c r="N11169" i="9" a="1"/>
  <c r="N11169" i="9"/>
  <c r="N11171" i="9" a="1"/>
  <c r="N11171" i="9"/>
  <c r="N11172" i="9" a="1"/>
  <c r="N11172" i="9" s="1"/>
  <c r="N11173" i="9" a="1"/>
  <c r="N11173" i="9"/>
  <c r="N11174" i="9" a="1"/>
  <c r="N11174" i="9" s="1"/>
  <c r="N11175" i="9" a="1"/>
  <c r="N11175" i="9" s="1"/>
  <c r="N11176" i="9" a="1"/>
  <c r="N11176" i="9" s="1"/>
  <c r="N11177" i="9" a="1"/>
  <c r="N11177" i="9"/>
  <c r="N11178" i="9" a="1"/>
  <c r="N11178" i="9" s="1"/>
  <c r="N11179" i="9" a="1"/>
  <c r="N11179" i="9"/>
  <c r="N11180" i="9" a="1"/>
  <c r="N11180" i="9" s="1"/>
  <c r="N11181" i="9" a="1"/>
  <c r="N11181" i="9" s="1"/>
  <c r="N11182" i="9" a="1"/>
  <c r="N11182" i="9" s="1"/>
  <c r="N11183" i="9" a="1"/>
  <c r="N11183" i="9" s="1"/>
  <c r="N11184" i="9" a="1"/>
  <c r="N11184" i="9" s="1"/>
  <c r="N11185" i="9" a="1"/>
  <c r="N11185" i="9"/>
  <c r="N11187" i="9" a="1"/>
  <c r="N11187" i="9"/>
  <c r="N11188" i="9" a="1"/>
  <c r="N11188" i="9" s="1"/>
  <c r="N11189" i="9" a="1"/>
  <c r="N11189" i="9" s="1"/>
  <c r="N11190" i="9" a="1"/>
  <c r="N11190" i="9" s="1"/>
  <c r="N11191" i="9" a="1"/>
  <c r="N11191" i="9" s="1"/>
  <c r="N11192" i="9" a="1"/>
  <c r="N11192" i="9" s="1"/>
  <c r="N11193" i="9" a="1"/>
  <c r="N11193" i="9"/>
  <c r="N11194" i="9" a="1"/>
  <c r="N11194" i="9" s="1"/>
  <c r="N11195" i="9" a="1"/>
  <c r="N11195" i="9"/>
  <c r="N11196" i="9" a="1"/>
  <c r="N11196" i="9" s="1"/>
  <c r="N11197" i="9" a="1"/>
  <c r="N11197" i="9" s="1"/>
  <c r="N11198" i="9" a="1"/>
  <c r="N11198" i="9" s="1"/>
  <c r="N11199" i="9" a="1"/>
  <c r="N11199" i="9" s="1"/>
  <c r="N11200" i="9" a="1"/>
  <c r="N11200" i="9" s="1"/>
  <c r="N11201" i="9" a="1"/>
  <c r="N11201" i="9"/>
  <c r="N11203" i="9" a="1"/>
  <c r="N11203" i="9"/>
  <c r="N11204" i="9" a="1"/>
  <c r="N11204" i="9" s="1"/>
  <c r="N11205" i="9" a="1"/>
  <c r="N11205" i="9" s="1"/>
  <c r="N11206" i="9" a="1"/>
  <c r="N11206" i="9" s="1"/>
  <c r="N11207" i="9" a="1"/>
  <c r="N11207" i="9" s="1"/>
  <c r="N11208" i="9" a="1"/>
  <c r="N11208" i="9" s="1"/>
  <c r="N11209" i="9" a="1"/>
  <c r="N11209" i="9"/>
  <c r="N11210" i="9" a="1"/>
  <c r="N11210" i="9" s="1"/>
  <c r="N11211" i="9" a="1"/>
  <c r="N11211" i="9"/>
  <c r="N11212" i="9" a="1"/>
  <c r="N11212" i="9" s="1"/>
  <c r="N11213" i="9" a="1"/>
  <c r="N11213" i="9"/>
  <c r="N11214" i="9" a="1"/>
  <c r="N11214" i="9" s="1"/>
  <c r="N11215" i="9" a="1"/>
  <c r="N11215" i="9" s="1"/>
  <c r="N11216" i="9" a="1"/>
  <c r="N11216" i="9" s="1"/>
  <c r="N11217" i="9" a="1"/>
  <c r="N11217" i="9"/>
  <c r="N11219" i="9" a="1"/>
  <c r="N11219" i="9"/>
  <c r="N11220" i="9" a="1"/>
  <c r="N11220" i="9" s="1"/>
  <c r="N11221" i="9" a="1"/>
  <c r="N11221" i="9" s="1"/>
  <c r="N11222" i="9" a="1"/>
  <c r="N11222" i="9" s="1"/>
  <c r="N11223" i="9" a="1"/>
  <c r="N11223" i="9" s="1"/>
  <c r="N11224" i="9" a="1"/>
  <c r="N11224" i="9" s="1"/>
  <c r="N11225" i="9" a="1"/>
  <c r="N11225" i="9"/>
  <c r="N11226" i="9" a="1"/>
  <c r="N11226" i="9" s="1"/>
  <c r="N11227" i="9" a="1"/>
  <c r="N11227" i="9"/>
  <c r="N11228" i="9" a="1"/>
  <c r="N11228" i="9" s="1"/>
  <c r="N11229" i="9" a="1"/>
  <c r="N11229" i="9"/>
  <c r="N11230" i="9" a="1"/>
  <c r="N11230" i="9" s="1"/>
  <c r="N11231" i="9" a="1"/>
  <c r="N11231" i="9" s="1"/>
  <c r="N11232" i="9" a="1"/>
  <c r="N11232" i="9" s="1"/>
  <c r="N11233" i="9" a="1"/>
  <c r="N11233" i="9"/>
  <c r="N11235" i="9" a="1"/>
  <c r="N11235" i="9"/>
  <c r="N11236" i="9" a="1"/>
  <c r="N11236" i="9" s="1"/>
  <c r="N11237" i="9" a="1"/>
  <c r="N11237" i="9"/>
  <c r="N11238" i="9" a="1"/>
  <c r="N11238" i="9" s="1"/>
  <c r="N11239" i="9" a="1"/>
  <c r="N11239" i="9" s="1"/>
  <c r="N11240" i="9" a="1"/>
  <c r="N11240" i="9" s="1"/>
  <c r="N11241" i="9" a="1"/>
  <c r="N11241" i="9"/>
  <c r="N11242" i="9" a="1"/>
  <c r="N11242" i="9" s="1"/>
  <c r="N11243" i="9" a="1"/>
  <c r="N11243" i="9"/>
  <c r="N11244" i="9" a="1"/>
  <c r="N11244" i="9" s="1"/>
  <c r="N11245" i="9" a="1"/>
  <c r="N11245" i="9" s="1"/>
  <c r="N11246" i="9" a="1"/>
  <c r="N11246" i="9" s="1"/>
  <c r="N11247" i="9" a="1"/>
  <c r="N11247" i="9" s="1"/>
  <c r="N11248" i="9" a="1"/>
  <c r="N11248" i="9" s="1"/>
  <c r="N11249" i="9" a="1"/>
  <c r="N11249" i="9"/>
  <c r="N11251" i="9" a="1"/>
  <c r="N11251" i="9"/>
  <c r="N11252" i="9" a="1"/>
  <c r="N11252" i="9" s="1"/>
  <c r="N11253" i="9" a="1"/>
  <c r="N11253" i="9" s="1"/>
  <c r="N11254" i="9" a="1"/>
  <c r="N11254" i="9" s="1"/>
  <c r="N11255" i="9" a="1"/>
  <c r="N11255" i="9" s="1"/>
  <c r="N11256" i="9" a="1"/>
  <c r="N11256" i="9" s="1"/>
  <c r="N11257" i="9" a="1"/>
  <c r="N11257" i="9"/>
  <c r="N11258" i="9" a="1"/>
  <c r="N11258" i="9" s="1"/>
  <c r="N11259" i="9" a="1"/>
  <c r="N11259" i="9"/>
  <c r="N11260" i="9" a="1"/>
  <c r="N11260" i="9" s="1"/>
  <c r="N11261" i="9" a="1"/>
  <c r="N11261" i="9" s="1"/>
  <c r="N11262" i="9" a="1"/>
  <c r="N11262" i="9" s="1"/>
  <c r="N11263" i="9" a="1"/>
  <c r="N11263" i="9" s="1"/>
  <c r="N11264" i="9" a="1"/>
  <c r="N11264" i="9" s="1"/>
  <c r="N11265" i="9" a="1"/>
  <c r="N11265" i="9"/>
  <c r="N11267" i="9" a="1"/>
  <c r="N11267" i="9"/>
  <c r="N11268" i="9" a="1"/>
  <c r="N11268" i="9" s="1"/>
  <c r="N11269" i="9" a="1"/>
  <c r="N11269" i="9" s="1"/>
  <c r="N11270" i="9" a="1"/>
  <c r="N11270" i="9" s="1"/>
  <c r="N11271" i="9" a="1"/>
  <c r="N11271" i="9" s="1"/>
  <c r="N11272" i="9" a="1"/>
  <c r="N11272" i="9" s="1"/>
  <c r="N11273" i="9" a="1"/>
  <c r="N11273" i="9"/>
  <c r="N11274" i="9" a="1"/>
  <c r="N11274" i="9" s="1"/>
  <c r="N11275" i="9" a="1"/>
  <c r="N11275" i="9"/>
  <c r="N11276" i="9" a="1"/>
  <c r="N11276" i="9" s="1"/>
  <c r="N11277" i="9" a="1"/>
  <c r="N11277" i="9"/>
  <c r="N11278" i="9" a="1"/>
  <c r="N11278" i="9" s="1"/>
  <c r="N11279" i="9" a="1"/>
  <c r="N11279" i="9" s="1"/>
  <c r="N11280" i="9" a="1"/>
  <c r="N11280" i="9" s="1"/>
  <c r="N11281" i="9" a="1"/>
  <c r="N11281" i="9"/>
  <c r="N11283" i="9" a="1"/>
  <c r="N11283" i="9"/>
  <c r="N11284" i="9" a="1"/>
  <c r="N11284" i="9" s="1"/>
  <c r="N11285" i="9" a="1"/>
  <c r="N11285" i="9" s="1"/>
  <c r="N11286" i="9" a="1"/>
  <c r="N11286" i="9" s="1"/>
  <c r="N11287" i="9" a="1"/>
  <c r="N11287" i="9" s="1"/>
  <c r="N11288" i="9" a="1"/>
  <c r="N11288" i="9" s="1"/>
  <c r="N11289" i="9" a="1"/>
  <c r="N11289" i="9"/>
  <c r="N11290" i="9" a="1"/>
  <c r="N11290" i="9" s="1"/>
  <c r="N11291" i="9" a="1"/>
  <c r="N11291" i="9"/>
  <c r="N11292" i="9" a="1"/>
  <c r="N11292" i="9" s="1"/>
  <c r="N11293" i="9" a="1"/>
  <c r="N11293" i="9"/>
  <c r="N11294" i="9" a="1"/>
  <c r="N11294" i="9" s="1"/>
  <c r="N11295" i="9" a="1"/>
  <c r="N11295" i="9" s="1"/>
  <c r="N11296" i="9" a="1"/>
  <c r="N11296" i="9" s="1"/>
  <c r="N11297" i="9" a="1"/>
  <c r="N11297" i="9"/>
  <c r="N11299" i="9" a="1"/>
  <c r="N11299" i="9"/>
  <c r="N11300" i="9" a="1"/>
  <c r="N11300" i="9" s="1"/>
  <c r="N11301" i="9" a="1"/>
  <c r="N11301" i="9"/>
  <c r="N11302" i="9" a="1"/>
  <c r="N11302" i="9" s="1"/>
  <c r="N11303" i="9" a="1"/>
  <c r="N11303" i="9" s="1"/>
  <c r="N11304" i="9" a="1"/>
  <c r="N11304" i="9" s="1"/>
  <c r="N11305" i="9" a="1"/>
  <c r="N11305" i="9"/>
  <c r="N11306" i="9" a="1"/>
  <c r="N11306" i="9" s="1"/>
  <c r="N11307" i="9" a="1"/>
  <c r="N11307" i="9"/>
  <c r="N11308" i="9" a="1"/>
  <c r="N11308" i="9" s="1"/>
  <c r="N11309" i="9" a="1"/>
  <c r="N11309" i="9" s="1"/>
  <c r="N11310" i="9" a="1"/>
  <c r="N11310" i="9" s="1"/>
  <c r="N11311" i="9" a="1"/>
  <c r="N11311" i="9" s="1"/>
  <c r="N11312" i="9" a="1"/>
  <c r="N11312" i="9" s="1"/>
  <c r="N11313" i="9" a="1"/>
  <c r="N11313" i="9"/>
  <c r="N11315" i="9" a="1"/>
  <c r="N11315" i="9"/>
  <c r="N11316" i="9" a="1"/>
  <c r="N11316" i="9" s="1"/>
  <c r="N11317" i="9" a="1"/>
  <c r="N11317" i="9" s="1"/>
  <c r="N11318" i="9" a="1"/>
  <c r="N11318" i="9" s="1"/>
  <c r="N11319" i="9" a="1"/>
  <c r="N11319" i="9" s="1"/>
  <c r="N11320" i="9" a="1"/>
  <c r="N11320" i="9" s="1"/>
  <c r="N11321" i="9" a="1"/>
  <c r="N11321" i="9"/>
  <c r="N11322" i="9" a="1"/>
  <c r="N11322" i="9" s="1"/>
  <c r="N11323" i="9" a="1"/>
  <c r="N11323" i="9"/>
  <c r="N11324" i="9" a="1"/>
  <c r="N11324" i="9" s="1"/>
  <c r="N11325" i="9" a="1"/>
  <c r="N11325" i="9" s="1"/>
  <c r="N11326" i="9" a="1"/>
  <c r="N11326" i="9" s="1"/>
  <c r="N11327" i="9" a="1"/>
  <c r="N11327" i="9" s="1"/>
  <c r="N11328" i="9" a="1"/>
  <c r="N11328" i="9" s="1"/>
  <c r="N11329" i="9" a="1"/>
  <c r="N11329" i="9"/>
  <c r="N11331" i="9" a="1"/>
  <c r="N11331" i="9"/>
  <c r="N11332" i="9" a="1"/>
  <c r="N11332" i="9" s="1"/>
  <c r="N11333" i="9" a="1"/>
  <c r="N11333" i="9" s="1"/>
  <c r="N11334" i="9" a="1"/>
  <c r="N11334" i="9" s="1"/>
  <c r="N11335" i="9" a="1"/>
  <c r="N11335" i="9"/>
  <c r="N11336" i="9" a="1"/>
  <c r="N11336" i="9" s="1"/>
  <c r="N11337" i="9" a="1"/>
  <c r="N11337" i="9"/>
  <c r="N11338" i="9" a="1"/>
  <c r="N11338" i="9" s="1"/>
  <c r="N11339" i="9" a="1"/>
  <c r="N11339" i="9"/>
  <c r="N11340" i="9" a="1"/>
  <c r="N11340" i="9" s="1"/>
  <c r="N11341" i="9" a="1"/>
  <c r="N11341" i="9" s="1"/>
  <c r="N11342" i="9" a="1"/>
  <c r="N11342" i="9" s="1"/>
  <c r="N11343" i="9" a="1"/>
  <c r="N11343" i="9"/>
  <c r="N11344" i="9" a="1"/>
  <c r="N11344" i="9" s="1"/>
  <c r="N11345" i="9" a="1"/>
  <c r="N11345" i="9"/>
  <c r="N11347" i="9" a="1"/>
  <c r="N11347" i="9"/>
  <c r="N11348" i="9" a="1"/>
  <c r="N11348" i="9" s="1"/>
  <c r="N11349" i="9" a="1"/>
  <c r="N11349" i="9" s="1"/>
  <c r="N11350" i="9" a="1"/>
  <c r="N11350" i="9" s="1"/>
  <c r="N11351" i="9" a="1"/>
  <c r="N11351" i="9" s="1"/>
  <c r="N11352" i="9" a="1"/>
  <c r="N11352" i="9" s="1"/>
  <c r="N11353" i="9" a="1"/>
  <c r="N11353" i="9"/>
  <c r="N11354" i="9" a="1"/>
  <c r="N11354" i="9" s="1"/>
  <c r="N11355" i="9" a="1"/>
  <c r="N11355" i="9"/>
  <c r="N11356" i="9" a="1"/>
  <c r="N11356" i="9" s="1"/>
  <c r="N11357" i="9" a="1"/>
  <c r="N11357" i="9" s="1"/>
  <c r="N11358" i="9" a="1"/>
  <c r="N11358" i="9" s="1"/>
  <c r="N11359" i="9" a="1"/>
  <c r="N11359" i="9" s="1"/>
  <c r="N11360" i="9" a="1"/>
  <c r="N11360" i="9" s="1"/>
  <c r="N11361" i="9" a="1"/>
  <c r="N11361" i="9" s="1"/>
  <c r="N11363" i="9" a="1"/>
  <c r="N11363" i="9" s="1"/>
  <c r="N11364" i="9" a="1"/>
  <c r="N11364" i="9" s="1"/>
  <c r="N11365" i="9" a="1"/>
  <c r="N11365" i="9" s="1"/>
  <c r="N11366" i="9" a="1"/>
  <c r="N11366" i="9" s="1"/>
  <c r="N11367" i="9" a="1"/>
  <c r="N11367" i="9" s="1"/>
  <c r="N11368" i="9" a="1"/>
  <c r="N11368" i="9" s="1"/>
  <c r="N11369" i="9" a="1"/>
  <c r="N11369" i="9" s="1"/>
  <c r="N11370" i="9" a="1"/>
  <c r="N11370" i="9" s="1"/>
  <c r="N11371" i="9" a="1"/>
  <c r="N11371" i="9" s="1"/>
  <c r="N11372" i="9" a="1"/>
  <c r="N11372" i="9" s="1"/>
  <c r="N11373" i="9" a="1"/>
  <c r="N11373" i="9" s="1"/>
  <c r="N11374" i="9" a="1"/>
  <c r="N11374" i="9" s="1"/>
  <c r="N11375" i="9" a="1"/>
  <c r="N11375" i="9" s="1"/>
  <c r="N11376" i="9" a="1"/>
  <c r="N11376" i="9" s="1"/>
  <c r="N11377" i="9" a="1"/>
  <c r="N11377" i="9" s="1"/>
  <c r="N11379" i="9" a="1"/>
  <c r="N11379" i="9" s="1"/>
  <c r="N11380" i="9" a="1"/>
  <c r="N11380" i="9" s="1"/>
  <c r="N11381" i="9" a="1"/>
  <c r="N11381" i="9" s="1"/>
  <c r="N11382" i="9" a="1"/>
  <c r="N11382" i="9" s="1"/>
  <c r="N11383" i="9" a="1"/>
  <c r="N11383" i="9" s="1"/>
  <c r="N11384" i="9" a="1"/>
  <c r="N11384" i="9" s="1"/>
  <c r="N11385" i="9" a="1"/>
  <c r="N11385" i="9" s="1"/>
  <c r="N11386" i="9" a="1"/>
  <c r="N11386" i="9" s="1"/>
  <c r="N11387" i="9" a="1"/>
  <c r="N11387" i="9" s="1"/>
  <c r="N11388" i="9" a="1"/>
  <c r="N11388" i="9" s="1"/>
  <c r="N11389" i="9" a="1"/>
  <c r="N11389" i="9" s="1"/>
  <c r="N11390" i="9" a="1"/>
  <c r="N11390" i="9" s="1"/>
  <c r="N11391" i="9" a="1"/>
  <c r="N11391" i="9" s="1"/>
  <c r="N11392" i="9" a="1"/>
  <c r="N11392" i="9" s="1"/>
  <c r="N11393" i="9" a="1"/>
  <c r="N11393" i="9" s="1"/>
  <c r="N11395" i="9" a="1"/>
  <c r="N11395" i="9" s="1"/>
  <c r="N11396" i="9" a="1"/>
  <c r="N11396" i="9" s="1"/>
  <c r="N11397" i="9" a="1"/>
  <c r="N11397" i="9" s="1"/>
  <c r="N11398" i="9" a="1"/>
  <c r="N11398" i="9" s="1"/>
  <c r="N11399" i="9" a="1"/>
  <c r="N11399" i="9" s="1"/>
  <c r="N11400" i="9" a="1"/>
  <c r="N11400" i="9" s="1"/>
  <c r="N11401" i="9" a="1"/>
  <c r="N11401" i="9" s="1"/>
  <c r="N11402" i="9" a="1"/>
  <c r="N11402" i="9" s="1"/>
  <c r="N11403" i="9" a="1"/>
  <c r="N11403" i="9" s="1"/>
  <c r="N11404" i="9" a="1"/>
  <c r="N11404" i="9" s="1"/>
  <c r="N11405" i="9" a="1"/>
  <c r="N11405" i="9" s="1"/>
  <c r="N11406" i="9" a="1"/>
  <c r="N11406" i="9" s="1"/>
  <c r="N11407" i="9" a="1"/>
  <c r="N11407" i="9" s="1"/>
  <c r="N11408" i="9" a="1"/>
  <c r="N11408" i="9" s="1"/>
  <c r="N11409" i="9" a="1"/>
  <c r="N11409" i="9" s="1"/>
  <c r="N11411" i="9" a="1"/>
  <c r="N11411" i="9" s="1"/>
  <c r="N11412" i="9" a="1"/>
  <c r="N11412" i="9" s="1"/>
  <c r="N11413" i="9" a="1"/>
  <c r="N11413" i="9" s="1"/>
  <c r="N11414" i="9" a="1"/>
  <c r="N11414" i="9" s="1"/>
  <c r="N11415" i="9" a="1"/>
  <c r="N11415" i="9" s="1"/>
  <c r="N11416" i="9" a="1"/>
  <c r="N11416" i="9" s="1"/>
  <c r="N11417" i="9" a="1"/>
  <c r="N11417" i="9" s="1"/>
  <c r="N11418" i="9" a="1"/>
  <c r="N11418" i="9" s="1"/>
  <c r="N11419" i="9" a="1"/>
  <c r="N11419" i="9" s="1"/>
  <c r="N11420" i="9" a="1"/>
  <c r="N11420" i="9" s="1"/>
  <c r="N11421" i="9" a="1"/>
  <c r="N11421" i="9" s="1"/>
  <c r="N11422" i="9" a="1"/>
  <c r="N11422" i="9" s="1"/>
  <c r="N11423" i="9" a="1"/>
  <c r="N11423" i="9" s="1"/>
  <c r="N11424" i="9" a="1"/>
  <c r="N11424" i="9" s="1"/>
  <c r="N11425" i="9" a="1"/>
  <c r="N11425" i="9" s="1"/>
  <c r="N11427" i="9" a="1"/>
  <c r="N11427" i="9" s="1"/>
  <c r="N11428" i="9" a="1"/>
  <c r="N11428" i="9" s="1"/>
  <c r="N11429" i="9" a="1"/>
  <c r="N11429" i="9" s="1"/>
  <c r="N11430" i="9" a="1"/>
  <c r="N11430" i="9" s="1"/>
  <c r="N11431" i="9" a="1"/>
  <c r="N11431" i="9" s="1"/>
  <c r="N11432" i="9" a="1"/>
  <c r="N11432" i="9" s="1"/>
  <c r="N11433" i="9" a="1"/>
  <c r="N11433" i="9" s="1"/>
  <c r="N11434" i="9" a="1"/>
  <c r="N11434" i="9" s="1"/>
  <c r="N11435" i="9" a="1"/>
  <c r="N11435" i="9" s="1"/>
  <c r="N11436" i="9" a="1"/>
  <c r="N11436" i="9" s="1"/>
  <c r="N11437" i="9" a="1"/>
  <c r="N11437" i="9" s="1"/>
  <c r="N11438" i="9" a="1"/>
  <c r="N11438" i="9" s="1"/>
  <c r="N11439" i="9" a="1"/>
  <c r="N11439" i="9" s="1"/>
  <c r="N11440" i="9" a="1"/>
  <c r="N11440" i="9" s="1"/>
  <c r="N11441" i="9" a="1"/>
  <c r="N11441" i="9" s="1"/>
  <c r="N11443" i="9" a="1"/>
  <c r="N11443" i="9" s="1"/>
  <c r="N11444" i="9" a="1"/>
  <c r="N11444" i="9" s="1"/>
  <c r="N11445" i="9" a="1"/>
  <c r="N11445" i="9" s="1"/>
  <c r="N11446" i="9" a="1"/>
  <c r="N11446" i="9" s="1"/>
  <c r="N11447" i="9" a="1"/>
  <c r="N11447" i="9" s="1"/>
  <c r="N11448" i="9" a="1"/>
  <c r="N11448" i="9" s="1"/>
  <c r="N11449" i="9" a="1"/>
  <c r="N11449" i="9" s="1"/>
  <c r="N11450" i="9" a="1"/>
  <c r="N11450" i="9" s="1"/>
  <c r="N11451" i="9" a="1"/>
  <c r="N11451" i="9" s="1"/>
  <c r="N11452" i="9" a="1"/>
  <c r="N11452" i="9" s="1"/>
  <c r="N11453" i="9" a="1"/>
  <c r="N11453" i="9" s="1"/>
  <c r="N11454" i="9" a="1"/>
  <c r="N11454" i="9" s="1"/>
  <c r="N11455" i="9" a="1"/>
  <c r="N11455" i="9" s="1"/>
  <c r="N11456" i="9" a="1"/>
  <c r="N11456" i="9" s="1"/>
  <c r="N11457" i="9" a="1"/>
  <c r="N11457" i="9" s="1"/>
  <c r="N11459" i="9" a="1"/>
  <c r="N11459" i="9" s="1"/>
  <c r="N11460" i="9" a="1"/>
  <c r="N11460" i="9" s="1"/>
  <c r="N11461" i="9" a="1"/>
  <c r="N11461" i="9" s="1"/>
  <c r="N11462" i="9" a="1"/>
  <c r="N11462" i="9" s="1"/>
  <c r="N11463" i="9" a="1"/>
  <c r="N11463" i="9" s="1"/>
  <c r="N11464" i="9" a="1"/>
  <c r="N11464" i="9" s="1"/>
  <c r="N11465" i="9" a="1"/>
  <c r="N11465" i="9" s="1"/>
  <c r="N11466" i="9" a="1"/>
  <c r="N11466" i="9" s="1"/>
  <c r="N11467" i="9" a="1"/>
  <c r="N11467" i="9" s="1"/>
  <c r="N11468" i="9" a="1"/>
  <c r="N11468" i="9" s="1"/>
  <c r="N11469" i="9" a="1"/>
  <c r="N11469" i="9" s="1"/>
  <c r="N11470" i="9" a="1"/>
  <c r="N11470" i="9" s="1"/>
  <c r="N11471" i="9" a="1"/>
  <c r="N11471" i="9" s="1"/>
  <c r="N11472" i="9" a="1"/>
  <c r="N11472" i="9" s="1"/>
  <c r="N11473" i="9" a="1"/>
  <c r="N11473" i="9" s="1"/>
  <c r="N11475" i="9" a="1"/>
  <c r="N11475" i="9" s="1"/>
  <c r="N11476" i="9" a="1"/>
  <c r="N11476" i="9" s="1"/>
  <c r="N11477" i="9" a="1"/>
  <c r="N11477" i="9" s="1"/>
  <c r="N11478" i="9" a="1"/>
  <c r="N11478" i="9" s="1"/>
  <c r="N11479" i="9" a="1"/>
  <c r="N11479" i="9" s="1"/>
  <c r="N11480" i="9" a="1"/>
  <c r="N11480" i="9" s="1"/>
  <c r="N11481" i="9" a="1"/>
  <c r="N11481" i="9" s="1"/>
  <c r="N11482" i="9" a="1"/>
  <c r="N11482" i="9" s="1"/>
  <c r="N11483" i="9" a="1"/>
  <c r="N11483" i="9" s="1"/>
  <c r="N11484" i="9" a="1"/>
  <c r="N11484" i="9" s="1"/>
  <c r="N11485" i="9" a="1"/>
  <c r="N11485" i="9" s="1"/>
  <c r="N11486" i="9" a="1"/>
  <c r="N11486" i="9" s="1"/>
  <c r="N11487" i="9" a="1"/>
  <c r="N11487" i="9" s="1"/>
  <c r="N11488" i="9" a="1"/>
  <c r="N11488" i="9" s="1"/>
  <c r="N11489" i="9" a="1"/>
  <c r="N11489" i="9" s="1"/>
  <c r="N11491" i="9" a="1"/>
  <c r="N11491" i="9" s="1"/>
  <c r="N11492" i="9" a="1"/>
  <c r="N11492" i="9" s="1"/>
  <c r="N11493" i="9" a="1"/>
  <c r="N11493" i="9" s="1"/>
  <c r="N11494" i="9" a="1"/>
  <c r="N11494" i="9" s="1"/>
  <c r="N11495" i="9" a="1"/>
  <c r="N11495" i="9" s="1"/>
  <c r="N11496" i="9" a="1"/>
  <c r="N11496" i="9" s="1"/>
  <c r="N11497" i="9" a="1"/>
  <c r="N11497" i="9" s="1"/>
  <c r="N11498" i="9" a="1"/>
  <c r="N11498" i="9" s="1"/>
  <c r="N11499" i="9" a="1"/>
  <c r="N11499" i="9" s="1"/>
  <c r="N11500" i="9" a="1"/>
  <c r="N11500" i="9" s="1"/>
  <c r="N11501" i="9" a="1"/>
  <c r="N11501" i="9" s="1"/>
  <c r="N11502" i="9" a="1"/>
  <c r="N11502" i="9" s="1"/>
  <c r="N11503" i="9" a="1"/>
  <c r="N11503" i="9" s="1"/>
  <c r="N11504" i="9" a="1"/>
  <c r="N11504" i="9" s="1"/>
  <c r="N11505" i="9" a="1"/>
  <c r="N11505" i="9" s="1"/>
  <c r="N11507" i="9" a="1"/>
  <c r="N11507" i="9" s="1"/>
  <c r="N11508" i="9" a="1"/>
  <c r="N11508" i="9" s="1"/>
  <c r="N11509" i="9" a="1"/>
  <c r="N11509" i="9" s="1"/>
  <c r="N11510" i="9" a="1"/>
  <c r="N11510" i="9" s="1"/>
  <c r="N11511" i="9" a="1"/>
  <c r="N11511" i="9" s="1"/>
  <c r="N11512" i="9" a="1"/>
  <c r="N11512" i="9" s="1"/>
  <c r="N11513" i="9" a="1"/>
  <c r="N11513" i="9" s="1"/>
  <c r="N11514" i="9" a="1"/>
  <c r="N11514" i="9" s="1"/>
  <c r="N11515" i="9" a="1"/>
  <c r="N11515" i="9" s="1"/>
  <c r="N11516" i="9" a="1"/>
  <c r="N11516" i="9" s="1"/>
  <c r="N11517" i="9" a="1"/>
  <c r="N11517" i="9" s="1"/>
  <c r="N11518" i="9" a="1"/>
  <c r="N11518" i="9" s="1"/>
  <c r="N11519" i="9" a="1"/>
  <c r="N11519" i="9" s="1"/>
  <c r="N11520" i="9" a="1"/>
  <c r="N11520" i="9" s="1"/>
  <c r="N11521" i="9" a="1"/>
  <c r="N11521" i="9" s="1"/>
  <c r="N11523" i="9" a="1"/>
  <c r="N11523" i="9" s="1"/>
  <c r="N11524" i="9" a="1"/>
  <c r="N11524" i="9" s="1"/>
  <c r="N11525" i="9" a="1"/>
  <c r="N11525" i="9" s="1"/>
  <c r="N11526" i="9" a="1"/>
  <c r="N11526" i="9" s="1"/>
  <c r="N11527" i="9" a="1"/>
  <c r="N11527" i="9" s="1"/>
  <c r="N11528" i="9" a="1"/>
  <c r="N11528" i="9" s="1"/>
  <c r="N11529" i="9" a="1"/>
  <c r="N11529" i="9" s="1"/>
  <c r="N11530" i="9" a="1"/>
  <c r="N11530" i="9" s="1"/>
  <c r="N11531" i="9" a="1"/>
  <c r="N11531" i="9" s="1"/>
  <c r="N11532" i="9" a="1"/>
  <c r="N11532" i="9" s="1"/>
  <c r="N11533" i="9" a="1"/>
  <c r="N11533" i="9" s="1"/>
  <c r="N11534" i="9" a="1"/>
  <c r="N11534" i="9" s="1"/>
  <c r="N11535" i="9" a="1"/>
  <c r="N11535" i="9" s="1"/>
  <c r="N11536" i="9" a="1"/>
  <c r="N11536" i="9" s="1"/>
  <c r="N11537" i="9" a="1"/>
  <c r="N11537" i="9" s="1"/>
  <c r="N11539" i="9" a="1"/>
  <c r="N11539" i="9" s="1"/>
  <c r="N11540" i="9" a="1"/>
  <c r="N11540" i="9" s="1"/>
  <c r="N11541" i="9" a="1"/>
  <c r="N11541" i="9" s="1"/>
  <c r="N11542" i="9" a="1"/>
  <c r="N11542" i="9" s="1"/>
  <c r="N11543" i="9" a="1"/>
  <c r="N11543" i="9" s="1"/>
  <c r="N11544" i="9" a="1"/>
  <c r="N11544" i="9" s="1"/>
  <c r="N11545" i="9" a="1"/>
  <c r="N11545" i="9" s="1"/>
  <c r="N11546" i="9" a="1"/>
  <c r="N11546" i="9" s="1"/>
  <c r="N11547" i="9" a="1"/>
  <c r="N11547" i="9" s="1"/>
  <c r="N11548" i="9" a="1"/>
  <c r="N11548" i="9" s="1"/>
  <c r="N11549" i="9" a="1"/>
  <c r="N11549" i="9" s="1"/>
  <c r="N11550" i="9" a="1"/>
  <c r="N11550" i="9" s="1"/>
  <c r="N11551" i="9" a="1"/>
  <c r="N11551" i="9" s="1"/>
  <c r="N11552" i="9" a="1"/>
  <c r="N11552" i="9" s="1"/>
  <c r="N11553" i="9" a="1"/>
  <c r="N11553" i="9" s="1"/>
  <c r="N11555" i="9" a="1"/>
  <c r="N11555" i="9" s="1"/>
  <c r="N11556" i="9" a="1"/>
  <c r="N11556" i="9" s="1"/>
  <c r="N11557" i="9" a="1"/>
  <c r="N11557" i="9" s="1"/>
  <c r="N11558" i="9" a="1"/>
  <c r="N11558" i="9" s="1"/>
  <c r="N11559" i="9" a="1"/>
  <c r="N11559" i="9" s="1"/>
  <c r="N11560" i="9" a="1"/>
  <c r="N11560" i="9" s="1"/>
  <c r="N11561" i="9" a="1"/>
  <c r="N11561" i="9" s="1"/>
  <c r="N11562" i="9" a="1"/>
  <c r="N11562" i="9" s="1"/>
  <c r="N11563" i="9" a="1"/>
  <c r="N11563" i="9" s="1"/>
  <c r="N11564" i="9" a="1"/>
  <c r="N11564" i="9" s="1"/>
  <c r="N11565" i="9" a="1"/>
  <c r="N11565" i="9" s="1"/>
  <c r="N11566" i="9" a="1"/>
  <c r="N11566" i="9" s="1"/>
  <c r="N11567" i="9" a="1"/>
  <c r="N11567" i="9" s="1"/>
  <c r="N11568" i="9" a="1"/>
  <c r="N11568" i="9" s="1"/>
  <c r="N11569" i="9" a="1"/>
  <c r="N11569" i="9" s="1"/>
  <c r="N11571" i="9" a="1"/>
  <c r="N11571" i="9" s="1"/>
  <c r="N11572" i="9" a="1"/>
  <c r="N11572" i="9" s="1"/>
  <c r="N11573" i="9" a="1"/>
  <c r="N11573" i="9" s="1"/>
  <c r="N11574" i="9" a="1"/>
  <c r="N11574" i="9" s="1"/>
  <c r="N11575" i="9" a="1"/>
  <c r="N11575" i="9" s="1"/>
  <c r="N11576" i="9" a="1"/>
  <c r="N11576" i="9" s="1"/>
  <c r="N11577" i="9" a="1"/>
  <c r="N11577" i="9" s="1"/>
  <c r="N11578" i="9" a="1"/>
  <c r="N11578" i="9" s="1"/>
  <c r="N11579" i="9" a="1"/>
  <c r="N11579" i="9" s="1"/>
  <c r="N11580" i="9" a="1"/>
  <c r="N11580" i="9" s="1"/>
  <c r="N11581" i="9" a="1"/>
  <c r="N11581" i="9" s="1"/>
  <c r="N11582" i="9" a="1"/>
  <c r="N11582" i="9" s="1"/>
  <c r="N11583" i="9" a="1"/>
  <c r="N11583" i="9" s="1"/>
  <c r="N11584" i="9" a="1"/>
  <c r="N11584" i="9" s="1"/>
  <c r="N11585" i="9" a="1"/>
  <c r="N11585" i="9" s="1"/>
  <c r="N11587" i="9" a="1"/>
  <c r="N11587" i="9" s="1"/>
  <c r="N11588" i="9" a="1"/>
  <c r="N11588" i="9" s="1"/>
  <c r="N11589" i="9" a="1"/>
  <c r="N11589" i="9" s="1"/>
  <c r="N11590" i="9" a="1"/>
  <c r="N11590" i="9" s="1"/>
  <c r="N11591" i="9" a="1"/>
  <c r="N11591" i="9" s="1"/>
  <c r="N11592" i="9" a="1"/>
  <c r="N11592" i="9" s="1"/>
  <c r="N11593" i="9" a="1"/>
  <c r="N11593" i="9" s="1"/>
  <c r="N11594" i="9" a="1"/>
  <c r="N11594" i="9" s="1"/>
  <c r="N11595" i="9" a="1"/>
  <c r="N11595" i="9" s="1"/>
  <c r="N11596" i="9" a="1"/>
  <c r="N11596" i="9" s="1"/>
  <c r="N11597" i="9" a="1"/>
  <c r="N11597" i="9" s="1"/>
  <c r="N11598" i="9" a="1"/>
  <c r="N11598" i="9" s="1"/>
  <c r="N11599" i="9" a="1"/>
  <c r="N11599" i="9" s="1"/>
  <c r="N11600" i="9" a="1"/>
  <c r="N11600" i="9" s="1"/>
  <c r="N11601" i="9" a="1"/>
  <c r="N11601" i="9" s="1"/>
  <c r="N11603" i="9" a="1"/>
  <c r="N11603" i="9" s="1"/>
  <c r="N11604" i="9" a="1"/>
  <c r="N11604" i="9" s="1"/>
  <c r="N11605" i="9" a="1"/>
  <c r="N11605" i="9" s="1"/>
  <c r="N11606" i="9" a="1"/>
  <c r="N11606" i="9" s="1"/>
  <c r="N11607" i="9" a="1"/>
  <c r="N11607" i="9" s="1"/>
  <c r="N11608" i="9" a="1"/>
  <c r="N11608" i="9" s="1"/>
  <c r="N11609" i="9" a="1"/>
  <c r="N11609" i="9" s="1"/>
  <c r="N11610" i="9" a="1"/>
  <c r="N11610" i="9" s="1"/>
  <c r="N11611" i="9" a="1"/>
  <c r="N11611" i="9" s="1"/>
  <c r="N11612" i="9" a="1"/>
  <c r="N11612" i="9" s="1"/>
  <c r="N11613" i="9" a="1"/>
  <c r="N11613" i="9" s="1"/>
  <c r="N11614" i="9" a="1"/>
  <c r="N11614" i="9" s="1"/>
  <c r="N11615" i="9" a="1"/>
  <c r="N11615" i="9" s="1"/>
  <c r="N11616" i="9" a="1"/>
  <c r="N11616" i="9" s="1"/>
  <c r="N11617" i="9" a="1"/>
  <c r="N11617" i="9" s="1"/>
  <c r="N11619" i="9" a="1"/>
  <c r="N11619" i="9" s="1"/>
  <c r="N11620" i="9" a="1"/>
  <c r="N11620" i="9" s="1"/>
  <c r="N11621" i="9" a="1"/>
  <c r="N11621" i="9" s="1"/>
  <c r="N11622" i="9" a="1"/>
  <c r="N11622" i="9" s="1"/>
  <c r="N11623" i="9" a="1"/>
  <c r="N11623" i="9" s="1"/>
  <c r="N11624" i="9" a="1"/>
  <c r="N11624" i="9" s="1"/>
  <c r="N11625" i="9" a="1"/>
  <c r="N11625" i="9" s="1"/>
  <c r="N11626" i="9" a="1"/>
  <c r="N11626" i="9" s="1"/>
  <c r="N11627" i="9" a="1"/>
  <c r="N11627" i="9" s="1"/>
  <c r="N11628" i="9" a="1"/>
  <c r="N11628" i="9" s="1"/>
  <c r="N11629" i="9" a="1"/>
  <c r="N11629" i="9" s="1"/>
  <c r="N11630" i="9" a="1"/>
  <c r="N11630" i="9" s="1"/>
  <c r="N11631" i="9" a="1"/>
  <c r="N11631" i="9" s="1"/>
  <c r="N11632" i="9" a="1"/>
  <c r="N11632" i="9" s="1"/>
  <c r="N11633" i="9" a="1"/>
  <c r="N11633" i="9" s="1"/>
  <c r="N11635" i="9" a="1"/>
  <c r="N11635" i="9" s="1"/>
  <c r="N11636" i="9" a="1"/>
  <c r="N11636" i="9" s="1"/>
  <c r="N11637" i="9" a="1"/>
  <c r="N11637" i="9" s="1"/>
  <c r="N11638" i="9" a="1"/>
  <c r="N11638" i="9" s="1"/>
  <c r="N11639" i="9" a="1"/>
  <c r="N11639" i="9" s="1"/>
  <c r="N11640" i="9" a="1"/>
  <c r="N11640" i="9" s="1"/>
  <c r="N11641" i="9" a="1"/>
  <c r="N11641" i="9" s="1"/>
  <c r="N11642" i="9" a="1"/>
  <c r="N11642" i="9" s="1"/>
  <c r="N11643" i="9" a="1"/>
  <c r="N11643" i="9" s="1"/>
  <c r="N11644" i="9" a="1"/>
  <c r="N11644" i="9" s="1"/>
  <c r="N11645" i="9" a="1"/>
  <c r="N11645" i="9" s="1"/>
  <c r="N11646" i="9" a="1"/>
  <c r="N11646" i="9" s="1"/>
  <c r="N11647" i="9" a="1"/>
  <c r="N11647" i="9" s="1"/>
  <c r="N11648" i="9" a="1"/>
  <c r="N11648" i="9" s="1"/>
  <c r="N11649" i="9" a="1"/>
  <c r="N11649" i="9" s="1"/>
  <c r="N11651" i="9" a="1"/>
  <c r="N11651" i="9" s="1"/>
  <c r="N11652" i="9" a="1"/>
  <c r="N11652" i="9" s="1"/>
  <c r="N11653" i="9" a="1"/>
  <c r="N11653" i="9" s="1"/>
  <c r="N11654" i="9" a="1"/>
  <c r="N11654" i="9" s="1"/>
  <c r="N11655" i="9" a="1"/>
  <c r="N11655" i="9" s="1"/>
  <c r="N11656" i="9" a="1"/>
  <c r="N11656" i="9" s="1"/>
  <c r="N11657" i="9" a="1"/>
  <c r="N11657" i="9" s="1"/>
  <c r="N11658" i="9" a="1"/>
  <c r="N11658" i="9" s="1"/>
  <c r="N11659" i="9" a="1"/>
  <c r="N11659" i="9" s="1"/>
  <c r="N11660" i="9" a="1"/>
  <c r="N11660" i="9" s="1"/>
  <c r="N11661" i="9" a="1"/>
  <c r="N11661" i="9" s="1"/>
  <c r="N11662" i="9" a="1"/>
  <c r="N11662" i="9" s="1"/>
  <c r="N11663" i="9" a="1"/>
  <c r="N11663" i="9" s="1"/>
  <c r="N11664" i="9" a="1"/>
  <c r="N11664" i="9" s="1"/>
  <c r="N11665" i="9" a="1"/>
  <c r="N11665" i="9" s="1"/>
  <c r="N11667" i="9" a="1"/>
  <c r="N11667" i="9" s="1"/>
  <c r="N11668" i="9" a="1"/>
  <c r="N11668" i="9" s="1"/>
  <c r="N11669" i="9" a="1"/>
  <c r="N11669" i="9" s="1"/>
  <c r="N11670" i="9" a="1"/>
  <c r="N11670" i="9" s="1"/>
  <c r="N11671" i="9" a="1"/>
  <c r="N11671" i="9" s="1"/>
  <c r="N11672" i="9" a="1"/>
  <c r="N11672" i="9" s="1"/>
  <c r="N11673" i="9" a="1"/>
  <c r="N11673" i="9" s="1"/>
  <c r="N11674" i="9" a="1"/>
  <c r="N11674" i="9" s="1"/>
  <c r="N11675" i="9" a="1"/>
  <c r="N11675" i="9" s="1"/>
  <c r="N11676" i="9" a="1"/>
  <c r="N11676" i="9" s="1"/>
  <c r="N11677" i="9" a="1"/>
  <c r="N11677" i="9" s="1"/>
  <c r="N11678" i="9" a="1"/>
  <c r="N11678" i="9" s="1"/>
  <c r="N11679" i="9" a="1"/>
  <c r="N11679" i="9" s="1"/>
  <c r="N11680" i="9" a="1"/>
  <c r="N11680" i="9" s="1"/>
  <c r="N11681" i="9" a="1"/>
  <c r="N11681" i="9" s="1"/>
  <c r="N11683" i="9" a="1"/>
  <c r="N11683" i="9" s="1"/>
  <c r="N11684" i="9" a="1"/>
  <c r="N11684" i="9" s="1"/>
  <c r="N11685" i="9" a="1"/>
  <c r="N11685" i="9" s="1"/>
  <c r="N11686" i="9" a="1"/>
  <c r="N11686" i="9" s="1"/>
  <c r="N11687" i="9" a="1"/>
  <c r="N11687" i="9" s="1"/>
  <c r="N11688" i="9" a="1"/>
  <c r="N11688" i="9" s="1"/>
  <c r="N11689" i="9" a="1"/>
  <c r="N11689" i="9" s="1"/>
  <c r="N11690" i="9" a="1"/>
  <c r="N11690" i="9" s="1"/>
  <c r="N11691" i="9" a="1"/>
  <c r="N11691" i="9" s="1"/>
  <c r="N11692" i="9" a="1"/>
  <c r="N11692" i="9" s="1"/>
  <c r="N11693" i="9" a="1"/>
  <c r="N11693" i="9" s="1"/>
  <c r="N11694" i="9" a="1"/>
  <c r="N11694" i="9" s="1"/>
  <c r="N11695" i="9" a="1"/>
  <c r="N11695" i="9" s="1"/>
  <c r="N11696" i="9" a="1"/>
  <c r="N11696" i="9" s="1"/>
  <c r="N11697" i="9" a="1"/>
  <c r="N11697" i="9" s="1"/>
  <c r="N11699" i="9" a="1"/>
  <c r="N11699" i="9" s="1"/>
  <c r="N11700" i="9" a="1"/>
  <c r="N11700" i="9" s="1"/>
  <c r="N11701" i="9" a="1"/>
  <c r="N11701" i="9" s="1"/>
  <c r="N11702" i="9" a="1"/>
  <c r="N11702" i="9" s="1"/>
  <c r="N11703" i="9" a="1"/>
  <c r="N11703" i="9" s="1"/>
  <c r="N11704" i="9" a="1"/>
  <c r="N11704" i="9" s="1"/>
  <c r="N11705" i="9" a="1"/>
  <c r="N11705" i="9" s="1"/>
  <c r="N11706" i="9" a="1"/>
  <c r="N11706" i="9" s="1"/>
  <c r="N11707" i="9" a="1"/>
  <c r="N11707" i="9" s="1"/>
  <c r="N11708" i="9" a="1"/>
  <c r="N11708" i="9" s="1"/>
  <c r="N11709" i="9" a="1"/>
  <c r="N11709" i="9" s="1"/>
  <c r="N11710" i="9" a="1"/>
  <c r="N11710" i="9" s="1"/>
  <c r="N11711" i="9" a="1"/>
  <c r="N11711" i="9" s="1"/>
  <c r="N11712" i="9" a="1"/>
  <c r="N11712" i="9" s="1"/>
  <c r="N11713" i="9" a="1"/>
  <c r="N11713" i="9" s="1"/>
  <c r="N11715" i="9" a="1"/>
  <c r="N11715" i="9" s="1"/>
  <c r="N11716" i="9" a="1"/>
  <c r="N11716" i="9" s="1"/>
  <c r="N11717" i="9" a="1"/>
  <c r="N11717" i="9" s="1"/>
  <c r="N11718" i="9" a="1"/>
  <c r="N11718" i="9" s="1"/>
  <c r="N11719" i="9" a="1"/>
  <c r="N11719" i="9" s="1"/>
  <c r="N11720" i="9" a="1"/>
  <c r="N11720" i="9" s="1"/>
  <c r="N11721" i="9" a="1"/>
  <c r="N11721" i="9" s="1"/>
  <c r="N11722" i="9" a="1"/>
  <c r="N11722" i="9" s="1"/>
  <c r="N11723" i="9" a="1"/>
  <c r="N11723" i="9" s="1"/>
  <c r="N11724" i="9" a="1"/>
  <c r="N11724" i="9" s="1"/>
  <c r="N11725" i="9" a="1"/>
  <c r="N11725" i="9" s="1"/>
  <c r="N11726" i="9" a="1"/>
  <c r="N11726" i="9" s="1"/>
  <c r="N11727" i="9" a="1"/>
  <c r="N11727" i="9" s="1"/>
  <c r="N11728" i="9" a="1"/>
  <c r="N11728" i="9" s="1"/>
  <c r="N11729" i="9" a="1"/>
  <c r="N11729" i="9" s="1"/>
  <c r="N11731" i="9" a="1"/>
  <c r="N11731" i="9" s="1"/>
  <c r="N11732" i="9" a="1"/>
  <c r="N11732" i="9" s="1"/>
  <c r="N11733" i="9" a="1"/>
  <c r="N11733" i="9" s="1"/>
  <c r="N11734" i="9" a="1"/>
  <c r="N11734" i="9" s="1"/>
  <c r="N11735" i="9" a="1"/>
  <c r="N11735" i="9" s="1"/>
  <c r="N11736" i="9" a="1"/>
  <c r="N11736" i="9" s="1"/>
  <c r="N11737" i="9" a="1"/>
  <c r="N11737" i="9" s="1"/>
  <c r="N11738" i="9" a="1"/>
  <c r="N11738" i="9" s="1"/>
  <c r="N11739" i="9" a="1"/>
  <c r="N11739" i="9" s="1"/>
  <c r="N11740" i="9" a="1"/>
  <c r="N11740" i="9" s="1"/>
  <c r="N11741" i="9" a="1"/>
  <c r="N11741" i="9" s="1"/>
  <c r="N11742" i="9" a="1"/>
  <c r="N11742" i="9" s="1"/>
  <c r="N11743" i="9" a="1"/>
  <c r="N11743" i="9" s="1"/>
  <c r="N11744" i="9" a="1"/>
  <c r="N11744" i="9" s="1"/>
  <c r="N11745" i="9" a="1"/>
  <c r="N11745" i="9" s="1"/>
  <c r="N11747" i="9" a="1"/>
  <c r="N11747" i="9" s="1"/>
  <c r="N11748" i="9" a="1"/>
  <c r="N11748" i="9" s="1"/>
  <c r="N11749" i="9" a="1"/>
  <c r="N11749" i="9" s="1"/>
  <c r="N11750" i="9" a="1"/>
  <c r="N11750" i="9" s="1"/>
  <c r="N11751" i="9" a="1"/>
  <c r="N11751" i="9" s="1"/>
  <c r="N11752" i="9" a="1"/>
  <c r="N11752" i="9" s="1"/>
  <c r="N11753" i="9" a="1"/>
  <c r="N11753" i="9" s="1"/>
  <c r="N11754" i="9" a="1"/>
  <c r="N11754" i="9" s="1"/>
  <c r="N11755" i="9" a="1"/>
  <c r="N11755" i="9" s="1"/>
  <c r="N11756" i="9" a="1"/>
  <c r="N11756" i="9" s="1"/>
  <c r="N11757" i="9" a="1"/>
  <c r="N11757" i="9" s="1"/>
  <c r="N11758" i="9" a="1"/>
  <c r="N11758" i="9" s="1"/>
  <c r="N11759" i="9" a="1"/>
  <c r="N11759" i="9" s="1"/>
  <c r="N11760" i="9" a="1"/>
  <c r="N11760" i="9" s="1"/>
  <c r="N11761" i="9" a="1"/>
  <c r="N11761" i="9" s="1"/>
  <c r="N11763" i="9" a="1"/>
  <c r="N11763" i="9" s="1"/>
  <c r="N11764" i="9" a="1"/>
  <c r="N11764" i="9" s="1"/>
  <c r="N11765" i="9" a="1"/>
  <c r="N11765" i="9" s="1"/>
  <c r="N11766" i="9" a="1"/>
  <c r="N11766" i="9" s="1"/>
  <c r="N11767" i="9" a="1"/>
  <c r="N11767" i="9" s="1"/>
  <c r="N11768" i="9" a="1"/>
  <c r="N11768" i="9" s="1"/>
  <c r="N11769" i="9" a="1"/>
  <c r="N11769" i="9" s="1"/>
  <c r="N11770" i="9" a="1"/>
  <c r="N11770" i="9" s="1"/>
  <c r="N11771" i="9" a="1"/>
  <c r="N11771" i="9" s="1"/>
  <c r="N11772" i="9" a="1"/>
  <c r="N11772" i="9" s="1"/>
  <c r="N11773" i="9" a="1"/>
  <c r="N11773" i="9" s="1"/>
  <c r="N11774" i="9" a="1"/>
  <c r="N11774" i="9" s="1"/>
  <c r="N11775" i="9" a="1"/>
  <c r="N11775" i="9" s="1"/>
  <c r="N11776" i="9" a="1"/>
  <c r="N11776" i="9" s="1"/>
  <c r="N11777" i="9" a="1"/>
  <c r="N11777" i="9" s="1"/>
  <c r="N11779" i="9" a="1"/>
  <c r="N11779" i="9" s="1"/>
  <c r="N11780" i="9" a="1"/>
  <c r="N11780" i="9" s="1"/>
  <c r="N11781" i="9" a="1"/>
  <c r="N11781" i="9" s="1"/>
  <c r="N11782" i="9" a="1"/>
  <c r="N11782" i="9" s="1"/>
  <c r="N11783" i="9" a="1"/>
  <c r="N11783" i="9" s="1"/>
  <c r="N11784" i="9" a="1"/>
  <c r="N11784" i="9" s="1"/>
  <c r="N11785" i="9" a="1"/>
  <c r="N11785" i="9" s="1"/>
  <c r="N11786" i="9" a="1"/>
  <c r="N11786" i="9" s="1"/>
  <c r="N11787" i="9" a="1"/>
  <c r="N11787" i="9" s="1"/>
  <c r="N11788" i="9" a="1"/>
  <c r="N11788" i="9" s="1"/>
  <c r="N11789" i="9" a="1"/>
  <c r="N11789" i="9" s="1"/>
  <c r="N11790" i="9" a="1"/>
  <c r="N11790" i="9" s="1"/>
  <c r="N11791" i="9" a="1"/>
  <c r="N11791" i="9" s="1"/>
  <c r="N11792" i="9" a="1"/>
  <c r="N11792" i="9" s="1"/>
  <c r="N11793" i="9" a="1"/>
  <c r="N11793" i="9" s="1"/>
  <c r="N11795" i="9" a="1"/>
  <c r="N11795" i="9" s="1"/>
  <c r="N11796" i="9" a="1"/>
  <c r="N11796" i="9" s="1"/>
  <c r="N11797" i="9" a="1"/>
  <c r="N11797" i="9" s="1"/>
  <c r="N11798" i="9" a="1"/>
  <c r="N11798" i="9" s="1"/>
  <c r="N11799" i="9" a="1"/>
  <c r="N11799" i="9" s="1"/>
  <c r="N11800" i="9" a="1"/>
  <c r="N11800" i="9" s="1"/>
  <c r="N11801" i="9" a="1"/>
  <c r="N11801" i="9" s="1"/>
  <c r="N11802" i="9" a="1"/>
  <c r="N11802" i="9" s="1"/>
  <c r="N11803" i="9" a="1"/>
  <c r="N11803" i="9" s="1"/>
  <c r="N11804" i="9" a="1"/>
  <c r="N11804" i="9" s="1"/>
  <c r="N11805" i="9" a="1"/>
  <c r="N11805" i="9" s="1"/>
  <c r="N11806" i="9" a="1"/>
  <c r="N11806" i="9" s="1"/>
  <c r="N11807" i="9" a="1"/>
  <c r="N11807" i="9" s="1"/>
  <c r="N11808" i="9" a="1"/>
  <c r="N11808" i="9" s="1"/>
  <c r="N11809" i="9" a="1"/>
  <c r="N11809" i="9" s="1"/>
  <c r="N11811" i="9" a="1"/>
  <c r="N11811" i="9" s="1"/>
  <c r="N11812" i="9" a="1"/>
  <c r="N11812" i="9" s="1"/>
  <c r="N11813" i="9" a="1"/>
  <c r="N11813" i="9" s="1"/>
  <c r="N11814" i="9" a="1"/>
  <c r="N11814" i="9" s="1"/>
  <c r="N11815" i="9" a="1"/>
  <c r="N11815" i="9" s="1"/>
  <c r="N11816" i="9" a="1"/>
  <c r="N11816" i="9" s="1"/>
  <c r="N11817" i="9" a="1"/>
  <c r="N11817" i="9" s="1"/>
  <c r="N11818" i="9" a="1"/>
  <c r="N11818" i="9" s="1"/>
  <c r="N11819" i="9" a="1"/>
  <c r="N11819" i="9" s="1"/>
  <c r="N11820" i="9" a="1"/>
  <c r="N11820" i="9" s="1"/>
  <c r="N11821" i="9" a="1"/>
  <c r="N11821" i="9" s="1"/>
  <c r="N11822" i="9" a="1"/>
  <c r="N11822" i="9" s="1"/>
  <c r="N11823" i="9" a="1"/>
  <c r="N11823" i="9" s="1"/>
  <c r="N11824" i="9" a="1"/>
  <c r="N11824" i="9" s="1"/>
  <c r="N11825" i="9" a="1"/>
  <c r="N11825" i="9" s="1"/>
  <c r="N11827" i="9" a="1"/>
  <c r="N11827" i="9" s="1"/>
  <c r="N11828" i="9" a="1"/>
  <c r="N11828" i="9" s="1"/>
  <c r="N11829" i="9" a="1"/>
  <c r="N11829" i="9" s="1"/>
  <c r="N11830" i="9" a="1"/>
  <c r="N11830" i="9" s="1"/>
  <c r="N11831" i="9" a="1"/>
  <c r="N11831" i="9" s="1"/>
  <c r="N11832" i="9" a="1"/>
  <c r="N11832" i="9" s="1"/>
  <c r="N11833" i="9" a="1"/>
  <c r="N11833" i="9" s="1"/>
  <c r="N11834" i="9" a="1"/>
  <c r="N11834" i="9" s="1"/>
  <c r="N11835" i="9" a="1"/>
  <c r="N11835" i="9" s="1"/>
  <c r="N11836" i="9" a="1"/>
  <c r="N11836" i="9" s="1"/>
  <c r="N11837" i="9" a="1"/>
  <c r="N11837" i="9" s="1"/>
  <c r="N11838" i="9" a="1"/>
  <c r="N11838" i="9" s="1"/>
  <c r="N11839" i="9" a="1"/>
  <c r="N11839" i="9" s="1"/>
  <c r="N11840" i="9" a="1"/>
  <c r="N11840" i="9" s="1"/>
  <c r="N11841" i="9" a="1"/>
  <c r="N11841" i="9" s="1"/>
  <c r="N11843" i="9" a="1"/>
  <c r="N11843" i="9" s="1"/>
  <c r="N11844" i="9" a="1"/>
  <c r="N11844" i="9" s="1"/>
  <c r="N11845" i="9" a="1"/>
  <c r="N11845" i="9" s="1"/>
  <c r="N11846" i="9" a="1"/>
  <c r="N11846" i="9" s="1"/>
  <c r="N11847" i="9" a="1"/>
  <c r="N11847" i="9" s="1"/>
  <c r="N11848" i="9" a="1"/>
  <c r="N11848" i="9" s="1"/>
  <c r="N11849" i="9" a="1"/>
  <c r="N11849" i="9" s="1"/>
  <c r="N11850" i="9" a="1"/>
  <c r="N11850" i="9" s="1"/>
  <c r="N11851" i="9" a="1"/>
  <c r="N11851" i="9" s="1"/>
  <c r="N11852" i="9" a="1"/>
  <c r="N11852" i="9" s="1"/>
  <c r="N11853" i="9" a="1"/>
  <c r="N11853" i="9" s="1"/>
  <c r="N11854" i="9" a="1"/>
  <c r="N11854" i="9" s="1"/>
  <c r="N11855" i="9" a="1"/>
  <c r="N11855" i="9" s="1"/>
  <c r="N11856" i="9" a="1"/>
  <c r="N11856" i="9" s="1"/>
  <c r="N11857" i="9" a="1"/>
  <c r="N11857" i="9" s="1"/>
  <c r="N11859" i="9" a="1"/>
  <c r="N11859" i="9" s="1"/>
  <c r="N11860" i="9" a="1"/>
  <c r="N11860" i="9" s="1"/>
  <c r="N11861" i="9" a="1"/>
  <c r="N11861" i="9" s="1"/>
  <c r="N11862" i="9" a="1"/>
  <c r="N11862" i="9" s="1"/>
  <c r="N11863" i="9" a="1"/>
  <c r="N11863" i="9" s="1"/>
  <c r="N11864" i="9" a="1"/>
  <c r="N11864" i="9" s="1"/>
  <c r="N11865" i="9" a="1"/>
  <c r="N11865" i="9" s="1"/>
  <c r="N11866" i="9" a="1"/>
  <c r="N11866" i="9" s="1"/>
  <c r="N11867" i="9" a="1"/>
  <c r="N11867" i="9" s="1"/>
  <c r="N11868" i="9" a="1"/>
  <c r="N11868" i="9" s="1"/>
  <c r="N11869" i="9" a="1"/>
  <c r="N11869" i="9" s="1"/>
  <c r="N11870" i="9" a="1"/>
  <c r="N11870" i="9" s="1"/>
  <c r="N11871" i="9" a="1"/>
  <c r="N11871" i="9" s="1"/>
  <c r="N11872" i="9" a="1"/>
  <c r="N11872" i="9" s="1"/>
  <c r="N11873" i="9" a="1"/>
  <c r="N11873" i="9" s="1"/>
  <c r="N11875" i="9" a="1"/>
  <c r="N11875" i="9" s="1"/>
  <c r="N11876" i="9" a="1"/>
  <c r="N11876" i="9" s="1"/>
  <c r="N11877" i="9" a="1"/>
  <c r="N11877" i="9" s="1"/>
  <c r="N11878" i="9" a="1"/>
  <c r="N11878" i="9" s="1"/>
  <c r="N11879" i="9" a="1"/>
  <c r="N11879" i="9" s="1"/>
  <c r="N11880" i="9" a="1"/>
  <c r="N11880" i="9" s="1"/>
  <c r="N11881" i="9" a="1"/>
  <c r="N11881" i="9" s="1"/>
  <c r="N11882" i="9" a="1"/>
  <c r="N11882" i="9" s="1"/>
  <c r="N11883" i="9" a="1"/>
  <c r="N11883" i="9" s="1"/>
  <c r="N11884" i="9" a="1"/>
  <c r="N11884" i="9" s="1"/>
  <c r="N11885" i="9" a="1"/>
  <c r="N11885" i="9" s="1"/>
  <c r="N11886" i="9" a="1"/>
  <c r="N11886" i="9" s="1"/>
  <c r="N11887" i="9" a="1"/>
  <c r="N11887" i="9" s="1"/>
  <c r="N11888" i="9" a="1"/>
  <c r="N11888" i="9" s="1"/>
  <c r="N11889" i="9" a="1"/>
  <c r="N11889" i="9" s="1"/>
  <c r="N11891" i="9" a="1"/>
  <c r="N11891" i="9" s="1"/>
  <c r="N11892" i="9" a="1"/>
  <c r="N11892" i="9" s="1"/>
  <c r="N11893" i="9" a="1"/>
  <c r="N11893" i="9" s="1"/>
  <c r="N11894" i="9" a="1"/>
  <c r="N11894" i="9" s="1"/>
  <c r="N11895" i="9" a="1"/>
  <c r="N11895" i="9" s="1"/>
  <c r="N11896" i="9" a="1"/>
  <c r="N11896" i="9" s="1"/>
  <c r="N11897" i="9" a="1"/>
  <c r="N11897" i="9" s="1"/>
  <c r="N11898" i="9" a="1"/>
  <c r="N11898" i="9" s="1"/>
  <c r="N11899" i="9" a="1"/>
  <c r="N11899" i="9" s="1"/>
  <c r="N11900" i="9" a="1"/>
  <c r="N11900" i="9" s="1"/>
  <c r="N11901" i="9" a="1"/>
  <c r="N11901" i="9" s="1"/>
  <c r="N11902" i="9" a="1"/>
  <c r="N11902" i="9" s="1"/>
  <c r="N11903" i="9" a="1"/>
  <c r="N11903" i="9" s="1"/>
  <c r="N11904" i="9" a="1"/>
  <c r="N11904" i="9" s="1"/>
  <c r="N11905" i="9" a="1"/>
  <c r="N11905" i="9" s="1"/>
  <c r="N11907" i="9" a="1"/>
  <c r="N11907" i="9" s="1"/>
  <c r="N11908" i="9" a="1"/>
  <c r="N11908" i="9" s="1"/>
  <c r="N11909" i="9" a="1"/>
  <c r="N11909" i="9" s="1"/>
  <c r="N11910" i="9" a="1"/>
  <c r="N11910" i="9" s="1"/>
  <c r="N11911" i="9" a="1"/>
  <c r="N11911" i="9" s="1"/>
  <c r="N11912" i="9" a="1"/>
  <c r="N11912" i="9" s="1"/>
  <c r="N11913" i="9" a="1"/>
  <c r="N11913" i="9" s="1"/>
  <c r="N11914" i="9" a="1"/>
  <c r="N11914" i="9" s="1"/>
  <c r="N11915" i="9" a="1"/>
  <c r="N11915" i="9" s="1"/>
  <c r="N11916" i="9" a="1"/>
  <c r="N11916" i="9" s="1"/>
  <c r="N11917" i="9" a="1"/>
  <c r="N11917" i="9" s="1"/>
  <c r="N11918" i="9" a="1"/>
  <c r="N11918" i="9" s="1"/>
  <c r="N11919" i="9" a="1"/>
  <c r="N11919" i="9" s="1"/>
  <c r="N11920" i="9" a="1"/>
  <c r="N11920" i="9" s="1"/>
  <c r="N11921" i="9" a="1"/>
  <c r="N11921" i="9" s="1"/>
  <c r="N11923" i="9" a="1"/>
  <c r="N11923" i="9" s="1"/>
  <c r="N11924" i="9" a="1"/>
  <c r="N11924" i="9" s="1"/>
  <c r="N11925" i="9" a="1"/>
  <c r="N11925" i="9" s="1"/>
  <c r="N11926" i="9" a="1"/>
  <c r="N11926" i="9" s="1"/>
  <c r="N11927" i="9" a="1"/>
  <c r="N11927" i="9" s="1"/>
  <c r="N11928" i="9" a="1"/>
  <c r="N11928" i="9" s="1"/>
  <c r="N11929" i="9" a="1"/>
  <c r="N11929" i="9" s="1"/>
  <c r="N11930" i="9" a="1"/>
  <c r="N11930" i="9" s="1"/>
  <c r="N11931" i="9" a="1"/>
  <c r="N11931" i="9" s="1"/>
  <c r="N11932" i="9" a="1"/>
  <c r="N11932" i="9" s="1"/>
  <c r="N11933" i="9" a="1"/>
  <c r="N11933" i="9" s="1"/>
  <c r="N11934" i="9" a="1"/>
  <c r="N11934" i="9" s="1"/>
  <c r="N11935" i="9" a="1"/>
  <c r="N11935" i="9" s="1"/>
  <c r="N11936" i="9" a="1"/>
  <c r="N11936" i="9" s="1"/>
  <c r="N11937" i="9" a="1"/>
  <c r="N11937" i="9" s="1"/>
  <c r="N11939" i="9" a="1"/>
  <c r="N11939" i="9" s="1"/>
  <c r="N11940" i="9" a="1"/>
  <c r="N11940" i="9" s="1"/>
  <c r="N11941" i="9" a="1"/>
  <c r="N11941" i="9" s="1"/>
  <c r="N11942" i="9" a="1"/>
  <c r="N11942" i="9" s="1"/>
  <c r="N11943" i="9" a="1"/>
  <c r="N11943" i="9" s="1"/>
  <c r="N11944" i="9" a="1"/>
  <c r="N11944" i="9" s="1"/>
  <c r="N11945" i="9" a="1"/>
  <c r="N11945" i="9" s="1"/>
  <c r="N11946" i="9" a="1"/>
  <c r="N11946" i="9" s="1"/>
  <c r="N11947" i="9" a="1"/>
  <c r="N11947" i="9" s="1"/>
  <c r="N11948" i="9" a="1"/>
  <c r="N11948" i="9" s="1"/>
  <c r="N11949" i="9" a="1"/>
  <c r="N11949" i="9" s="1"/>
  <c r="N11950" i="9" a="1"/>
  <c r="N11950" i="9" s="1"/>
  <c r="N11951" i="9" a="1"/>
  <c r="N11951" i="9" s="1"/>
  <c r="N11952" i="9" a="1"/>
  <c r="N11952" i="9" s="1"/>
  <c r="N11953" i="9" a="1"/>
  <c r="N11953" i="9" s="1"/>
  <c r="N11954" i="9" a="1"/>
  <c r="N11954" i="9" s="1"/>
  <c r="N11955" i="9" a="1"/>
  <c r="N11955" i="9" s="1"/>
  <c r="N11956" i="9" a="1"/>
  <c r="N11956" i="9" s="1"/>
  <c r="N11957" i="9" a="1"/>
  <c r="N11957" i="9" s="1"/>
  <c r="N11958" i="9" a="1"/>
  <c r="N11958" i="9" s="1"/>
  <c r="N11959" i="9" a="1"/>
  <c r="N11959" i="9" s="1"/>
  <c r="N11960" i="9" a="1"/>
  <c r="N11960" i="9" s="1"/>
  <c r="N11961" i="9" a="1"/>
  <c r="N11961" i="9" s="1"/>
  <c r="N11962" i="9" a="1"/>
  <c r="N11962" i="9" s="1"/>
  <c r="N11963" i="9" a="1"/>
  <c r="N11963" i="9" s="1"/>
  <c r="N11964" i="9" a="1"/>
  <c r="N11964" i="9" s="1"/>
  <c r="N11965" i="9" a="1"/>
  <c r="N11965" i="9" s="1"/>
  <c r="N11966" i="9" a="1"/>
  <c r="N11966" i="9" s="1"/>
  <c r="N11967" i="9" a="1"/>
  <c r="N11967" i="9" s="1"/>
  <c r="N11968" i="9" a="1"/>
  <c r="N11968" i="9" s="1"/>
  <c r="N11969" i="9" a="1"/>
  <c r="N11969" i="9" s="1"/>
  <c r="N11970" i="9" a="1"/>
  <c r="N11970" i="9" s="1"/>
  <c r="N11971" i="9" a="1"/>
  <c r="N11971" i="9" s="1"/>
  <c r="N11972" i="9" a="1"/>
  <c r="N11972" i="9" s="1"/>
  <c r="N11973" i="9" a="1"/>
  <c r="N11973" i="9" s="1"/>
  <c r="N11974" i="9" a="1"/>
  <c r="N11974" i="9" s="1"/>
  <c r="N11975" i="9" a="1"/>
  <c r="N11975" i="9" s="1"/>
  <c r="N11976" i="9" a="1"/>
  <c r="N11976" i="9" s="1"/>
  <c r="N11977" i="9" a="1"/>
  <c r="N11977" i="9" s="1"/>
  <c r="N11978" i="9" a="1"/>
  <c r="N11978" i="9" s="1"/>
  <c r="N11979" i="9" a="1"/>
  <c r="N11979" i="9" s="1"/>
  <c r="N11980" i="9" a="1"/>
  <c r="N11980" i="9" s="1"/>
  <c r="N11981" i="9" a="1"/>
  <c r="N11981" i="9" s="1"/>
  <c r="N11982" i="9" a="1"/>
  <c r="N11982" i="9" s="1"/>
  <c r="N11983" i="9" a="1"/>
  <c r="N11983" i="9" s="1"/>
  <c r="N11984" i="9" a="1"/>
  <c r="N11984" i="9" s="1"/>
  <c r="N11985" i="9" a="1"/>
  <c r="N11985" i="9" s="1"/>
  <c r="N11986" i="9" a="1"/>
  <c r="N11986" i="9" s="1"/>
  <c r="N11987" i="9" a="1"/>
  <c r="N11987" i="9" s="1"/>
  <c r="N11988" i="9" a="1"/>
  <c r="N11988" i="9" s="1"/>
  <c r="N11989" i="9" a="1"/>
  <c r="N11989" i="9" s="1"/>
  <c r="N11990" i="9" a="1"/>
  <c r="N11990" i="9" s="1"/>
  <c r="N11991" i="9" a="1"/>
  <c r="N11991" i="9" s="1"/>
  <c r="N11992" i="9" a="1"/>
  <c r="N11992" i="9" s="1"/>
  <c r="N11993" i="9" a="1"/>
  <c r="N11993" i="9" s="1"/>
  <c r="N11994" i="9" a="1"/>
  <c r="N11994" i="9" s="1"/>
  <c r="N11995" i="9" a="1"/>
  <c r="N11995" i="9" s="1"/>
  <c r="N11996" i="9" a="1"/>
  <c r="N11996" i="9" s="1"/>
  <c r="N11997" i="9" a="1"/>
  <c r="N11997" i="9" s="1"/>
  <c r="N11998" i="9" a="1"/>
  <c r="N11998" i="9" s="1"/>
  <c r="N11999" i="9" a="1"/>
  <c r="N11999" i="9" s="1"/>
  <c r="N12000" i="9" a="1"/>
  <c r="N12000" i="9" s="1"/>
  <c r="N12001" i="9" a="1"/>
  <c r="N12001" i="9" s="1"/>
  <c r="N12002" i="9" a="1"/>
  <c r="N12002" i="9" s="1"/>
  <c r="N12003" i="9" a="1"/>
  <c r="N12003" i="9" s="1"/>
  <c r="N12004" i="9" a="1"/>
  <c r="N12004" i="9" s="1"/>
  <c r="N12005" i="9" a="1"/>
  <c r="N12005" i="9" s="1"/>
  <c r="N12006" i="9" a="1"/>
  <c r="N12006" i="9" s="1"/>
  <c r="N12007" i="9" a="1"/>
  <c r="N12007" i="9" s="1"/>
  <c r="N12008" i="9" a="1"/>
  <c r="N12008" i="9" s="1"/>
  <c r="N12009" i="9" a="1"/>
  <c r="N12009" i="9" s="1"/>
  <c r="N12010" i="9" a="1"/>
  <c r="N12010" i="9" s="1"/>
  <c r="N12011" i="9" a="1"/>
  <c r="N12011" i="9" s="1"/>
  <c r="N12012" i="9" a="1"/>
  <c r="N12012" i="9" s="1"/>
  <c r="N12013" i="9" a="1"/>
  <c r="N12013" i="9" s="1"/>
  <c r="N12014" i="9" a="1"/>
  <c r="N12014" i="9" s="1"/>
  <c r="N12015" i="9" a="1"/>
  <c r="N12015" i="9" s="1"/>
  <c r="N12016" i="9" a="1"/>
  <c r="N12016" i="9" s="1"/>
  <c r="N12017" i="9" a="1"/>
  <c r="N12017" i="9" s="1"/>
  <c r="N12018" i="9" a="1"/>
  <c r="N12018" i="9" s="1"/>
  <c r="N12019" i="9" a="1"/>
  <c r="N12019" i="9" s="1"/>
  <c r="N12020" i="9" a="1"/>
  <c r="N12020" i="9" s="1"/>
  <c r="N12021" i="9" a="1"/>
  <c r="N12021" i="9" s="1"/>
  <c r="N12022" i="9" a="1"/>
  <c r="N12022" i="9" s="1"/>
  <c r="N12023" i="9" a="1"/>
  <c r="N12023" i="9" s="1"/>
  <c r="N12024" i="9" a="1"/>
  <c r="N12024" i="9" s="1"/>
  <c r="N12025" i="9" a="1"/>
  <c r="N12025" i="9" s="1"/>
  <c r="N12026" i="9" a="1"/>
  <c r="N12026" i="9" s="1"/>
  <c r="N12027" i="9" a="1"/>
  <c r="N12027" i="9" s="1"/>
  <c r="N12028" i="9" a="1"/>
  <c r="N12028" i="9" s="1"/>
  <c r="N12029" i="9" a="1"/>
  <c r="N12029" i="9" s="1"/>
  <c r="N12030" i="9" a="1"/>
  <c r="N12030" i="9" s="1"/>
  <c r="N12031" i="9" a="1"/>
  <c r="N12031" i="9" s="1"/>
  <c r="N12032" i="9" a="1"/>
  <c r="N12032" i="9" s="1"/>
  <c r="N12033" i="9" a="1"/>
  <c r="N12033" i="9" s="1"/>
  <c r="N12034" i="9" a="1"/>
  <c r="N12034" i="9" s="1"/>
  <c r="N12035" i="9" a="1"/>
  <c r="N12035" i="9" s="1"/>
  <c r="N12036" i="9" a="1"/>
  <c r="N12036" i="9" s="1"/>
  <c r="N12037" i="9" a="1"/>
  <c r="N12037" i="9" s="1"/>
  <c r="N12038" i="9" a="1"/>
  <c r="N12038" i="9" s="1"/>
  <c r="N12039" i="9" a="1"/>
  <c r="N12039" i="9" s="1"/>
  <c r="N12040" i="9" a="1"/>
  <c r="N12040" i="9" s="1"/>
  <c r="N12041" i="9" a="1"/>
  <c r="N12041" i="9" s="1"/>
  <c r="N12042" i="9" a="1"/>
  <c r="N12042" i="9" s="1"/>
  <c r="N12043" i="9" a="1"/>
  <c r="N12043" i="9" s="1"/>
  <c r="N12044" i="9" a="1"/>
  <c r="N12044" i="9" s="1"/>
  <c r="N12045" i="9" a="1"/>
  <c r="N12045" i="9" s="1"/>
  <c r="N12046" i="9" a="1"/>
  <c r="N12046" i="9" s="1"/>
  <c r="N12047" i="9" a="1"/>
  <c r="N12047" i="9" s="1"/>
  <c r="N12048" i="9" a="1"/>
  <c r="N12048" i="9" s="1"/>
  <c r="N12049" i="9" a="1"/>
  <c r="N12049" i="9" s="1"/>
  <c r="N12050" i="9" a="1"/>
  <c r="N12050" i="9" s="1"/>
  <c r="N12051" i="9" a="1"/>
  <c r="N12051" i="9" s="1"/>
  <c r="N12052" i="9" a="1"/>
  <c r="N12052" i="9" s="1"/>
  <c r="N12053" i="9" a="1"/>
  <c r="N12053" i="9" s="1"/>
  <c r="N12054" i="9" a="1"/>
  <c r="N12054" i="9" s="1"/>
  <c r="N12055" i="9" a="1"/>
  <c r="N12055" i="9" s="1"/>
  <c r="N12056" i="9" a="1"/>
  <c r="N12056" i="9" s="1"/>
  <c r="N12057" i="9" a="1"/>
  <c r="N12057" i="9" s="1"/>
  <c r="N12058" i="9" a="1"/>
  <c r="N12058" i="9" s="1"/>
  <c r="N12059" i="9" a="1"/>
  <c r="N12059" i="9" s="1"/>
  <c r="N12060" i="9" a="1"/>
  <c r="N12060" i="9" s="1"/>
  <c r="N12061" i="9" a="1"/>
  <c r="N12061" i="9" s="1"/>
  <c r="N12062" i="9" a="1"/>
  <c r="N12062" i="9" s="1"/>
  <c r="N12063" i="9" a="1"/>
  <c r="N12063" i="9" s="1"/>
  <c r="N12064" i="9" a="1"/>
  <c r="N12064" i="9" s="1"/>
  <c r="N12065" i="9" a="1"/>
  <c r="N12065" i="9" s="1"/>
  <c r="N12066" i="9" a="1"/>
  <c r="N12066" i="9" s="1"/>
  <c r="N12067" i="9" a="1"/>
  <c r="N12067" i="9" s="1"/>
  <c r="N12068" i="9" a="1"/>
  <c r="N12068" i="9" s="1"/>
  <c r="N12069" i="9" a="1"/>
  <c r="N12069" i="9" s="1"/>
  <c r="N12070" i="9" a="1"/>
  <c r="N12070" i="9" s="1"/>
  <c r="N12071" i="9" a="1"/>
  <c r="N12071" i="9" s="1"/>
  <c r="N12072" i="9" a="1"/>
  <c r="N12072" i="9" s="1"/>
  <c r="N12073" i="9" a="1"/>
  <c r="N12073" i="9" s="1"/>
  <c r="N12074" i="9" a="1"/>
  <c r="N12074" i="9" s="1"/>
  <c r="N12075" i="9" a="1"/>
  <c r="N12075" i="9" s="1"/>
  <c r="N12076" i="9" a="1"/>
  <c r="N12076" i="9" s="1"/>
  <c r="N12077" i="9" a="1"/>
  <c r="N12077" i="9" s="1"/>
  <c r="N12078" i="9" a="1"/>
  <c r="N12078" i="9" s="1"/>
  <c r="N12079" i="9" a="1"/>
  <c r="N12079" i="9" s="1"/>
  <c r="N12080" i="9" a="1"/>
  <c r="N12080" i="9" s="1"/>
  <c r="N12081" i="9" a="1"/>
  <c r="N12081" i="9" s="1"/>
  <c r="N12082" i="9" a="1"/>
  <c r="N12082" i="9" s="1"/>
  <c r="N12083" i="9" a="1"/>
  <c r="N12083" i="9" s="1"/>
  <c r="N12084" i="9" a="1"/>
  <c r="N12084" i="9" s="1"/>
  <c r="N12085" i="9" a="1"/>
  <c r="N12085" i="9" s="1"/>
  <c r="N12086" i="9" a="1"/>
  <c r="N12086" i="9" s="1"/>
  <c r="N12087" i="9" a="1"/>
  <c r="N12087" i="9" s="1"/>
  <c r="N12088" i="9" a="1"/>
  <c r="N12088" i="9" s="1"/>
  <c r="N12089" i="9" a="1"/>
  <c r="N12089" i="9" s="1"/>
  <c r="N12090" i="9" a="1"/>
  <c r="N12090" i="9" s="1"/>
  <c r="N12091" i="9" a="1"/>
  <c r="N12091" i="9" s="1"/>
  <c r="N12092" i="9" a="1"/>
  <c r="N12092" i="9" s="1"/>
  <c r="N12093" i="9" a="1"/>
  <c r="N12093" i="9" s="1"/>
  <c r="N12094" i="9" a="1"/>
  <c r="N12094" i="9" s="1"/>
  <c r="N12095" i="9" a="1"/>
  <c r="N12095" i="9" s="1"/>
  <c r="N12096" i="9" a="1"/>
  <c r="N12096" i="9" s="1"/>
  <c r="N12097" i="9" a="1"/>
  <c r="N12097" i="9" s="1"/>
  <c r="N12098" i="9" a="1"/>
  <c r="N12098" i="9" s="1"/>
  <c r="N12099" i="9" a="1"/>
  <c r="N12099" i="9" s="1"/>
  <c r="N12100" i="9" a="1"/>
  <c r="N12100" i="9" s="1"/>
  <c r="N12101" i="9" a="1"/>
  <c r="N12101" i="9" s="1"/>
  <c r="N12102" i="9" a="1"/>
  <c r="N12102" i="9" s="1"/>
  <c r="N12103" i="9" a="1"/>
  <c r="N12103" i="9" s="1"/>
  <c r="N12104" i="9" a="1"/>
  <c r="N12104" i="9" s="1"/>
  <c r="N12105" i="9" a="1"/>
  <c r="N12105" i="9" s="1"/>
  <c r="N12106" i="9" a="1"/>
  <c r="N12106" i="9" s="1"/>
  <c r="N12107" i="9" a="1"/>
  <c r="N12107" i="9" s="1"/>
  <c r="N12108" i="9" a="1"/>
  <c r="N12108" i="9" s="1"/>
  <c r="N12109" i="9" a="1"/>
  <c r="N12109" i="9" s="1"/>
  <c r="N12110" i="9" a="1"/>
  <c r="N12110" i="9" s="1"/>
  <c r="N12111" i="9" a="1"/>
  <c r="N12111" i="9" s="1"/>
  <c r="N12112" i="9" a="1"/>
  <c r="N12112" i="9" s="1"/>
  <c r="N12113" i="9" a="1"/>
  <c r="N12113" i="9" s="1"/>
  <c r="N12114" i="9" a="1"/>
  <c r="N12114" i="9" s="1"/>
  <c r="N12115" i="9" a="1"/>
  <c r="N12115" i="9" s="1"/>
  <c r="N12116" i="9" a="1"/>
  <c r="N12116" i="9" s="1"/>
  <c r="N12117" i="9" a="1"/>
  <c r="N12117" i="9" s="1"/>
  <c r="N12118" i="9" a="1"/>
  <c r="N12118" i="9" s="1"/>
  <c r="N12119" i="9" a="1"/>
  <c r="N12119" i="9" s="1"/>
  <c r="N12120" i="9" a="1"/>
  <c r="N12120" i="9" s="1"/>
  <c r="N12121" i="9" a="1"/>
  <c r="N12121" i="9" s="1"/>
  <c r="N12122" i="9" a="1"/>
  <c r="N12122" i="9" s="1"/>
  <c r="N12123" i="9" a="1"/>
  <c r="N12123" i="9" s="1"/>
  <c r="N12124" i="9" a="1"/>
  <c r="N12124" i="9" s="1"/>
  <c r="N12125" i="9" a="1"/>
  <c r="N12125" i="9" s="1"/>
  <c r="N12126" i="9" a="1"/>
  <c r="N12126" i="9" s="1"/>
  <c r="N12127" i="9" a="1"/>
  <c r="N12127" i="9" s="1"/>
  <c r="N12128" i="9" a="1"/>
  <c r="N12128" i="9" s="1"/>
  <c r="N12129" i="9" a="1"/>
  <c r="N12129" i="9" s="1"/>
  <c r="N12130" i="9" a="1"/>
  <c r="N12130" i="9" s="1"/>
  <c r="N12131" i="9" a="1"/>
  <c r="N12131" i="9" s="1"/>
  <c r="N12132" i="9" a="1"/>
  <c r="N12132" i="9" s="1"/>
  <c r="N12133" i="9" a="1"/>
  <c r="N12133" i="9" s="1"/>
  <c r="N12134" i="9" a="1"/>
  <c r="N12134" i="9" s="1"/>
  <c r="N12135" i="9" a="1"/>
  <c r="N12135" i="9" s="1"/>
  <c r="N12136" i="9" a="1"/>
  <c r="N12136" i="9" s="1"/>
  <c r="N12137" i="9" a="1"/>
  <c r="N12137" i="9" s="1"/>
  <c r="N12138" i="9" a="1"/>
  <c r="N12138" i="9" s="1"/>
  <c r="N12139" i="9" a="1"/>
  <c r="N12139" i="9" s="1"/>
  <c r="N12140" i="9" a="1"/>
  <c r="N12140" i="9" s="1"/>
  <c r="N12141" i="9" a="1"/>
  <c r="N12141" i="9" s="1"/>
  <c r="N12142" i="9" a="1"/>
  <c r="N12142" i="9" s="1"/>
  <c r="N12143" i="9" a="1"/>
  <c r="N12143" i="9" s="1"/>
  <c r="N12144" i="9" a="1"/>
  <c r="N12144" i="9" s="1"/>
  <c r="N12145" i="9" a="1"/>
  <c r="N12145" i="9" s="1"/>
  <c r="N12146" i="9" a="1"/>
  <c r="N12146" i="9" s="1"/>
  <c r="N12147" i="9" a="1"/>
  <c r="N12147" i="9" s="1"/>
  <c r="N12148" i="9" a="1"/>
  <c r="N12148" i="9" s="1"/>
  <c r="N12149" i="9" a="1"/>
  <c r="N12149" i="9" s="1"/>
  <c r="N12150" i="9" a="1"/>
  <c r="N12150" i="9" s="1"/>
  <c r="N12151" i="9" a="1"/>
  <c r="N12151" i="9" s="1"/>
  <c r="N12152" i="9" a="1"/>
  <c r="N12152" i="9" s="1"/>
  <c r="N12153" i="9" a="1"/>
  <c r="N12153" i="9" s="1"/>
  <c r="N12154" i="9" a="1"/>
  <c r="N12154" i="9" s="1"/>
  <c r="N12155" i="9" a="1"/>
  <c r="N12155" i="9" s="1"/>
  <c r="N12156" i="9" a="1"/>
  <c r="N12156" i="9" s="1"/>
  <c r="N12157" i="9" a="1"/>
  <c r="N12157" i="9" s="1"/>
  <c r="N12158" i="9" a="1"/>
  <c r="N12158" i="9" s="1"/>
  <c r="N12159" i="9" a="1"/>
  <c r="N12159" i="9" s="1"/>
  <c r="N12160" i="9" a="1"/>
  <c r="N12160" i="9" s="1"/>
  <c r="N12161" i="9" a="1"/>
  <c r="N12161" i="9" s="1"/>
  <c r="N12162" i="9" a="1"/>
  <c r="N12162" i="9" s="1"/>
  <c r="M11" i="9"/>
  <c r="N146" i="9" s="1" a="1"/>
  <c r="N146" i="9" s="1"/>
  <c r="M12" i="9"/>
  <c r="N162" i="9" s="1" a="1"/>
  <c r="N162" i="9" s="1"/>
  <c r="M23" i="9"/>
  <c r="N338" i="9" s="1" a="1"/>
  <c r="N338" i="9" s="1"/>
  <c r="M24" i="9"/>
  <c r="N354" i="9" s="1" a="1"/>
  <c r="N354" i="9" s="1"/>
  <c r="M35" i="9"/>
  <c r="N530" i="9" s="1" a="1"/>
  <c r="N530" i="9" s="1"/>
  <c r="M36" i="9"/>
  <c r="N546" i="9" s="1" a="1"/>
  <c r="N546" i="9" s="1"/>
  <c r="M48" i="9"/>
  <c r="N738" i="9" s="1" a="1"/>
  <c r="N738" i="9" s="1"/>
  <c r="M60" i="9"/>
  <c r="N930" i="9" s="1" a="1"/>
  <c r="N930" i="9" s="1"/>
  <c r="L2" i="9"/>
  <c r="M2" i="9" s="1"/>
  <c r="N2" i="9" s="1" a="1"/>
  <c r="N2" i="9" s="1"/>
  <c r="L3" i="9"/>
  <c r="M3" i="9" s="1"/>
  <c r="N18" i="9" s="1" a="1"/>
  <c r="N18" i="9" s="1"/>
  <c r="L4" i="9"/>
  <c r="M4" i="9" s="1"/>
  <c r="N34" i="9" s="1" a="1"/>
  <c r="N34" i="9" s="1"/>
  <c r="L5" i="9"/>
  <c r="M5" i="9" s="1"/>
  <c r="N50" i="9" s="1" a="1"/>
  <c r="N50" i="9" s="1"/>
  <c r="L6" i="9"/>
  <c r="M6" i="9" s="1"/>
  <c r="N66" i="9" s="1" a="1"/>
  <c r="N66" i="9" s="1"/>
  <c r="L7" i="9"/>
  <c r="M7" i="9" s="1"/>
  <c r="N82" i="9" s="1" a="1"/>
  <c r="N82" i="9" s="1"/>
  <c r="L8" i="9"/>
  <c r="M8" i="9" s="1"/>
  <c r="N98" i="9" s="1" a="1"/>
  <c r="N98" i="9" s="1"/>
  <c r="L9" i="9"/>
  <c r="M9" i="9" s="1"/>
  <c r="N114" i="9" s="1" a="1"/>
  <c r="N114" i="9" s="1"/>
  <c r="L10" i="9"/>
  <c r="M10" i="9" s="1"/>
  <c r="N130" i="9" s="1" a="1"/>
  <c r="N130" i="9" s="1"/>
  <c r="L11" i="9"/>
  <c r="L12" i="9"/>
  <c r="L13" i="9"/>
  <c r="M13" i="9" s="1"/>
  <c r="N178" i="9" s="1" a="1"/>
  <c r="N178" i="9" s="1"/>
  <c r="L14" i="9"/>
  <c r="M14" i="9" s="1"/>
  <c r="N194" i="9" s="1" a="1"/>
  <c r="N194" i="9" s="1"/>
  <c r="L15" i="9"/>
  <c r="M15" i="9" s="1"/>
  <c r="N210" i="9" s="1" a="1"/>
  <c r="N210" i="9" s="1"/>
  <c r="L16" i="9"/>
  <c r="M16" i="9" s="1"/>
  <c r="N226" i="9" s="1" a="1"/>
  <c r="N226" i="9" s="1"/>
  <c r="L17" i="9"/>
  <c r="M17" i="9" s="1"/>
  <c r="N242" i="9" s="1" a="1"/>
  <c r="N242" i="9" s="1"/>
  <c r="L18" i="9"/>
  <c r="M18" i="9" s="1"/>
  <c r="N258" i="9" s="1" a="1"/>
  <c r="N258" i="9" s="1"/>
  <c r="L19" i="9"/>
  <c r="M19" i="9" s="1"/>
  <c r="N274" i="9" s="1" a="1"/>
  <c r="N274" i="9" s="1"/>
  <c r="L20" i="9"/>
  <c r="M20" i="9" s="1"/>
  <c r="N290" i="9" s="1" a="1"/>
  <c r="N290" i="9" s="1"/>
  <c r="L21" i="9"/>
  <c r="M21" i="9" s="1"/>
  <c r="N306" i="9" s="1" a="1"/>
  <c r="N306" i="9" s="1"/>
  <c r="L22" i="9"/>
  <c r="M22" i="9" s="1"/>
  <c r="N322" i="9" s="1" a="1"/>
  <c r="N322" i="9" s="1"/>
  <c r="L23" i="9"/>
  <c r="L24" i="9"/>
  <c r="L25" i="9"/>
  <c r="M25" i="9" s="1"/>
  <c r="N370" i="9" s="1" a="1"/>
  <c r="N370" i="9" s="1"/>
  <c r="L26" i="9"/>
  <c r="M26" i="9" s="1"/>
  <c r="N386" i="9" s="1" a="1"/>
  <c r="N386" i="9" s="1"/>
  <c r="L27" i="9"/>
  <c r="M27" i="9" s="1"/>
  <c r="N402" i="9" s="1" a="1"/>
  <c r="N402" i="9" s="1"/>
  <c r="L28" i="9"/>
  <c r="M28" i="9" s="1"/>
  <c r="N418" i="9" s="1" a="1"/>
  <c r="N418" i="9" s="1"/>
  <c r="L29" i="9"/>
  <c r="M29" i="9" s="1"/>
  <c r="N434" i="9" s="1" a="1"/>
  <c r="N434" i="9" s="1"/>
  <c r="L30" i="9"/>
  <c r="M30" i="9" s="1"/>
  <c r="N450" i="9" s="1" a="1"/>
  <c r="N450" i="9" s="1"/>
  <c r="L31" i="9"/>
  <c r="M31" i="9" s="1"/>
  <c r="N466" i="9" s="1" a="1"/>
  <c r="N466" i="9" s="1"/>
  <c r="L32" i="9"/>
  <c r="M32" i="9" s="1"/>
  <c r="N482" i="9" s="1" a="1"/>
  <c r="N482" i="9" s="1"/>
  <c r="L33" i="9"/>
  <c r="M33" i="9" s="1"/>
  <c r="N498" i="9" s="1" a="1"/>
  <c r="N498" i="9" s="1"/>
  <c r="L34" i="9"/>
  <c r="M34" i="9" s="1"/>
  <c r="N514" i="9" s="1" a="1"/>
  <c r="N514" i="9" s="1"/>
  <c r="L35" i="9"/>
  <c r="L36" i="9"/>
  <c r="L37" i="9"/>
  <c r="M37" i="9" s="1"/>
  <c r="N562" i="9" s="1" a="1"/>
  <c r="N562" i="9" s="1"/>
  <c r="L38" i="9"/>
  <c r="M38" i="9" s="1"/>
  <c r="N578" i="9" s="1" a="1"/>
  <c r="N578" i="9" s="1"/>
  <c r="L39" i="9"/>
  <c r="M39" i="9" s="1"/>
  <c r="N594" i="9" s="1" a="1"/>
  <c r="N594" i="9" s="1"/>
  <c r="L40" i="9"/>
  <c r="M40" i="9" s="1"/>
  <c r="N610" i="9" s="1" a="1"/>
  <c r="N610" i="9" s="1"/>
  <c r="L41" i="9"/>
  <c r="M41" i="9" s="1"/>
  <c r="N626" i="9" s="1" a="1"/>
  <c r="N626" i="9" s="1"/>
  <c r="L42" i="9"/>
  <c r="M42" i="9" s="1"/>
  <c r="N642" i="9" s="1" a="1"/>
  <c r="N642" i="9" s="1"/>
  <c r="L43" i="9"/>
  <c r="M43" i="9" s="1"/>
  <c r="N658" i="9" s="1" a="1"/>
  <c r="N658" i="9" s="1"/>
  <c r="L44" i="9"/>
  <c r="M44" i="9" s="1"/>
  <c r="N674" i="9" s="1" a="1"/>
  <c r="N674" i="9" s="1"/>
  <c r="L45" i="9"/>
  <c r="M45" i="9" s="1"/>
  <c r="N690" i="9" s="1" a="1"/>
  <c r="N690" i="9" s="1"/>
  <c r="L46" i="9"/>
  <c r="M46" i="9" s="1"/>
  <c r="N706" i="9" s="1" a="1"/>
  <c r="N706" i="9" s="1"/>
  <c r="L47" i="9"/>
  <c r="M47" i="9" s="1"/>
  <c r="N722" i="9" s="1" a="1"/>
  <c r="N722" i="9" s="1"/>
  <c r="L48" i="9"/>
  <c r="L49" i="9"/>
  <c r="M49" i="9" s="1"/>
  <c r="N754" i="9" s="1" a="1"/>
  <c r="N754" i="9" s="1"/>
  <c r="L50" i="9"/>
  <c r="M50" i="9" s="1"/>
  <c r="N770" i="9" s="1" a="1"/>
  <c r="N770" i="9" s="1"/>
  <c r="L51" i="9"/>
  <c r="M51" i="9" s="1"/>
  <c r="N786" i="9" s="1" a="1"/>
  <c r="N786" i="9" s="1"/>
  <c r="L52" i="9"/>
  <c r="M52" i="9" s="1"/>
  <c r="N802" i="9" s="1" a="1"/>
  <c r="N802" i="9" s="1"/>
  <c r="L53" i="9"/>
  <c r="M53" i="9" s="1"/>
  <c r="N818" i="9" s="1" a="1"/>
  <c r="N818" i="9" s="1"/>
  <c r="L54" i="9"/>
  <c r="M54" i="9" s="1"/>
  <c r="N834" i="9" s="1" a="1"/>
  <c r="N834" i="9" s="1"/>
  <c r="L55" i="9"/>
  <c r="M55" i="9" s="1"/>
  <c r="N850" i="9" s="1" a="1"/>
  <c r="N850" i="9" s="1"/>
  <c r="L56" i="9"/>
  <c r="M56" i="9" s="1"/>
  <c r="N866" i="9" s="1" a="1"/>
  <c r="N866" i="9" s="1"/>
  <c r="L57" i="9"/>
  <c r="M57" i="9" s="1"/>
  <c r="N882" i="9" s="1" a="1"/>
  <c r="N882" i="9" s="1"/>
  <c r="L58" i="9"/>
  <c r="M58" i="9" s="1"/>
  <c r="N898" i="9" s="1" a="1"/>
  <c r="N898" i="9" s="1"/>
  <c r="L59" i="9"/>
  <c r="M59" i="9" s="1"/>
  <c r="N914" i="9" s="1" a="1"/>
  <c r="N914" i="9" s="1"/>
  <c r="L60" i="9"/>
  <c r="L61" i="9"/>
  <c r="M61" i="9" s="1"/>
  <c r="N946" i="9" s="1" a="1"/>
  <c r="N946" i="9" s="1"/>
  <c r="L62" i="9"/>
  <c r="M62" i="9" s="1"/>
  <c r="N962" i="9" s="1" a="1"/>
  <c r="N962" i="9" s="1"/>
  <c r="L63" i="9"/>
  <c r="M63" i="9" s="1"/>
  <c r="N978" i="9" s="1" a="1"/>
  <c r="N978" i="9" s="1"/>
  <c r="L64" i="9"/>
  <c r="M64" i="9" s="1"/>
  <c r="N994" i="9" s="1" a="1"/>
  <c r="N994" i="9" s="1"/>
  <c r="L65" i="9"/>
  <c r="M65" i="9" s="1"/>
  <c r="N1010" i="9" s="1" a="1"/>
  <c r="N1010" i="9" s="1"/>
  <c r="L66" i="9"/>
  <c r="M66" i="9" s="1"/>
  <c r="N1026" i="9" s="1" a="1"/>
  <c r="N1026" i="9" s="1"/>
  <c r="L67" i="9"/>
  <c r="M67" i="9" s="1"/>
  <c r="N1042" i="9" s="1" a="1"/>
  <c r="N1042" i="9" s="1"/>
  <c r="L68" i="9"/>
  <c r="M68" i="9" s="1"/>
  <c r="N1058" i="9" s="1" a="1"/>
  <c r="N1058" i="9" s="1"/>
  <c r="L69" i="9"/>
  <c r="M69" i="9" s="1"/>
  <c r="N1074" i="9" s="1" a="1"/>
  <c r="N1074" i="9" s="1"/>
  <c r="L70" i="9"/>
  <c r="M70" i="9" s="1"/>
  <c r="N1090" i="9" s="1" a="1"/>
  <c r="N1090" i="9" s="1"/>
  <c r="L71" i="9"/>
  <c r="M71" i="9" s="1"/>
  <c r="N1106" i="9" s="1" a="1"/>
  <c r="N1106" i="9" s="1"/>
  <c r="L72" i="9"/>
  <c r="M72" i="9" s="1"/>
  <c r="N1122" i="9" s="1" a="1"/>
  <c r="N1122" i="9" s="1"/>
  <c r="L73" i="9"/>
  <c r="M73" i="9" s="1"/>
  <c r="N1138" i="9" s="1" a="1"/>
  <c r="N1138" i="9" s="1"/>
  <c r="L74" i="9"/>
  <c r="M74" i="9" s="1"/>
  <c r="N1154" i="9" s="1" a="1"/>
  <c r="N1154" i="9" s="1"/>
  <c r="L75" i="9"/>
  <c r="M75" i="9" s="1"/>
  <c r="N1170" i="9" s="1" a="1"/>
  <c r="N1170" i="9" s="1"/>
  <c r="L76" i="9"/>
  <c r="M76" i="9" s="1"/>
  <c r="N1186" i="9" s="1" a="1"/>
  <c r="N1186" i="9" s="1"/>
  <c r="L77" i="9"/>
  <c r="M77" i="9" s="1"/>
  <c r="N1202" i="9" s="1" a="1"/>
  <c r="N1202" i="9" s="1"/>
  <c r="L78" i="9"/>
  <c r="M78" i="9" s="1"/>
  <c r="N1218" i="9" s="1" a="1"/>
  <c r="N1218" i="9" s="1"/>
  <c r="L79" i="9"/>
  <c r="M79" i="9" s="1"/>
  <c r="N1234" i="9" s="1" a="1"/>
  <c r="N1234" i="9" s="1"/>
  <c r="L80" i="9"/>
  <c r="M80" i="9" s="1"/>
  <c r="N1250" i="9" s="1" a="1"/>
  <c r="N1250" i="9" s="1"/>
  <c r="L81" i="9"/>
  <c r="M81" i="9" s="1"/>
  <c r="N1266" i="9" s="1" a="1"/>
  <c r="N1266" i="9" s="1"/>
  <c r="L82" i="9"/>
  <c r="M82" i="9" s="1"/>
  <c r="N1282" i="9" s="1" a="1"/>
  <c r="N1282" i="9" s="1"/>
  <c r="L83" i="9"/>
  <c r="M83" i="9" s="1"/>
  <c r="N1298" i="9" s="1" a="1"/>
  <c r="N1298" i="9" s="1"/>
  <c r="L84" i="9"/>
  <c r="M84" i="9" s="1"/>
  <c r="N1314" i="9" s="1" a="1"/>
  <c r="N1314" i="9" s="1"/>
  <c r="L85" i="9"/>
  <c r="M85" i="9" s="1"/>
  <c r="N1330" i="9" s="1" a="1"/>
  <c r="N1330" i="9" s="1"/>
  <c r="L86" i="9"/>
  <c r="M86" i="9" s="1"/>
  <c r="N1346" i="9" s="1" a="1"/>
  <c r="N1346" i="9" s="1"/>
  <c r="L87" i="9"/>
  <c r="M87" i="9" s="1"/>
  <c r="N1362" i="9" s="1" a="1"/>
  <c r="N1362" i="9" s="1"/>
  <c r="L88" i="9"/>
  <c r="M88" i="9" s="1"/>
  <c r="N1378" i="9" s="1" a="1"/>
  <c r="N1378" i="9" s="1"/>
  <c r="L89" i="9"/>
  <c r="M89" i="9" s="1"/>
  <c r="N1394" i="9" s="1" a="1"/>
  <c r="N1394" i="9" s="1"/>
  <c r="L90" i="9"/>
  <c r="M90" i="9" s="1"/>
  <c r="N1410" i="9" s="1" a="1"/>
  <c r="N1410" i="9" s="1"/>
  <c r="L91" i="9"/>
  <c r="M91" i="9" s="1"/>
  <c r="N1426" i="9" s="1" a="1"/>
  <c r="N1426" i="9" s="1"/>
  <c r="L92" i="9"/>
  <c r="M92" i="9" s="1"/>
  <c r="N1442" i="9" s="1" a="1"/>
  <c r="N1442" i="9" s="1"/>
  <c r="L93" i="9"/>
  <c r="M93" i="9" s="1"/>
  <c r="N1458" i="9" s="1" a="1"/>
  <c r="N1458" i="9" s="1"/>
  <c r="L94" i="9"/>
  <c r="M94" i="9" s="1"/>
  <c r="N1474" i="9" s="1" a="1"/>
  <c r="N1474" i="9" s="1"/>
  <c r="L95" i="9"/>
  <c r="M95" i="9" s="1"/>
  <c r="N1490" i="9" s="1" a="1"/>
  <c r="N1490" i="9" s="1"/>
  <c r="L96" i="9"/>
  <c r="M96" i="9" s="1"/>
  <c r="N1506" i="9" s="1" a="1"/>
  <c r="N1506" i="9" s="1"/>
  <c r="L97" i="9"/>
  <c r="M97" i="9" s="1"/>
  <c r="N1522" i="9" s="1" a="1"/>
  <c r="N1522" i="9" s="1"/>
  <c r="L98" i="9"/>
  <c r="M98" i="9" s="1"/>
  <c r="N1538" i="9" s="1" a="1"/>
  <c r="N1538" i="9" s="1"/>
  <c r="L99" i="9"/>
  <c r="M99" i="9" s="1"/>
  <c r="N1554" i="9" s="1" a="1"/>
  <c r="N1554" i="9" s="1"/>
  <c r="L100" i="9"/>
  <c r="M100" i="9" s="1"/>
  <c r="N1570" i="9" s="1" a="1"/>
  <c r="N1570" i="9" s="1"/>
  <c r="L101" i="9"/>
  <c r="M101" i="9" s="1"/>
  <c r="N1586" i="9" s="1" a="1"/>
  <c r="N1586" i="9" s="1"/>
  <c r="L102" i="9"/>
  <c r="M102" i="9" s="1"/>
  <c r="N1602" i="9" s="1" a="1"/>
  <c r="N1602" i="9" s="1"/>
  <c r="L103" i="9"/>
  <c r="M103" i="9" s="1"/>
  <c r="N1618" i="9" s="1" a="1"/>
  <c r="N1618" i="9" s="1"/>
  <c r="L104" i="9"/>
  <c r="M104" i="9" s="1"/>
  <c r="N1634" i="9" s="1" a="1"/>
  <c r="N1634" i="9" s="1"/>
  <c r="L105" i="9"/>
  <c r="M105" i="9" s="1"/>
  <c r="N1650" i="9" s="1" a="1"/>
  <c r="N1650" i="9" s="1"/>
  <c r="L106" i="9"/>
  <c r="M106" i="9" s="1"/>
  <c r="N1666" i="9" s="1" a="1"/>
  <c r="N1666" i="9" s="1"/>
  <c r="L107" i="9"/>
  <c r="M107" i="9" s="1"/>
  <c r="N1682" i="9" s="1" a="1"/>
  <c r="N1682" i="9" s="1"/>
  <c r="L108" i="9"/>
  <c r="M108" i="9" s="1"/>
  <c r="N1698" i="9" s="1" a="1"/>
  <c r="N1698" i="9" s="1"/>
  <c r="L109" i="9"/>
  <c r="M109" i="9" s="1"/>
  <c r="N1714" i="9" s="1" a="1"/>
  <c r="N1714" i="9" s="1"/>
  <c r="L110" i="9"/>
  <c r="M110" i="9" s="1"/>
  <c r="N1730" i="9" s="1" a="1"/>
  <c r="N1730" i="9" s="1"/>
  <c r="L111" i="9"/>
  <c r="M111" i="9" s="1"/>
  <c r="N1746" i="9" s="1" a="1"/>
  <c r="N1746" i="9" s="1"/>
  <c r="L112" i="9"/>
  <c r="M112" i="9" s="1"/>
  <c r="N1762" i="9" s="1" a="1"/>
  <c r="N1762" i="9" s="1"/>
  <c r="L113" i="9"/>
  <c r="M113" i="9" s="1"/>
  <c r="N1778" i="9" s="1" a="1"/>
  <c r="N1778" i="9" s="1"/>
  <c r="L114" i="9"/>
  <c r="M114" i="9" s="1"/>
  <c r="N1794" i="9" s="1" a="1"/>
  <c r="N1794" i="9" s="1"/>
  <c r="L115" i="9"/>
  <c r="M115" i="9" s="1"/>
  <c r="N1810" i="9" s="1" a="1"/>
  <c r="N1810" i="9" s="1"/>
  <c r="L116" i="9"/>
  <c r="M116" i="9" s="1"/>
  <c r="N1826" i="9" s="1" a="1"/>
  <c r="N1826" i="9" s="1"/>
  <c r="L117" i="9"/>
  <c r="M117" i="9" s="1"/>
  <c r="N1842" i="9" s="1" a="1"/>
  <c r="N1842" i="9" s="1"/>
  <c r="L118" i="9"/>
  <c r="M118" i="9" s="1"/>
  <c r="N1858" i="9" s="1" a="1"/>
  <c r="N1858" i="9" s="1"/>
  <c r="L119" i="9"/>
  <c r="M119" i="9" s="1"/>
  <c r="N1874" i="9" s="1" a="1"/>
  <c r="N1874" i="9" s="1"/>
  <c r="L120" i="9"/>
  <c r="M120" i="9" s="1"/>
  <c r="N1890" i="9" s="1" a="1"/>
  <c r="N1890" i="9" s="1"/>
  <c r="L121" i="9"/>
  <c r="M121" i="9" s="1"/>
  <c r="N1906" i="9" s="1" a="1"/>
  <c r="N1906" i="9" s="1"/>
  <c r="L122" i="9"/>
  <c r="M122" i="9" s="1"/>
  <c r="N1922" i="9" s="1" a="1"/>
  <c r="N1922" i="9" s="1"/>
  <c r="L123" i="9"/>
  <c r="M123" i="9" s="1"/>
  <c r="N1938" i="9" s="1" a="1"/>
  <c r="N1938" i="9" s="1"/>
  <c r="L124" i="9"/>
  <c r="M124" i="9" s="1"/>
  <c r="N1954" i="9" s="1" a="1"/>
  <c r="N1954" i="9" s="1"/>
  <c r="L125" i="9"/>
  <c r="M125" i="9" s="1"/>
  <c r="N1970" i="9" s="1" a="1"/>
  <c r="N1970" i="9" s="1"/>
  <c r="L126" i="9"/>
  <c r="M126" i="9" s="1"/>
  <c r="N1986" i="9" s="1" a="1"/>
  <c r="N1986" i="9" s="1"/>
  <c r="L127" i="9"/>
  <c r="M127" i="9" s="1"/>
  <c r="N2002" i="9" s="1" a="1"/>
  <c r="N2002" i="9" s="1"/>
  <c r="L128" i="9"/>
  <c r="M128" i="9" s="1"/>
  <c r="N2018" i="9" s="1" a="1"/>
  <c r="N2018" i="9" s="1"/>
  <c r="L129" i="9"/>
  <c r="M129" i="9" s="1"/>
  <c r="N2034" i="9" s="1" a="1"/>
  <c r="N2034" i="9" s="1"/>
  <c r="L130" i="9"/>
  <c r="M130" i="9" s="1"/>
  <c r="N2050" i="9" s="1" a="1"/>
  <c r="N2050" i="9" s="1"/>
  <c r="L131" i="9"/>
  <c r="M131" i="9" s="1"/>
  <c r="N2066" i="9" s="1" a="1"/>
  <c r="N2066" i="9" s="1"/>
  <c r="L132" i="9"/>
  <c r="M132" i="9" s="1"/>
  <c r="N2082" i="9" s="1" a="1"/>
  <c r="N2082" i="9" s="1"/>
  <c r="L133" i="9"/>
  <c r="M133" i="9" s="1"/>
  <c r="N2098" i="9" s="1" a="1"/>
  <c r="N2098" i="9" s="1"/>
  <c r="L134" i="9"/>
  <c r="M134" i="9" s="1"/>
  <c r="N2114" i="9" s="1" a="1"/>
  <c r="N2114" i="9" s="1"/>
  <c r="L135" i="9"/>
  <c r="M135" i="9" s="1"/>
  <c r="N2130" i="9" s="1" a="1"/>
  <c r="N2130" i="9" s="1"/>
  <c r="L136" i="9"/>
  <c r="M136" i="9" s="1"/>
  <c r="N2146" i="9" s="1" a="1"/>
  <c r="N2146" i="9" s="1"/>
  <c r="L137" i="9"/>
  <c r="M137" i="9" s="1"/>
  <c r="N2162" i="9" s="1" a="1"/>
  <c r="N2162" i="9" s="1"/>
  <c r="L138" i="9"/>
  <c r="M138" i="9" s="1"/>
  <c r="N2178" i="9" s="1" a="1"/>
  <c r="N2178" i="9" s="1"/>
  <c r="L139" i="9"/>
  <c r="M139" i="9" s="1"/>
  <c r="N2194" i="9" s="1" a="1"/>
  <c r="N2194" i="9" s="1"/>
  <c r="L140" i="9"/>
  <c r="M140" i="9" s="1"/>
  <c r="N2210" i="9" s="1" a="1"/>
  <c r="N2210" i="9" s="1"/>
  <c r="L141" i="9"/>
  <c r="M141" i="9" s="1"/>
  <c r="N2226" i="9" s="1" a="1"/>
  <c r="N2226" i="9" s="1"/>
  <c r="L142" i="9"/>
  <c r="M142" i="9" s="1"/>
  <c r="N2242" i="9" s="1" a="1"/>
  <c r="N2242" i="9" s="1"/>
  <c r="L143" i="9"/>
  <c r="M143" i="9" s="1"/>
  <c r="N2258" i="9" s="1" a="1"/>
  <c r="N2258" i="9" s="1"/>
  <c r="L144" i="9"/>
  <c r="M144" i="9" s="1"/>
  <c r="N2274" i="9" s="1" a="1"/>
  <c r="N2274" i="9" s="1"/>
  <c r="L145" i="9"/>
  <c r="M145" i="9" s="1"/>
  <c r="N2290" i="9" s="1" a="1"/>
  <c r="N2290" i="9" s="1"/>
  <c r="L146" i="9"/>
  <c r="M146" i="9" s="1"/>
  <c r="N2306" i="9" s="1" a="1"/>
  <c r="N2306" i="9" s="1"/>
  <c r="L147" i="9"/>
  <c r="M147" i="9" s="1"/>
  <c r="N2322" i="9" s="1" a="1"/>
  <c r="N2322" i="9" s="1"/>
  <c r="L148" i="9"/>
  <c r="M148" i="9" s="1"/>
  <c r="N2338" i="9" s="1" a="1"/>
  <c r="N2338" i="9" s="1"/>
  <c r="L149" i="9"/>
  <c r="M149" i="9" s="1"/>
  <c r="N2354" i="9" s="1" a="1"/>
  <c r="N2354" i="9" s="1"/>
  <c r="L150" i="9"/>
  <c r="M150" i="9" s="1"/>
  <c r="N2370" i="9" s="1" a="1"/>
  <c r="N2370" i="9" s="1"/>
  <c r="L151" i="9"/>
  <c r="M151" i="9" s="1"/>
  <c r="N2386" i="9" s="1" a="1"/>
  <c r="N2386" i="9" s="1"/>
  <c r="L152" i="9"/>
  <c r="M152" i="9" s="1"/>
  <c r="N2402" i="9" s="1" a="1"/>
  <c r="N2402" i="9" s="1"/>
  <c r="L153" i="9"/>
  <c r="M153" i="9" s="1"/>
  <c r="N2418" i="9" s="1" a="1"/>
  <c r="N2418" i="9" s="1"/>
  <c r="L154" i="9"/>
  <c r="M154" i="9" s="1"/>
  <c r="N2434" i="9" s="1" a="1"/>
  <c r="N2434" i="9" s="1"/>
  <c r="L155" i="9"/>
  <c r="M155" i="9" s="1"/>
  <c r="N2450" i="9" s="1" a="1"/>
  <c r="N2450" i="9" s="1"/>
  <c r="L156" i="9"/>
  <c r="M156" i="9" s="1"/>
  <c r="N2466" i="9" s="1" a="1"/>
  <c r="N2466" i="9" s="1"/>
  <c r="L157" i="9"/>
  <c r="M157" i="9" s="1"/>
  <c r="N2482" i="9" s="1" a="1"/>
  <c r="N2482" i="9" s="1"/>
  <c r="L158" i="9"/>
  <c r="M158" i="9" s="1"/>
  <c r="N2498" i="9" s="1" a="1"/>
  <c r="N2498" i="9" s="1"/>
  <c r="L159" i="9"/>
  <c r="M159" i="9" s="1"/>
  <c r="N2514" i="9" s="1" a="1"/>
  <c r="N2514" i="9" s="1"/>
  <c r="L160" i="9"/>
  <c r="M160" i="9" s="1"/>
  <c r="N2530" i="9" s="1" a="1"/>
  <c r="N2530" i="9" s="1"/>
  <c r="L161" i="9"/>
  <c r="M161" i="9" s="1"/>
  <c r="N2546" i="9" s="1" a="1"/>
  <c r="N2546" i="9" s="1"/>
  <c r="L162" i="9"/>
  <c r="M162" i="9" s="1"/>
  <c r="N2562" i="9" s="1" a="1"/>
  <c r="N2562" i="9" s="1"/>
  <c r="L163" i="9"/>
  <c r="M163" i="9" s="1"/>
  <c r="N2578" i="9" s="1" a="1"/>
  <c r="N2578" i="9" s="1"/>
  <c r="L164" i="9"/>
  <c r="M164" i="9" s="1"/>
  <c r="N2594" i="9" s="1" a="1"/>
  <c r="N2594" i="9" s="1"/>
  <c r="L165" i="9"/>
  <c r="M165" i="9" s="1"/>
  <c r="N2610" i="9" s="1" a="1"/>
  <c r="N2610" i="9" s="1"/>
  <c r="L166" i="9"/>
  <c r="M166" i="9" s="1"/>
  <c r="N2626" i="9" s="1" a="1"/>
  <c r="N2626" i="9" s="1"/>
  <c r="L167" i="9"/>
  <c r="M167" i="9" s="1"/>
  <c r="N2642" i="9" s="1" a="1"/>
  <c r="N2642" i="9" s="1"/>
  <c r="L168" i="9"/>
  <c r="M168" i="9" s="1"/>
  <c r="N2658" i="9" s="1" a="1"/>
  <c r="N2658" i="9" s="1"/>
  <c r="L169" i="9"/>
  <c r="M169" i="9" s="1"/>
  <c r="N2674" i="9" s="1" a="1"/>
  <c r="N2674" i="9" s="1"/>
  <c r="L170" i="9"/>
  <c r="M170" i="9" s="1"/>
  <c r="N2690" i="9" s="1" a="1"/>
  <c r="N2690" i="9" s="1"/>
  <c r="L171" i="9"/>
  <c r="M171" i="9" s="1"/>
  <c r="N2706" i="9" s="1" a="1"/>
  <c r="N2706" i="9" s="1"/>
  <c r="L172" i="9"/>
  <c r="M172" i="9" s="1"/>
  <c r="N2722" i="9" s="1" a="1"/>
  <c r="N2722" i="9" s="1"/>
  <c r="L173" i="9"/>
  <c r="M173" i="9" s="1"/>
  <c r="N2738" i="9" s="1" a="1"/>
  <c r="N2738" i="9" s="1"/>
  <c r="L174" i="9"/>
  <c r="M174" i="9" s="1"/>
  <c r="N2754" i="9" s="1" a="1"/>
  <c r="N2754" i="9" s="1"/>
  <c r="L175" i="9"/>
  <c r="M175" i="9" s="1"/>
  <c r="N2770" i="9" s="1" a="1"/>
  <c r="N2770" i="9" s="1"/>
  <c r="L176" i="9"/>
  <c r="M176" i="9" s="1"/>
  <c r="N2786" i="9" s="1" a="1"/>
  <c r="N2786" i="9" s="1"/>
  <c r="L177" i="9"/>
  <c r="M177" i="9" s="1"/>
  <c r="N2802" i="9" s="1" a="1"/>
  <c r="N2802" i="9" s="1"/>
  <c r="L178" i="9"/>
  <c r="M178" i="9" s="1"/>
  <c r="N2818" i="9" s="1" a="1"/>
  <c r="N2818" i="9" s="1"/>
  <c r="L179" i="9"/>
  <c r="M179" i="9" s="1"/>
  <c r="N2834" i="9" s="1" a="1"/>
  <c r="N2834" i="9" s="1"/>
  <c r="L180" i="9"/>
  <c r="M180" i="9" s="1"/>
  <c r="N2850" i="9" s="1" a="1"/>
  <c r="N2850" i="9" s="1"/>
  <c r="L181" i="9"/>
  <c r="M181" i="9" s="1"/>
  <c r="N2866" i="9" s="1" a="1"/>
  <c r="N2866" i="9" s="1"/>
  <c r="L182" i="9"/>
  <c r="M182" i="9" s="1"/>
  <c r="N2882" i="9" s="1" a="1"/>
  <c r="N2882" i="9" s="1"/>
  <c r="L183" i="9"/>
  <c r="M183" i="9" s="1"/>
  <c r="N2898" i="9" s="1" a="1"/>
  <c r="N2898" i="9" s="1"/>
  <c r="L184" i="9"/>
  <c r="M184" i="9" s="1"/>
  <c r="N2914" i="9" s="1" a="1"/>
  <c r="N2914" i="9" s="1"/>
  <c r="L185" i="9"/>
  <c r="M185" i="9" s="1"/>
  <c r="N2930" i="9" s="1" a="1"/>
  <c r="N2930" i="9" s="1"/>
  <c r="L186" i="9"/>
  <c r="M186" i="9" s="1"/>
  <c r="N2946" i="9" s="1" a="1"/>
  <c r="N2946" i="9" s="1"/>
  <c r="L187" i="9"/>
  <c r="M187" i="9" s="1"/>
  <c r="N2962" i="9" s="1" a="1"/>
  <c r="N2962" i="9" s="1"/>
  <c r="L188" i="9"/>
  <c r="M188" i="9" s="1"/>
  <c r="N2978" i="9" s="1" a="1"/>
  <c r="N2978" i="9" s="1"/>
  <c r="L189" i="9"/>
  <c r="M189" i="9" s="1"/>
  <c r="N2994" i="9" s="1" a="1"/>
  <c r="N2994" i="9" s="1"/>
  <c r="L190" i="9"/>
  <c r="M190" i="9" s="1"/>
  <c r="N3010" i="9" s="1" a="1"/>
  <c r="N3010" i="9" s="1"/>
  <c r="L191" i="9"/>
  <c r="M191" i="9" s="1"/>
  <c r="N3026" i="9" s="1" a="1"/>
  <c r="N3026" i="9" s="1"/>
  <c r="L192" i="9"/>
  <c r="M192" i="9" s="1"/>
  <c r="N3042" i="9" s="1" a="1"/>
  <c r="N3042" i="9" s="1"/>
  <c r="L193" i="9"/>
  <c r="M193" i="9" s="1"/>
  <c r="N3058" i="9" s="1" a="1"/>
  <c r="N3058" i="9" s="1"/>
  <c r="L194" i="9"/>
  <c r="M194" i="9" s="1"/>
  <c r="N3074" i="9" s="1" a="1"/>
  <c r="N3074" i="9" s="1"/>
  <c r="L195" i="9"/>
  <c r="M195" i="9" s="1"/>
  <c r="N3090" i="9" s="1" a="1"/>
  <c r="N3090" i="9" s="1"/>
  <c r="L196" i="9"/>
  <c r="M196" i="9" s="1"/>
  <c r="N3106" i="9" s="1" a="1"/>
  <c r="N3106" i="9" s="1"/>
  <c r="L197" i="9"/>
  <c r="M197" i="9" s="1"/>
  <c r="N3122" i="9" s="1" a="1"/>
  <c r="N3122" i="9" s="1"/>
  <c r="L198" i="9"/>
  <c r="M198" i="9" s="1"/>
  <c r="N3138" i="9" s="1" a="1"/>
  <c r="N3138" i="9" s="1"/>
  <c r="L199" i="9"/>
  <c r="M199" i="9" s="1"/>
  <c r="N3154" i="9" s="1" a="1"/>
  <c r="N3154" i="9" s="1"/>
  <c r="L200" i="9"/>
  <c r="M200" i="9" s="1"/>
  <c r="N3170" i="9" s="1" a="1"/>
  <c r="N3170" i="9" s="1"/>
  <c r="L201" i="9"/>
  <c r="M201" i="9" s="1"/>
  <c r="N3186" i="9" s="1" a="1"/>
  <c r="N3186" i="9" s="1"/>
  <c r="L202" i="9"/>
  <c r="M202" i="9" s="1"/>
  <c r="N3202" i="9" s="1" a="1"/>
  <c r="N3202" i="9" s="1"/>
  <c r="L203" i="9"/>
  <c r="M203" i="9" s="1"/>
  <c r="N3218" i="9" s="1" a="1"/>
  <c r="N3218" i="9" s="1"/>
  <c r="L204" i="9"/>
  <c r="M204" i="9" s="1"/>
  <c r="N3234" i="9" s="1" a="1"/>
  <c r="N3234" i="9" s="1"/>
  <c r="L205" i="9"/>
  <c r="M205" i="9" s="1"/>
  <c r="N3250" i="9" s="1" a="1"/>
  <c r="N3250" i="9" s="1"/>
  <c r="L206" i="9"/>
  <c r="M206" i="9" s="1"/>
  <c r="N3266" i="9" s="1" a="1"/>
  <c r="N3266" i="9" s="1"/>
  <c r="L207" i="9"/>
  <c r="M207" i="9" s="1"/>
  <c r="N3282" i="9" s="1" a="1"/>
  <c r="N3282" i="9" s="1"/>
  <c r="L208" i="9"/>
  <c r="M208" i="9" s="1"/>
  <c r="N3298" i="9" s="1" a="1"/>
  <c r="N3298" i="9" s="1"/>
  <c r="L209" i="9"/>
  <c r="M209" i="9" s="1"/>
  <c r="N3314" i="9" s="1" a="1"/>
  <c r="N3314" i="9" s="1"/>
  <c r="L210" i="9"/>
  <c r="M210" i="9" s="1"/>
  <c r="N3330" i="9" s="1" a="1"/>
  <c r="N3330" i="9" s="1"/>
  <c r="L211" i="9"/>
  <c r="M211" i="9" s="1"/>
  <c r="N3346" i="9" s="1" a="1"/>
  <c r="N3346" i="9" s="1"/>
  <c r="L212" i="9"/>
  <c r="M212" i="9" s="1"/>
  <c r="N3362" i="9" s="1" a="1"/>
  <c r="N3362" i="9" s="1"/>
  <c r="L213" i="9"/>
  <c r="M213" i="9" s="1"/>
  <c r="N3378" i="9" s="1" a="1"/>
  <c r="N3378" i="9" s="1"/>
  <c r="L214" i="9"/>
  <c r="M214" i="9" s="1"/>
  <c r="N3394" i="9" s="1" a="1"/>
  <c r="N3394" i="9" s="1"/>
  <c r="L215" i="9"/>
  <c r="M215" i="9" s="1"/>
  <c r="N3410" i="9" s="1" a="1"/>
  <c r="N3410" i="9" s="1"/>
  <c r="L216" i="9"/>
  <c r="M216" i="9" s="1"/>
  <c r="N3426" i="9" s="1" a="1"/>
  <c r="N3426" i="9" s="1"/>
  <c r="L217" i="9"/>
  <c r="M217" i="9" s="1"/>
  <c r="N3442" i="9" s="1" a="1"/>
  <c r="N3442" i="9" s="1"/>
  <c r="L218" i="9"/>
  <c r="M218" i="9" s="1"/>
  <c r="N3458" i="9" s="1" a="1"/>
  <c r="N3458" i="9" s="1"/>
  <c r="L219" i="9"/>
  <c r="M219" i="9" s="1"/>
  <c r="N3474" i="9" s="1" a="1"/>
  <c r="N3474" i="9" s="1"/>
  <c r="L220" i="9"/>
  <c r="M220" i="9" s="1"/>
  <c r="N3490" i="9" s="1" a="1"/>
  <c r="N3490" i="9" s="1"/>
  <c r="L221" i="9"/>
  <c r="M221" i="9" s="1"/>
  <c r="N3506" i="9" s="1" a="1"/>
  <c r="N3506" i="9" s="1"/>
  <c r="L222" i="9"/>
  <c r="M222" i="9" s="1"/>
  <c r="N3522" i="9" s="1" a="1"/>
  <c r="N3522" i="9" s="1"/>
  <c r="L223" i="9"/>
  <c r="M223" i="9" s="1"/>
  <c r="N3538" i="9" s="1" a="1"/>
  <c r="N3538" i="9" s="1"/>
  <c r="L224" i="9"/>
  <c r="M224" i="9" s="1"/>
  <c r="N3554" i="9" s="1" a="1"/>
  <c r="N3554" i="9" s="1"/>
  <c r="L225" i="9"/>
  <c r="M225" i="9" s="1"/>
  <c r="N3570" i="9" s="1" a="1"/>
  <c r="N3570" i="9" s="1"/>
  <c r="L226" i="9"/>
  <c r="M226" i="9" s="1"/>
  <c r="N3586" i="9" s="1" a="1"/>
  <c r="N3586" i="9" s="1"/>
  <c r="L227" i="9"/>
  <c r="M227" i="9" s="1"/>
  <c r="N3602" i="9" s="1" a="1"/>
  <c r="N3602" i="9" s="1"/>
  <c r="L228" i="9"/>
  <c r="M228" i="9" s="1"/>
  <c r="N3618" i="9" s="1" a="1"/>
  <c r="N3618" i="9" s="1"/>
  <c r="L229" i="9"/>
  <c r="M229" i="9" s="1"/>
  <c r="N3634" i="9" s="1" a="1"/>
  <c r="N3634" i="9" s="1"/>
  <c r="L230" i="9"/>
  <c r="M230" i="9" s="1"/>
  <c r="N3650" i="9" s="1" a="1"/>
  <c r="N3650" i="9" s="1"/>
  <c r="L231" i="9"/>
  <c r="M231" i="9" s="1"/>
  <c r="N3666" i="9" s="1" a="1"/>
  <c r="N3666" i="9" s="1"/>
  <c r="L232" i="9"/>
  <c r="M232" i="9" s="1"/>
  <c r="N3682" i="9" s="1" a="1"/>
  <c r="N3682" i="9" s="1"/>
  <c r="L233" i="9"/>
  <c r="M233" i="9" s="1"/>
  <c r="N3698" i="9" s="1" a="1"/>
  <c r="N3698" i="9" s="1"/>
  <c r="L234" i="9"/>
  <c r="M234" i="9" s="1"/>
  <c r="N3714" i="9" s="1" a="1"/>
  <c r="N3714" i="9" s="1"/>
  <c r="L235" i="9"/>
  <c r="M235" i="9" s="1"/>
  <c r="N3730" i="9" s="1" a="1"/>
  <c r="N3730" i="9" s="1"/>
  <c r="L236" i="9"/>
  <c r="M236" i="9" s="1"/>
  <c r="N3746" i="9" s="1" a="1"/>
  <c r="N3746" i="9" s="1"/>
  <c r="L237" i="9"/>
  <c r="M237" i="9" s="1"/>
  <c r="N3762" i="9" s="1" a="1"/>
  <c r="N3762" i="9" s="1"/>
  <c r="L238" i="9"/>
  <c r="M238" i="9" s="1"/>
  <c r="N3778" i="9" s="1" a="1"/>
  <c r="N3778" i="9" s="1"/>
  <c r="L239" i="9"/>
  <c r="M239" i="9" s="1"/>
  <c r="N3794" i="9" s="1" a="1"/>
  <c r="N3794" i="9" s="1"/>
  <c r="L240" i="9"/>
  <c r="M240" i="9" s="1"/>
  <c r="N3810" i="9" s="1" a="1"/>
  <c r="N3810" i="9" s="1"/>
  <c r="L241" i="9"/>
  <c r="M241" i="9" s="1"/>
  <c r="N3826" i="9" s="1" a="1"/>
  <c r="N3826" i="9" s="1"/>
  <c r="L242" i="9"/>
  <c r="M242" i="9" s="1"/>
  <c r="N3842" i="9" s="1" a="1"/>
  <c r="N3842" i="9" s="1"/>
  <c r="L243" i="9"/>
  <c r="M243" i="9" s="1"/>
  <c r="N3858" i="9" s="1" a="1"/>
  <c r="N3858" i="9" s="1"/>
  <c r="L244" i="9"/>
  <c r="M244" i="9" s="1"/>
  <c r="N3874" i="9" s="1" a="1"/>
  <c r="N3874" i="9" s="1"/>
  <c r="L245" i="9"/>
  <c r="M245" i="9" s="1"/>
  <c r="N3890" i="9" s="1" a="1"/>
  <c r="N3890" i="9" s="1"/>
  <c r="L246" i="9"/>
  <c r="M246" i="9" s="1"/>
  <c r="N3906" i="9" s="1" a="1"/>
  <c r="N3906" i="9" s="1"/>
  <c r="L247" i="9"/>
  <c r="M247" i="9" s="1"/>
  <c r="N3922" i="9" s="1" a="1"/>
  <c r="N3922" i="9" s="1"/>
  <c r="L248" i="9"/>
  <c r="M248" i="9" s="1"/>
  <c r="N3938" i="9" s="1" a="1"/>
  <c r="N3938" i="9" s="1"/>
  <c r="L249" i="9"/>
  <c r="M249" i="9" s="1"/>
  <c r="N3954" i="9" s="1" a="1"/>
  <c r="N3954" i="9" s="1"/>
  <c r="L250" i="9"/>
  <c r="M250" i="9" s="1"/>
  <c r="N3970" i="9" s="1" a="1"/>
  <c r="N3970" i="9" s="1"/>
  <c r="L251" i="9"/>
  <c r="M251" i="9" s="1"/>
  <c r="N3986" i="9" s="1" a="1"/>
  <c r="N3986" i="9" s="1"/>
  <c r="L252" i="9"/>
  <c r="M252" i="9" s="1"/>
  <c r="N4002" i="9" s="1" a="1"/>
  <c r="N4002" i="9" s="1"/>
  <c r="L253" i="9"/>
  <c r="M253" i="9" s="1"/>
  <c r="N4018" i="9" s="1" a="1"/>
  <c r="N4018" i="9" s="1"/>
  <c r="L254" i="9"/>
  <c r="M254" i="9" s="1"/>
  <c r="N4034" i="9" s="1" a="1"/>
  <c r="N4034" i="9" s="1"/>
  <c r="L255" i="9"/>
  <c r="M255" i="9" s="1"/>
  <c r="N4050" i="9" s="1" a="1"/>
  <c r="N4050" i="9" s="1"/>
  <c r="L256" i="9"/>
  <c r="M256" i="9" s="1"/>
  <c r="N4066" i="9" s="1" a="1"/>
  <c r="N4066" i="9" s="1"/>
  <c r="L257" i="9"/>
  <c r="M257" i="9" s="1"/>
  <c r="N4082" i="9" s="1" a="1"/>
  <c r="N4082" i="9" s="1"/>
  <c r="L258" i="9"/>
  <c r="M258" i="9" s="1"/>
  <c r="N4098" i="9" s="1" a="1"/>
  <c r="N4098" i="9" s="1"/>
  <c r="L259" i="9"/>
  <c r="M259" i="9" s="1"/>
  <c r="N4114" i="9" s="1" a="1"/>
  <c r="N4114" i="9" s="1"/>
  <c r="L260" i="9"/>
  <c r="M260" i="9" s="1"/>
  <c r="N4130" i="9" s="1" a="1"/>
  <c r="N4130" i="9" s="1"/>
  <c r="L261" i="9"/>
  <c r="M261" i="9" s="1"/>
  <c r="N4146" i="9" s="1" a="1"/>
  <c r="N4146" i="9" s="1"/>
  <c r="L262" i="9"/>
  <c r="M262" i="9" s="1"/>
  <c r="N4162" i="9" s="1" a="1"/>
  <c r="N4162" i="9" s="1"/>
  <c r="L263" i="9"/>
  <c r="M263" i="9" s="1"/>
  <c r="N4178" i="9" s="1" a="1"/>
  <c r="N4178" i="9" s="1"/>
  <c r="L264" i="9"/>
  <c r="M264" i="9" s="1"/>
  <c r="N4194" i="9" s="1" a="1"/>
  <c r="N4194" i="9" s="1"/>
  <c r="L265" i="9"/>
  <c r="M265" i="9" s="1"/>
  <c r="N4210" i="9" s="1" a="1"/>
  <c r="N4210" i="9" s="1"/>
  <c r="L266" i="9"/>
  <c r="M266" i="9" s="1"/>
  <c r="N4226" i="9" s="1" a="1"/>
  <c r="N4226" i="9" s="1"/>
  <c r="L267" i="9"/>
  <c r="M267" i="9" s="1"/>
  <c r="N4242" i="9" s="1" a="1"/>
  <c r="N4242" i="9" s="1"/>
  <c r="L268" i="9"/>
  <c r="M268" i="9" s="1"/>
  <c r="N4258" i="9" s="1" a="1"/>
  <c r="N4258" i="9" s="1"/>
  <c r="L269" i="9"/>
  <c r="M269" i="9" s="1"/>
  <c r="N4274" i="9" s="1" a="1"/>
  <c r="N4274" i="9" s="1"/>
  <c r="L270" i="9"/>
  <c r="M270" i="9" s="1"/>
  <c r="N4290" i="9" s="1" a="1"/>
  <c r="N4290" i="9" s="1"/>
  <c r="L271" i="9"/>
  <c r="M271" i="9" s="1"/>
  <c r="N4306" i="9" s="1" a="1"/>
  <c r="N4306" i="9" s="1"/>
  <c r="L272" i="9"/>
  <c r="M272" i="9" s="1"/>
  <c r="N4322" i="9" s="1" a="1"/>
  <c r="N4322" i="9" s="1"/>
  <c r="L273" i="9"/>
  <c r="M273" i="9" s="1"/>
  <c r="N4338" i="9" s="1" a="1"/>
  <c r="N4338" i="9" s="1"/>
  <c r="L274" i="9"/>
  <c r="M274" i="9" s="1"/>
  <c r="N4354" i="9" s="1" a="1"/>
  <c r="N4354" i="9" s="1"/>
  <c r="L275" i="9"/>
  <c r="M275" i="9" s="1"/>
  <c r="N4370" i="9" s="1" a="1"/>
  <c r="N4370" i="9" s="1"/>
  <c r="L276" i="9"/>
  <c r="M276" i="9" s="1"/>
  <c r="N4386" i="9" s="1" a="1"/>
  <c r="N4386" i="9" s="1"/>
  <c r="L277" i="9"/>
  <c r="M277" i="9" s="1"/>
  <c r="N4402" i="9" s="1" a="1"/>
  <c r="N4402" i="9" s="1"/>
  <c r="L278" i="9"/>
  <c r="M278" i="9" s="1"/>
  <c r="N4418" i="9" s="1" a="1"/>
  <c r="N4418" i="9" s="1"/>
  <c r="L279" i="9"/>
  <c r="M279" i="9" s="1"/>
  <c r="N4434" i="9" s="1" a="1"/>
  <c r="N4434" i="9" s="1"/>
  <c r="L280" i="9"/>
  <c r="M280" i="9" s="1"/>
  <c r="N4450" i="9" s="1" a="1"/>
  <c r="N4450" i="9" s="1"/>
  <c r="L281" i="9"/>
  <c r="M281" i="9" s="1"/>
  <c r="N4466" i="9" s="1" a="1"/>
  <c r="N4466" i="9" s="1"/>
  <c r="L282" i="9"/>
  <c r="M282" i="9" s="1"/>
  <c r="N4482" i="9" s="1" a="1"/>
  <c r="N4482" i="9" s="1"/>
  <c r="L283" i="9"/>
  <c r="M283" i="9" s="1"/>
  <c r="N4498" i="9" s="1" a="1"/>
  <c r="N4498" i="9" s="1"/>
  <c r="L284" i="9"/>
  <c r="M284" i="9" s="1"/>
  <c r="N4514" i="9" s="1" a="1"/>
  <c r="N4514" i="9" s="1"/>
  <c r="L285" i="9"/>
  <c r="M285" i="9" s="1"/>
  <c r="N4530" i="9" s="1" a="1"/>
  <c r="N4530" i="9" s="1"/>
  <c r="L286" i="9"/>
  <c r="M286" i="9" s="1"/>
  <c r="N4546" i="9" s="1" a="1"/>
  <c r="N4546" i="9" s="1"/>
  <c r="L287" i="9"/>
  <c r="M287" i="9" s="1"/>
  <c r="N4562" i="9" s="1" a="1"/>
  <c r="N4562" i="9" s="1"/>
  <c r="L288" i="9"/>
  <c r="M288" i="9" s="1"/>
  <c r="N4578" i="9" s="1" a="1"/>
  <c r="N4578" i="9" s="1"/>
  <c r="L289" i="9"/>
  <c r="M289" i="9" s="1"/>
  <c r="N4594" i="9" s="1" a="1"/>
  <c r="N4594" i="9" s="1"/>
  <c r="L290" i="9"/>
  <c r="M290" i="9" s="1"/>
  <c r="N4610" i="9" s="1" a="1"/>
  <c r="N4610" i="9" s="1"/>
  <c r="L291" i="9"/>
  <c r="M291" i="9" s="1"/>
  <c r="N4626" i="9" s="1" a="1"/>
  <c r="N4626" i="9" s="1"/>
  <c r="L292" i="9"/>
  <c r="M292" i="9" s="1"/>
  <c r="N4642" i="9" s="1" a="1"/>
  <c r="N4642" i="9" s="1"/>
  <c r="L293" i="9"/>
  <c r="M293" i="9" s="1"/>
  <c r="N4658" i="9" s="1" a="1"/>
  <c r="N4658" i="9" s="1"/>
  <c r="L294" i="9"/>
  <c r="M294" i="9" s="1"/>
  <c r="N4674" i="9" s="1" a="1"/>
  <c r="N4674" i="9" s="1"/>
  <c r="L295" i="9"/>
  <c r="M295" i="9" s="1"/>
  <c r="N4690" i="9" s="1" a="1"/>
  <c r="N4690" i="9" s="1"/>
  <c r="L296" i="9"/>
  <c r="M296" i="9" s="1"/>
  <c r="N4706" i="9" s="1" a="1"/>
  <c r="N4706" i="9" s="1"/>
  <c r="L297" i="9"/>
  <c r="M297" i="9" s="1"/>
  <c r="N4722" i="9" s="1" a="1"/>
  <c r="N4722" i="9" s="1"/>
  <c r="L298" i="9"/>
  <c r="M298" i="9" s="1"/>
  <c r="N4738" i="9" s="1" a="1"/>
  <c r="N4738" i="9" s="1"/>
  <c r="L299" i="9"/>
  <c r="M299" i="9" s="1"/>
  <c r="N4754" i="9" s="1" a="1"/>
  <c r="N4754" i="9" s="1"/>
  <c r="L300" i="9"/>
  <c r="M300" i="9" s="1"/>
  <c r="N4770" i="9" s="1" a="1"/>
  <c r="N4770" i="9" s="1"/>
  <c r="L301" i="9"/>
  <c r="M301" i="9" s="1"/>
  <c r="N4786" i="9" s="1" a="1"/>
  <c r="N4786" i="9" s="1"/>
  <c r="L302" i="9"/>
  <c r="M302" i="9" s="1"/>
  <c r="N4802" i="9" s="1" a="1"/>
  <c r="N4802" i="9" s="1"/>
  <c r="L303" i="9"/>
  <c r="M303" i="9" s="1"/>
  <c r="N4818" i="9" s="1" a="1"/>
  <c r="N4818" i="9" s="1"/>
  <c r="L304" i="9"/>
  <c r="M304" i="9" s="1"/>
  <c r="N4834" i="9" s="1" a="1"/>
  <c r="N4834" i="9" s="1"/>
  <c r="L305" i="9"/>
  <c r="M305" i="9" s="1"/>
  <c r="N4850" i="9" s="1" a="1"/>
  <c r="N4850" i="9" s="1"/>
  <c r="L306" i="9"/>
  <c r="M306" i="9" s="1"/>
  <c r="N4866" i="9" s="1" a="1"/>
  <c r="N4866" i="9" s="1"/>
  <c r="L307" i="9"/>
  <c r="M307" i="9" s="1"/>
  <c r="N4882" i="9" s="1" a="1"/>
  <c r="N4882" i="9" s="1"/>
  <c r="L308" i="9"/>
  <c r="M308" i="9" s="1"/>
  <c r="N4898" i="9" s="1" a="1"/>
  <c r="N4898" i="9" s="1"/>
  <c r="L309" i="9"/>
  <c r="M309" i="9" s="1"/>
  <c r="N4914" i="9" s="1" a="1"/>
  <c r="N4914" i="9" s="1"/>
  <c r="L310" i="9"/>
  <c r="M310" i="9" s="1"/>
  <c r="N4930" i="9" s="1" a="1"/>
  <c r="N4930" i="9" s="1"/>
  <c r="L311" i="9"/>
  <c r="M311" i="9" s="1"/>
  <c r="N4946" i="9" s="1" a="1"/>
  <c r="N4946" i="9" s="1"/>
  <c r="L312" i="9"/>
  <c r="M312" i="9" s="1"/>
  <c r="N4962" i="9" s="1" a="1"/>
  <c r="N4962" i="9" s="1"/>
  <c r="L313" i="9"/>
  <c r="M313" i="9" s="1"/>
  <c r="N4978" i="9" s="1" a="1"/>
  <c r="N4978" i="9" s="1"/>
  <c r="L314" i="9"/>
  <c r="M314" i="9" s="1"/>
  <c r="N4994" i="9" s="1" a="1"/>
  <c r="N4994" i="9" s="1"/>
  <c r="L315" i="9"/>
  <c r="M315" i="9" s="1"/>
  <c r="N5010" i="9" s="1" a="1"/>
  <c r="N5010" i="9" s="1"/>
  <c r="L316" i="9"/>
  <c r="M316" i="9" s="1"/>
  <c r="N5026" i="9" s="1" a="1"/>
  <c r="N5026" i="9" s="1"/>
  <c r="L317" i="9"/>
  <c r="M317" i="9" s="1"/>
  <c r="N5042" i="9" s="1" a="1"/>
  <c r="N5042" i="9" s="1"/>
  <c r="L318" i="9"/>
  <c r="M318" i="9" s="1"/>
  <c r="N5058" i="9" s="1" a="1"/>
  <c r="N5058" i="9" s="1"/>
  <c r="L319" i="9"/>
  <c r="M319" i="9" s="1"/>
  <c r="N5074" i="9" s="1" a="1"/>
  <c r="N5074" i="9" s="1"/>
  <c r="L320" i="9"/>
  <c r="M320" i="9" s="1"/>
  <c r="N5090" i="9" s="1" a="1"/>
  <c r="N5090" i="9" s="1"/>
  <c r="L321" i="9"/>
  <c r="M321" i="9" s="1"/>
  <c r="N5106" i="9" s="1" a="1"/>
  <c r="N5106" i="9" s="1"/>
  <c r="L322" i="9"/>
  <c r="M322" i="9" s="1"/>
  <c r="N5122" i="9" s="1" a="1"/>
  <c r="N5122" i="9" s="1"/>
  <c r="L323" i="9"/>
  <c r="M323" i="9" s="1"/>
  <c r="N5138" i="9" s="1" a="1"/>
  <c r="N5138" i="9" s="1"/>
  <c r="L324" i="9"/>
  <c r="M324" i="9" s="1"/>
  <c r="N5154" i="9" s="1" a="1"/>
  <c r="N5154" i="9" s="1"/>
  <c r="L325" i="9"/>
  <c r="M325" i="9" s="1"/>
  <c r="N5170" i="9" s="1" a="1"/>
  <c r="N5170" i="9" s="1"/>
  <c r="L326" i="9"/>
  <c r="M326" i="9" s="1"/>
  <c r="N5186" i="9" s="1" a="1"/>
  <c r="N5186" i="9" s="1"/>
  <c r="L327" i="9"/>
  <c r="M327" i="9" s="1"/>
  <c r="N5202" i="9" s="1" a="1"/>
  <c r="N5202" i="9" s="1"/>
  <c r="L328" i="9"/>
  <c r="M328" i="9" s="1"/>
  <c r="N5218" i="9" s="1" a="1"/>
  <c r="N5218" i="9" s="1"/>
  <c r="L329" i="9"/>
  <c r="M329" i="9" s="1"/>
  <c r="N5234" i="9" s="1" a="1"/>
  <c r="N5234" i="9" s="1"/>
  <c r="L330" i="9"/>
  <c r="M330" i="9" s="1"/>
  <c r="N5250" i="9" s="1" a="1"/>
  <c r="N5250" i="9" s="1"/>
  <c r="L331" i="9"/>
  <c r="M331" i="9" s="1"/>
  <c r="N5266" i="9" s="1" a="1"/>
  <c r="N5266" i="9" s="1"/>
  <c r="L332" i="9"/>
  <c r="M332" i="9" s="1"/>
  <c r="N5282" i="9" s="1" a="1"/>
  <c r="N5282" i="9" s="1"/>
  <c r="L333" i="9"/>
  <c r="M333" i="9" s="1"/>
  <c r="N5298" i="9" s="1" a="1"/>
  <c r="N5298" i="9" s="1"/>
  <c r="L334" i="9"/>
  <c r="M334" i="9" s="1"/>
  <c r="N5314" i="9" s="1" a="1"/>
  <c r="N5314" i="9" s="1"/>
  <c r="L335" i="9"/>
  <c r="M335" i="9" s="1"/>
  <c r="N5330" i="9" s="1" a="1"/>
  <c r="N5330" i="9" s="1"/>
  <c r="L336" i="9"/>
  <c r="M336" i="9" s="1"/>
  <c r="N5346" i="9" s="1" a="1"/>
  <c r="N5346" i="9" s="1"/>
  <c r="L337" i="9"/>
  <c r="M337" i="9" s="1"/>
  <c r="N5362" i="9" s="1" a="1"/>
  <c r="N5362" i="9" s="1"/>
  <c r="L338" i="9"/>
  <c r="M338" i="9" s="1"/>
  <c r="N5378" i="9" s="1" a="1"/>
  <c r="N5378" i="9" s="1"/>
  <c r="L339" i="9"/>
  <c r="M339" i="9" s="1"/>
  <c r="N5394" i="9" s="1" a="1"/>
  <c r="N5394" i="9" s="1"/>
  <c r="L340" i="9"/>
  <c r="M340" i="9" s="1"/>
  <c r="N5410" i="9" s="1" a="1"/>
  <c r="N5410" i="9" s="1"/>
  <c r="L341" i="9"/>
  <c r="M341" i="9" s="1"/>
  <c r="N5426" i="9" s="1" a="1"/>
  <c r="N5426" i="9" s="1"/>
  <c r="L342" i="9"/>
  <c r="M342" i="9" s="1"/>
  <c r="N5442" i="9" s="1" a="1"/>
  <c r="N5442" i="9" s="1"/>
  <c r="L343" i="9"/>
  <c r="M343" i="9" s="1"/>
  <c r="N5458" i="9" s="1" a="1"/>
  <c r="N5458" i="9" s="1"/>
  <c r="L344" i="9"/>
  <c r="M344" i="9" s="1"/>
  <c r="N5474" i="9" s="1" a="1"/>
  <c r="N5474" i="9" s="1"/>
  <c r="L345" i="9"/>
  <c r="M345" i="9" s="1"/>
  <c r="N5490" i="9" s="1" a="1"/>
  <c r="N5490" i="9" s="1"/>
  <c r="L346" i="9"/>
  <c r="M346" i="9" s="1"/>
  <c r="N5506" i="9" s="1" a="1"/>
  <c r="N5506" i="9" s="1"/>
  <c r="L347" i="9"/>
  <c r="M347" i="9" s="1"/>
  <c r="N5522" i="9" s="1" a="1"/>
  <c r="N5522" i="9" s="1"/>
  <c r="L348" i="9"/>
  <c r="M348" i="9" s="1"/>
  <c r="N5538" i="9" s="1" a="1"/>
  <c r="N5538" i="9" s="1"/>
  <c r="L349" i="9"/>
  <c r="M349" i="9" s="1"/>
  <c r="N5554" i="9" s="1" a="1"/>
  <c r="N5554" i="9" s="1"/>
  <c r="L350" i="9"/>
  <c r="M350" i="9" s="1"/>
  <c r="N5570" i="9" s="1" a="1"/>
  <c r="N5570" i="9" s="1"/>
  <c r="L351" i="9"/>
  <c r="M351" i="9" s="1"/>
  <c r="N5586" i="9" s="1" a="1"/>
  <c r="N5586" i="9" s="1"/>
  <c r="L352" i="9"/>
  <c r="M352" i="9" s="1"/>
  <c r="N5602" i="9" s="1" a="1"/>
  <c r="N5602" i="9" s="1"/>
  <c r="L353" i="9"/>
  <c r="M353" i="9" s="1"/>
  <c r="N5618" i="9" s="1" a="1"/>
  <c r="N5618" i="9" s="1"/>
  <c r="L354" i="9"/>
  <c r="M354" i="9" s="1"/>
  <c r="N5634" i="9" s="1" a="1"/>
  <c r="N5634" i="9" s="1"/>
  <c r="L355" i="9"/>
  <c r="M355" i="9" s="1"/>
  <c r="N5650" i="9" s="1" a="1"/>
  <c r="N5650" i="9" s="1"/>
  <c r="L356" i="9"/>
  <c r="M356" i="9" s="1"/>
  <c r="N5666" i="9" s="1" a="1"/>
  <c r="N5666" i="9" s="1"/>
  <c r="L357" i="9"/>
  <c r="M357" i="9" s="1"/>
  <c r="N5682" i="9" s="1" a="1"/>
  <c r="N5682" i="9" s="1"/>
  <c r="L358" i="9"/>
  <c r="M358" i="9" s="1"/>
  <c r="N5698" i="9" s="1" a="1"/>
  <c r="N5698" i="9" s="1"/>
  <c r="L359" i="9"/>
  <c r="M359" i="9" s="1"/>
  <c r="N5714" i="9" s="1" a="1"/>
  <c r="N5714" i="9" s="1"/>
  <c r="L360" i="9"/>
  <c r="M360" i="9" s="1"/>
  <c r="N5730" i="9" s="1" a="1"/>
  <c r="N5730" i="9" s="1"/>
  <c r="L361" i="9"/>
  <c r="M361" i="9" s="1"/>
  <c r="N5746" i="9" s="1" a="1"/>
  <c r="N5746" i="9" s="1"/>
  <c r="L362" i="9"/>
  <c r="M362" i="9" s="1"/>
  <c r="N5762" i="9" s="1" a="1"/>
  <c r="N5762" i="9" s="1"/>
  <c r="L363" i="9"/>
  <c r="M363" i="9" s="1"/>
  <c r="N5778" i="9" s="1" a="1"/>
  <c r="N5778" i="9" s="1"/>
  <c r="L364" i="9"/>
  <c r="M364" i="9" s="1"/>
  <c r="N5794" i="9" s="1" a="1"/>
  <c r="N5794" i="9" s="1"/>
  <c r="L365" i="9"/>
  <c r="M365" i="9" s="1"/>
  <c r="N5810" i="9" s="1" a="1"/>
  <c r="N5810" i="9" s="1"/>
  <c r="L366" i="9"/>
  <c r="M366" i="9" s="1"/>
  <c r="N5826" i="9" s="1" a="1"/>
  <c r="N5826" i="9" s="1"/>
  <c r="L367" i="9"/>
  <c r="M367" i="9" s="1"/>
  <c r="N5842" i="9" s="1" a="1"/>
  <c r="N5842" i="9" s="1"/>
  <c r="L368" i="9"/>
  <c r="M368" i="9" s="1"/>
  <c r="N5858" i="9" s="1" a="1"/>
  <c r="N5858" i="9" s="1"/>
  <c r="L369" i="9"/>
  <c r="M369" i="9" s="1"/>
  <c r="N5874" i="9" s="1" a="1"/>
  <c r="N5874" i="9" s="1"/>
  <c r="L370" i="9"/>
  <c r="M370" i="9" s="1"/>
  <c r="N5890" i="9" s="1" a="1"/>
  <c r="N5890" i="9" s="1"/>
  <c r="L371" i="9"/>
  <c r="M371" i="9" s="1"/>
  <c r="N5906" i="9" s="1" a="1"/>
  <c r="N5906" i="9" s="1"/>
  <c r="L372" i="9"/>
  <c r="M372" i="9" s="1"/>
  <c r="N5922" i="9" s="1" a="1"/>
  <c r="N5922" i="9" s="1"/>
  <c r="L373" i="9"/>
  <c r="M373" i="9" s="1"/>
  <c r="N5938" i="9" s="1" a="1"/>
  <c r="N5938" i="9" s="1"/>
  <c r="L374" i="9"/>
  <c r="M374" i="9" s="1"/>
  <c r="N5954" i="9" s="1" a="1"/>
  <c r="N5954" i="9" s="1"/>
  <c r="L375" i="9"/>
  <c r="M375" i="9" s="1"/>
  <c r="N5970" i="9" s="1" a="1"/>
  <c r="N5970" i="9" s="1"/>
  <c r="L376" i="9"/>
  <c r="M376" i="9" s="1"/>
  <c r="N5986" i="9" s="1" a="1"/>
  <c r="N5986" i="9" s="1"/>
  <c r="L377" i="9"/>
  <c r="M377" i="9" s="1"/>
  <c r="N6002" i="9" s="1" a="1"/>
  <c r="N6002" i="9" s="1"/>
  <c r="L378" i="9"/>
  <c r="M378" i="9" s="1"/>
  <c r="N6018" i="9" s="1" a="1"/>
  <c r="N6018" i="9" s="1"/>
  <c r="L379" i="9"/>
  <c r="M379" i="9" s="1"/>
  <c r="N6034" i="9" s="1" a="1"/>
  <c r="N6034" i="9" s="1"/>
  <c r="L380" i="9"/>
  <c r="M380" i="9" s="1"/>
  <c r="N6050" i="9" s="1" a="1"/>
  <c r="N6050" i="9" s="1"/>
  <c r="L381" i="9"/>
  <c r="M381" i="9" s="1"/>
  <c r="N6066" i="9" s="1" a="1"/>
  <c r="N6066" i="9" s="1"/>
  <c r="L382" i="9"/>
  <c r="M382" i="9" s="1"/>
  <c r="N6082" i="9" s="1" a="1"/>
  <c r="N6082" i="9" s="1"/>
  <c r="L383" i="9"/>
  <c r="M383" i="9" s="1"/>
  <c r="N6098" i="9" s="1" a="1"/>
  <c r="N6098" i="9" s="1"/>
  <c r="L384" i="9"/>
  <c r="M384" i="9" s="1"/>
  <c r="N6114" i="9" s="1" a="1"/>
  <c r="N6114" i="9" s="1"/>
  <c r="L385" i="9"/>
  <c r="M385" i="9" s="1"/>
  <c r="N6130" i="9" s="1" a="1"/>
  <c r="N6130" i="9" s="1"/>
  <c r="L386" i="9"/>
  <c r="M386" i="9" s="1"/>
  <c r="N6146" i="9" s="1" a="1"/>
  <c r="N6146" i="9" s="1"/>
  <c r="L387" i="9"/>
  <c r="M387" i="9" s="1"/>
  <c r="N6162" i="9" s="1" a="1"/>
  <c r="N6162" i="9" s="1"/>
  <c r="L388" i="9"/>
  <c r="M388" i="9" s="1"/>
  <c r="N6178" i="9" s="1" a="1"/>
  <c r="N6178" i="9" s="1"/>
  <c r="L389" i="9"/>
  <c r="M389" i="9" s="1"/>
  <c r="N6194" i="9" s="1" a="1"/>
  <c r="N6194" i="9" s="1"/>
  <c r="L390" i="9"/>
  <c r="M390" i="9" s="1"/>
  <c r="N6210" i="9" s="1" a="1"/>
  <c r="N6210" i="9" s="1"/>
  <c r="L391" i="9"/>
  <c r="M391" i="9" s="1"/>
  <c r="N6226" i="9" s="1" a="1"/>
  <c r="N6226" i="9" s="1"/>
  <c r="L392" i="9"/>
  <c r="M392" i="9" s="1"/>
  <c r="N6242" i="9" s="1" a="1"/>
  <c r="N6242" i="9" s="1"/>
  <c r="L393" i="9"/>
  <c r="M393" i="9" s="1"/>
  <c r="N6258" i="9" s="1" a="1"/>
  <c r="N6258" i="9" s="1"/>
  <c r="L394" i="9"/>
  <c r="M394" i="9" s="1"/>
  <c r="N6274" i="9" s="1" a="1"/>
  <c r="N6274" i="9" s="1"/>
  <c r="L395" i="9"/>
  <c r="M395" i="9" s="1"/>
  <c r="N6290" i="9" s="1" a="1"/>
  <c r="N6290" i="9" s="1"/>
  <c r="L396" i="9"/>
  <c r="M396" i="9" s="1"/>
  <c r="N6306" i="9" s="1" a="1"/>
  <c r="N6306" i="9" s="1"/>
  <c r="L397" i="9"/>
  <c r="M397" i="9" s="1"/>
  <c r="N6322" i="9" s="1" a="1"/>
  <c r="N6322" i="9" s="1"/>
  <c r="L398" i="9"/>
  <c r="M398" i="9" s="1"/>
  <c r="N6338" i="9" s="1" a="1"/>
  <c r="N6338" i="9" s="1"/>
  <c r="L399" i="9"/>
  <c r="M399" i="9" s="1"/>
  <c r="N6354" i="9" s="1" a="1"/>
  <c r="N6354" i="9" s="1"/>
  <c r="L400" i="9"/>
  <c r="M400" i="9" s="1"/>
  <c r="N6370" i="9" s="1" a="1"/>
  <c r="N6370" i="9" s="1"/>
  <c r="L401" i="9"/>
  <c r="M401" i="9" s="1"/>
  <c r="N6386" i="9" s="1" a="1"/>
  <c r="N6386" i="9" s="1"/>
  <c r="L402" i="9"/>
  <c r="M402" i="9" s="1"/>
  <c r="N6402" i="9" s="1" a="1"/>
  <c r="N6402" i="9" s="1"/>
  <c r="L403" i="9"/>
  <c r="M403" i="9" s="1"/>
  <c r="N6418" i="9" s="1" a="1"/>
  <c r="N6418" i="9" s="1"/>
  <c r="L404" i="9"/>
  <c r="M404" i="9" s="1"/>
  <c r="N6434" i="9" s="1" a="1"/>
  <c r="N6434" i="9" s="1"/>
  <c r="L405" i="9"/>
  <c r="M405" i="9" s="1"/>
  <c r="N6450" i="9" s="1" a="1"/>
  <c r="N6450" i="9" s="1"/>
  <c r="L406" i="9"/>
  <c r="M406" i="9" s="1"/>
  <c r="N6466" i="9" s="1" a="1"/>
  <c r="N6466" i="9" s="1"/>
  <c r="L407" i="9"/>
  <c r="M407" i="9" s="1"/>
  <c r="N6482" i="9" s="1" a="1"/>
  <c r="N6482" i="9" s="1"/>
  <c r="L408" i="9"/>
  <c r="M408" i="9" s="1"/>
  <c r="N6498" i="9" s="1" a="1"/>
  <c r="N6498" i="9" s="1"/>
  <c r="L409" i="9"/>
  <c r="M409" i="9" s="1"/>
  <c r="N6514" i="9" s="1" a="1"/>
  <c r="N6514" i="9" s="1"/>
  <c r="L410" i="9"/>
  <c r="M410" i="9" s="1"/>
  <c r="N6530" i="9" s="1" a="1"/>
  <c r="N6530" i="9" s="1"/>
  <c r="L411" i="9"/>
  <c r="M411" i="9" s="1"/>
  <c r="N6546" i="9" s="1" a="1"/>
  <c r="N6546" i="9" s="1"/>
  <c r="L412" i="9"/>
  <c r="M412" i="9" s="1"/>
  <c r="N6562" i="9" s="1" a="1"/>
  <c r="N6562" i="9" s="1"/>
  <c r="L413" i="9"/>
  <c r="M413" i="9" s="1"/>
  <c r="N6578" i="9" s="1" a="1"/>
  <c r="N6578" i="9" s="1"/>
  <c r="L414" i="9"/>
  <c r="M414" i="9" s="1"/>
  <c r="N6594" i="9" s="1" a="1"/>
  <c r="N6594" i="9" s="1"/>
  <c r="L415" i="9"/>
  <c r="M415" i="9" s="1"/>
  <c r="N6610" i="9" s="1" a="1"/>
  <c r="N6610" i="9" s="1"/>
  <c r="L416" i="9"/>
  <c r="M416" i="9" s="1"/>
  <c r="N6626" i="9" s="1" a="1"/>
  <c r="N6626" i="9" s="1"/>
  <c r="L417" i="9"/>
  <c r="M417" i="9" s="1"/>
  <c r="N6642" i="9" s="1" a="1"/>
  <c r="N6642" i="9" s="1"/>
  <c r="L418" i="9"/>
  <c r="M418" i="9" s="1"/>
  <c r="N6658" i="9" s="1" a="1"/>
  <c r="N6658" i="9" s="1"/>
  <c r="L419" i="9"/>
  <c r="M419" i="9" s="1"/>
  <c r="N6674" i="9" s="1" a="1"/>
  <c r="N6674" i="9" s="1"/>
  <c r="L420" i="9"/>
  <c r="M420" i="9" s="1"/>
  <c r="N6690" i="9" s="1" a="1"/>
  <c r="N6690" i="9" s="1"/>
  <c r="L421" i="9"/>
  <c r="M421" i="9" s="1"/>
  <c r="N6706" i="9" s="1" a="1"/>
  <c r="N6706" i="9" s="1"/>
  <c r="L422" i="9"/>
  <c r="M422" i="9" s="1"/>
  <c r="N6722" i="9" s="1" a="1"/>
  <c r="N6722" i="9" s="1"/>
  <c r="L423" i="9"/>
  <c r="M423" i="9" s="1"/>
  <c r="N6738" i="9" s="1" a="1"/>
  <c r="N6738" i="9" s="1"/>
  <c r="L424" i="9"/>
  <c r="M424" i="9" s="1"/>
  <c r="N6754" i="9" s="1" a="1"/>
  <c r="N6754" i="9" s="1"/>
  <c r="L425" i="9"/>
  <c r="M425" i="9" s="1"/>
  <c r="N6770" i="9" s="1" a="1"/>
  <c r="N6770" i="9" s="1"/>
  <c r="L426" i="9"/>
  <c r="M426" i="9" s="1"/>
  <c r="N6786" i="9" s="1" a="1"/>
  <c r="N6786" i="9" s="1"/>
  <c r="L427" i="9"/>
  <c r="M427" i="9" s="1"/>
  <c r="N6802" i="9" s="1" a="1"/>
  <c r="N6802" i="9" s="1"/>
  <c r="L428" i="9"/>
  <c r="M428" i="9" s="1"/>
  <c r="N6818" i="9" s="1" a="1"/>
  <c r="N6818" i="9" s="1"/>
  <c r="L429" i="9"/>
  <c r="M429" i="9" s="1"/>
  <c r="N6834" i="9" s="1" a="1"/>
  <c r="N6834" i="9" s="1"/>
  <c r="L430" i="9"/>
  <c r="M430" i="9" s="1"/>
  <c r="N6850" i="9" s="1" a="1"/>
  <c r="N6850" i="9" s="1"/>
  <c r="L431" i="9"/>
  <c r="M431" i="9" s="1"/>
  <c r="N6866" i="9" s="1" a="1"/>
  <c r="N6866" i="9" s="1"/>
  <c r="L432" i="9"/>
  <c r="M432" i="9" s="1"/>
  <c r="N6882" i="9" s="1" a="1"/>
  <c r="N6882" i="9" s="1"/>
  <c r="L433" i="9"/>
  <c r="M433" i="9" s="1"/>
  <c r="N6898" i="9" s="1" a="1"/>
  <c r="N6898" i="9" s="1"/>
  <c r="L434" i="9"/>
  <c r="M434" i="9" s="1"/>
  <c r="N6914" i="9" s="1" a="1"/>
  <c r="N6914" i="9" s="1"/>
  <c r="L435" i="9"/>
  <c r="M435" i="9" s="1"/>
  <c r="N6930" i="9" s="1" a="1"/>
  <c r="N6930" i="9" s="1"/>
  <c r="L436" i="9"/>
  <c r="M436" i="9" s="1"/>
  <c r="N6946" i="9" s="1" a="1"/>
  <c r="N6946" i="9" s="1"/>
  <c r="L437" i="9"/>
  <c r="M437" i="9" s="1"/>
  <c r="N6962" i="9" s="1" a="1"/>
  <c r="N6962" i="9" s="1"/>
  <c r="L438" i="9"/>
  <c r="M438" i="9" s="1"/>
  <c r="N6978" i="9" s="1" a="1"/>
  <c r="N6978" i="9" s="1"/>
  <c r="L439" i="9"/>
  <c r="M439" i="9" s="1"/>
  <c r="N6994" i="9" s="1" a="1"/>
  <c r="N6994" i="9" s="1"/>
  <c r="L440" i="9"/>
  <c r="M440" i="9" s="1"/>
  <c r="N7010" i="9" s="1" a="1"/>
  <c r="N7010" i="9" s="1"/>
  <c r="L441" i="9"/>
  <c r="M441" i="9" s="1"/>
  <c r="N7026" i="9" s="1" a="1"/>
  <c r="N7026" i="9" s="1"/>
  <c r="L442" i="9"/>
  <c r="M442" i="9" s="1"/>
  <c r="N7042" i="9" s="1" a="1"/>
  <c r="N7042" i="9" s="1"/>
  <c r="L443" i="9"/>
  <c r="M443" i="9" s="1"/>
  <c r="N7058" i="9" s="1" a="1"/>
  <c r="N7058" i="9" s="1"/>
  <c r="L444" i="9"/>
  <c r="M444" i="9" s="1"/>
  <c r="N7074" i="9" s="1" a="1"/>
  <c r="N7074" i="9" s="1"/>
  <c r="L445" i="9"/>
  <c r="M445" i="9" s="1"/>
  <c r="N7090" i="9" s="1" a="1"/>
  <c r="N7090" i="9" s="1"/>
  <c r="L446" i="9"/>
  <c r="M446" i="9" s="1"/>
  <c r="N7106" i="9" s="1" a="1"/>
  <c r="N7106" i="9" s="1"/>
  <c r="L447" i="9"/>
  <c r="M447" i="9" s="1"/>
  <c r="N7122" i="9" s="1" a="1"/>
  <c r="N7122" i="9" s="1"/>
  <c r="L448" i="9"/>
  <c r="M448" i="9" s="1"/>
  <c r="N7138" i="9" s="1" a="1"/>
  <c r="N7138" i="9" s="1"/>
  <c r="L449" i="9"/>
  <c r="M449" i="9" s="1"/>
  <c r="N7154" i="9" s="1" a="1"/>
  <c r="N7154" i="9" s="1"/>
  <c r="L450" i="9"/>
  <c r="M450" i="9" s="1"/>
  <c r="N7170" i="9" s="1" a="1"/>
  <c r="N7170" i="9" s="1"/>
  <c r="L451" i="9"/>
  <c r="M451" i="9" s="1"/>
  <c r="N7186" i="9" s="1" a="1"/>
  <c r="N7186" i="9" s="1"/>
  <c r="L452" i="9"/>
  <c r="M452" i="9" s="1"/>
  <c r="N7202" i="9" s="1" a="1"/>
  <c r="N7202" i="9" s="1"/>
  <c r="L453" i="9"/>
  <c r="M453" i="9" s="1"/>
  <c r="N7218" i="9" s="1" a="1"/>
  <c r="N7218" i="9" s="1"/>
  <c r="L454" i="9"/>
  <c r="M454" i="9" s="1"/>
  <c r="N7234" i="9" s="1" a="1"/>
  <c r="N7234" i="9" s="1"/>
  <c r="L455" i="9"/>
  <c r="M455" i="9" s="1"/>
  <c r="N7250" i="9" s="1" a="1"/>
  <c r="N7250" i="9" s="1"/>
  <c r="L456" i="9"/>
  <c r="M456" i="9" s="1"/>
  <c r="N7266" i="9" s="1" a="1"/>
  <c r="N7266" i="9" s="1"/>
  <c r="L457" i="9"/>
  <c r="M457" i="9" s="1"/>
  <c r="N7282" i="9" s="1" a="1"/>
  <c r="N7282" i="9" s="1"/>
  <c r="L458" i="9"/>
  <c r="M458" i="9" s="1"/>
  <c r="N7298" i="9" s="1" a="1"/>
  <c r="N7298" i="9" s="1"/>
  <c r="L459" i="9"/>
  <c r="M459" i="9" s="1"/>
  <c r="N7314" i="9" s="1" a="1"/>
  <c r="N7314" i="9" s="1"/>
  <c r="L460" i="9"/>
  <c r="M460" i="9" s="1"/>
  <c r="N7330" i="9" s="1" a="1"/>
  <c r="N7330" i="9" s="1"/>
  <c r="L461" i="9"/>
  <c r="M461" i="9" s="1"/>
  <c r="N7346" i="9" s="1" a="1"/>
  <c r="N7346" i="9" s="1"/>
  <c r="L462" i="9"/>
  <c r="M462" i="9" s="1"/>
  <c r="N7362" i="9" s="1" a="1"/>
  <c r="N7362" i="9" s="1"/>
  <c r="L463" i="9"/>
  <c r="M463" i="9" s="1"/>
  <c r="N7378" i="9" s="1" a="1"/>
  <c r="N7378" i="9" s="1"/>
  <c r="L464" i="9"/>
  <c r="M464" i="9" s="1"/>
  <c r="N7394" i="9" s="1" a="1"/>
  <c r="N7394" i="9" s="1"/>
  <c r="L465" i="9"/>
  <c r="M465" i="9" s="1"/>
  <c r="N7410" i="9" s="1" a="1"/>
  <c r="N7410" i="9" s="1"/>
  <c r="L466" i="9"/>
  <c r="M466" i="9" s="1"/>
  <c r="N7426" i="9" s="1" a="1"/>
  <c r="N7426" i="9" s="1"/>
  <c r="L467" i="9"/>
  <c r="M467" i="9" s="1"/>
  <c r="N7442" i="9" s="1" a="1"/>
  <c r="N7442" i="9" s="1"/>
  <c r="L468" i="9"/>
  <c r="M468" i="9" s="1"/>
  <c r="N7458" i="9" s="1" a="1"/>
  <c r="N7458" i="9" s="1"/>
  <c r="L469" i="9"/>
  <c r="M469" i="9" s="1"/>
  <c r="N7474" i="9" s="1" a="1"/>
  <c r="N7474" i="9" s="1"/>
  <c r="L470" i="9"/>
  <c r="M470" i="9" s="1"/>
  <c r="N7490" i="9" s="1" a="1"/>
  <c r="N7490" i="9" s="1"/>
  <c r="L471" i="9"/>
  <c r="M471" i="9" s="1"/>
  <c r="N7506" i="9" s="1" a="1"/>
  <c r="N7506" i="9" s="1"/>
  <c r="L472" i="9"/>
  <c r="M472" i="9" s="1"/>
  <c r="N7522" i="9" s="1" a="1"/>
  <c r="N7522" i="9" s="1"/>
  <c r="L473" i="9"/>
  <c r="M473" i="9" s="1"/>
  <c r="N7538" i="9" s="1" a="1"/>
  <c r="N7538" i="9" s="1"/>
  <c r="L474" i="9"/>
  <c r="M474" i="9" s="1"/>
  <c r="N7554" i="9" s="1" a="1"/>
  <c r="N7554" i="9" s="1"/>
  <c r="L475" i="9"/>
  <c r="M475" i="9" s="1"/>
  <c r="N7570" i="9" s="1" a="1"/>
  <c r="N7570" i="9" s="1"/>
  <c r="L476" i="9"/>
  <c r="M476" i="9" s="1"/>
  <c r="N7586" i="9" s="1" a="1"/>
  <c r="N7586" i="9" s="1"/>
  <c r="L477" i="9"/>
  <c r="M477" i="9" s="1"/>
  <c r="N7602" i="9" s="1" a="1"/>
  <c r="N7602" i="9" s="1"/>
  <c r="L478" i="9"/>
  <c r="M478" i="9" s="1"/>
  <c r="N7618" i="9" s="1" a="1"/>
  <c r="N7618" i="9" s="1"/>
  <c r="L479" i="9"/>
  <c r="M479" i="9" s="1"/>
  <c r="N7634" i="9" s="1" a="1"/>
  <c r="N7634" i="9" s="1"/>
  <c r="L480" i="9"/>
  <c r="M480" i="9" s="1"/>
  <c r="N7650" i="9" s="1" a="1"/>
  <c r="N7650" i="9" s="1"/>
  <c r="L481" i="9"/>
  <c r="M481" i="9" s="1"/>
  <c r="N7666" i="9" s="1" a="1"/>
  <c r="N7666" i="9" s="1"/>
  <c r="L482" i="9"/>
  <c r="M482" i="9" s="1"/>
  <c r="N7682" i="9" s="1" a="1"/>
  <c r="N7682" i="9" s="1"/>
  <c r="L483" i="9"/>
  <c r="M483" i="9" s="1"/>
  <c r="N7698" i="9" s="1" a="1"/>
  <c r="N7698" i="9" s="1"/>
  <c r="L484" i="9"/>
  <c r="M484" i="9" s="1"/>
  <c r="N7714" i="9" s="1" a="1"/>
  <c r="N7714" i="9" s="1"/>
  <c r="L485" i="9"/>
  <c r="M485" i="9" s="1"/>
  <c r="N7730" i="9" s="1" a="1"/>
  <c r="N7730" i="9" s="1"/>
  <c r="L486" i="9"/>
  <c r="M486" i="9" s="1"/>
  <c r="N7746" i="9" s="1" a="1"/>
  <c r="N7746" i="9" s="1"/>
  <c r="L487" i="9"/>
  <c r="M487" i="9" s="1"/>
  <c r="N7762" i="9" s="1" a="1"/>
  <c r="N7762" i="9" s="1"/>
  <c r="L488" i="9"/>
  <c r="M488" i="9" s="1"/>
  <c r="N7778" i="9" s="1" a="1"/>
  <c r="N7778" i="9" s="1"/>
  <c r="L489" i="9"/>
  <c r="M489" i="9" s="1"/>
  <c r="N7794" i="9" s="1" a="1"/>
  <c r="N7794" i="9" s="1"/>
  <c r="L490" i="9"/>
  <c r="M490" i="9" s="1"/>
  <c r="N7810" i="9" s="1" a="1"/>
  <c r="N7810" i="9" s="1"/>
  <c r="L491" i="9"/>
  <c r="M491" i="9" s="1"/>
  <c r="N7826" i="9" s="1" a="1"/>
  <c r="N7826" i="9" s="1"/>
  <c r="L492" i="9"/>
  <c r="M492" i="9" s="1"/>
  <c r="N7842" i="9" s="1" a="1"/>
  <c r="N7842" i="9" s="1"/>
  <c r="L493" i="9"/>
  <c r="M493" i="9" s="1"/>
  <c r="N7858" i="9" s="1" a="1"/>
  <c r="N7858" i="9" s="1"/>
  <c r="L494" i="9"/>
  <c r="M494" i="9" s="1"/>
  <c r="N7874" i="9" s="1" a="1"/>
  <c r="N7874" i="9" s="1"/>
  <c r="L495" i="9"/>
  <c r="M495" i="9" s="1"/>
  <c r="N7890" i="9" s="1" a="1"/>
  <c r="N7890" i="9" s="1"/>
  <c r="L496" i="9"/>
  <c r="M496" i="9" s="1"/>
  <c r="N7906" i="9" s="1" a="1"/>
  <c r="N7906" i="9" s="1"/>
  <c r="L497" i="9"/>
  <c r="M497" i="9" s="1"/>
  <c r="N7922" i="9" s="1" a="1"/>
  <c r="N7922" i="9" s="1"/>
  <c r="L498" i="9"/>
  <c r="M498" i="9" s="1"/>
  <c r="N7938" i="9" s="1" a="1"/>
  <c r="N7938" i="9" s="1"/>
  <c r="L499" i="9"/>
  <c r="M499" i="9" s="1"/>
  <c r="N7954" i="9" s="1" a="1"/>
  <c r="N7954" i="9" s="1"/>
  <c r="L500" i="9"/>
  <c r="M500" i="9" s="1"/>
  <c r="N7970" i="9" s="1" a="1"/>
  <c r="N7970" i="9" s="1"/>
  <c r="L501" i="9"/>
  <c r="M501" i="9" s="1"/>
  <c r="N7986" i="9" s="1" a="1"/>
  <c r="N7986" i="9" s="1"/>
  <c r="L502" i="9"/>
  <c r="M502" i="9" s="1"/>
  <c r="N8002" i="9" s="1" a="1"/>
  <c r="N8002" i="9" s="1"/>
  <c r="L503" i="9"/>
  <c r="M503" i="9" s="1"/>
  <c r="N8018" i="9" s="1" a="1"/>
  <c r="N8018" i="9" s="1"/>
  <c r="L504" i="9"/>
  <c r="M504" i="9" s="1"/>
  <c r="N8034" i="9" s="1" a="1"/>
  <c r="N8034" i="9" s="1"/>
  <c r="L505" i="9"/>
  <c r="M505" i="9" s="1"/>
  <c r="N8050" i="9" s="1" a="1"/>
  <c r="N8050" i="9" s="1"/>
  <c r="L506" i="9"/>
  <c r="M506" i="9" s="1"/>
  <c r="N8066" i="9" s="1" a="1"/>
  <c r="N8066" i="9" s="1"/>
  <c r="L507" i="9"/>
  <c r="M507" i="9" s="1"/>
  <c r="N8082" i="9" s="1" a="1"/>
  <c r="N8082" i="9" s="1"/>
  <c r="L508" i="9"/>
  <c r="M508" i="9" s="1"/>
  <c r="N8098" i="9" s="1" a="1"/>
  <c r="N8098" i="9" s="1"/>
  <c r="L509" i="9"/>
  <c r="M509" i="9" s="1"/>
  <c r="N8114" i="9" s="1" a="1"/>
  <c r="N8114" i="9" s="1"/>
  <c r="L510" i="9"/>
  <c r="M510" i="9" s="1"/>
  <c r="N8130" i="9" s="1" a="1"/>
  <c r="N8130" i="9" s="1"/>
  <c r="L511" i="9"/>
  <c r="M511" i="9" s="1"/>
  <c r="N8146" i="9" s="1" a="1"/>
  <c r="N8146" i="9" s="1"/>
  <c r="L512" i="9"/>
  <c r="M512" i="9" s="1"/>
  <c r="N8162" i="9" s="1" a="1"/>
  <c r="N8162" i="9" s="1"/>
  <c r="L513" i="9"/>
  <c r="M513" i="9" s="1"/>
  <c r="N8178" i="9" s="1" a="1"/>
  <c r="N8178" i="9" s="1"/>
  <c r="L514" i="9"/>
  <c r="M514" i="9" s="1"/>
  <c r="N8194" i="9" s="1" a="1"/>
  <c r="N8194" i="9" s="1"/>
  <c r="L515" i="9"/>
  <c r="M515" i="9" s="1"/>
  <c r="N8210" i="9" s="1" a="1"/>
  <c r="N8210" i="9" s="1"/>
  <c r="L516" i="9"/>
  <c r="M516" i="9" s="1"/>
  <c r="N8226" i="9" s="1" a="1"/>
  <c r="N8226" i="9" s="1"/>
  <c r="L517" i="9"/>
  <c r="M517" i="9" s="1"/>
  <c r="N8242" i="9" s="1" a="1"/>
  <c r="N8242" i="9" s="1"/>
  <c r="L518" i="9"/>
  <c r="M518" i="9" s="1"/>
  <c r="N8258" i="9" s="1" a="1"/>
  <c r="N8258" i="9" s="1"/>
  <c r="L519" i="9"/>
  <c r="M519" i="9" s="1"/>
  <c r="N8274" i="9" s="1" a="1"/>
  <c r="N8274" i="9" s="1"/>
  <c r="L520" i="9"/>
  <c r="M520" i="9" s="1"/>
  <c r="N8290" i="9" s="1" a="1"/>
  <c r="N8290" i="9" s="1"/>
  <c r="L521" i="9"/>
  <c r="M521" i="9" s="1"/>
  <c r="N8306" i="9" s="1" a="1"/>
  <c r="N8306" i="9" s="1"/>
  <c r="L522" i="9"/>
  <c r="M522" i="9" s="1"/>
  <c r="N8322" i="9" s="1" a="1"/>
  <c r="N8322" i="9" s="1"/>
  <c r="L523" i="9"/>
  <c r="M523" i="9" s="1"/>
  <c r="N8338" i="9" s="1" a="1"/>
  <c r="N8338" i="9" s="1"/>
  <c r="L524" i="9"/>
  <c r="M524" i="9" s="1"/>
  <c r="N8354" i="9" s="1" a="1"/>
  <c r="N8354" i="9" s="1"/>
  <c r="L525" i="9"/>
  <c r="M525" i="9" s="1"/>
  <c r="N8370" i="9" s="1" a="1"/>
  <c r="N8370" i="9" s="1"/>
  <c r="L526" i="9"/>
  <c r="M526" i="9" s="1"/>
  <c r="N8386" i="9" s="1" a="1"/>
  <c r="N8386" i="9" s="1"/>
  <c r="L527" i="9"/>
  <c r="M527" i="9" s="1"/>
  <c r="N8402" i="9" s="1" a="1"/>
  <c r="N8402" i="9" s="1"/>
  <c r="L528" i="9"/>
  <c r="M528" i="9" s="1"/>
  <c r="N8418" i="9" s="1" a="1"/>
  <c r="N8418" i="9" s="1"/>
  <c r="L529" i="9"/>
  <c r="M529" i="9" s="1"/>
  <c r="N8434" i="9" s="1" a="1"/>
  <c r="N8434" i="9" s="1"/>
  <c r="L530" i="9"/>
  <c r="M530" i="9" s="1"/>
  <c r="N8450" i="9" s="1" a="1"/>
  <c r="N8450" i="9" s="1"/>
  <c r="L531" i="9"/>
  <c r="M531" i="9" s="1"/>
  <c r="N8466" i="9" s="1" a="1"/>
  <c r="N8466" i="9" s="1"/>
  <c r="L532" i="9"/>
  <c r="M532" i="9" s="1"/>
  <c r="N8482" i="9" s="1" a="1"/>
  <c r="N8482" i="9" s="1"/>
  <c r="L533" i="9"/>
  <c r="M533" i="9" s="1"/>
  <c r="N8498" i="9" s="1" a="1"/>
  <c r="N8498" i="9" s="1"/>
  <c r="L534" i="9"/>
  <c r="M534" i="9" s="1"/>
  <c r="N8514" i="9" s="1" a="1"/>
  <c r="N8514" i="9" s="1"/>
  <c r="L535" i="9"/>
  <c r="M535" i="9" s="1"/>
  <c r="N8530" i="9" s="1" a="1"/>
  <c r="N8530" i="9" s="1"/>
  <c r="L536" i="9"/>
  <c r="M536" i="9" s="1"/>
  <c r="N8546" i="9" s="1" a="1"/>
  <c r="N8546" i="9" s="1"/>
  <c r="L537" i="9"/>
  <c r="M537" i="9" s="1"/>
  <c r="N8562" i="9" s="1" a="1"/>
  <c r="N8562" i="9" s="1"/>
  <c r="L538" i="9"/>
  <c r="M538" i="9" s="1"/>
  <c r="N8578" i="9" s="1" a="1"/>
  <c r="N8578" i="9" s="1"/>
  <c r="L539" i="9"/>
  <c r="M539" i="9" s="1"/>
  <c r="N8594" i="9" s="1" a="1"/>
  <c r="N8594" i="9" s="1"/>
  <c r="L540" i="9"/>
  <c r="M540" i="9" s="1"/>
  <c r="N8610" i="9" s="1" a="1"/>
  <c r="N8610" i="9" s="1"/>
  <c r="L541" i="9"/>
  <c r="M541" i="9" s="1"/>
  <c r="N8626" i="9" s="1" a="1"/>
  <c r="N8626" i="9" s="1"/>
  <c r="L542" i="9"/>
  <c r="M542" i="9" s="1"/>
  <c r="N8642" i="9" s="1" a="1"/>
  <c r="N8642" i="9" s="1"/>
  <c r="L543" i="9"/>
  <c r="M543" i="9" s="1"/>
  <c r="N8658" i="9" s="1" a="1"/>
  <c r="N8658" i="9" s="1"/>
  <c r="L544" i="9"/>
  <c r="M544" i="9" s="1"/>
  <c r="N8674" i="9" s="1" a="1"/>
  <c r="N8674" i="9" s="1"/>
  <c r="L545" i="9"/>
  <c r="M545" i="9" s="1"/>
  <c r="N8690" i="9" s="1" a="1"/>
  <c r="N8690" i="9" s="1"/>
  <c r="L546" i="9"/>
  <c r="M546" i="9" s="1"/>
  <c r="N8706" i="9" s="1" a="1"/>
  <c r="N8706" i="9" s="1"/>
  <c r="L547" i="9"/>
  <c r="M547" i="9" s="1"/>
  <c r="N8722" i="9" s="1" a="1"/>
  <c r="N8722" i="9" s="1"/>
  <c r="L548" i="9"/>
  <c r="M548" i="9" s="1"/>
  <c r="N8738" i="9" s="1" a="1"/>
  <c r="N8738" i="9" s="1"/>
  <c r="L549" i="9"/>
  <c r="M549" i="9" s="1"/>
  <c r="N8754" i="9" s="1" a="1"/>
  <c r="N8754" i="9" s="1"/>
  <c r="L550" i="9"/>
  <c r="M550" i="9" s="1"/>
  <c r="N8770" i="9" s="1" a="1"/>
  <c r="N8770" i="9" s="1"/>
  <c r="L551" i="9"/>
  <c r="M551" i="9" s="1"/>
  <c r="N8786" i="9" s="1" a="1"/>
  <c r="N8786" i="9" s="1"/>
  <c r="L552" i="9"/>
  <c r="M552" i="9" s="1"/>
  <c r="N8802" i="9" s="1" a="1"/>
  <c r="N8802" i="9" s="1"/>
  <c r="L553" i="9"/>
  <c r="M553" i="9" s="1"/>
  <c r="N8818" i="9" s="1" a="1"/>
  <c r="N8818" i="9" s="1"/>
  <c r="L554" i="9"/>
  <c r="M554" i="9" s="1"/>
  <c r="N8834" i="9" s="1" a="1"/>
  <c r="N8834" i="9" s="1"/>
  <c r="L555" i="9"/>
  <c r="M555" i="9" s="1"/>
  <c r="N8850" i="9" s="1" a="1"/>
  <c r="N8850" i="9" s="1"/>
  <c r="L556" i="9"/>
  <c r="M556" i="9" s="1"/>
  <c r="N8866" i="9" s="1" a="1"/>
  <c r="N8866" i="9" s="1"/>
  <c r="L557" i="9"/>
  <c r="M557" i="9" s="1"/>
  <c r="N8882" i="9" s="1" a="1"/>
  <c r="N8882" i="9" s="1"/>
  <c r="L558" i="9"/>
  <c r="M558" i="9" s="1"/>
  <c r="N8898" i="9" s="1" a="1"/>
  <c r="N8898" i="9" s="1"/>
  <c r="L559" i="9"/>
  <c r="M559" i="9" s="1"/>
  <c r="N8914" i="9" s="1" a="1"/>
  <c r="N8914" i="9" s="1"/>
  <c r="L560" i="9"/>
  <c r="M560" i="9" s="1"/>
  <c r="N8930" i="9" s="1" a="1"/>
  <c r="N8930" i="9" s="1"/>
  <c r="L561" i="9"/>
  <c r="M561" i="9" s="1"/>
  <c r="N8946" i="9" s="1" a="1"/>
  <c r="N8946" i="9" s="1"/>
  <c r="L562" i="9"/>
  <c r="M562" i="9" s="1"/>
  <c r="N8962" i="9" s="1" a="1"/>
  <c r="N8962" i="9" s="1"/>
  <c r="L563" i="9"/>
  <c r="M563" i="9" s="1"/>
  <c r="N8978" i="9" s="1" a="1"/>
  <c r="N8978" i="9" s="1"/>
  <c r="L564" i="9"/>
  <c r="M564" i="9" s="1"/>
  <c r="N8994" i="9" s="1" a="1"/>
  <c r="N8994" i="9" s="1"/>
  <c r="L565" i="9"/>
  <c r="M565" i="9" s="1"/>
  <c r="N9010" i="9" s="1" a="1"/>
  <c r="N9010" i="9" s="1"/>
  <c r="L566" i="9"/>
  <c r="M566" i="9" s="1"/>
  <c r="N9026" i="9" s="1" a="1"/>
  <c r="N9026" i="9" s="1"/>
  <c r="L567" i="9"/>
  <c r="M567" i="9" s="1"/>
  <c r="N9042" i="9" s="1" a="1"/>
  <c r="N9042" i="9" s="1"/>
  <c r="L568" i="9"/>
  <c r="M568" i="9" s="1"/>
  <c r="N9058" i="9" s="1" a="1"/>
  <c r="N9058" i="9" s="1"/>
  <c r="L569" i="9"/>
  <c r="M569" i="9" s="1"/>
  <c r="N9074" i="9" s="1" a="1"/>
  <c r="N9074" i="9" s="1"/>
  <c r="L570" i="9"/>
  <c r="M570" i="9" s="1"/>
  <c r="N9090" i="9" s="1" a="1"/>
  <c r="N9090" i="9" s="1"/>
  <c r="L571" i="9"/>
  <c r="M571" i="9" s="1"/>
  <c r="N9106" i="9" s="1" a="1"/>
  <c r="N9106" i="9" s="1"/>
  <c r="L572" i="9"/>
  <c r="M572" i="9" s="1"/>
  <c r="N9122" i="9" s="1" a="1"/>
  <c r="N9122" i="9" s="1"/>
  <c r="L573" i="9"/>
  <c r="M573" i="9" s="1"/>
  <c r="N9138" i="9" s="1" a="1"/>
  <c r="N9138" i="9" s="1"/>
  <c r="L574" i="9"/>
  <c r="M574" i="9" s="1"/>
  <c r="N9154" i="9" s="1" a="1"/>
  <c r="N9154" i="9" s="1"/>
  <c r="L575" i="9"/>
  <c r="M575" i="9" s="1"/>
  <c r="N9170" i="9" s="1" a="1"/>
  <c r="N9170" i="9" s="1"/>
  <c r="L576" i="9"/>
  <c r="M576" i="9" s="1"/>
  <c r="N9186" i="9" s="1" a="1"/>
  <c r="N9186" i="9" s="1"/>
  <c r="L577" i="9"/>
  <c r="M577" i="9" s="1"/>
  <c r="N9202" i="9" s="1" a="1"/>
  <c r="N9202" i="9" s="1"/>
  <c r="L578" i="9"/>
  <c r="M578" i="9" s="1"/>
  <c r="N9218" i="9" s="1" a="1"/>
  <c r="N9218" i="9" s="1"/>
  <c r="L579" i="9"/>
  <c r="M579" i="9" s="1"/>
  <c r="N9234" i="9" s="1" a="1"/>
  <c r="N9234" i="9" s="1"/>
  <c r="L580" i="9"/>
  <c r="M580" i="9" s="1"/>
  <c r="N9250" i="9" s="1" a="1"/>
  <c r="N9250" i="9" s="1"/>
  <c r="L581" i="9"/>
  <c r="M581" i="9" s="1"/>
  <c r="N9266" i="9" s="1" a="1"/>
  <c r="N9266" i="9" s="1"/>
  <c r="L582" i="9"/>
  <c r="M582" i="9" s="1"/>
  <c r="N9282" i="9" s="1" a="1"/>
  <c r="N9282" i="9" s="1"/>
  <c r="L583" i="9"/>
  <c r="M583" i="9" s="1"/>
  <c r="N9298" i="9" s="1" a="1"/>
  <c r="N9298" i="9" s="1"/>
  <c r="L584" i="9"/>
  <c r="M584" i="9" s="1"/>
  <c r="N9314" i="9" s="1" a="1"/>
  <c r="N9314" i="9" s="1"/>
  <c r="L585" i="9"/>
  <c r="M585" i="9" s="1"/>
  <c r="N9330" i="9" s="1" a="1"/>
  <c r="N9330" i="9" s="1"/>
  <c r="L586" i="9"/>
  <c r="M586" i="9" s="1"/>
  <c r="N9346" i="9" s="1" a="1"/>
  <c r="N9346" i="9" s="1"/>
  <c r="L587" i="9"/>
  <c r="M587" i="9" s="1"/>
  <c r="N9362" i="9" s="1" a="1"/>
  <c r="N9362" i="9" s="1"/>
  <c r="L588" i="9"/>
  <c r="M588" i="9" s="1"/>
  <c r="N9378" i="9" s="1" a="1"/>
  <c r="N9378" i="9" s="1"/>
  <c r="L589" i="9"/>
  <c r="M589" i="9" s="1"/>
  <c r="N9394" i="9" s="1" a="1"/>
  <c r="N9394" i="9" s="1"/>
  <c r="L590" i="9"/>
  <c r="M590" i="9" s="1"/>
  <c r="N9410" i="9" s="1" a="1"/>
  <c r="N9410" i="9" s="1"/>
  <c r="L591" i="9"/>
  <c r="M591" i="9" s="1"/>
  <c r="N9426" i="9" s="1" a="1"/>
  <c r="N9426" i="9" s="1"/>
  <c r="L592" i="9"/>
  <c r="M592" i="9" s="1"/>
  <c r="N9442" i="9" s="1" a="1"/>
  <c r="N9442" i="9" s="1"/>
  <c r="L593" i="9"/>
  <c r="M593" i="9" s="1"/>
  <c r="N9458" i="9" s="1" a="1"/>
  <c r="N9458" i="9" s="1"/>
  <c r="L594" i="9"/>
  <c r="M594" i="9" s="1"/>
  <c r="N9474" i="9" s="1" a="1"/>
  <c r="N9474" i="9" s="1"/>
  <c r="L595" i="9"/>
  <c r="M595" i="9" s="1"/>
  <c r="N9490" i="9" s="1" a="1"/>
  <c r="N9490" i="9" s="1"/>
  <c r="L596" i="9"/>
  <c r="M596" i="9" s="1"/>
  <c r="N9506" i="9" s="1" a="1"/>
  <c r="N9506" i="9" s="1"/>
  <c r="L597" i="9"/>
  <c r="M597" i="9" s="1"/>
  <c r="N9522" i="9" s="1" a="1"/>
  <c r="N9522" i="9" s="1"/>
  <c r="L598" i="9"/>
  <c r="M598" i="9" s="1"/>
  <c r="N9538" i="9" s="1" a="1"/>
  <c r="N9538" i="9" s="1"/>
  <c r="L599" i="9"/>
  <c r="M599" i="9" s="1"/>
  <c r="N9554" i="9" s="1" a="1"/>
  <c r="N9554" i="9" s="1"/>
  <c r="L600" i="9"/>
  <c r="M600" i="9" s="1"/>
  <c r="N9570" i="9" s="1" a="1"/>
  <c r="N9570" i="9" s="1"/>
  <c r="L601" i="9"/>
  <c r="M601" i="9" s="1"/>
  <c r="N9586" i="9" s="1" a="1"/>
  <c r="N9586" i="9" s="1"/>
  <c r="L602" i="9"/>
  <c r="M602" i="9" s="1"/>
  <c r="N9602" i="9" s="1" a="1"/>
  <c r="N9602" i="9" s="1"/>
  <c r="L603" i="9"/>
  <c r="M603" i="9" s="1"/>
  <c r="N9618" i="9" s="1" a="1"/>
  <c r="N9618" i="9" s="1"/>
  <c r="L604" i="9"/>
  <c r="M604" i="9" s="1"/>
  <c r="N9634" i="9" s="1" a="1"/>
  <c r="N9634" i="9" s="1"/>
  <c r="L605" i="9"/>
  <c r="M605" i="9" s="1"/>
  <c r="N9650" i="9" s="1" a="1"/>
  <c r="N9650" i="9" s="1"/>
  <c r="L606" i="9"/>
  <c r="M606" i="9" s="1"/>
  <c r="N9666" i="9" s="1" a="1"/>
  <c r="N9666" i="9" s="1"/>
  <c r="L607" i="9"/>
  <c r="M607" i="9" s="1"/>
  <c r="N9682" i="9" s="1" a="1"/>
  <c r="N9682" i="9" s="1"/>
  <c r="L608" i="9"/>
  <c r="M608" i="9" s="1"/>
  <c r="N9698" i="9" s="1" a="1"/>
  <c r="N9698" i="9" s="1"/>
  <c r="L609" i="9"/>
  <c r="M609" i="9" s="1"/>
  <c r="N9714" i="9" s="1" a="1"/>
  <c r="N9714" i="9" s="1"/>
  <c r="L610" i="9"/>
  <c r="M610" i="9" s="1"/>
  <c r="N9730" i="9" s="1" a="1"/>
  <c r="N9730" i="9" s="1"/>
  <c r="L611" i="9"/>
  <c r="M611" i="9" s="1"/>
  <c r="N9746" i="9" s="1" a="1"/>
  <c r="N9746" i="9" s="1"/>
  <c r="L612" i="9"/>
  <c r="M612" i="9" s="1"/>
  <c r="N9762" i="9" s="1" a="1"/>
  <c r="N9762" i="9" s="1"/>
  <c r="L613" i="9"/>
  <c r="M613" i="9" s="1"/>
  <c r="N9778" i="9" s="1" a="1"/>
  <c r="N9778" i="9" s="1"/>
  <c r="L614" i="9"/>
  <c r="M614" i="9" s="1"/>
  <c r="N9794" i="9" s="1" a="1"/>
  <c r="N9794" i="9" s="1"/>
  <c r="L615" i="9"/>
  <c r="M615" i="9" s="1"/>
  <c r="N9810" i="9" s="1" a="1"/>
  <c r="N9810" i="9" s="1"/>
  <c r="L616" i="9"/>
  <c r="M616" i="9" s="1"/>
  <c r="N9826" i="9" s="1" a="1"/>
  <c r="N9826" i="9" s="1"/>
  <c r="L617" i="9"/>
  <c r="M617" i="9" s="1"/>
  <c r="N9842" i="9" s="1" a="1"/>
  <c r="N9842" i="9" s="1"/>
  <c r="L618" i="9"/>
  <c r="M618" i="9" s="1"/>
  <c r="N9858" i="9" s="1" a="1"/>
  <c r="N9858" i="9" s="1"/>
  <c r="L619" i="9"/>
  <c r="M619" i="9" s="1"/>
  <c r="N9874" i="9" s="1" a="1"/>
  <c r="N9874" i="9" s="1"/>
  <c r="L620" i="9"/>
  <c r="M620" i="9" s="1"/>
  <c r="N9890" i="9" s="1" a="1"/>
  <c r="N9890" i="9" s="1"/>
  <c r="L621" i="9"/>
  <c r="M621" i="9" s="1"/>
  <c r="N9906" i="9" s="1" a="1"/>
  <c r="N9906" i="9" s="1"/>
  <c r="L622" i="9"/>
  <c r="M622" i="9" s="1"/>
  <c r="N9922" i="9" s="1" a="1"/>
  <c r="N9922" i="9" s="1"/>
  <c r="L623" i="9"/>
  <c r="M623" i="9" s="1"/>
  <c r="N9938" i="9" s="1" a="1"/>
  <c r="N9938" i="9" s="1"/>
  <c r="L624" i="9"/>
  <c r="M624" i="9" s="1"/>
  <c r="N9954" i="9" s="1" a="1"/>
  <c r="N9954" i="9" s="1"/>
  <c r="L625" i="9"/>
  <c r="M625" i="9" s="1"/>
  <c r="N9970" i="9" s="1" a="1"/>
  <c r="N9970" i="9" s="1"/>
  <c r="L626" i="9"/>
  <c r="M626" i="9" s="1"/>
  <c r="N9986" i="9" s="1" a="1"/>
  <c r="N9986" i="9" s="1"/>
  <c r="L627" i="9"/>
  <c r="M627" i="9" s="1"/>
  <c r="N10002" i="9" s="1" a="1"/>
  <c r="N10002" i="9" s="1"/>
  <c r="L628" i="9"/>
  <c r="M628" i="9" s="1"/>
  <c r="N10018" i="9" s="1" a="1"/>
  <c r="N10018" i="9" s="1"/>
  <c r="L629" i="9"/>
  <c r="M629" i="9" s="1"/>
  <c r="N10034" i="9" s="1" a="1"/>
  <c r="N10034" i="9" s="1"/>
  <c r="L630" i="9"/>
  <c r="M630" i="9" s="1"/>
  <c r="N10050" i="9" s="1" a="1"/>
  <c r="N10050" i="9" s="1"/>
  <c r="L631" i="9"/>
  <c r="M631" i="9" s="1"/>
  <c r="N10066" i="9" s="1" a="1"/>
  <c r="N10066" i="9" s="1"/>
  <c r="L632" i="9"/>
  <c r="M632" i="9" s="1"/>
  <c r="N10082" i="9" s="1" a="1"/>
  <c r="N10082" i="9" s="1"/>
  <c r="L633" i="9"/>
  <c r="M633" i="9" s="1"/>
  <c r="N10098" i="9" s="1" a="1"/>
  <c r="N10098" i="9" s="1"/>
  <c r="L634" i="9"/>
  <c r="M634" i="9" s="1"/>
  <c r="N10114" i="9" s="1" a="1"/>
  <c r="N10114" i="9" s="1"/>
  <c r="L635" i="9"/>
  <c r="M635" i="9" s="1"/>
  <c r="N10130" i="9" s="1" a="1"/>
  <c r="N10130" i="9" s="1"/>
  <c r="L636" i="9"/>
  <c r="M636" i="9" s="1"/>
  <c r="N10146" i="9" s="1" a="1"/>
  <c r="N10146" i="9" s="1"/>
  <c r="L637" i="9"/>
  <c r="M637" i="9" s="1"/>
  <c r="N10162" i="9" s="1" a="1"/>
  <c r="N10162" i="9" s="1"/>
  <c r="L638" i="9"/>
  <c r="M638" i="9" s="1"/>
  <c r="N10178" i="9" s="1" a="1"/>
  <c r="N10178" i="9" s="1"/>
  <c r="L639" i="9"/>
  <c r="M639" i="9" s="1"/>
  <c r="N10194" i="9" s="1" a="1"/>
  <c r="N10194" i="9" s="1"/>
  <c r="L640" i="9"/>
  <c r="M640" i="9" s="1"/>
  <c r="N10210" i="9" s="1" a="1"/>
  <c r="N10210" i="9" s="1"/>
  <c r="L641" i="9"/>
  <c r="M641" i="9" s="1"/>
  <c r="N10226" i="9" s="1" a="1"/>
  <c r="N10226" i="9" s="1"/>
  <c r="L642" i="9"/>
  <c r="M642" i="9" s="1"/>
  <c r="N10242" i="9" s="1" a="1"/>
  <c r="N10242" i="9" s="1"/>
  <c r="L643" i="9"/>
  <c r="M643" i="9" s="1"/>
  <c r="N10258" i="9" s="1" a="1"/>
  <c r="N10258" i="9" s="1"/>
  <c r="L644" i="9"/>
  <c r="M644" i="9" s="1"/>
  <c r="N10274" i="9" s="1" a="1"/>
  <c r="N10274" i="9" s="1"/>
  <c r="L645" i="9"/>
  <c r="M645" i="9" s="1"/>
  <c r="N10290" i="9" s="1" a="1"/>
  <c r="N10290" i="9" s="1"/>
  <c r="L646" i="9"/>
  <c r="M646" i="9" s="1"/>
  <c r="N10306" i="9" s="1" a="1"/>
  <c r="N10306" i="9" s="1"/>
  <c r="L647" i="9"/>
  <c r="M647" i="9" s="1"/>
  <c r="N10322" i="9" s="1" a="1"/>
  <c r="N10322" i="9" s="1"/>
  <c r="L648" i="9"/>
  <c r="M648" i="9" s="1"/>
  <c r="N10338" i="9" s="1" a="1"/>
  <c r="N10338" i="9" s="1"/>
  <c r="L649" i="9"/>
  <c r="M649" i="9" s="1"/>
  <c r="N10354" i="9" s="1" a="1"/>
  <c r="N10354" i="9" s="1"/>
  <c r="L650" i="9"/>
  <c r="M650" i="9" s="1"/>
  <c r="N10370" i="9" s="1" a="1"/>
  <c r="N10370" i="9" s="1"/>
  <c r="L651" i="9"/>
  <c r="M651" i="9" s="1"/>
  <c r="N10386" i="9" s="1" a="1"/>
  <c r="N10386" i="9" s="1"/>
  <c r="L652" i="9"/>
  <c r="M652" i="9" s="1"/>
  <c r="N10402" i="9" s="1" a="1"/>
  <c r="N10402" i="9" s="1"/>
  <c r="L653" i="9"/>
  <c r="M653" i="9" s="1"/>
  <c r="N10418" i="9" s="1" a="1"/>
  <c r="N10418" i="9" s="1"/>
  <c r="L654" i="9"/>
  <c r="M654" i="9" s="1"/>
  <c r="N10434" i="9" s="1" a="1"/>
  <c r="N10434" i="9" s="1"/>
  <c r="L655" i="9"/>
  <c r="M655" i="9" s="1"/>
  <c r="N10450" i="9" s="1" a="1"/>
  <c r="N10450" i="9" s="1"/>
  <c r="L656" i="9"/>
  <c r="M656" i="9" s="1"/>
  <c r="N10466" i="9" s="1" a="1"/>
  <c r="N10466" i="9" s="1"/>
  <c r="L657" i="9"/>
  <c r="M657" i="9" s="1"/>
  <c r="N10482" i="9" s="1" a="1"/>
  <c r="N10482" i="9" s="1"/>
  <c r="L658" i="9"/>
  <c r="M658" i="9" s="1"/>
  <c r="N10498" i="9" s="1" a="1"/>
  <c r="N10498" i="9" s="1"/>
  <c r="L659" i="9"/>
  <c r="M659" i="9" s="1"/>
  <c r="N10514" i="9" s="1" a="1"/>
  <c r="N10514" i="9" s="1"/>
  <c r="L660" i="9"/>
  <c r="M660" i="9" s="1"/>
  <c r="N10530" i="9" s="1" a="1"/>
  <c r="N10530" i="9" s="1"/>
  <c r="L661" i="9"/>
  <c r="M661" i="9" s="1"/>
  <c r="N10546" i="9" s="1" a="1"/>
  <c r="N10546" i="9" s="1"/>
  <c r="L662" i="9"/>
  <c r="M662" i="9" s="1"/>
  <c r="N10562" i="9" s="1" a="1"/>
  <c r="N10562" i="9" s="1"/>
  <c r="L663" i="9"/>
  <c r="M663" i="9" s="1"/>
  <c r="N10578" i="9" s="1" a="1"/>
  <c r="N10578" i="9" s="1"/>
  <c r="L664" i="9"/>
  <c r="M664" i="9" s="1"/>
  <c r="N10594" i="9" s="1" a="1"/>
  <c r="N10594" i="9" s="1"/>
  <c r="L665" i="9"/>
  <c r="M665" i="9" s="1"/>
  <c r="N10610" i="9" s="1" a="1"/>
  <c r="N10610" i="9" s="1"/>
  <c r="L666" i="9"/>
  <c r="M666" i="9" s="1"/>
  <c r="N10626" i="9" s="1" a="1"/>
  <c r="N10626" i="9" s="1"/>
  <c r="L667" i="9"/>
  <c r="M667" i="9" s="1"/>
  <c r="N10642" i="9" s="1" a="1"/>
  <c r="N10642" i="9" s="1"/>
  <c r="L668" i="9"/>
  <c r="M668" i="9" s="1"/>
  <c r="N10658" i="9" s="1" a="1"/>
  <c r="N10658" i="9" s="1"/>
  <c r="L669" i="9"/>
  <c r="M669" i="9" s="1"/>
  <c r="N10674" i="9" s="1" a="1"/>
  <c r="N10674" i="9" s="1"/>
  <c r="L670" i="9"/>
  <c r="M670" i="9" s="1"/>
  <c r="N10690" i="9" s="1" a="1"/>
  <c r="N10690" i="9" s="1"/>
  <c r="L671" i="9"/>
  <c r="M671" i="9" s="1"/>
  <c r="N10706" i="9" s="1" a="1"/>
  <c r="N10706" i="9" s="1"/>
  <c r="L672" i="9"/>
  <c r="M672" i="9" s="1"/>
  <c r="N10722" i="9" s="1" a="1"/>
  <c r="N10722" i="9" s="1"/>
  <c r="L673" i="9"/>
  <c r="M673" i="9" s="1"/>
  <c r="N10738" i="9" s="1" a="1"/>
  <c r="N10738" i="9" s="1"/>
  <c r="L674" i="9"/>
  <c r="M674" i="9" s="1"/>
  <c r="N10754" i="9" s="1" a="1"/>
  <c r="N10754" i="9" s="1"/>
  <c r="L675" i="9"/>
  <c r="M675" i="9" s="1"/>
  <c r="N10770" i="9" s="1" a="1"/>
  <c r="N10770" i="9" s="1"/>
  <c r="L676" i="9"/>
  <c r="M676" i="9" s="1"/>
  <c r="N10786" i="9" s="1" a="1"/>
  <c r="N10786" i="9" s="1"/>
  <c r="L677" i="9"/>
  <c r="M677" i="9" s="1"/>
  <c r="N10802" i="9" s="1" a="1"/>
  <c r="N10802" i="9" s="1"/>
  <c r="L678" i="9"/>
  <c r="M678" i="9" s="1"/>
  <c r="N10818" i="9" s="1" a="1"/>
  <c r="N10818" i="9" s="1"/>
  <c r="L679" i="9"/>
  <c r="M679" i="9" s="1"/>
  <c r="N10834" i="9" s="1" a="1"/>
  <c r="N10834" i="9" s="1"/>
  <c r="L680" i="9"/>
  <c r="M680" i="9" s="1"/>
  <c r="N10850" i="9" s="1" a="1"/>
  <c r="N10850" i="9" s="1"/>
  <c r="L681" i="9"/>
  <c r="M681" i="9" s="1"/>
  <c r="N10866" i="9" s="1" a="1"/>
  <c r="N10866" i="9" s="1"/>
  <c r="L682" i="9"/>
  <c r="M682" i="9" s="1"/>
  <c r="N10882" i="9" s="1" a="1"/>
  <c r="N10882" i="9" s="1"/>
  <c r="L683" i="9"/>
  <c r="M683" i="9" s="1"/>
  <c r="N10898" i="9" s="1" a="1"/>
  <c r="N10898" i="9" s="1"/>
  <c r="L684" i="9"/>
  <c r="M684" i="9" s="1"/>
  <c r="N10914" i="9" s="1" a="1"/>
  <c r="N10914" i="9" s="1"/>
  <c r="L685" i="9"/>
  <c r="M685" i="9" s="1"/>
  <c r="N10930" i="9" s="1" a="1"/>
  <c r="N10930" i="9" s="1"/>
  <c r="L686" i="9"/>
  <c r="M686" i="9" s="1"/>
  <c r="N10946" i="9" s="1" a="1"/>
  <c r="N10946" i="9" s="1"/>
  <c r="L687" i="9"/>
  <c r="M687" i="9" s="1"/>
  <c r="N10962" i="9" s="1" a="1"/>
  <c r="N10962" i="9" s="1"/>
  <c r="L688" i="9"/>
  <c r="M688" i="9" s="1"/>
  <c r="N10978" i="9" s="1" a="1"/>
  <c r="N10978" i="9" s="1"/>
  <c r="L689" i="9"/>
  <c r="M689" i="9" s="1"/>
  <c r="N10994" i="9" s="1" a="1"/>
  <c r="N10994" i="9" s="1"/>
  <c r="L690" i="9"/>
  <c r="M690" i="9" s="1"/>
  <c r="N11010" i="9" s="1" a="1"/>
  <c r="N11010" i="9" s="1"/>
  <c r="L691" i="9"/>
  <c r="M691" i="9" s="1"/>
  <c r="N11026" i="9" s="1" a="1"/>
  <c r="N11026" i="9" s="1"/>
  <c r="L692" i="9"/>
  <c r="M692" i="9" s="1"/>
  <c r="N11042" i="9" s="1" a="1"/>
  <c r="N11042" i="9" s="1"/>
  <c r="L693" i="9"/>
  <c r="M693" i="9" s="1"/>
  <c r="N11058" i="9" s="1" a="1"/>
  <c r="N11058" i="9" s="1"/>
  <c r="L694" i="9"/>
  <c r="M694" i="9" s="1"/>
  <c r="N11074" i="9" s="1" a="1"/>
  <c r="N11074" i="9" s="1"/>
  <c r="L695" i="9"/>
  <c r="M695" i="9" s="1"/>
  <c r="N11090" i="9" s="1" a="1"/>
  <c r="N11090" i="9" s="1"/>
  <c r="L696" i="9"/>
  <c r="M696" i="9" s="1"/>
  <c r="N11106" i="9" s="1" a="1"/>
  <c r="N11106" i="9" s="1"/>
  <c r="L697" i="9"/>
  <c r="M697" i="9" s="1"/>
  <c r="N11122" i="9" s="1" a="1"/>
  <c r="N11122" i="9" s="1"/>
  <c r="L698" i="9"/>
  <c r="M698" i="9" s="1"/>
  <c r="N11138" i="9" s="1" a="1"/>
  <c r="N11138" i="9" s="1"/>
  <c r="L699" i="9"/>
  <c r="M699" i="9" s="1"/>
  <c r="N11154" i="9" s="1" a="1"/>
  <c r="N11154" i="9" s="1"/>
  <c r="L700" i="9"/>
  <c r="M700" i="9" s="1"/>
  <c r="N11170" i="9" s="1" a="1"/>
  <c r="N11170" i="9" s="1"/>
  <c r="L701" i="9"/>
  <c r="M701" i="9" s="1"/>
  <c r="N11186" i="9" s="1" a="1"/>
  <c r="N11186" i="9" s="1"/>
  <c r="L702" i="9"/>
  <c r="M702" i="9" s="1"/>
  <c r="N11202" i="9" s="1" a="1"/>
  <c r="N11202" i="9" s="1"/>
  <c r="L703" i="9"/>
  <c r="M703" i="9" s="1"/>
  <c r="N11218" i="9" s="1" a="1"/>
  <c r="N11218" i="9" s="1"/>
  <c r="L704" i="9"/>
  <c r="M704" i="9" s="1"/>
  <c r="N11234" i="9" s="1" a="1"/>
  <c r="N11234" i="9" s="1"/>
  <c r="L705" i="9"/>
  <c r="M705" i="9" s="1"/>
  <c r="N11250" i="9" s="1" a="1"/>
  <c r="N11250" i="9" s="1"/>
  <c r="L706" i="9"/>
  <c r="M706" i="9" s="1"/>
  <c r="N11266" i="9" s="1" a="1"/>
  <c r="N11266" i="9" s="1"/>
  <c r="L707" i="9"/>
  <c r="M707" i="9" s="1"/>
  <c r="N11282" i="9" s="1" a="1"/>
  <c r="N11282" i="9" s="1"/>
  <c r="L708" i="9"/>
  <c r="M708" i="9" s="1"/>
  <c r="N11298" i="9" s="1" a="1"/>
  <c r="N11298" i="9" s="1"/>
  <c r="L709" i="9"/>
  <c r="M709" i="9" s="1"/>
  <c r="N11314" i="9" s="1" a="1"/>
  <c r="N11314" i="9" s="1"/>
  <c r="L710" i="9"/>
  <c r="M710" i="9" s="1"/>
  <c r="N11330" i="9" s="1" a="1"/>
  <c r="N11330" i="9" s="1"/>
  <c r="L711" i="9"/>
  <c r="M711" i="9" s="1"/>
  <c r="N11346" i="9" s="1" a="1"/>
  <c r="N11346" i="9" s="1"/>
  <c r="L712" i="9"/>
  <c r="M712" i="9" s="1"/>
  <c r="N11362" i="9" s="1" a="1"/>
  <c r="N11362" i="9" s="1"/>
  <c r="L713" i="9"/>
  <c r="M713" i="9" s="1"/>
  <c r="N11378" i="9" s="1" a="1"/>
  <c r="N11378" i="9" s="1"/>
  <c r="L714" i="9"/>
  <c r="M714" i="9" s="1"/>
  <c r="N11394" i="9" s="1" a="1"/>
  <c r="N11394" i="9" s="1"/>
  <c r="L715" i="9"/>
  <c r="M715" i="9" s="1"/>
  <c r="N11410" i="9" s="1" a="1"/>
  <c r="N11410" i="9" s="1"/>
  <c r="L716" i="9"/>
  <c r="M716" i="9" s="1"/>
  <c r="N11426" i="9" s="1" a="1"/>
  <c r="N11426" i="9" s="1"/>
  <c r="L717" i="9"/>
  <c r="M717" i="9" s="1"/>
  <c r="N11442" i="9" s="1" a="1"/>
  <c r="N11442" i="9" s="1"/>
  <c r="L718" i="9"/>
  <c r="M718" i="9" s="1"/>
  <c r="N11458" i="9" s="1" a="1"/>
  <c r="N11458" i="9" s="1"/>
  <c r="L719" i="9"/>
  <c r="M719" i="9" s="1"/>
  <c r="N11474" i="9" s="1" a="1"/>
  <c r="N11474" i="9" s="1"/>
  <c r="L720" i="9"/>
  <c r="M720" i="9" s="1"/>
  <c r="N11490" i="9" s="1" a="1"/>
  <c r="N11490" i="9" s="1"/>
  <c r="L721" i="9"/>
  <c r="M721" i="9" s="1"/>
  <c r="N11506" i="9" s="1" a="1"/>
  <c r="N11506" i="9" s="1"/>
  <c r="L722" i="9"/>
  <c r="M722" i="9" s="1"/>
  <c r="N11522" i="9" s="1" a="1"/>
  <c r="N11522" i="9" s="1"/>
  <c r="L723" i="9"/>
  <c r="M723" i="9" s="1"/>
  <c r="N11538" i="9" s="1" a="1"/>
  <c r="N11538" i="9" s="1"/>
  <c r="L724" i="9"/>
  <c r="M724" i="9" s="1"/>
  <c r="N11554" i="9" s="1" a="1"/>
  <c r="N11554" i="9" s="1"/>
  <c r="L725" i="9"/>
  <c r="M725" i="9" s="1"/>
  <c r="N11570" i="9" s="1" a="1"/>
  <c r="N11570" i="9" s="1"/>
  <c r="L726" i="9"/>
  <c r="M726" i="9" s="1"/>
  <c r="N11586" i="9" s="1" a="1"/>
  <c r="N11586" i="9" s="1"/>
  <c r="L727" i="9"/>
  <c r="M727" i="9" s="1"/>
  <c r="N11602" i="9" s="1" a="1"/>
  <c r="N11602" i="9" s="1"/>
  <c r="L728" i="9"/>
  <c r="M728" i="9" s="1"/>
  <c r="N11618" i="9" s="1" a="1"/>
  <c r="N11618" i="9" s="1"/>
  <c r="L729" i="9"/>
  <c r="M729" i="9" s="1"/>
  <c r="N11634" i="9" s="1" a="1"/>
  <c r="N11634" i="9" s="1"/>
  <c r="L730" i="9"/>
  <c r="M730" i="9" s="1"/>
  <c r="N11650" i="9" s="1" a="1"/>
  <c r="N11650" i="9" s="1"/>
  <c r="L731" i="9"/>
  <c r="M731" i="9" s="1"/>
  <c r="N11666" i="9" s="1" a="1"/>
  <c r="N11666" i="9" s="1"/>
  <c r="L732" i="9"/>
  <c r="M732" i="9" s="1"/>
  <c r="N11682" i="9" s="1" a="1"/>
  <c r="N11682" i="9" s="1"/>
  <c r="L733" i="9"/>
  <c r="M733" i="9" s="1"/>
  <c r="N11698" i="9" s="1" a="1"/>
  <c r="N11698" i="9" s="1"/>
  <c r="L734" i="9"/>
  <c r="M734" i="9" s="1"/>
  <c r="N11714" i="9" s="1" a="1"/>
  <c r="N11714" i="9" s="1"/>
  <c r="L735" i="9"/>
  <c r="M735" i="9" s="1"/>
  <c r="N11730" i="9" s="1" a="1"/>
  <c r="N11730" i="9" s="1"/>
  <c r="L736" i="9"/>
  <c r="M736" i="9" s="1"/>
  <c r="N11746" i="9" s="1" a="1"/>
  <c r="N11746" i="9" s="1"/>
  <c r="L737" i="9"/>
  <c r="M737" i="9" s="1"/>
  <c r="N11762" i="9" s="1" a="1"/>
  <c r="N11762" i="9" s="1"/>
  <c r="L738" i="9"/>
  <c r="M738" i="9" s="1"/>
  <c r="N11778" i="9" s="1" a="1"/>
  <c r="N11778" i="9" s="1"/>
  <c r="L739" i="9"/>
  <c r="M739" i="9" s="1"/>
  <c r="N11794" i="9" s="1" a="1"/>
  <c r="N11794" i="9" s="1"/>
  <c r="L740" i="9"/>
  <c r="M740" i="9" s="1"/>
  <c r="N11810" i="9" s="1" a="1"/>
  <c r="N11810" i="9" s="1"/>
  <c r="L741" i="9"/>
  <c r="M741" i="9" s="1"/>
  <c r="N11826" i="9" s="1" a="1"/>
  <c r="N11826" i="9" s="1"/>
  <c r="L742" i="9"/>
  <c r="M742" i="9" s="1"/>
  <c r="N11842" i="9" s="1" a="1"/>
  <c r="N11842" i="9" s="1"/>
  <c r="L743" i="9"/>
  <c r="M743" i="9" s="1"/>
  <c r="N11858" i="9" s="1" a="1"/>
  <c r="N11858" i="9" s="1"/>
  <c r="L744" i="9"/>
  <c r="M744" i="9" s="1"/>
  <c r="N11874" i="9" s="1" a="1"/>
  <c r="N11874" i="9" s="1"/>
  <c r="L745" i="9"/>
  <c r="M745" i="9" s="1"/>
  <c r="N11890" i="9" s="1" a="1"/>
  <c r="N11890" i="9" s="1"/>
  <c r="L746" i="9"/>
  <c r="M746" i="9" s="1"/>
  <c r="N11906" i="9" s="1" a="1"/>
  <c r="N11906" i="9" s="1"/>
  <c r="L747" i="9"/>
  <c r="M747" i="9" s="1"/>
  <c r="N11922" i="9" s="1" a="1"/>
  <c r="N11922" i="9" s="1"/>
  <c r="L748" i="9"/>
  <c r="M748" i="9" s="1"/>
  <c r="N11938" i="9" s="1" a="1"/>
  <c r="N11938" i="9" s="1"/>
  <c r="I188" i="2"/>
  <c r="I189" i="2"/>
  <c r="I190" i="2"/>
  <c r="I191" i="2"/>
  <c r="I192" i="2"/>
  <c r="I193" i="2"/>
  <c r="I194" i="2"/>
  <c r="I187" i="2"/>
  <c r="I180" i="2"/>
  <c r="I181" i="2"/>
  <c r="I182" i="2"/>
  <c r="I183" i="2"/>
  <c r="I184" i="2"/>
  <c r="I185" i="2"/>
  <c r="I186" i="2"/>
  <c r="I179" i="2"/>
  <c r="I172" i="2"/>
  <c r="I173" i="2"/>
  <c r="I174" i="2"/>
  <c r="I175" i="2"/>
  <c r="I176" i="2"/>
  <c r="I177" i="2"/>
  <c r="I178" i="2"/>
  <c r="I171" i="2"/>
  <c r="I164" i="2"/>
  <c r="I165" i="2"/>
  <c r="I166" i="2"/>
  <c r="I167" i="2"/>
  <c r="I168" i="2"/>
  <c r="I169" i="2"/>
  <c r="I170" i="2"/>
  <c r="I163" i="2"/>
  <c r="I139" i="2"/>
  <c r="I140" i="2"/>
  <c r="I141" i="2"/>
  <c r="I142" i="2"/>
  <c r="I143" i="2"/>
  <c r="I144" i="2"/>
  <c r="I145" i="2"/>
  <c r="I146" i="2"/>
  <c r="I108" i="2"/>
  <c r="I109" i="2"/>
  <c r="I110" i="2"/>
  <c r="I111" i="2"/>
  <c r="I112" i="2"/>
  <c r="I113" i="2"/>
  <c r="I114" i="2"/>
  <c r="I107" i="2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G505" i="2"/>
  <c r="H505" i="2" s="1"/>
  <c r="G506" i="2"/>
  <c r="H506" i="2" s="1"/>
  <c r="G507" i="2"/>
  <c r="H507" i="2" s="1"/>
  <c r="G508" i="2"/>
  <c r="G509" i="2"/>
  <c r="H509" i="2" s="1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38" i="2"/>
  <c r="I137" i="2"/>
  <c r="I136" i="2"/>
  <c r="I135" i="2"/>
  <c r="I134" i="2"/>
  <c r="I133" i="2"/>
  <c r="I132" i="2"/>
  <c r="I131" i="2"/>
  <c r="I100" i="2"/>
  <c r="I101" i="2"/>
  <c r="I102" i="2"/>
  <c r="I103" i="2"/>
  <c r="I104" i="2"/>
  <c r="I105" i="2"/>
  <c r="I106" i="2"/>
  <c r="I99" i="2"/>
  <c r="I116" i="2"/>
  <c r="I117" i="2"/>
  <c r="I118" i="2"/>
  <c r="I115" i="2"/>
  <c r="I476" i="2"/>
  <c r="I477" i="2"/>
  <c r="I478" i="2"/>
  <c r="I479" i="2"/>
  <c r="I480" i="2"/>
  <c r="I481" i="2"/>
  <c r="I482" i="2"/>
  <c r="I468" i="2"/>
  <c r="I469" i="2"/>
  <c r="I470" i="2"/>
  <c r="I471" i="2"/>
  <c r="I472" i="2"/>
  <c r="I473" i="2"/>
  <c r="I474" i="2"/>
  <c r="I460" i="2"/>
  <c r="I461" i="2"/>
  <c r="I462" i="2"/>
  <c r="I463" i="2"/>
  <c r="I464" i="2"/>
  <c r="I465" i="2"/>
  <c r="I466" i="2"/>
  <c r="I459" i="2"/>
  <c r="I475" i="2"/>
  <c r="I467" i="2"/>
  <c r="I484" i="2"/>
  <c r="I485" i="2"/>
  <c r="I486" i="2"/>
  <c r="I487" i="2"/>
  <c r="I488" i="2"/>
  <c r="I489" i="2"/>
  <c r="I490" i="2"/>
  <c r="I491" i="2"/>
  <c r="I483" i="2"/>
  <c r="I452" i="2"/>
  <c r="I453" i="2"/>
  <c r="I454" i="2"/>
  <c r="I455" i="2"/>
  <c r="I456" i="2"/>
  <c r="I457" i="2"/>
  <c r="I458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35" i="2"/>
  <c r="I419" i="2"/>
  <c r="I403" i="2"/>
  <c r="I387" i="2"/>
  <c r="I384" i="2"/>
  <c r="I385" i="2"/>
  <c r="I386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71" i="2"/>
  <c r="I356" i="2"/>
  <c r="I357" i="2"/>
  <c r="I358" i="2"/>
  <c r="I355" i="2"/>
  <c r="I352" i="2"/>
  <c r="I353" i="2"/>
  <c r="I354" i="2"/>
  <c r="I348" i="2"/>
  <c r="I349" i="2"/>
  <c r="I350" i="2"/>
  <c r="I347" i="2"/>
  <c r="I340" i="2"/>
  <c r="I341" i="2"/>
  <c r="I342" i="2"/>
  <c r="I343" i="2"/>
  <c r="I344" i="2"/>
  <c r="I345" i="2"/>
  <c r="I346" i="2"/>
  <c r="I332" i="2"/>
  <c r="I333" i="2"/>
  <c r="I334" i="2"/>
  <c r="I335" i="2"/>
  <c r="I336" i="2"/>
  <c r="I337" i="2"/>
  <c r="I338" i="2"/>
  <c r="I339" i="2"/>
  <c r="I331" i="2"/>
  <c r="I324" i="2"/>
  <c r="I325" i="2"/>
  <c r="I326" i="2"/>
  <c r="I327" i="2"/>
  <c r="I328" i="2"/>
  <c r="I329" i="2"/>
  <c r="I330" i="2"/>
  <c r="I316" i="2"/>
  <c r="I317" i="2"/>
  <c r="I318" i="2"/>
  <c r="I319" i="2"/>
  <c r="I320" i="2"/>
  <c r="I321" i="2"/>
  <c r="I322" i="2"/>
  <c r="I323" i="2"/>
  <c r="I308" i="2"/>
  <c r="I309" i="2"/>
  <c r="I310" i="2"/>
  <c r="I311" i="2"/>
  <c r="I312" i="2"/>
  <c r="I313" i="2"/>
  <c r="I314" i="2"/>
  <c r="I307" i="2"/>
  <c r="I292" i="2"/>
  <c r="I293" i="2"/>
  <c r="I294" i="2"/>
  <c r="I295" i="2"/>
  <c r="I296" i="2"/>
  <c r="I297" i="2"/>
  <c r="I298" i="2"/>
  <c r="I291" i="2"/>
  <c r="I275" i="2"/>
  <c r="I300" i="2"/>
  <c r="I301" i="2"/>
  <c r="I302" i="2"/>
  <c r="I303" i="2"/>
  <c r="I304" i="2"/>
  <c r="I305" i="2"/>
  <c r="I306" i="2"/>
  <c r="I299" i="2"/>
  <c r="I284" i="2"/>
  <c r="I285" i="2"/>
  <c r="I286" i="2"/>
  <c r="I287" i="2"/>
  <c r="I288" i="2"/>
  <c r="I289" i="2"/>
  <c r="I290" i="2"/>
  <c r="I283" i="2"/>
  <c r="I268" i="2"/>
  <c r="I269" i="2"/>
  <c r="I270" i="2"/>
  <c r="I271" i="2"/>
  <c r="I272" i="2"/>
  <c r="I273" i="2"/>
  <c r="I274" i="2"/>
  <c r="I267" i="2"/>
  <c r="I260" i="2"/>
  <c r="I261" i="2"/>
  <c r="I262" i="2"/>
  <c r="I263" i="2"/>
  <c r="I264" i="2"/>
  <c r="I265" i="2"/>
  <c r="I266" i="2"/>
  <c r="I259" i="2"/>
  <c r="I90" i="2"/>
  <c r="I89" i="2"/>
  <c r="I88" i="2"/>
  <c r="I87" i="2"/>
  <c r="I86" i="2"/>
  <c r="I85" i="2"/>
  <c r="I84" i="2"/>
  <c r="I83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G810" i="2"/>
  <c r="H810" i="2" s="1"/>
  <c r="G811" i="2"/>
  <c r="H811" i="2" s="1"/>
  <c r="G812" i="2"/>
  <c r="H812" i="2" s="1"/>
  <c r="G813" i="2"/>
  <c r="G814" i="2"/>
  <c r="H814" i="2" s="1"/>
  <c r="G815" i="2"/>
  <c r="H815" i="2" s="1"/>
  <c r="G816" i="2"/>
  <c r="H816" i="2" s="1"/>
  <c r="G817" i="2"/>
  <c r="G818" i="2"/>
  <c r="G819" i="2"/>
  <c r="H819" i="2" s="1"/>
  <c r="G820" i="2"/>
  <c r="G821" i="2"/>
  <c r="G822" i="2"/>
  <c r="H822" i="2" s="1"/>
  <c r="G823" i="2"/>
  <c r="H823" i="2" s="1"/>
  <c r="G824" i="2"/>
  <c r="G825" i="2"/>
  <c r="H825" i="2" s="1"/>
  <c r="G826" i="2"/>
  <c r="H826" i="2" s="1"/>
  <c r="G827" i="2"/>
  <c r="H827" i="2" s="1"/>
  <c r="G828" i="2"/>
  <c r="H828" i="2" s="1"/>
  <c r="G829" i="2"/>
  <c r="G830" i="2"/>
  <c r="H830" i="2" s="1"/>
  <c r="G831" i="2"/>
  <c r="H831" i="2" s="1"/>
  <c r="G832" i="2"/>
  <c r="H832" i="2" s="1"/>
  <c r="G833" i="2"/>
  <c r="G834" i="2"/>
  <c r="H834" i="2" s="1"/>
  <c r="G835" i="2"/>
  <c r="H835" i="2" s="1"/>
  <c r="G836" i="2"/>
  <c r="H836" i="2" s="1"/>
  <c r="G837" i="2"/>
  <c r="G838" i="2"/>
  <c r="H838" i="2" s="1"/>
  <c r="G839" i="2"/>
  <c r="H839" i="2" s="1"/>
  <c r="G840" i="2"/>
  <c r="G841" i="2"/>
  <c r="G842" i="2"/>
  <c r="H842" i="2" s="1"/>
  <c r="G843" i="2"/>
  <c r="H843" i="2" s="1"/>
  <c r="G844" i="2"/>
  <c r="H844" i="2" s="1"/>
  <c r="G845" i="2"/>
  <c r="G846" i="2"/>
  <c r="H846" i="2" s="1"/>
  <c r="G847" i="2"/>
  <c r="H847" i="2" s="1"/>
  <c r="G848" i="2"/>
  <c r="H848" i="2" s="1"/>
  <c r="G849" i="2"/>
  <c r="G850" i="2"/>
  <c r="H850" i="2" s="1"/>
  <c r="G851" i="2"/>
  <c r="H851" i="2" s="1"/>
  <c r="G852" i="2"/>
  <c r="H852" i="2" s="1"/>
  <c r="G853" i="2"/>
  <c r="G854" i="2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G894" i="2"/>
  <c r="H894" i="2" s="1"/>
  <c r="G895" i="2"/>
  <c r="H895" i="2" s="1"/>
  <c r="G896" i="2"/>
  <c r="H896" i="2" s="1"/>
  <c r="G897" i="2"/>
  <c r="H897" i="2" s="1"/>
  <c r="G898" i="2"/>
  <c r="H898" i="2" s="1"/>
  <c r="G803" i="2"/>
  <c r="H803" i="2" s="1"/>
  <c r="G644" i="2"/>
  <c r="G645" i="2"/>
  <c r="H645" i="2" s="1"/>
  <c r="G646" i="2"/>
  <c r="H646" i="2" s="1"/>
  <c r="G647" i="2"/>
  <c r="H647" i="2" s="1"/>
  <c r="G648" i="2"/>
  <c r="H648" i="2" s="1"/>
  <c r="G649" i="2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G657" i="2"/>
  <c r="G658" i="2"/>
  <c r="H658" i="2" s="1"/>
  <c r="G659" i="2"/>
  <c r="H659" i="2" s="1"/>
  <c r="G660" i="2"/>
  <c r="H660" i="2" s="1"/>
  <c r="G661" i="2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G669" i="2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G682" i="2"/>
  <c r="G683" i="2"/>
  <c r="H683" i="2" s="1"/>
  <c r="G684" i="2"/>
  <c r="G685" i="2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G694" i="2"/>
  <c r="G695" i="2"/>
  <c r="H695" i="2" s="1"/>
  <c r="G696" i="2"/>
  <c r="H696" i="2" s="1"/>
  <c r="G697" i="2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G706" i="2"/>
  <c r="H706" i="2" s="1"/>
  <c r="G707" i="2"/>
  <c r="H707" i="2" s="1"/>
  <c r="G708" i="2"/>
  <c r="H708" i="2" s="1"/>
  <c r="G709" i="2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G741" i="2"/>
  <c r="H741" i="2" s="1"/>
  <c r="G742" i="2"/>
  <c r="H742" i="2" s="1"/>
  <c r="G743" i="2"/>
  <c r="H743" i="2" s="1"/>
  <c r="G744" i="2"/>
  <c r="H744" i="2" s="1"/>
  <c r="G745" i="2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G753" i="2"/>
  <c r="G754" i="2"/>
  <c r="H754" i="2" s="1"/>
  <c r="G755" i="2"/>
  <c r="H755" i="2" s="1"/>
  <c r="G756" i="2"/>
  <c r="H756" i="2" s="1"/>
  <c r="G757" i="2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G789" i="2"/>
  <c r="G790" i="2"/>
  <c r="H790" i="2" s="1"/>
  <c r="G791" i="2"/>
  <c r="H791" i="2" s="1"/>
  <c r="G792" i="2"/>
  <c r="G793" i="2"/>
  <c r="G794" i="2"/>
  <c r="H794" i="2" s="1"/>
  <c r="G795" i="2"/>
  <c r="H795" i="2" s="1"/>
  <c r="G796" i="2"/>
  <c r="G797" i="2"/>
  <c r="H797" i="2" s="1"/>
  <c r="G798" i="2"/>
  <c r="H798" i="2" s="1"/>
  <c r="G799" i="2"/>
  <c r="H799" i="2" s="1"/>
  <c r="G800" i="2"/>
  <c r="H800" i="2" s="1"/>
  <c r="G801" i="2"/>
  <c r="G802" i="2"/>
  <c r="H802" i="2" s="1"/>
  <c r="H809" i="2"/>
  <c r="H820" i="2"/>
  <c r="H821" i="2"/>
  <c r="H833" i="2"/>
  <c r="H845" i="2"/>
  <c r="H893" i="2"/>
  <c r="G643" i="2"/>
  <c r="H64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G491" i="2"/>
  <c r="H491" i="2" s="1"/>
  <c r="G492" i="2"/>
  <c r="H492" i="2" s="1"/>
  <c r="G493" i="2"/>
  <c r="H493" i="2" s="1"/>
  <c r="G494" i="2"/>
  <c r="H494" i="2" s="1"/>
  <c r="G495" i="2"/>
  <c r="G496" i="2"/>
  <c r="H496" i="2" s="1"/>
  <c r="G497" i="2"/>
  <c r="H497" i="2" s="1"/>
  <c r="G498" i="2"/>
  <c r="H498" i="2" s="1"/>
  <c r="H504" i="2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G538" i="2"/>
  <c r="H538" i="2" s="1"/>
  <c r="G539" i="2"/>
  <c r="H539" i="2" s="1"/>
  <c r="G540" i="2"/>
  <c r="H540" i="2" s="1"/>
  <c r="G541" i="2"/>
  <c r="H541" i="2" s="1"/>
  <c r="G542" i="2"/>
  <c r="H542" i="2" s="1"/>
  <c r="G543" i="2"/>
  <c r="H543" i="2" s="1"/>
  <c r="G544" i="2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H649" i="2"/>
  <c r="H661" i="2"/>
  <c r="H685" i="2"/>
  <c r="H697" i="2"/>
  <c r="H709" i="2"/>
  <c r="H745" i="2"/>
  <c r="H757" i="2"/>
  <c r="H792" i="2"/>
  <c r="H793" i="2"/>
  <c r="H817" i="2"/>
  <c r="H818" i="2"/>
  <c r="H829" i="2"/>
  <c r="H840" i="2"/>
  <c r="H841" i="2"/>
  <c r="H853" i="2"/>
  <c r="H854" i="2"/>
  <c r="H877" i="2"/>
  <c r="H885" i="2"/>
  <c r="G483" i="2"/>
  <c r="H483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H490" i="2"/>
  <c r="H495" i="2"/>
  <c r="H508" i="2"/>
  <c r="H519" i="2"/>
  <c r="H537" i="2"/>
  <c r="H544" i="2"/>
  <c r="H623" i="2"/>
  <c r="H644" i="2"/>
  <c r="H656" i="2"/>
  <c r="H657" i="2"/>
  <c r="H668" i="2"/>
  <c r="H669" i="2"/>
  <c r="H681" i="2"/>
  <c r="H682" i="2"/>
  <c r="H684" i="2"/>
  <c r="H693" i="2"/>
  <c r="H694" i="2"/>
  <c r="H705" i="2"/>
  <c r="H729" i="2"/>
  <c r="H740" i="2"/>
  <c r="H752" i="2"/>
  <c r="H753" i="2"/>
  <c r="H765" i="2"/>
  <c r="H777" i="2"/>
  <c r="H788" i="2"/>
  <c r="H789" i="2"/>
  <c r="H796" i="2"/>
  <c r="H801" i="2"/>
  <c r="H813" i="2"/>
  <c r="H824" i="2"/>
  <c r="H837" i="2"/>
  <c r="H849" i="2"/>
  <c r="G451" i="2"/>
  <c r="H451" i="2" s="1"/>
  <c r="G452" i="2"/>
  <c r="H452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03" i="2"/>
  <c r="C80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643" i="2"/>
  <c r="C64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C770" i="2"/>
  <c r="C794" i="2"/>
  <c r="B483" i="2"/>
  <c r="C483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C499" i="2"/>
  <c r="C522" i="2"/>
  <c r="C534" i="2"/>
  <c r="C595" i="2"/>
  <c r="C619" i="2"/>
  <c r="C659" i="2"/>
  <c r="C675" i="2"/>
  <c r="C730" i="2"/>
  <c r="C743" i="2"/>
  <c r="C831" i="2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323" i="2"/>
  <c r="H32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163" i="2"/>
  <c r="H16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3" i="2"/>
  <c r="H3" i="2" s="1"/>
  <c r="B448" i="2"/>
  <c r="C448" i="2" s="1"/>
  <c r="B449" i="2"/>
  <c r="C449" i="2" s="1"/>
  <c r="B450" i="2"/>
  <c r="C450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323" i="2"/>
  <c r="C323" i="2" s="1"/>
  <c r="B322" i="2"/>
  <c r="C322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164" i="2"/>
  <c r="C164" i="2" s="1"/>
  <c r="B163" i="2"/>
  <c r="C163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3" i="2"/>
  <c r="C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<sst xmlns="http://schemas.openxmlformats.org/spreadsheetml/2006/main" count="23322" uniqueCount="10553">
  <si>
    <t>Комментарий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</si>
  <si>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</si>
  <si>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</si>
  <si>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</si>
  <si>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</si>
  <si>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</si>
  <si>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</si>
  <si>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</si>
  <si>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</si>
  <si>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</si>
  <si>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Физический адрес</t>
  </si>
  <si>
    <t>FORCE-адрес</t>
  </si>
  <si>
    <t>M00060</t>
  </si>
  <si>
    <t>M00061</t>
  </si>
  <si>
    <t>M00062</t>
  </si>
  <si>
    <t>M00063</t>
  </si>
  <si>
    <t>M00064</t>
  </si>
  <si>
    <t>M00065</t>
  </si>
  <si>
    <t>M00066</t>
  </si>
  <si>
    <t>M00067</t>
  </si>
  <si>
    <t>M00068</t>
  </si>
  <si>
    <t>M00069</t>
  </si>
  <si>
    <t>M0006A</t>
  </si>
  <si>
    <t>M0006B</t>
  </si>
  <si>
    <t>M0006C</t>
  </si>
  <si>
    <t>M0006D</t>
  </si>
  <si>
    <t>M0006E</t>
  </si>
  <si>
    <t>M0006F</t>
  </si>
  <si>
    <t>P00019</t>
  </si>
  <si>
    <t>P0001A</t>
  </si>
  <si>
    <t>P0001B</t>
  </si>
  <si>
    <t>P0001C</t>
  </si>
  <si>
    <t>P0001D</t>
  </si>
  <si>
    <t>P0001E</t>
  </si>
  <si>
    <t>P0001F</t>
  </si>
  <si>
    <t>Полка 1 разблокирована (геркон)</t>
  </si>
  <si>
    <t>Полка 2 разблокирована (геркон)</t>
  </si>
  <si>
    <t>Полка 3 разблокирована (геркон)</t>
  </si>
  <si>
    <t>Полка 4 разблокирована (геркон)</t>
  </si>
  <si>
    <t>Объект в зоне предупреждения лидара</t>
  </si>
  <si>
    <t>Датчик давления воздуха</t>
  </si>
  <si>
    <t>Кнопка "Запуск задания"</t>
  </si>
  <si>
    <t>Кнопка "Запуск цикла робота"</t>
  </si>
  <si>
    <t>Кнопка "Сброс ошибок"</t>
  </si>
  <si>
    <t>Резерв</t>
  </si>
  <si>
    <t>Программный адрес</t>
  </si>
  <si>
    <t>M00010</t>
  </si>
  <si>
    <t>M00011</t>
  </si>
  <si>
    <t>M00012</t>
  </si>
  <si>
    <t>M00013</t>
  </si>
  <si>
    <t>M00014</t>
  </si>
  <si>
    <t>M00015</t>
  </si>
  <si>
    <t>M00016</t>
  </si>
  <si>
    <t>M00017</t>
  </si>
  <si>
    <t>M00018</t>
  </si>
  <si>
    <t>M00019</t>
  </si>
  <si>
    <t>M0001A</t>
  </si>
  <si>
    <t>M0001B</t>
  </si>
  <si>
    <t>M0001C</t>
  </si>
  <si>
    <t>M0001D</t>
  </si>
  <si>
    <t>M0001E</t>
  </si>
  <si>
    <t>M0001F</t>
  </si>
  <si>
    <t>M00020</t>
  </si>
  <si>
    <t>M00021</t>
  </si>
  <si>
    <t>M00022</t>
  </si>
  <si>
    <t>M00023</t>
  </si>
  <si>
    <t>M00024</t>
  </si>
  <si>
    <t>M00025</t>
  </si>
  <si>
    <t>M00026</t>
  </si>
  <si>
    <t>M00027</t>
  </si>
  <si>
    <t>M00028</t>
  </si>
  <si>
    <t>M00029</t>
  </si>
  <si>
    <t>M0002A</t>
  </si>
  <si>
    <t>M0002B</t>
  </si>
  <si>
    <t>M0002C</t>
  </si>
  <si>
    <t>M0002D</t>
  </si>
  <si>
    <t>M0002E</t>
  </si>
  <si>
    <t>M0002F</t>
  </si>
  <si>
    <t>Открыть полку 1</t>
  </si>
  <si>
    <t>Открыть полку 2</t>
  </si>
  <si>
    <t>Открыть полку 3</t>
  </si>
  <si>
    <t>Открыть полку 4</t>
  </si>
  <si>
    <t>Сброс системы безопасности лидара</t>
  </si>
  <si>
    <t>Индикатор "Задание запущено" (жёлтый)</t>
  </si>
  <si>
    <t>Индикатор "Цикл робота запущен" (зелёный)</t>
  </si>
  <si>
    <t>Индикатор "Ошибка" (красный)</t>
  </si>
  <si>
    <t>M00070</t>
  </si>
  <si>
    <t>M00071</t>
  </si>
  <si>
    <t>M00072</t>
  </si>
  <si>
    <t>M00073</t>
  </si>
  <si>
    <t>M00074</t>
  </si>
  <si>
    <t>M00075</t>
  </si>
  <si>
    <t>M00076</t>
  </si>
  <si>
    <t>M00077</t>
  </si>
  <si>
    <t>M00078</t>
  </si>
  <si>
    <t>M00079</t>
  </si>
  <si>
    <t>M0007A</t>
  </si>
  <si>
    <t>M0007B</t>
  </si>
  <si>
    <t>M0007C</t>
  </si>
  <si>
    <t>M0007D</t>
  </si>
  <si>
    <t>M0007E</t>
  </si>
  <si>
    <t>M0007F</t>
  </si>
  <si>
    <t>Внутренние входа</t>
  </si>
  <si>
    <t>Внутренние выхода</t>
  </si>
  <si>
    <t>Сигналы от ПЛК к станку</t>
  </si>
  <si>
    <t>Сигналы от станка к ПЛК</t>
  </si>
  <si>
    <t>M00030</t>
  </si>
  <si>
    <t>M00031</t>
  </si>
  <si>
    <t>M00032</t>
  </si>
  <si>
    <t>M00033</t>
  </si>
  <si>
    <t>M00034</t>
  </si>
  <si>
    <t>M00035</t>
  </si>
  <si>
    <t>M00036</t>
  </si>
  <si>
    <t>M00037</t>
  </si>
  <si>
    <t>M00038</t>
  </si>
  <si>
    <t>M00039</t>
  </si>
  <si>
    <t>M0003A</t>
  </si>
  <si>
    <t>M0003B</t>
  </si>
  <si>
    <t>M0003C</t>
  </si>
  <si>
    <t>M0003D</t>
  </si>
  <si>
    <t>M0003E</t>
  </si>
  <si>
    <t>M0003F</t>
  </si>
  <si>
    <t>Станок готов к работе</t>
  </si>
  <si>
    <t>Станок ожидает загрузки</t>
  </si>
  <si>
    <t>Патрон 1 открыт</t>
  </si>
  <si>
    <t>Патрон 1 закрыт</t>
  </si>
  <si>
    <t>Патрон 2 открыт</t>
  </si>
  <si>
    <t>Патрон 2 закрыт</t>
  </si>
  <si>
    <t>Поиск программы успешен</t>
  </si>
  <si>
    <t>Ошибка поиска программы</t>
  </si>
  <si>
    <t>M00080</t>
  </si>
  <si>
    <t>M00081</t>
  </si>
  <si>
    <t>M00082</t>
  </si>
  <si>
    <t>M00083</t>
  </si>
  <si>
    <t>M00084</t>
  </si>
  <si>
    <t>M00085</t>
  </si>
  <si>
    <t>M00086</t>
  </si>
  <si>
    <t>M00087</t>
  </si>
  <si>
    <t>M00088</t>
  </si>
  <si>
    <t>M00089</t>
  </si>
  <si>
    <t>M0008A</t>
  </si>
  <si>
    <t>M0008B</t>
  </si>
  <si>
    <t>M0008C</t>
  </si>
  <si>
    <t>M0008D</t>
  </si>
  <si>
    <t>M0008E</t>
  </si>
  <si>
    <t>M0008F</t>
  </si>
  <si>
    <t>M00090</t>
  </si>
  <si>
    <t>M00091</t>
  </si>
  <si>
    <t>M00092</t>
  </si>
  <si>
    <t>M00093</t>
  </si>
  <si>
    <t>M00094</t>
  </si>
  <si>
    <t>M00095</t>
  </si>
  <si>
    <t>M00096</t>
  </si>
  <si>
    <t>M00097</t>
  </si>
  <si>
    <t>M00098</t>
  </si>
  <si>
    <t>M00099</t>
  </si>
  <si>
    <t>M0009A</t>
  </si>
  <si>
    <t>M0009B</t>
  </si>
  <si>
    <t>M0009C</t>
  </si>
  <si>
    <t>M0009D</t>
  </si>
  <si>
    <t>M0009E</t>
  </si>
  <si>
    <t>M0009F</t>
  </si>
  <si>
    <t>M00040</t>
  </si>
  <si>
    <t>M00041</t>
  </si>
  <si>
    <t>M00042</t>
  </si>
  <si>
    <t>M00043</t>
  </si>
  <si>
    <t>M00044</t>
  </si>
  <si>
    <t>M00045</t>
  </si>
  <si>
    <t>M00046</t>
  </si>
  <si>
    <t>M00047</t>
  </si>
  <si>
    <t>M00048</t>
  </si>
  <si>
    <t>M00049</t>
  </si>
  <si>
    <t>M0004A</t>
  </si>
  <si>
    <t>M0004B</t>
  </si>
  <si>
    <t>M0004C</t>
  </si>
  <si>
    <t>M0004D</t>
  </si>
  <si>
    <t>M0004E</t>
  </si>
  <si>
    <t>M0004F</t>
  </si>
  <si>
    <t>Система включена</t>
  </si>
  <si>
    <t>Загрузка завершена</t>
  </si>
  <si>
    <t>Открыть патрон 1</t>
  </si>
  <si>
    <t>Закрыть патрон 1</t>
  </si>
  <si>
    <t>Открыть патрон 2</t>
  </si>
  <si>
    <t>Закрыть патрон 2</t>
  </si>
  <si>
    <t>Запуск программы</t>
  </si>
  <si>
    <t>Номер программы станка бит 0</t>
  </si>
  <si>
    <t>Номер программы станка бит 1</t>
  </si>
  <si>
    <t>Номер программы станка бит 2</t>
  </si>
  <si>
    <t>Номер программы станка бит 3</t>
  </si>
  <si>
    <t>Номер программы станка бит 4</t>
  </si>
  <si>
    <t>Номер программы станка бит 5</t>
  </si>
  <si>
    <t>Номер программы станка бит 6</t>
  </si>
  <si>
    <t>Номер программы станка бит 7</t>
  </si>
  <si>
    <t>Поиск программы</t>
  </si>
  <si>
    <t>Адрес на роботе</t>
  </si>
  <si>
    <t>Сигналы от Робота к ПЛК</t>
  </si>
  <si>
    <t>Сигналы от ПЛК  к роботу</t>
  </si>
  <si>
    <t>Адрес слова</t>
  </si>
  <si>
    <t>Моторы робота включены</t>
  </si>
  <si>
    <t>Ошибка на роботе</t>
  </si>
  <si>
    <t>Цикл робота запущен</t>
  </si>
  <si>
    <t>Робот в Автоматическом режиме</t>
  </si>
  <si>
    <t>Робот в режиме обучения</t>
  </si>
  <si>
    <t>Пульт робота в режиме обучения</t>
  </si>
  <si>
    <t>Робот в домашнем положении 1</t>
  </si>
  <si>
    <t>Робот в домашнем положении 2</t>
  </si>
  <si>
    <t>Робот включён</t>
  </si>
  <si>
    <t>Аварийный останов на роботе</t>
  </si>
  <si>
    <t>Работа робота приостановлена</t>
  </si>
  <si>
    <t>Защитное ограждение нарушено</t>
  </si>
  <si>
    <t>Требуется замена батареи питания энкодера</t>
  </si>
  <si>
    <t>Включить моторы на роботе</t>
  </si>
  <si>
    <t>Сброс ошибки на роботе</t>
  </si>
  <si>
    <t>Запустить цикл на роботе</t>
  </si>
  <si>
    <t>Сброс программы на роботе</t>
  </si>
  <si>
    <t>Приостановить работу робота</t>
  </si>
  <si>
    <t>Выключить моторы на роботе</t>
  </si>
  <si>
    <t>Ошибка открытия захвата</t>
  </si>
  <si>
    <t>Робот готов к запуску задания</t>
  </si>
  <si>
    <t>Запустить задание на роботе</t>
  </si>
  <si>
    <t>Задание запущено</t>
  </si>
  <si>
    <t>Разблокировать полку 1</t>
  </si>
  <si>
    <t>Разблокировать полку 2</t>
  </si>
  <si>
    <t>Разблокировать полку 3</t>
  </si>
  <si>
    <t>Разблокировать полку 4</t>
  </si>
  <si>
    <t>Ошибка разблокировки полки</t>
  </si>
  <si>
    <t>Полка 1 разблокирована</t>
  </si>
  <si>
    <t>Полка 2 разблокирована</t>
  </si>
  <si>
    <t>Полка 3 разблокирована</t>
  </si>
  <si>
    <t>Полка 4 разблокирована</t>
  </si>
  <si>
    <t>Полка 1 открыта</t>
  </si>
  <si>
    <t>Полка 2 открыта</t>
  </si>
  <si>
    <t>Полка 3 открыта</t>
  </si>
  <si>
    <t>Полка 4 открыта</t>
  </si>
  <si>
    <t>Длина заготовки</t>
  </si>
  <si>
    <t>Количество рядов на пластине</t>
  </si>
  <si>
    <t>Расстояние между рядами</t>
  </si>
  <si>
    <t>Расстояние между ячейками</t>
  </si>
  <si>
    <t>Смещение чётного ряда</t>
  </si>
  <si>
    <t>Смещение первого ряда относительно нуля Х</t>
  </si>
  <si>
    <t>Смещение первого ряда относительно нуля Y</t>
  </si>
  <si>
    <t>*10</t>
  </si>
  <si>
    <t>Каким захватом забираем деталь</t>
  </si>
  <si>
    <t>Из какого патрона забираем деталь</t>
  </si>
  <si>
    <t>Ошибка в процессе работы</t>
  </si>
  <si>
    <t>Запрос данных для полки 1</t>
  </si>
  <si>
    <t>Запрос данных для полки 2</t>
  </si>
  <si>
    <t>Запрос данных для полки 3</t>
  </si>
  <si>
    <t>Запрос данных для полки 4</t>
  </si>
  <si>
    <t>Данные подготовлены для загрузки</t>
  </si>
  <si>
    <t>Полка 1 включена</t>
  </si>
  <si>
    <t>Полка 2 включена</t>
  </si>
  <si>
    <t>Полка 3 включена</t>
  </si>
  <si>
    <t>Полка 4 включена</t>
  </si>
  <si>
    <t>Работа с полкой 1 завершена</t>
  </si>
  <si>
    <t>Работа с полкой 2 завершена</t>
  </si>
  <si>
    <t>Работа с полкой 3 завершена</t>
  </si>
  <si>
    <t>Работа с полкой 4 завершена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</si>
  <si>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</si>
  <si>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</si>
  <si>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</si>
  <si>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</si>
  <si>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</si>
  <si>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</si>
  <si>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</si>
  <si>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</si>
  <si>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</si>
  <si>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</si>
  <si>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</si>
  <si>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</si>
  <si>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</si>
  <si>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</si>
  <si>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</si>
  <si>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</si>
  <si>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</si>
  <si>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</si>
  <si>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</si>
  <si>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</si>
  <si>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</si>
  <si>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</si>
  <si>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</si>
  <si>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</si>
  <si>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</si>
  <si>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</si>
  <si>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</si>
  <si>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</si>
  <si>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</si>
  <si>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</si>
  <si>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</si>
  <si>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</si>
  <si>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Назначение</t>
  </si>
  <si>
    <t>Количество ячеек в нечётных рядах</t>
  </si>
  <si>
    <t>Количество ячеек в чётных рядах</t>
  </si>
  <si>
    <t>Обдув патрона перед установкой</t>
  </si>
  <si>
    <t>Обдув патрона после захвата детали</t>
  </si>
  <si>
    <t>Режим Slow Repeat</t>
  </si>
  <si>
    <t>Робот выключён</t>
  </si>
  <si>
    <t>Давление воздуха отсутствует</t>
  </si>
  <si>
    <t>Станок не готов к работе</t>
  </si>
  <si>
    <t>Ошибка открытия полки</t>
  </si>
  <si>
    <t>P10001</t>
  </si>
  <si>
    <t>Робот не готов</t>
  </si>
  <si>
    <t>P10004</t>
  </si>
  <si>
    <t>P10005</t>
  </si>
  <si>
    <t>P1000B</t>
  </si>
  <si>
    <t>P10009</t>
  </si>
  <si>
    <t>P10012</t>
  </si>
  <si>
    <t>P10032</t>
  </si>
  <si>
    <t>M00138</t>
  </si>
  <si>
    <t>P10003</t>
  </si>
  <si>
    <t>P10008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</si>
  <si>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</si>
  <si>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</si>
  <si>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</si>
  <si>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</si>
  <si>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</si>
  <si>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</si>
  <si>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</si>
  <si>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</si>
  <si>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</si>
  <si>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</si>
  <si>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</si>
  <si>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</si>
  <si>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</si>
  <si>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</si>
  <si>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</si>
  <si>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</si>
  <si>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</si>
  <si>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</si>
  <si>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</si>
  <si>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</si>
  <si>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</si>
  <si>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</si>
  <si>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</si>
  <si>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</si>
  <si>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</si>
  <si>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</si>
  <si>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</si>
  <si>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</si>
  <si>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</si>
  <si>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</si>
  <si>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</si>
  <si>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</si>
  <si>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Робот в режиме отладки</t>
  </si>
  <si>
    <t>Наличие контршпинделя в станке</t>
  </si>
  <si>
    <t>Наличие внутренней станции перехвата в станке</t>
  </si>
  <si>
    <t>Наличие внешней станции перехвата в станке</t>
  </si>
  <si>
    <t>Верхний лимит</t>
  </si>
  <si>
    <t>Нижний лимит</t>
  </si>
  <si>
    <t>Кол-во бит на роботе</t>
  </si>
  <si>
    <t>Преобразование</t>
  </si>
  <si>
    <t>Захват 1 открыт (датчик)</t>
  </si>
  <si>
    <t>Захват 1 открыт (команда)</t>
  </si>
  <si>
    <t>Захват 1 закрыт (команда)</t>
  </si>
  <si>
    <t>Ошибка открытия захвата 1 (при наличии датчика)</t>
  </si>
  <si>
    <t>Усилие на захвате 1 (датчик)</t>
  </si>
  <si>
    <t>Захват 2 открыт (датчик)</t>
  </si>
  <si>
    <t>Захват 2 открыт (команда)</t>
  </si>
  <si>
    <t>Захват 2 закрыт (команда)</t>
  </si>
  <si>
    <t>Ошибка открытия захвата 2 (при наличии датчика)</t>
  </si>
  <si>
    <t>Усилие на захвате 2 (датчик)</t>
  </si>
  <si>
    <t>Открыть захват 1 с HMI</t>
  </si>
  <si>
    <t>Закрыть захват 1 с HMI</t>
  </si>
  <si>
    <t>Проверять открытие захвата 1 по датчику</t>
  </si>
  <si>
    <t>Открыть захват 2 с HMI</t>
  </si>
  <si>
    <t>Закрыть захват 2 с HMI</t>
  </si>
  <si>
    <t>Проверять открытие захвата 2 по датчику</t>
  </si>
  <si>
    <t>Открыть патрон 2 | Cтанцию перехвата</t>
  </si>
  <si>
    <t>Закрыть патрон 2 | Cтанцию перехвата</t>
  </si>
  <si>
    <t>Загрузка завершена (M-CODE finish)</t>
  </si>
  <si>
    <t>Данные с ПЛК считаны</t>
  </si>
  <si>
    <t>P11160</t>
  </si>
  <si>
    <t>Округление вниз</t>
  </si>
  <si>
    <t>Диаметр заготоки</t>
  </si>
  <si>
    <t>Не передаём на робота</t>
  </si>
  <si>
    <t>Длина обработанной с одной стороны детали</t>
  </si>
  <si>
    <t>Диаметр обработанной с одной стороны детали</t>
  </si>
  <si>
    <t>Длина готовой детали</t>
  </si>
  <si>
    <t>Диаметр готовой детали</t>
  </si>
  <si>
    <t>P11168</t>
  </si>
  <si>
    <t>Полная длина кулачков на захвате 1</t>
  </si>
  <si>
    <t>Тело кулачков на захвате 1</t>
  </si>
  <si>
    <t>P11170</t>
  </si>
  <si>
    <t>P11178</t>
  </si>
  <si>
    <t>Округление вверх</t>
  </si>
  <si>
    <t>P11180</t>
  </si>
  <si>
    <t>Полная длина кулачков на захвате 2</t>
  </si>
  <si>
    <t>Тело кулачков на захвате 2</t>
  </si>
  <si>
    <t>P11188</t>
  </si>
  <si>
    <t>P11190</t>
  </si>
  <si>
    <t>Полная длина кулачков в патроне 1</t>
  </si>
  <si>
    <t>Тело кулачков в патроне 1</t>
  </si>
  <si>
    <t>Полная длина кулачков в патроне 2/ ст.перехвата</t>
  </si>
  <si>
    <t>Тело кулачков в патроне 2/ ст.перехвата</t>
  </si>
  <si>
    <t>P11198</t>
  </si>
  <si>
    <t>P11200</t>
  </si>
  <si>
    <t>P11208</t>
  </si>
  <si>
    <t>P11210</t>
  </si>
  <si>
    <t>P11218</t>
  </si>
  <si>
    <t>1 к 1</t>
  </si>
  <si>
    <t>P1121C</t>
  </si>
  <si>
    <t>P11220</t>
  </si>
  <si>
    <t>*10 + может быть отрицательным</t>
  </si>
  <si>
    <t>P11230</t>
  </si>
  <si>
    <t>P11240</t>
  </si>
  <si>
    <t>P11250</t>
  </si>
  <si>
    <t>P11260</t>
  </si>
  <si>
    <t>P11270</t>
  </si>
  <si>
    <t>Номер программы на станке</t>
  </si>
  <si>
    <t>Номер кастомной программы перехвата</t>
  </si>
  <si>
    <t>P11280</t>
  </si>
  <si>
    <t>P11288</t>
  </si>
  <si>
    <t>P11290</t>
  </si>
  <si>
    <t>D332.0</t>
  </si>
  <si>
    <t>D332.1</t>
  </si>
  <si>
    <t>D332.2</t>
  </si>
  <si>
    <t>D332.3</t>
  </si>
  <si>
    <t>D332.4</t>
  </si>
  <si>
    <t>D332.5</t>
  </si>
  <si>
    <t>D332.6</t>
  </si>
  <si>
    <t>D332.7</t>
  </si>
  <si>
    <t>D332.8</t>
  </si>
  <si>
    <t>D332.9</t>
  </si>
  <si>
    <t>D332.A</t>
  </si>
  <si>
    <t>D332.B</t>
  </si>
  <si>
    <t>D332.C</t>
  </si>
  <si>
    <t>D332.D</t>
  </si>
  <si>
    <t>D332.E</t>
  </si>
  <si>
    <t>D332.F</t>
  </si>
  <si>
    <t>Требуется запуск программы на станке</t>
  </si>
  <si>
    <t>Забираем готовую деталь из патрона 1</t>
  </si>
  <si>
    <t>Забираем готовую деталь из патрона 2</t>
  </si>
  <si>
    <t>Требуется обдув перед установкой детали</t>
  </si>
  <si>
    <t>Требуется обдув после забора детали</t>
  </si>
  <si>
    <t>Сначала открываем захват, а потом закрываем патрон</t>
  </si>
  <si>
    <t>Сначала закрываем патрон, а потом открываем захват</t>
  </si>
  <si>
    <t>Идёт процесс обдува</t>
  </si>
  <si>
    <t>Инверсия захвата 1</t>
  </si>
  <si>
    <t>Инверсия захвата 2</t>
  </si>
  <si>
    <t>P11298</t>
  </si>
  <si>
    <t>Номер кастомной программы обдува перед установкой</t>
  </si>
  <si>
    <t>Номер кастомной программы обдува после установки</t>
  </si>
  <si>
    <t>Перехват внутри станка</t>
  </si>
  <si>
    <t>Внешняя станция перехвата</t>
  </si>
  <si>
    <t>Номер захвата до установки на внешнюю станцию перехвата</t>
  </si>
  <si>
    <t>Номер захвата после перехвата</t>
  </si>
  <si>
    <t>Номер захвата для перехвата внутри станка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</si>
  <si>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</si>
  <si>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</si>
  <si>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</si>
  <si>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</si>
  <si>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</si>
  <si>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</si>
  <si>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</si>
  <si>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</si>
  <si>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</si>
  <si>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</si>
  <si>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P1131A</t>
  </si>
  <si>
    <t xml:space="preserve">Захват 1 для перехвата внутри станка </t>
  </si>
  <si>
    <t xml:space="preserve">Захват 2 для перехвата внутри станка </t>
  </si>
  <si>
    <t>Захват 1 до установки на внешнюю станцию перехвата</t>
  </si>
  <si>
    <t>Захват 1  после перехвата</t>
  </si>
  <si>
    <t>Захват 2 до установки на внешнюю станцию перехвата</t>
  </si>
  <si>
    <t>Захват 2  после перехвата</t>
  </si>
  <si>
    <t>P11320/P11321</t>
  </si>
  <si>
    <t>P11322/P11323</t>
  </si>
  <si>
    <t>P11324/P11325</t>
  </si>
  <si>
    <t>Фиксированное число 0</t>
  </si>
  <si>
    <t>Фиксированное число 1</t>
  </si>
  <si>
    <t>Фиксированное число 2</t>
  </si>
  <si>
    <t>Фиксированное число 3</t>
  </si>
  <si>
    <t>Фиксированное число 4</t>
  </si>
  <si>
    <t>Фиксированное число 5</t>
  </si>
  <si>
    <t>Фиксированное число 6</t>
  </si>
  <si>
    <t>Фиксированное число 7</t>
  </si>
  <si>
    <t>Фиксированное число 8</t>
  </si>
  <si>
    <t>Фиксированное число 9</t>
  </si>
  <si>
    <t>Фиксированное число 10</t>
  </si>
  <si>
    <t>Фиксированное число 11</t>
  </si>
  <si>
    <t>Фиксированное число 12</t>
  </si>
  <si>
    <t>Фиксированное число 13</t>
  </si>
  <si>
    <t>Фиксированное число 14</t>
  </si>
  <si>
    <t>Фиксированное число 15</t>
  </si>
  <si>
    <t>Фиксированное число 16</t>
  </si>
  <si>
    <t>Фиксированное число 17</t>
  </si>
  <si>
    <t>Фиксированное число 18</t>
  </si>
  <si>
    <t>Фиксированное число 19</t>
  </si>
  <si>
    <t>Фиксированное число 20</t>
  </si>
  <si>
    <t>Фиксированное число 21</t>
  </si>
  <si>
    <t>Фиксированное число 22</t>
  </si>
  <si>
    <t>Фиксированное число 23</t>
  </si>
  <si>
    <t>Фиксированное число 24</t>
  </si>
  <si>
    <t>Фиксированное число 25</t>
  </si>
  <si>
    <t>Фиксированное число 26</t>
  </si>
  <si>
    <t>Фиксированное число 27</t>
  </si>
  <si>
    <t>Фиксированное число 28</t>
  </si>
  <si>
    <t>Фиксированное число 29</t>
  </si>
  <si>
    <t>Фиксированное число 30</t>
  </si>
  <si>
    <t>Фиксированное число 31</t>
  </si>
  <si>
    <t>Фиксированное число 32</t>
  </si>
  <si>
    <t>Фиксированное число 33</t>
  </si>
  <si>
    <t>Фиксированное число 34</t>
  </si>
  <si>
    <t>Фиксированное число 35</t>
  </si>
  <si>
    <t>Фиксированное число 36</t>
  </si>
  <si>
    <t>Фиксированное число 37</t>
  </si>
  <si>
    <t>Фиксированное число 38</t>
  </si>
  <si>
    <t>Фиксированное число 39</t>
  </si>
  <si>
    <t>Фиксированное число 40</t>
  </si>
  <si>
    <t>Фиксированное число 41</t>
  </si>
  <si>
    <t>Фиксированное число 42</t>
  </si>
  <si>
    <t>Фиксированное число 43</t>
  </si>
  <si>
    <t>Фиксированное число 44</t>
  </si>
  <si>
    <t>Фиксированное число 45</t>
  </si>
  <si>
    <t>Фиксированное число 46</t>
  </si>
  <si>
    <t>Фиксированное число 47</t>
  </si>
  <si>
    <t>Фиксированное число 48</t>
  </si>
  <si>
    <t>Фиксированное число 49</t>
  </si>
  <si>
    <t>Фиксированное число 50</t>
  </si>
  <si>
    <t>Фиксированное число 51</t>
  </si>
  <si>
    <t>Фиксированное число 52</t>
  </si>
  <si>
    <t>Фиксированное число 53</t>
  </si>
  <si>
    <t>Фиксированное число 54</t>
  </si>
  <si>
    <t>Фиксированное число 55</t>
  </si>
  <si>
    <t>Фиксированное число 56</t>
  </si>
  <si>
    <t>Фиксированное число 57</t>
  </si>
  <si>
    <t>Фиксированное число 58</t>
  </si>
  <si>
    <t>Фиксированное число 59</t>
  </si>
  <si>
    <t>Фиксированное число 60</t>
  </si>
  <si>
    <t>Фиксированное число 61</t>
  </si>
  <si>
    <t>Фиксированное число 62</t>
  </si>
  <si>
    <t>Фиксированное число 63</t>
  </si>
  <si>
    <t>Фиксированное число 64</t>
  </si>
  <si>
    <t>Фиксированное число 65</t>
  </si>
  <si>
    <t>Фиксированное число 66</t>
  </si>
  <si>
    <t>Фиксированное число 67</t>
  </si>
  <si>
    <t>Фиксированное число 68</t>
  </si>
  <si>
    <t>Фиксированное число 69</t>
  </si>
  <si>
    <t>Фиксированное число 70</t>
  </si>
  <si>
    <t>Фиксированное число 71</t>
  </si>
  <si>
    <t>Фиксированное число 72</t>
  </si>
  <si>
    <t>Фиксированное число 73</t>
  </si>
  <si>
    <t>Фиксированное число 74</t>
  </si>
  <si>
    <t>Фиксированное число 75</t>
  </si>
  <si>
    <t>Фиксированное число 76</t>
  </si>
  <si>
    <t>Фиксированное число 77</t>
  </si>
  <si>
    <t>Фиксированное число 78</t>
  </si>
  <si>
    <t>Фиксированное число 79</t>
  </si>
  <si>
    <t>Фиксированное число 80</t>
  </si>
  <si>
    <t>Фиксированное число 81</t>
  </si>
  <si>
    <t>Фиксированное число 82</t>
  </si>
  <si>
    <t>Фиксированное число 83</t>
  </si>
  <si>
    <t>Фиксированное число 84</t>
  </si>
  <si>
    <t>Фиксированное число 85</t>
  </si>
  <si>
    <t>Фиксированное число 86</t>
  </si>
  <si>
    <t>Фиксированное число 87</t>
  </si>
  <si>
    <t>Фиксированное число 88</t>
  </si>
  <si>
    <t>Фиксированное число 89</t>
  </si>
  <si>
    <t>Фиксированное число 90</t>
  </si>
  <si>
    <t>Фиксированное число 91</t>
  </si>
  <si>
    <t>Фиксированное число 92</t>
  </si>
  <si>
    <t>Фиксированное число 93</t>
  </si>
  <si>
    <t>Фиксированное число 94</t>
  </si>
  <si>
    <t>Фиксированное число 95</t>
  </si>
  <si>
    <t>Фиксированное число 96</t>
  </si>
  <si>
    <t>Фиксированное число 97</t>
  </si>
  <si>
    <t>Фиксированное число 98</t>
  </si>
  <si>
    <t>Фиксированное число 99</t>
  </si>
  <si>
    <t>Фиксированное число 100</t>
  </si>
  <si>
    <t>Фиксированное число 101</t>
  </si>
  <si>
    <t>Фиксированное число 102</t>
  </si>
  <si>
    <t>Фиксированное число 103</t>
  </si>
  <si>
    <t>Фиксированное число 104</t>
  </si>
  <si>
    <t>Фиксированное число 105</t>
  </si>
  <si>
    <t>Фиксированное число 106</t>
  </si>
  <si>
    <t>Фиксированное число 107</t>
  </si>
  <si>
    <t>Фиксированное число 108</t>
  </si>
  <si>
    <t>Фиксированное число 109</t>
  </si>
  <si>
    <t>Фиксированное число 110</t>
  </si>
  <si>
    <t>Фиксированное число 111</t>
  </si>
  <si>
    <t>Фиксированное число 112</t>
  </si>
  <si>
    <t>Фиксированное число 113</t>
  </si>
  <si>
    <t>Фиксированное число 114</t>
  </si>
  <si>
    <t>Фиксированное число 115</t>
  </si>
  <si>
    <t>Фиксированное число 116</t>
  </si>
  <si>
    <t>Фиксированное число 117</t>
  </si>
  <si>
    <t>Фиксированное число 118</t>
  </si>
  <si>
    <t>Фиксированное число 119</t>
  </si>
  <si>
    <t>Фиксированное число 120</t>
  </si>
  <si>
    <t>Фиксированное число 121</t>
  </si>
  <si>
    <t>Фиксированное число 122</t>
  </si>
  <si>
    <t>Фиксированное число 123</t>
  </si>
  <si>
    <t>Фиксированное число 124</t>
  </si>
  <si>
    <t>Фиксированное число 125</t>
  </si>
  <si>
    <t>Фиксированное число 126</t>
  </si>
  <si>
    <t>Фиксированное число 127</t>
  </si>
  <si>
    <t>Фиксированное число 128</t>
  </si>
  <si>
    <t>HMI Скорость робота</t>
  </si>
  <si>
    <t>HMI Время, в течении которого разблокирована полка после нажатия кнопки</t>
  </si>
  <si>
    <t>HMI Количество деталей на полке 1</t>
  </si>
  <si>
    <t>HMI Количество деталей на полке 2</t>
  </si>
  <si>
    <t>HMI Количество деталей на полке 3</t>
  </si>
  <si>
    <t>HMI Количество деталей на полке 4</t>
  </si>
  <si>
    <t>Количество деталей для задания</t>
  </si>
  <si>
    <t>Выбранный номер задания</t>
  </si>
  <si>
    <t>Выбранный номер задания - 1</t>
  </si>
  <si>
    <t>Оффсет строки для выбранного номера названия</t>
  </si>
  <si>
    <t>MULNULL</t>
  </si>
  <si>
    <t>Счётчик страницы заданий</t>
  </si>
  <si>
    <t>Оффсет номера страницы списка заданий</t>
  </si>
  <si>
    <t>Оффсет строки страницы списка заданий</t>
  </si>
  <si>
    <t>Номер кнопки на странице списка заданий</t>
  </si>
  <si>
    <t>Номер редактируемого задания</t>
  </si>
  <si>
    <t>Счётчик страницы пластин</t>
  </si>
  <si>
    <t>Оффсет номера страницы списка пластин</t>
  </si>
  <si>
    <t>Оффсет строки страницы списка пластин</t>
  </si>
  <si>
    <t>Номер кнопки на странице списка пластин</t>
  </si>
  <si>
    <t>Номер редактируемой пластины</t>
  </si>
  <si>
    <t>Смещение номера ред. пластины на 100</t>
  </si>
  <si>
    <t>Предыдущее выбранное задание</t>
  </si>
  <si>
    <t xml:space="preserve">Предыдущая выбранная пластина </t>
  </si>
  <si>
    <t>Номер редактируемого задания -1</t>
  </si>
  <si>
    <t>Номер редактируемой пластины -101</t>
  </si>
  <si>
    <t>Номер редактируемой пластины -1</t>
  </si>
  <si>
    <t>Оффсет строки для выбранного номера пластины</t>
  </si>
  <si>
    <t>Последняя загруженная пластина</t>
  </si>
  <si>
    <t>Выбранная пластина -1</t>
  </si>
  <si>
    <t>Номер страницы HMI</t>
  </si>
  <si>
    <t>Код ошибки работы с базой данных</t>
  </si>
  <si>
    <t>Выбор типа рецепта (пластины/задания)</t>
  </si>
  <si>
    <t>Выбор блока рецепта</t>
  </si>
  <si>
    <t>Выбор номера файла (для EFR)</t>
  </si>
  <si>
    <t>Таймер открытия захвата 1</t>
  </si>
  <si>
    <t>Таймер закрытия захвата 1</t>
  </si>
  <si>
    <t>Таймер открытия захвата 2</t>
  </si>
  <si>
    <t>Таймер закрытия захвата 2</t>
  </si>
  <si>
    <t>Таймер открытия патрона 1</t>
  </si>
  <si>
    <t>Таймер закрытия патрона 1</t>
  </si>
  <si>
    <t>Таймер открытия патрона 2 / ВСП</t>
  </si>
  <si>
    <t>Таймер закрытия захвата 2 / ВСП</t>
  </si>
  <si>
    <t>Overshoot</t>
  </si>
  <si>
    <t>Скорость поиска</t>
  </si>
  <si>
    <t>Скорость обдува</t>
  </si>
  <si>
    <t>Пароль от уровня 1</t>
  </si>
  <si>
    <t>Пароль от уровня 2</t>
  </si>
  <si>
    <t>Флаги задания</t>
  </si>
  <si>
    <t>Память для хранения названий рецептов. Задание 1. Символ 1</t>
  </si>
  <si>
    <t>Память для хранения названий рецептов. Задание 1. Символ 2</t>
  </si>
  <si>
    <t>Память для хранения названий рецептов. Задание 1. Символ 3</t>
  </si>
  <si>
    <t>Память для хранения названий рецептов. Задание 1. Символ 4</t>
  </si>
  <si>
    <t>Память для хранения названий рецептов. Задание 1. Символ 5</t>
  </si>
  <si>
    <t>Память для хранения названий рецептов. Задание 1. Символ 6</t>
  </si>
  <si>
    <t>Память для хранения названий рецептов. Задание 1. Символ 7</t>
  </si>
  <si>
    <t>Память для хранения названий рецептов. Задание 1. Символ 8</t>
  </si>
  <si>
    <t>Память для хранения названий рецептов. Задание 1. Символ 9</t>
  </si>
  <si>
    <t>Память для хранения названий рецептов. Задание 1. Символ 10</t>
  </si>
  <si>
    <t>Память для хранения названий рецептов. Задание 1. Символ 11</t>
  </si>
  <si>
    <t>Память для хранения названий рецептов. Задание 1. Символ 12</t>
  </si>
  <si>
    <t>Память для хранения названий рецептов. Задание 1. Символ 13</t>
  </si>
  <si>
    <t>Память для хранения названий рецептов. Задание 1. Символ 14</t>
  </si>
  <si>
    <t>Память для хранения названий рецептов. Задание 1. Символ 15</t>
  </si>
  <si>
    <t>Память для хранения названий рецептов. Задание 1. Символ 16</t>
  </si>
  <si>
    <t>Память для хранения названий рецептов. Задание 1. Символ 17</t>
  </si>
  <si>
    <t>Память для хранения названий рецептов. Задание 1. Символ 18</t>
  </si>
  <si>
    <t>Память для хранения названий рецептов. Задание 1. Символ 19</t>
  </si>
  <si>
    <t>Память для хранения названий рецептов. Задание 1. Символ 20</t>
  </si>
  <si>
    <t>Память для хранения названий рецептов. Задание 1. Символ 21</t>
  </si>
  <si>
    <t>Память для хранения названий рецептов. Задание 1. Символ 22</t>
  </si>
  <si>
    <t>Память для хранения названий рецептов. Задание 1. Символ 23</t>
  </si>
  <si>
    <t>Память для хранения названий рецептов. Задание 1. Символ 24</t>
  </si>
  <si>
    <t>Память для хранения названий рецептов. Задание 1. Символ 25</t>
  </si>
  <si>
    <t>Память для хранения названий рецептов. Задание 2. Символ 1</t>
  </si>
  <si>
    <t>Память для хранения названий рецептов. Задание 2. Символ 2</t>
  </si>
  <si>
    <t>Память для хранения названий рецептов. Задание 2. Символ 3</t>
  </si>
  <si>
    <t>Память для хранения названий рецептов. Задание 2. Символ 4</t>
  </si>
  <si>
    <t>Память для хранения названий рецептов. Задание 2. Символ 5</t>
  </si>
  <si>
    <t>Память для хранения названий рецептов. Задание 2. Символ 6</t>
  </si>
  <si>
    <t>Память для хранения названий рецептов. Задание 2. Символ 7</t>
  </si>
  <si>
    <t>Память для хранения названий рецептов. Задание 2. Символ 8</t>
  </si>
  <si>
    <t>Память для хранения названий рецептов. Задание 2. Символ 9</t>
  </si>
  <si>
    <t>Память для хранения названий рецептов. Задание 2. Символ 10</t>
  </si>
  <si>
    <t>Память для хранения названий рецептов. Задание 2. Символ 11</t>
  </si>
  <si>
    <t>Память для хранения названий рецептов. Задание 2. Символ 12</t>
  </si>
  <si>
    <t>Память для хранения названий рецептов. Задание 2. Символ 13</t>
  </si>
  <si>
    <t>Память для хранения названий рецептов. Задание 2. Символ 14</t>
  </si>
  <si>
    <t>Память для хранения названий рецептов. Задание 2. Символ 15</t>
  </si>
  <si>
    <t>Память для хранения названий рецептов. Задание 2. Символ 16</t>
  </si>
  <si>
    <t>Память для хранения названий рецептов. Задание 2. Символ 17</t>
  </si>
  <si>
    <t>Память для хранения названий рецептов. Задание 2. Символ 18</t>
  </si>
  <si>
    <t>Память для хранения названий рецептов. Задание 2. Символ 19</t>
  </si>
  <si>
    <t>Память для хранения названий рецептов. Задание 2. Символ 20</t>
  </si>
  <si>
    <t>Память для хранения названий рецептов. Задание 2. Символ 21</t>
  </si>
  <si>
    <t>Память для хранения названий рецептов. Задание 2. Символ 22</t>
  </si>
  <si>
    <t>Память для хранения названий рецептов. Задание 2. Символ 23</t>
  </si>
  <si>
    <t>Память для хранения названий рецептов. Задание 2. Символ 24</t>
  </si>
  <si>
    <t>Память для хранения названий рецептов. Задание 2. Символ 25</t>
  </si>
  <si>
    <t>Память для хранения названий рецептов. Задание 3. Символ 1</t>
  </si>
  <si>
    <t>Память для хранения названий рецептов. Задание 3. Символ 2</t>
  </si>
  <si>
    <t>Память для хранения названий рецептов. Задание 3. Символ 3</t>
  </si>
  <si>
    <t>Память для хранения названий рецептов. Задание 3. Символ 4</t>
  </si>
  <si>
    <t>Память для хранения названий рецептов. Задание 3. Символ 5</t>
  </si>
  <si>
    <t>Память для хранения названий рецептов. Задание 3. Символ 6</t>
  </si>
  <si>
    <t>Память для хранения названий рецептов. Задание 3. Символ 7</t>
  </si>
  <si>
    <t>Память для хранения названий рецептов. Задание 3. Символ 8</t>
  </si>
  <si>
    <t>Память для хранения названий рецептов. Задание 3. Символ 9</t>
  </si>
  <si>
    <t>Память для хранения названий рецептов. Задание 3. Символ 10</t>
  </si>
  <si>
    <t>Память для хранения названий рецептов. Задание 3. Символ 11</t>
  </si>
  <si>
    <t>Память для хранения названий рецептов. Задание 3. Символ 12</t>
  </si>
  <si>
    <t>Память для хранения названий рецептов. Задание 3. Символ 13</t>
  </si>
  <si>
    <t>Память для хранения названий рецептов. Задание 3. Символ 14</t>
  </si>
  <si>
    <t>Память для хранения названий рецептов. Задание 3. Символ 15</t>
  </si>
  <si>
    <t>Память для хранения названий рецептов. Задание 3. Символ 16</t>
  </si>
  <si>
    <t>Память для хранения названий рецептов. Задание 3. Символ 17</t>
  </si>
  <si>
    <t>Память для хранения названий рецептов. Задание 3. Символ 18</t>
  </si>
  <si>
    <t>Память для хранения названий рецептов. Задание 3. Символ 19</t>
  </si>
  <si>
    <t>Память для хранения названий рецептов. Задание 3. Символ 20</t>
  </si>
  <si>
    <t>Память для хранения названий рецептов. Задание 3. Символ 21</t>
  </si>
  <si>
    <t>Память для хранения названий рецептов. Задание 3. Символ 22</t>
  </si>
  <si>
    <t>Память для хранения названий рецептов. Задание 3. Символ 23</t>
  </si>
  <si>
    <t>Память для хранения названий рецептов. Задание 3. Символ 24</t>
  </si>
  <si>
    <t>Память для хранения названий рецептов. Задание 3. Символ 25</t>
  </si>
  <si>
    <t>Память для хранения названий рецептов. Задание 4. Символ 1</t>
  </si>
  <si>
    <t>Память для хранения названий рецептов. Задание 4. Символ 2</t>
  </si>
  <si>
    <t>Память для хранения названий рецептов. Задание 4. Символ 3</t>
  </si>
  <si>
    <t>Память для хранения названий рецептов. Задание 4. Символ 4</t>
  </si>
  <si>
    <t>Память для хранения названий рецептов. Задание 4. Символ 5</t>
  </si>
  <si>
    <t>Память для хранения названий рецептов. Задание 4. Символ 6</t>
  </si>
  <si>
    <t>Память для хранения названий рецептов. Задание 4. Символ 7</t>
  </si>
  <si>
    <t>Память для хранения названий рецептов. Задание 4. Символ 8</t>
  </si>
  <si>
    <t>Память для хранения названий рецептов. Задание 4. Символ 9</t>
  </si>
  <si>
    <t>Память для хранения названий рецептов. Задание 4. Символ 10</t>
  </si>
  <si>
    <t>Память для хранения названий рецептов. Задание 4. Символ 11</t>
  </si>
  <si>
    <t>Память для хранения названий рецептов. Задание 4. Символ 12</t>
  </si>
  <si>
    <t>Память для хранения названий рецептов. Задание 4. Символ 13</t>
  </si>
  <si>
    <t>Память для хранения названий рецептов. Задание 4. Символ 14</t>
  </si>
  <si>
    <t>Память для хранения названий рецептов. Задание 4. Символ 15</t>
  </si>
  <si>
    <t>Память для хранения названий рецептов. Задание 4. Символ 16</t>
  </si>
  <si>
    <t>Память для хранения названий рецептов. Задание 4. Символ 17</t>
  </si>
  <si>
    <t>Память для хранения названий рецептов. Задание 4. Символ 18</t>
  </si>
  <si>
    <t>Память для хранения названий рецептов. Задание 4. Символ 19</t>
  </si>
  <si>
    <t>Память для хранения названий рецептов. Задание 4. Символ 20</t>
  </si>
  <si>
    <t>Память для хранения названий рецептов. Задание 4. Символ 21</t>
  </si>
  <si>
    <t>Память для хранения названий рецептов. Задание 4. Символ 22</t>
  </si>
  <si>
    <t>Память для хранения названий рецептов. Задание 4. Символ 23</t>
  </si>
  <si>
    <t>Память для хранения названий рецептов. Задание 4. Символ 24</t>
  </si>
  <si>
    <t>Память для хранения названий рецептов. Задание 4. Символ 25</t>
  </si>
  <si>
    <t>Память для хранения названий рецептов. Задание 5. Символ 1</t>
  </si>
  <si>
    <t>Память для хранения названий рецептов. Задание 5. Символ 2</t>
  </si>
  <si>
    <t>Память для хранения названий рецептов. Задание 5. Символ 3</t>
  </si>
  <si>
    <t>Память для хранения названий рецептов. Задание 5. Символ 4</t>
  </si>
  <si>
    <t>Память для хранения названий рецептов. Задание 5. Символ 5</t>
  </si>
  <si>
    <t>Память для хранения названий рецептов. Задание 5. Символ 6</t>
  </si>
  <si>
    <t>Память для хранения названий рецептов. Задание 5. Символ 7</t>
  </si>
  <si>
    <t>Память для хранения названий рецептов. Задание 5. Символ 8</t>
  </si>
  <si>
    <t>Память для хранения названий рецептов. Задание 5. Символ 9</t>
  </si>
  <si>
    <t>Память для хранения названий рецептов. Задание 5. Символ 10</t>
  </si>
  <si>
    <t>Память для хранения названий рецептов. Задание 5. Символ 11</t>
  </si>
  <si>
    <t>Память для хранения названий рецептов. Задание 5. Символ 12</t>
  </si>
  <si>
    <t>Память для хранения названий рецептов. Задание 5. Символ 13</t>
  </si>
  <si>
    <t>Память для хранения названий рецептов. Задание 5. Символ 14</t>
  </si>
  <si>
    <t>Память для хранения названий рецептов. Задание 5. Символ 15</t>
  </si>
  <si>
    <t>Память для хранения названий рецептов. Задание 5. Символ 16</t>
  </si>
  <si>
    <t>Память для хранения названий рецептов. Задание 5. Символ 17</t>
  </si>
  <si>
    <t>Память для хранения названий рецептов. Задание 5. Символ 18</t>
  </si>
  <si>
    <t>Память для хранения названий рецептов. Задание 5. Символ 19</t>
  </si>
  <si>
    <t>Память для хранения названий рецептов. Задание 5. Символ 20</t>
  </si>
  <si>
    <t>Память для хранения названий рецептов. Задание 5. Символ 21</t>
  </si>
  <si>
    <t>Память для хранения названий рецептов. Задание 5. Символ 22</t>
  </si>
  <si>
    <t>Память для хранения названий рецептов. Задание 5. Символ 23</t>
  </si>
  <si>
    <t>Память для хранения названий рецептов. Задание 5. Символ 24</t>
  </si>
  <si>
    <t>Память для хранения названий рецептов. Задание 5. Символ 25</t>
  </si>
  <si>
    <t>Память для хранения названий рецептов. Задание 6. Символ 1</t>
  </si>
  <si>
    <t>Память для хранения названий рецептов. Задание 6. Символ 2</t>
  </si>
  <si>
    <t>Память для хранения названий рецептов. Задание 6. Символ 3</t>
  </si>
  <si>
    <t>Память для хранения названий рецептов. Задание 6. Символ 4</t>
  </si>
  <si>
    <t>Память для хранения названий рецептов. Задание 6. Символ 5</t>
  </si>
  <si>
    <t>Память для хранения названий рецептов. Задание 6. Символ 6</t>
  </si>
  <si>
    <t>Память для хранения названий рецептов. Задание 6. Символ 7</t>
  </si>
  <si>
    <t>Память для хранения названий рецептов. Задание 6. Символ 8</t>
  </si>
  <si>
    <t>Память для хранения названий рецептов. Задание 6. Символ 9</t>
  </si>
  <si>
    <t>Память для хранения названий рецептов. Задание 6. Символ 10</t>
  </si>
  <si>
    <t>Память для хранения названий рецептов. Задание 6. Символ 11</t>
  </si>
  <si>
    <t>Память для хранения названий рецептов. Задание 6. Символ 12</t>
  </si>
  <si>
    <t>Память для хранения названий рецептов. Задание 6. Символ 13</t>
  </si>
  <si>
    <t>Память для хранения названий рецептов. Задание 6. Символ 14</t>
  </si>
  <si>
    <t>Память для хранения названий рецептов. Задание 6. Символ 15</t>
  </si>
  <si>
    <t>Память для хранения названий рецептов. Задание 6. Символ 16</t>
  </si>
  <si>
    <t>Память для хранения названий рецептов. Задание 6. Символ 17</t>
  </si>
  <si>
    <t>Память для хранения названий рецептов. Задание 6. Символ 18</t>
  </si>
  <si>
    <t>Память для хранения названий рецептов. Задание 6. Символ 19</t>
  </si>
  <si>
    <t>Память для хранения названий рецептов. Задание 6. Символ 20</t>
  </si>
  <si>
    <t>Память для хранения названий рецептов. Задание 6. Символ 21</t>
  </si>
  <si>
    <t>Память для хранения названий рецептов. Задание 6. Символ 22</t>
  </si>
  <si>
    <t>Память для хранения названий рецептов. Задание 6. Символ 23</t>
  </si>
  <si>
    <t>Память для хранения названий рецептов. Задание 6. Символ 24</t>
  </si>
  <si>
    <t>Память для хранения названий рецептов. Задание 6. Символ 25</t>
  </si>
  <si>
    <t>Память для хранения названий рецептов. Задание 7. Символ 1</t>
  </si>
  <si>
    <t>Память для хранения названий рецептов. Задание 7. Символ 2</t>
  </si>
  <si>
    <t>Память для хранения названий рецептов. Задание 7. Символ 3</t>
  </si>
  <si>
    <t>Память для хранения названий рецептов. Задание 7. Символ 4</t>
  </si>
  <si>
    <t>Память для хранения названий рецептов. Задание 7. Символ 5</t>
  </si>
  <si>
    <t>Память для хранения названий рецептов. Задание 7. Символ 6</t>
  </si>
  <si>
    <t>Память для хранения названий рецептов. Задание 7. Символ 7</t>
  </si>
  <si>
    <t>Память для хранения названий рецептов. Задание 7. Символ 8</t>
  </si>
  <si>
    <t>Память для хранения названий рецептов. Задание 7. Символ 9</t>
  </si>
  <si>
    <t>Память для хранения названий рецептов. Задание 7. Символ 10</t>
  </si>
  <si>
    <t>Память для хранения названий рецептов. Задание 7. Символ 11</t>
  </si>
  <si>
    <t>Память для хранения названий рецептов. Задание 7. Символ 12</t>
  </si>
  <si>
    <t>Память для хранения названий рецептов. Задание 7. Символ 13</t>
  </si>
  <si>
    <t>Память для хранения названий рецептов. Задание 7. Символ 14</t>
  </si>
  <si>
    <t>Память для хранения названий рецептов. Задание 7. Символ 15</t>
  </si>
  <si>
    <t>Память для хранения названий рецептов. Задание 7. Символ 16</t>
  </si>
  <si>
    <t>Память для хранения названий рецептов. Задание 7. Символ 17</t>
  </si>
  <si>
    <t>Память для хранения названий рецептов. Задание 7. Символ 18</t>
  </si>
  <si>
    <t>Память для хранения названий рецептов. Задание 7. Символ 19</t>
  </si>
  <si>
    <t>Память для хранения названий рецептов. Задание 7. Символ 20</t>
  </si>
  <si>
    <t>Память для хранения названий рецептов. Задание 7. Символ 21</t>
  </si>
  <si>
    <t>Память для хранения названий рецептов. Задание 7. Символ 22</t>
  </si>
  <si>
    <t>Память для хранения названий рецептов. Задание 7. Символ 23</t>
  </si>
  <si>
    <t>Память для хранения названий рецептов. Задание 7. Символ 24</t>
  </si>
  <si>
    <t>Память для хранения названий рецептов. Задание 7. Символ 25</t>
  </si>
  <si>
    <t>Память для хранения названий рецептов. Задание 8. Символ 1</t>
  </si>
  <si>
    <t>Память для хранения названий рецептов. Задание 8. Символ 2</t>
  </si>
  <si>
    <t>Память для хранения названий рецептов. Задание 8. Символ 3</t>
  </si>
  <si>
    <t>Память для хранения названий рецептов. Задание 8. Символ 4</t>
  </si>
  <si>
    <t>Память для хранения названий рецептов. Задание 8. Символ 5</t>
  </si>
  <si>
    <t>Память для хранения названий рецептов. Задание 8. Символ 6</t>
  </si>
  <si>
    <t>Память для хранения названий рецептов. Задание 8. Символ 7</t>
  </si>
  <si>
    <t>Память для хранения названий рецептов. Задание 8. Символ 8</t>
  </si>
  <si>
    <t>Память для хранения названий рецептов. Задание 8. Символ 9</t>
  </si>
  <si>
    <t>Память для хранения названий рецептов. Задание 8. Символ 10</t>
  </si>
  <si>
    <t>Память для хранения названий рецептов. Задание 8. Символ 11</t>
  </si>
  <si>
    <t>Память для хранения названий рецептов. Задание 8. Символ 12</t>
  </si>
  <si>
    <t>Память для хранения названий рецептов. Задание 8. Символ 13</t>
  </si>
  <si>
    <t>Память для хранения названий рецептов. Задание 8. Символ 14</t>
  </si>
  <si>
    <t>Память для хранения названий рецептов. Задание 8. Символ 15</t>
  </si>
  <si>
    <t>Память для хранения названий рецептов. Задание 8. Символ 16</t>
  </si>
  <si>
    <t>Память для хранения названий рецептов. Задание 8. Символ 17</t>
  </si>
  <si>
    <t>Память для хранения названий рецептов. Задание 8. Символ 18</t>
  </si>
  <si>
    <t>Память для хранения названий рецептов. Задание 8. Символ 19</t>
  </si>
  <si>
    <t>Память для хранения названий рецептов. Задание 8. Символ 20</t>
  </si>
  <si>
    <t>Память для хранения названий рецептов. Задание 8. Символ 21</t>
  </si>
  <si>
    <t>Память для хранения названий рецептов. Задание 8. Символ 22</t>
  </si>
  <si>
    <t>Память для хранения названий рецептов. Задание 8. Символ 23</t>
  </si>
  <si>
    <t>Память для хранения названий рецептов. Задание 8. Символ 24</t>
  </si>
  <si>
    <t>Память для хранения названий рецептов. Задание 8. Символ 25</t>
  </si>
  <si>
    <t>Память для хранения названий рецептов. Задание 9. Символ 1</t>
  </si>
  <si>
    <t>Память для хранения названий рецептов. Задание 9. Символ 2</t>
  </si>
  <si>
    <t>Память для хранения названий рецептов. Задание 9. Символ 3</t>
  </si>
  <si>
    <t>Память для хранения названий рецептов. Задание 9. Символ 4</t>
  </si>
  <si>
    <t>Память для хранения названий рецептов. Задание 9. Символ 5</t>
  </si>
  <si>
    <t>Память для хранения названий рецептов. Задание 9. Символ 6</t>
  </si>
  <si>
    <t>Память для хранения названий рецептов. Задание 9. Символ 7</t>
  </si>
  <si>
    <t>Память для хранения названий рецептов. Задание 9. Символ 8</t>
  </si>
  <si>
    <t>Память для хранения названий рецептов. Задание 9. Символ 9</t>
  </si>
  <si>
    <t>Память для хранения названий рецептов. Задание 9. Символ 10</t>
  </si>
  <si>
    <t>Память для хранения названий рецептов. Задание 9. Символ 11</t>
  </si>
  <si>
    <t>Память для хранения названий рецептов. Задание 9. Символ 12</t>
  </si>
  <si>
    <t>Память для хранения названий рецептов. Задание 9. Символ 13</t>
  </si>
  <si>
    <t>Память для хранения названий рецептов. Задание 9. Символ 14</t>
  </si>
  <si>
    <t>Память для хранения названий рецептов. Задание 9. Символ 15</t>
  </si>
  <si>
    <t>Память для хранения названий рецептов. Задание 9. Символ 16</t>
  </si>
  <si>
    <t>Память для хранения названий рецептов. Задание 9. Символ 17</t>
  </si>
  <si>
    <t>Память для хранения названий рецептов. Задание 9. Символ 18</t>
  </si>
  <si>
    <t>Память для хранения названий рецептов. Задание 9. Символ 19</t>
  </si>
  <si>
    <t>Память для хранения названий рецептов. Задание 9. Символ 20</t>
  </si>
  <si>
    <t>Память для хранения названий рецептов. Задание 9. Символ 21</t>
  </si>
  <si>
    <t>Память для хранения названий рецептов. Задание 9. Символ 22</t>
  </si>
  <si>
    <t>Память для хранения названий рецептов. Задание 9. Символ 23</t>
  </si>
  <si>
    <t>Память для хранения названий рецептов. Задание 9. Символ 24</t>
  </si>
  <si>
    <t>Память для хранения названий рецептов. Задание 9. Символ 25</t>
  </si>
  <si>
    <t>Память для хранения названий рецептов. Задание 10. Символ 1</t>
  </si>
  <si>
    <t>Память для хранения названий рецептов. Задание 10. Символ 2</t>
  </si>
  <si>
    <t>Память для хранения названий рецептов. Задание 10. Символ 3</t>
  </si>
  <si>
    <t>Память для хранения названий рецептов. Задание 10. Символ 4</t>
  </si>
  <si>
    <t>Память для хранения названий рецептов. Задание 10. Символ 5</t>
  </si>
  <si>
    <t>Память для хранения названий рецептов. Задание 10. Символ 6</t>
  </si>
  <si>
    <t>Память для хранения названий рецептов. Задание 10. Символ 7</t>
  </si>
  <si>
    <t>Память для хранения названий рецептов. Задание 10. Символ 8</t>
  </si>
  <si>
    <t>Память для хранения названий рецептов. Задание 10. Символ 9</t>
  </si>
  <si>
    <t>Память для хранения названий рецептов. Задание 10. Символ 10</t>
  </si>
  <si>
    <t>Память для хранения названий рецептов. Задание 10. Символ 11</t>
  </si>
  <si>
    <t>Память для хранения названий рецептов. Задание 10. Символ 12</t>
  </si>
  <si>
    <t>Память для хранения названий рецептов. Задание 10. Символ 13</t>
  </si>
  <si>
    <t>Память для хранения названий рецептов. Задание 10. Символ 14</t>
  </si>
  <si>
    <t>Память для хранения названий рецептов. Задание 10. Символ 15</t>
  </si>
  <si>
    <t>Память для хранения названий рецептов. Задание 10. Символ 16</t>
  </si>
  <si>
    <t>Память для хранения названий рецептов. Задание 10. Символ 17</t>
  </si>
  <si>
    <t>Память для хранения названий рецептов. Задание 10. Символ 18</t>
  </si>
  <si>
    <t>Память для хранения названий рецептов. Задание 10. Символ 19</t>
  </si>
  <si>
    <t>Память для хранения названий рецептов. Задание 10. Символ 20</t>
  </si>
  <si>
    <t>Память для хранения названий рецептов. Задание 10. Символ 21</t>
  </si>
  <si>
    <t>Память для хранения названий рецептов. Задание 10. Символ 22</t>
  </si>
  <si>
    <t>Память для хранения названий рецептов. Задание 10. Символ 23</t>
  </si>
  <si>
    <t>Память для хранения названий рецептов. Задание 10. Символ 24</t>
  </si>
  <si>
    <t>Память для хранения названий рецептов. Задание 10. Символ 25</t>
  </si>
  <si>
    <t>Память для хранения названий рецептов. Задание 11. Символ 1</t>
  </si>
  <si>
    <t>Память для хранения названий рецептов. Задание 11. Символ 2</t>
  </si>
  <si>
    <t>Память для хранения названий рецептов. Задание 11. Символ 3</t>
  </si>
  <si>
    <t>Память для хранения названий рецептов. Задание 11. Символ 4</t>
  </si>
  <si>
    <t>Память для хранения названий рецептов. Задание 11. Символ 5</t>
  </si>
  <si>
    <t>Память для хранения названий рецептов. Задание 11. Символ 6</t>
  </si>
  <si>
    <t>Память для хранения названий рецептов. Задание 11. Символ 7</t>
  </si>
  <si>
    <t>Память для хранения названий рецептов. Задание 11. Символ 8</t>
  </si>
  <si>
    <t>Память для хранения названий рецептов. Задание 11. Символ 9</t>
  </si>
  <si>
    <t>Память для хранения названий рецептов. Задание 11. Символ 10</t>
  </si>
  <si>
    <t>Память для хранения названий рецептов. Задание 11. Символ 11</t>
  </si>
  <si>
    <t>Память для хранения названий рецептов. Задание 11. Символ 12</t>
  </si>
  <si>
    <t>Память для хранения названий рецептов. Задание 11. Символ 13</t>
  </si>
  <si>
    <t>Память для хранения названий рецептов. Задание 11. Символ 14</t>
  </si>
  <si>
    <t>Память для хранения названий рецептов. Задание 11. Символ 15</t>
  </si>
  <si>
    <t>Память для хранения названий рецептов. Задание 11. Символ 16</t>
  </si>
  <si>
    <t>Память для хранения названий рецептов. Задание 11. Символ 17</t>
  </si>
  <si>
    <t>Память для хранения названий рецептов. Задание 11. Символ 18</t>
  </si>
  <si>
    <t>Память для хранения названий рецептов. Задание 11. Символ 19</t>
  </si>
  <si>
    <t>Память для хранения названий рецептов. Задание 11. Символ 20</t>
  </si>
  <si>
    <t>Память для хранения названий рецептов. Задание 11. Символ 21</t>
  </si>
  <si>
    <t>Память для хранения названий рецептов. Задание 11. Символ 22</t>
  </si>
  <si>
    <t>Память для хранения названий рецептов. Задание 11. Символ 23</t>
  </si>
  <si>
    <t>Память для хранения названий рецептов. Задание 11. Символ 24</t>
  </si>
  <si>
    <t>Память для хранения названий рецептов. Задание 11. Символ 25</t>
  </si>
  <si>
    <t>Память для хранения названий рецептов. Задание 12. Символ 1</t>
  </si>
  <si>
    <t>Память для хранения названий рецептов. Задание 12. Символ 2</t>
  </si>
  <si>
    <t>Память для хранения названий рецептов. Задание 12. Символ 3</t>
  </si>
  <si>
    <t>Память для хранения названий рецептов. Задание 12. Символ 4</t>
  </si>
  <si>
    <t>Память для хранения названий рецептов. Задание 12. Символ 5</t>
  </si>
  <si>
    <t>Память для хранения названий рецептов. Задание 12. Символ 6</t>
  </si>
  <si>
    <t>Память для хранения названий рецептов. Задание 12. Символ 7</t>
  </si>
  <si>
    <t>Память для хранения названий рецептов. Задание 12. Символ 8</t>
  </si>
  <si>
    <t>Память для хранения названий рецептов. Задание 12. Символ 9</t>
  </si>
  <si>
    <t>Память для хранения названий рецептов. Задание 12. Символ 10</t>
  </si>
  <si>
    <t>Память для хранения названий рецептов. Задание 12. Символ 11</t>
  </si>
  <si>
    <t>Память для хранения названий рецептов. Задание 12. Символ 12</t>
  </si>
  <si>
    <t>Память для хранения названий рецептов. Задание 12. Символ 13</t>
  </si>
  <si>
    <t>Память для хранения названий рецептов. Задание 12. Символ 14</t>
  </si>
  <si>
    <t>Память для хранения названий рецептов. Задание 12. Символ 15</t>
  </si>
  <si>
    <t>Память для хранения названий рецептов. Задание 12. Символ 16</t>
  </si>
  <si>
    <t>Память для хранения названий рецептов. Задание 12. Символ 17</t>
  </si>
  <si>
    <t>Память для хранения названий рецептов. Задание 12. Символ 18</t>
  </si>
  <si>
    <t>Память для хранения названий рецептов. Задание 12. Символ 19</t>
  </si>
  <si>
    <t>Память для хранения названий рецептов. Задание 12. Символ 20</t>
  </si>
  <si>
    <t>Память для хранения названий рецептов. Задание 12. Символ 21</t>
  </si>
  <si>
    <t>Память для хранения названий рецептов. Задание 12. Символ 22</t>
  </si>
  <si>
    <t>Память для хранения названий рецептов. Задание 12. Символ 23</t>
  </si>
  <si>
    <t>Память для хранения названий рецептов. Задание 12. Символ 24</t>
  </si>
  <si>
    <t>Память для хранения названий рецептов. Задание 12. Символ 25</t>
  </si>
  <si>
    <t>Память для хранения названий рецептов. Задание 13. Символ 1</t>
  </si>
  <si>
    <t>Память для хранения названий рецептов. Задание 13. Символ 2</t>
  </si>
  <si>
    <t>Память для хранения названий рецептов. Задание 13. Символ 3</t>
  </si>
  <si>
    <t>Память для хранения названий рецептов. Задание 13. Символ 4</t>
  </si>
  <si>
    <t>Память для хранения названий рецептов. Задание 13. Символ 5</t>
  </si>
  <si>
    <t>Память для хранения названий рецептов. Задание 13. Символ 6</t>
  </si>
  <si>
    <t>Память для хранения названий рецептов. Задание 13. Символ 7</t>
  </si>
  <si>
    <t>Память для хранения названий рецептов. Задание 13. Символ 8</t>
  </si>
  <si>
    <t>Память для хранения названий рецептов. Задание 13. Символ 9</t>
  </si>
  <si>
    <t>Память для хранения названий рецептов. Задание 13. Символ 10</t>
  </si>
  <si>
    <t>Память для хранения названий рецептов. Задание 13. Символ 11</t>
  </si>
  <si>
    <t>Память для хранения названий рецептов. Задание 13. Символ 12</t>
  </si>
  <si>
    <t>Память для хранения названий рецептов. Задание 13. Символ 13</t>
  </si>
  <si>
    <t>Память для хранения названий рецептов. Задание 13. Символ 14</t>
  </si>
  <si>
    <t>Память для хранения названий рецептов. Задание 13. Символ 15</t>
  </si>
  <si>
    <t>Память для хранения названий рецептов. Задание 13. Символ 16</t>
  </si>
  <si>
    <t>Память для хранения названий рецептов. Задание 13. Символ 17</t>
  </si>
  <si>
    <t>Память для хранения названий рецептов. Задание 13. Символ 18</t>
  </si>
  <si>
    <t>Память для хранения названий рецептов. Задание 13. Символ 19</t>
  </si>
  <si>
    <t>Память для хранения названий рецептов. Задание 13. Символ 20</t>
  </si>
  <si>
    <t>Память для хранения названий рецептов. Задание 13. Символ 21</t>
  </si>
  <si>
    <t>Память для хранения названий рецептов. Задание 13. Символ 22</t>
  </si>
  <si>
    <t>Память для хранения названий рецептов. Задание 13. Символ 23</t>
  </si>
  <si>
    <t>Память для хранения названий рецептов. Задание 13. Символ 24</t>
  </si>
  <si>
    <t>Память для хранения названий рецептов. Задание 13. Символ 25</t>
  </si>
  <si>
    <t>Память для хранения названий рецептов. Задание 14. Символ 1</t>
  </si>
  <si>
    <t>Память для хранения названий рецептов. Задание 14. Символ 2</t>
  </si>
  <si>
    <t>Память для хранения названий рецептов. Задание 14. Символ 3</t>
  </si>
  <si>
    <t>Память для хранения названий рецептов. Задание 14. Символ 4</t>
  </si>
  <si>
    <t>Память для хранения названий рецептов. Задание 14. Символ 5</t>
  </si>
  <si>
    <t>Память для хранения названий рецептов. Задание 14. Символ 6</t>
  </si>
  <si>
    <t>Память для хранения названий рецептов. Задание 14. Символ 7</t>
  </si>
  <si>
    <t>Память для хранения названий рецептов. Задание 14. Символ 8</t>
  </si>
  <si>
    <t>Память для хранения названий рецептов. Задание 14. Символ 9</t>
  </si>
  <si>
    <t>Память для хранения названий рецептов. Задание 14. Символ 10</t>
  </si>
  <si>
    <t>Память для хранения названий рецептов. Задание 14. Символ 11</t>
  </si>
  <si>
    <t>Память для хранения названий рецептов. Задание 14. Символ 12</t>
  </si>
  <si>
    <t>Память для хранения названий рецептов. Задание 14. Символ 13</t>
  </si>
  <si>
    <t>Память для хранения названий рецептов. Задание 14. Символ 14</t>
  </si>
  <si>
    <t>Память для хранения названий рецептов. Задание 14. Символ 15</t>
  </si>
  <si>
    <t>Память для хранения названий рецептов. Задание 14. Символ 16</t>
  </si>
  <si>
    <t>Память для хранения названий рецептов. Задание 14. Символ 17</t>
  </si>
  <si>
    <t>Память для хранения названий рецептов. Задание 14. Символ 18</t>
  </si>
  <si>
    <t>Память для хранения названий рецептов. Задание 14. Символ 19</t>
  </si>
  <si>
    <t>Память для хранения названий рецептов. Задание 14. Символ 20</t>
  </si>
  <si>
    <t>Память для хранения названий рецептов. Задание 14. Символ 21</t>
  </si>
  <si>
    <t>Память для хранения названий рецептов. Задание 14. Символ 22</t>
  </si>
  <si>
    <t>Память для хранения названий рецептов. Задание 14. Символ 23</t>
  </si>
  <si>
    <t>Память для хранения названий рецептов. Задание 14. Символ 24</t>
  </si>
  <si>
    <t>Память для хранения названий рецептов. Задание 14. Символ 25</t>
  </si>
  <si>
    <t>Память для хранения названий рецептов. Задание 15. Символ 1</t>
  </si>
  <si>
    <t>Память для хранения названий рецептов. Задание 15. Символ 2</t>
  </si>
  <si>
    <t>Память для хранения названий рецептов. Задание 15. Символ 3</t>
  </si>
  <si>
    <t>Память для хранения названий рецептов. Задание 15. Символ 4</t>
  </si>
  <si>
    <t>Память для хранения названий рецептов. Задание 15. Символ 5</t>
  </si>
  <si>
    <t>Память для хранения названий рецептов. Задание 15. Символ 6</t>
  </si>
  <si>
    <t>Память для хранения названий рецептов. Задание 15. Символ 7</t>
  </si>
  <si>
    <t>Память для хранения названий рецептов. Задание 15. Символ 8</t>
  </si>
  <si>
    <t>Память для хранения названий рецептов. Задание 15. Символ 9</t>
  </si>
  <si>
    <t>Память для хранения названий рецептов. Задание 15. Символ 10</t>
  </si>
  <si>
    <t>Память для хранения названий рецептов. Задание 15. Символ 11</t>
  </si>
  <si>
    <t>Память для хранения названий рецептов. Задание 15. Символ 12</t>
  </si>
  <si>
    <t>Память для хранения названий рецептов. Задание 15. Символ 13</t>
  </si>
  <si>
    <t>Память для хранения названий рецептов. Задание 15. Символ 14</t>
  </si>
  <si>
    <t>Память для хранения названий рецептов. Задание 15. Символ 15</t>
  </si>
  <si>
    <t>Память для хранения названий рецептов. Задание 15. Символ 16</t>
  </si>
  <si>
    <t>Память для хранения названий рецептов. Задание 15. Символ 17</t>
  </si>
  <si>
    <t>Память для хранения названий рецептов. Задание 15. Символ 18</t>
  </si>
  <si>
    <t>Память для хранения названий рецептов. Задание 15. Символ 19</t>
  </si>
  <si>
    <t>Память для хранения названий рецептов. Задание 15. Символ 20</t>
  </si>
  <si>
    <t>Память для хранения названий рецептов. Задание 15. Символ 21</t>
  </si>
  <si>
    <t>Память для хранения названий рецептов. Задание 15. Символ 22</t>
  </si>
  <si>
    <t>Память для хранения названий рецептов. Задание 15. Символ 23</t>
  </si>
  <si>
    <t>Память для хранения названий рецептов. Задание 15. Символ 24</t>
  </si>
  <si>
    <t>Память для хранения названий рецептов. Задание 15. Символ 25</t>
  </si>
  <si>
    <t>Память для хранения названий рецептов. Задание 16. Символ 1</t>
  </si>
  <si>
    <t>Память для хранения названий рецептов. Задание 16. Символ 2</t>
  </si>
  <si>
    <t>Память для хранения названий рецептов. Задание 16. Символ 3</t>
  </si>
  <si>
    <t>Память для хранения названий рецептов. Задание 16. Символ 4</t>
  </si>
  <si>
    <t>Память для хранения названий рецептов. Задание 16. Символ 5</t>
  </si>
  <si>
    <t>Память для хранения названий рецептов. Задание 16. Символ 6</t>
  </si>
  <si>
    <t>Память для хранения названий рецептов. Задание 16. Символ 7</t>
  </si>
  <si>
    <t>Память для хранения названий рецептов. Задание 16. Символ 8</t>
  </si>
  <si>
    <t>Память для хранения названий рецептов. Задание 16. Символ 9</t>
  </si>
  <si>
    <t>Память для хранения названий рецептов. Задание 16. Символ 10</t>
  </si>
  <si>
    <t>Память для хранения названий рецептов. Задание 16. Символ 11</t>
  </si>
  <si>
    <t>Память для хранения названий рецептов. Задание 16. Символ 12</t>
  </si>
  <si>
    <t>Память для хранения названий рецептов. Задание 16. Символ 13</t>
  </si>
  <si>
    <t>Память для хранения названий рецептов. Задание 16. Символ 14</t>
  </si>
  <si>
    <t>Память для хранения названий рецептов. Задание 16. Символ 15</t>
  </si>
  <si>
    <t>Память для хранения названий рецептов. Задание 16. Символ 16</t>
  </si>
  <si>
    <t>Память для хранения названий рецептов. Задание 16. Символ 17</t>
  </si>
  <si>
    <t>Память для хранения названий рецептов. Задание 16. Символ 18</t>
  </si>
  <si>
    <t>Память для хранения названий рецептов. Задание 16. Символ 19</t>
  </si>
  <si>
    <t>Память для хранения названий рецептов. Задание 16. Символ 20</t>
  </si>
  <si>
    <t>Память для хранения названий рецептов. Задание 16. Символ 21</t>
  </si>
  <si>
    <t>Память для хранения названий рецептов. Задание 16. Символ 22</t>
  </si>
  <si>
    <t>Память для хранения названий рецептов. Задание 16. Символ 23</t>
  </si>
  <si>
    <t>Память для хранения названий рецептов. Задание 16. Символ 24</t>
  </si>
  <si>
    <t>Память для хранения названий рецептов. Задание 16. Символ 25</t>
  </si>
  <si>
    <t>Память для хранения названий рецептов. Задание 17. Символ 1</t>
  </si>
  <si>
    <t>Память для хранения названий рецептов. Задание 17. Символ 2</t>
  </si>
  <si>
    <t>Память для хранения названий рецептов. Задание 17. Символ 3</t>
  </si>
  <si>
    <t>Память для хранения названий рецептов. Задание 17. Символ 4</t>
  </si>
  <si>
    <t>Память для хранения названий рецептов. Задание 17. Символ 5</t>
  </si>
  <si>
    <t>Память для хранения названий рецептов. Задание 17. Символ 6</t>
  </si>
  <si>
    <t>Память для хранения названий рецептов. Задание 17. Символ 7</t>
  </si>
  <si>
    <t>Память для хранения названий рецептов. Задание 17. Символ 8</t>
  </si>
  <si>
    <t>Память для хранения названий рецептов. Задание 17. Символ 9</t>
  </si>
  <si>
    <t>Память для хранения названий рецептов. Задание 17. Символ 10</t>
  </si>
  <si>
    <t>Память для хранения названий рецептов. Задание 17. Символ 11</t>
  </si>
  <si>
    <t>Память для хранения названий рецептов. Задание 17. Символ 12</t>
  </si>
  <si>
    <t>Память для хранения названий рецептов. Задание 17. Символ 13</t>
  </si>
  <si>
    <t>Память для хранения названий рецептов. Задание 17. Символ 14</t>
  </si>
  <si>
    <t>Память для хранения названий рецептов. Задание 17. Символ 15</t>
  </si>
  <si>
    <t>Память для хранения названий рецептов. Задание 17. Символ 16</t>
  </si>
  <si>
    <t>Память для хранения названий рецептов. Задание 17. Символ 17</t>
  </si>
  <si>
    <t>Память для хранения названий рецептов. Задание 17. Символ 18</t>
  </si>
  <si>
    <t>Память для хранения названий рецептов. Задание 17. Символ 19</t>
  </si>
  <si>
    <t>Память для хранения названий рецептов. Задание 17. Символ 20</t>
  </si>
  <si>
    <t>Память для хранения названий рецептов. Задание 17. Символ 21</t>
  </si>
  <si>
    <t>Память для хранения названий рецептов. Задание 17. Символ 22</t>
  </si>
  <si>
    <t>Память для хранения названий рецептов. Задание 17. Символ 23</t>
  </si>
  <si>
    <t>Память для хранения названий рецептов. Задание 17. Символ 24</t>
  </si>
  <si>
    <t>Память для хранения названий рецептов. Задание 17. Символ 25</t>
  </si>
  <si>
    <t>Память для хранения названий рецептов. Задание 18. Символ 1</t>
  </si>
  <si>
    <t>Память для хранения названий рецептов. Задание 18. Символ 2</t>
  </si>
  <si>
    <t>Память для хранения названий рецептов. Задание 18. Символ 3</t>
  </si>
  <si>
    <t>Память для хранения названий рецептов. Задание 18. Символ 4</t>
  </si>
  <si>
    <t>Память для хранения названий рецептов. Задание 18. Символ 5</t>
  </si>
  <si>
    <t>Память для хранения названий рецептов. Задание 18. Символ 6</t>
  </si>
  <si>
    <t>Память для хранения названий рецептов. Задание 18. Символ 7</t>
  </si>
  <si>
    <t>Память для хранения названий рецептов. Задание 18. Символ 8</t>
  </si>
  <si>
    <t>Память для хранения названий рецептов. Задание 18. Символ 9</t>
  </si>
  <si>
    <t>Память для хранения названий рецептов. Задание 18. Символ 10</t>
  </si>
  <si>
    <t>Память для хранения названий рецептов. Задание 18. Символ 11</t>
  </si>
  <si>
    <t>Память для хранения названий рецептов. Задание 18. Символ 12</t>
  </si>
  <si>
    <t>Память для хранения названий рецептов. Задание 18. Символ 13</t>
  </si>
  <si>
    <t>Память для хранения названий рецептов. Задание 18. Символ 14</t>
  </si>
  <si>
    <t>Память для хранения названий рецептов. Задание 18. Символ 15</t>
  </si>
  <si>
    <t>Память для хранения названий рецептов. Задание 18. Символ 16</t>
  </si>
  <si>
    <t>Память для хранения названий рецептов. Задание 18. Символ 17</t>
  </si>
  <si>
    <t>Память для хранения названий рецептов. Задание 18. Символ 18</t>
  </si>
  <si>
    <t>Память для хранения названий рецептов. Задание 18. Символ 19</t>
  </si>
  <si>
    <t>Память для хранения названий рецептов. Задание 18. Символ 20</t>
  </si>
  <si>
    <t>Память для хранения названий рецептов. Задание 18. Символ 21</t>
  </si>
  <si>
    <t>Память для хранения названий рецептов. Задание 18. Символ 22</t>
  </si>
  <si>
    <t>Память для хранения названий рецептов. Задание 18. Символ 23</t>
  </si>
  <si>
    <t>Память для хранения названий рецептов. Задание 18. Символ 24</t>
  </si>
  <si>
    <t>Память для хранения названий рецептов. Задание 18. Символ 25</t>
  </si>
  <si>
    <t>Память для хранения названий рецептов. Задание 19. Символ 1</t>
  </si>
  <si>
    <t>Память для хранения названий рецептов. Задание 19. Символ 2</t>
  </si>
  <si>
    <t>Память для хранения названий рецептов. Задание 19. Символ 3</t>
  </si>
  <si>
    <t>Память для хранения названий рецептов. Задание 19. Символ 4</t>
  </si>
  <si>
    <t>Память для хранения названий рецептов. Задание 19. Символ 5</t>
  </si>
  <si>
    <t>Память для хранения названий рецептов. Задание 19. Символ 6</t>
  </si>
  <si>
    <t>Память для хранения названий рецептов. Задание 19. Символ 7</t>
  </si>
  <si>
    <t>Память для хранения названий рецептов. Задание 19. Символ 8</t>
  </si>
  <si>
    <t>Память для хранения названий рецептов. Задание 19. Символ 9</t>
  </si>
  <si>
    <t>Память для хранения названий рецептов. Задание 19. Символ 10</t>
  </si>
  <si>
    <t>Память для хранения названий рецептов. Задание 19. Символ 11</t>
  </si>
  <si>
    <t>Память для хранения названий рецептов. Задание 19. Символ 12</t>
  </si>
  <si>
    <t>Память для хранения названий рецептов. Задание 19. Символ 13</t>
  </si>
  <si>
    <t>Память для хранения названий рецептов. Задание 19. Символ 14</t>
  </si>
  <si>
    <t>Память для хранения названий рецептов. Задание 19. Символ 15</t>
  </si>
  <si>
    <t>Память для хранения названий рецептов. Задание 19. Символ 16</t>
  </si>
  <si>
    <t>Память для хранения названий рецептов. Задание 19. Символ 17</t>
  </si>
  <si>
    <t>Память для хранения названий рецептов. Задание 19. Символ 18</t>
  </si>
  <si>
    <t>Память для хранения названий рецептов. Задание 19. Символ 19</t>
  </si>
  <si>
    <t>Память для хранения названий рецептов. Задание 19. Символ 20</t>
  </si>
  <si>
    <t>Память для хранения названий рецептов. Задание 19. Символ 21</t>
  </si>
  <si>
    <t>Память для хранения названий рецептов. Задание 19. Символ 22</t>
  </si>
  <si>
    <t>Память для хранения названий рецептов. Задание 19. Символ 23</t>
  </si>
  <si>
    <t>Память для хранения названий рецептов. Задание 19. Символ 24</t>
  </si>
  <si>
    <t>Память для хранения названий рецептов. Задание 19. Символ 25</t>
  </si>
  <si>
    <t>Память для хранения названий рецептов. Задание 20. Символ 1</t>
  </si>
  <si>
    <t>Память для хранения названий рецептов. Задание 20. Символ 2</t>
  </si>
  <si>
    <t>Память для хранения названий рецептов. Задание 20. Символ 3</t>
  </si>
  <si>
    <t>Память для хранения названий рецептов. Задание 20. Символ 4</t>
  </si>
  <si>
    <t>Память для хранения названий рецептов. Задание 20. Символ 5</t>
  </si>
  <si>
    <t>Память для хранения названий рецептов. Задание 20. Символ 6</t>
  </si>
  <si>
    <t>Память для хранения названий рецептов. Задание 20. Символ 7</t>
  </si>
  <si>
    <t>Память для хранения названий рецептов. Задание 20. Символ 8</t>
  </si>
  <si>
    <t>Память для хранения названий рецептов. Задание 20. Символ 9</t>
  </si>
  <si>
    <t>Память для хранения названий рецептов. Задание 20. Символ 10</t>
  </si>
  <si>
    <t>Память для хранения названий рецептов. Задание 20. Символ 11</t>
  </si>
  <si>
    <t>Память для хранения названий рецептов. Задание 20. Символ 12</t>
  </si>
  <si>
    <t>Память для хранения названий рецептов. Задание 20. Символ 13</t>
  </si>
  <si>
    <t>Память для хранения названий рецептов. Задание 20. Символ 14</t>
  </si>
  <si>
    <t>Память для хранения названий рецептов. Задание 20. Символ 15</t>
  </si>
  <si>
    <t>Память для хранения названий рецептов. Задание 20. Символ 16</t>
  </si>
  <si>
    <t>Память для хранения названий рецептов. Задание 20. Символ 17</t>
  </si>
  <si>
    <t>Память для хранения названий рецептов. Задание 20. Символ 18</t>
  </si>
  <si>
    <t>Память для хранения названий рецептов. Задание 20. Символ 19</t>
  </si>
  <si>
    <t>Память для хранения названий рецептов. Задание 20. Символ 20</t>
  </si>
  <si>
    <t>Память для хранения названий рецептов. Задание 20. Символ 21</t>
  </si>
  <si>
    <t>Память для хранения названий рецептов. Задание 20. Символ 22</t>
  </si>
  <si>
    <t>Память для хранения названий рецептов. Задание 20. Символ 23</t>
  </si>
  <si>
    <t>Память для хранения названий рецептов. Задание 20. Символ 24</t>
  </si>
  <si>
    <t>Память для хранения названий рецептов. Задание 20. Символ 25</t>
  </si>
  <si>
    <t>Память для хранения названий рецептов. Задание 21. Символ 1</t>
  </si>
  <si>
    <t>Память для хранения названий рецептов. Задание 21. Символ 2</t>
  </si>
  <si>
    <t>Память для хранения названий рецептов. Задание 21. Символ 3</t>
  </si>
  <si>
    <t>Память для хранения названий рецептов. Задание 21. Символ 4</t>
  </si>
  <si>
    <t>Память для хранения названий рецептов. Задание 21. Символ 5</t>
  </si>
  <si>
    <t>Память для хранения названий рецептов. Задание 21. Символ 6</t>
  </si>
  <si>
    <t>Память для хранения названий рецептов. Задание 21. Символ 7</t>
  </si>
  <si>
    <t>Память для хранения названий рецептов. Задание 21. Символ 8</t>
  </si>
  <si>
    <t>Память для хранения названий рецептов. Задание 21. Символ 9</t>
  </si>
  <si>
    <t>Память для хранения названий рецептов. Задание 21. Символ 10</t>
  </si>
  <si>
    <t>Память для хранения названий рецептов. Задание 21. Символ 11</t>
  </si>
  <si>
    <t>Память для хранения названий рецептов. Задание 21. Символ 12</t>
  </si>
  <si>
    <t>Память для хранения названий рецептов. Задание 21. Символ 13</t>
  </si>
  <si>
    <t>Память для хранения названий рецептов. Задание 21. Символ 14</t>
  </si>
  <si>
    <t>Память для хранения названий рецептов. Задание 21. Символ 15</t>
  </si>
  <si>
    <t>Память для хранения названий рецептов. Задание 21. Символ 16</t>
  </si>
  <si>
    <t>Память для хранения названий рецептов. Задание 21. Символ 17</t>
  </si>
  <si>
    <t>Память для хранения названий рецептов. Задание 21. Символ 18</t>
  </si>
  <si>
    <t>Память для хранения названий рецептов. Задание 21. Символ 19</t>
  </si>
  <si>
    <t>Память для хранения названий рецептов. Задание 21. Символ 20</t>
  </si>
  <si>
    <t>Память для хранения названий рецептов. Задание 21. Символ 21</t>
  </si>
  <si>
    <t>Память для хранения названий рецептов. Задание 21. Символ 22</t>
  </si>
  <si>
    <t>Память для хранения названий рецептов. Задание 21. Символ 23</t>
  </si>
  <si>
    <t>Память для хранения названий рецептов. Задание 21. Символ 24</t>
  </si>
  <si>
    <t>Память для хранения названий рецептов. Задание 21. Символ 25</t>
  </si>
  <si>
    <t>Память для хранения названий рецептов. Задание 22. Символ 1</t>
  </si>
  <si>
    <t>Память для хранения названий рецептов. Задание 22. Символ 2</t>
  </si>
  <si>
    <t>Память для хранения названий рецептов. Задание 22. Символ 3</t>
  </si>
  <si>
    <t>Память для хранения названий рецептов. Задание 22. Символ 4</t>
  </si>
  <si>
    <t>Память для хранения названий рецептов. Задание 22. Символ 5</t>
  </si>
  <si>
    <t>Память для хранения названий рецептов. Задание 22. Символ 6</t>
  </si>
  <si>
    <t>Память для хранения названий рецептов. Задание 22. Символ 7</t>
  </si>
  <si>
    <t>Память для хранения названий рецептов. Задание 22. Символ 8</t>
  </si>
  <si>
    <t>Память для хранения названий рецептов. Задание 22. Символ 9</t>
  </si>
  <si>
    <t>Память для хранения названий рецептов. Задание 22. Символ 10</t>
  </si>
  <si>
    <t>Память для хранения названий рецептов. Задание 22. Символ 11</t>
  </si>
  <si>
    <t>Память для хранения названий рецептов. Задание 22. Символ 12</t>
  </si>
  <si>
    <t>Память для хранения названий рецептов. Задание 22. Символ 13</t>
  </si>
  <si>
    <t>Память для хранения названий рецептов. Задание 22. Символ 14</t>
  </si>
  <si>
    <t>Память для хранения названий рецептов. Задание 22. Символ 15</t>
  </si>
  <si>
    <t>Память для хранения названий рецептов. Задание 22. Символ 16</t>
  </si>
  <si>
    <t>Память для хранения названий рецептов. Задание 22. Символ 17</t>
  </si>
  <si>
    <t>Память для хранения названий рецептов. Задание 22. Символ 18</t>
  </si>
  <si>
    <t>Память для хранения названий рецептов. Задание 22. Символ 19</t>
  </si>
  <si>
    <t>Память для хранения названий рецептов. Задание 22. Символ 20</t>
  </si>
  <si>
    <t>Память для хранения названий рецептов. Задание 22. Символ 21</t>
  </si>
  <si>
    <t>Память для хранения названий рецептов. Задание 22. Символ 22</t>
  </si>
  <si>
    <t>Память для хранения названий рецептов. Задание 22. Символ 23</t>
  </si>
  <si>
    <t>Память для хранения названий рецептов. Задание 22. Символ 24</t>
  </si>
  <si>
    <t>Память для хранения названий рецептов. Задание 22. Символ 25</t>
  </si>
  <si>
    <t>Память для хранения названий рецептов. Задание 23. Символ 1</t>
  </si>
  <si>
    <t>Память для хранения названий рецептов. Задание 23. Символ 2</t>
  </si>
  <si>
    <t>Память для хранения названий рецептов. Задание 23. Символ 3</t>
  </si>
  <si>
    <t>Память для хранения названий рецептов. Задание 23. Символ 4</t>
  </si>
  <si>
    <t>Память для хранения названий рецептов. Задание 23. Символ 5</t>
  </si>
  <si>
    <t>Память для хранения названий рецептов. Задание 23. Символ 6</t>
  </si>
  <si>
    <t>Память для хранения названий рецептов. Задание 23. Символ 7</t>
  </si>
  <si>
    <t>Память для хранения названий рецептов. Задание 23. Символ 8</t>
  </si>
  <si>
    <t>Память для хранения названий рецептов. Задание 23. Символ 9</t>
  </si>
  <si>
    <t>Память для хранения названий рецептов. Задание 23. Символ 10</t>
  </si>
  <si>
    <t>Память для хранения названий рецептов. Задание 23. Символ 11</t>
  </si>
  <si>
    <t>Память для хранения названий рецептов. Задание 23. Символ 12</t>
  </si>
  <si>
    <t>Память для хранения названий рецептов. Задание 23. Символ 13</t>
  </si>
  <si>
    <t>Память для хранения названий рецептов. Задание 23. Символ 14</t>
  </si>
  <si>
    <t>Память для хранения названий рецептов. Задание 23. Символ 15</t>
  </si>
  <si>
    <t>Память для хранения названий рецептов. Задание 23. Символ 16</t>
  </si>
  <si>
    <t>Память для хранения названий рецептов. Задание 23. Символ 17</t>
  </si>
  <si>
    <t>Память для хранения названий рецептов. Задание 23. Символ 18</t>
  </si>
  <si>
    <t>Память для хранения названий рецептов. Задание 23. Символ 19</t>
  </si>
  <si>
    <t>Память для хранения названий рецептов. Задание 23. Символ 20</t>
  </si>
  <si>
    <t>Память для хранения названий рецептов. Задание 23. Символ 21</t>
  </si>
  <si>
    <t>Память для хранения названий рецептов. Задание 23. Символ 22</t>
  </si>
  <si>
    <t>Память для хранения названий рецептов. Задание 23. Символ 23</t>
  </si>
  <si>
    <t>Память для хранения названий рецептов. Задание 23. Символ 24</t>
  </si>
  <si>
    <t>Память для хранения названий рецептов. Задание 23. Символ 25</t>
  </si>
  <si>
    <t>Память для хранения названий рецептов. Задание 24. Символ 1</t>
  </si>
  <si>
    <t>Память для хранения названий рецептов. Задание 24. Символ 2</t>
  </si>
  <si>
    <t>Память для хранения названий рецептов. Задание 24. Символ 3</t>
  </si>
  <si>
    <t>Память для хранения названий рецептов. Задание 24. Символ 4</t>
  </si>
  <si>
    <t>Память для хранения названий рецептов. Задание 24. Символ 5</t>
  </si>
  <si>
    <t>Память для хранения названий рецептов. Задание 24. Символ 6</t>
  </si>
  <si>
    <t>Память для хранения названий рецептов. Задание 24. Символ 7</t>
  </si>
  <si>
    <t>Память для хранения названий рецептов. Задание 24. Символ 8</t>
  </si>
  <si>
    <t>Память для хранения названий рецептов. Задание 24. Символ 9</t>
  </si>
  <si>
    <t>Память для хранения названий рецептов. Задание 24. Символ 10</t>
  </si>
  <si>
    <t>Память для хранения названий рецептов. Задание 24. Символ 11</t>
  </si>
  <si>
    <t>Память для хранения названий рецептов. Задание 24. Символ 12</t>
  </si>
  <si>
    <t>Память для хранения названий рецептов. Задание 24. Символ 13</t>
  </si>
  <si>
    <t>Память для хранения названий рецептов. Задание 24. Символ 14</t>
  </si>
  <si>
    <t>Память для хранения названий рецептов. Задание 24. Символ 15</t>
  </si>
  <si>
    <t>Память для хранения названий рецептов. Задание 24. Символ 16</t>
  </si>
  <si>
    <t>Память для хранения названий рецептов. Задание 24. Символ 17</t>
  </si>
  <si>
    <t>Память для хранения названий рецептов. Задание 24. Символ 18</t>
  </si>
  <si>
    <t>Память для хранения названий рецептов. Задание 24. Символ 19</t>
  </si>
  <si>
    <t>Память для хранения названий рецептов. Задание 24. Символ 20</t>
  </si>
  <si>
    <t>Память для хранения названий рецептов. Задание 24. Символ 21</t>
  </si>
  <si>
    <t>Память для хранения названий рецептов. Задание 24. Символ 22</t>
  </si>
  <si>
    <t>Память для хранения названий рецептов. Задание 24. Символ 23</t>
  </si>
  <si>
    <t>Память для хранения названий рецептов. Задание 24. Символ 24</t>
  </si>
  <si>
    <t>Память для хранения названий рецептов. Задание 24. Символ 25</t>
  </si>
  <si>
    <t>Память для хранения названий рецептов. Задание 25. Символ 1</t>
  </si>
  <si>
    <t>Память для хранения названий рецептов. Задание 25. Символ 2</t>
  </si>
  <si>
    <t>Память для хранения названий рецептов. Задание 25. Символ 3</t>
  </si>
  <si>
    <t>Память для хранения названий рецептов. Задание 25. Символ 4</t>
  </si>
  <si>
    <t>Память для хранения названий рецептов. Задание 25. Символ 5</t>
  </si>
  <si>
    <t>Память для хранения названий рецептов. Задание 25. Символ 6</t>
  </si>
  <si>
    <t>Память для хранения названий рецептов. Задание 25. Символ 7</t>
  </si>
  <si>
    <t>Память для хранения названий рецептов. Задание 25. Символ 8</t>
  </si>
  <si>
    <t>Память для хранения названий рецептов. Задание 25. Символ 9</t>
  </si>
  <si>
    <t>Память для хранения названий рецептов. Задание 25. Символ 10</t>
  </si>
  <si>
    <t>Память для хранения названий рецептов. Задание 25. Символ 11</t>
  </si>
  <si>
    <t>Память для хранения названий рецептов. Задание 25. Символ 12</t>
  </si>
  <si>
    <t>Память для хранения названий рецептов. Задание 25. Символ 13</t>
  </si>
  <si>
    <t>Память для хранения названий рецептов. Задание 25. Символ 14</t>
  </si>
  <si>
    <t>Память для хранения названий рецептов. Задание 25. Символ 15</t>
  </si>
  <si>
    <t>Память для хранения названий рецептов. Задание 25. Символ 16</t>
  </si>
  <si>
    <t>Память для хранения названий рецептов. Задание 25. Символ 17</t>
  </si>
  <si>
    <t>Память для хранения названий рецептов. Задание 25. Символ 18</t>
  </si>
  <si>
    <t>Память для хранения названий рецептов. Задание 25. Символ 19</t>
  </si>
  <si>
    <t>Память для хранения названий рецептов. Задание 25. Символ 20</t>
  </si>
  <si>
    <t>Память для хранения названий рецептов. Задание 25. Символ 21</t>
  </si>
  <si>
    <t>Память для хранения названий рецептов. Задание 25. Символ 22</t>
  </si>
  <si>
    <t>Память для хранения названий рецептов. Задание 25. Символ 23</t>
  </si>
  <si>
    <t>Память для хранения названий рецептов. Задание 25. Символ 24</t>
  </si>
  <si>
    <t>Память для хранения названий рецептов. Задание 25. Символ 25</t>
  </si>
  <si>
    <t>Память для хранения названий рецептов. Задание 26. Символ 1</t>
  </si>
  <si>
    <t>Память для хранения названий рецептов. Задание 26. Символ 2</t>
  </si>
  <si>
    <t>Память для хранения названий рецептов. Задание 26. Символ 3</t>
  </si>
  <si>
    <t>Память для хранения названий рецептов. Задание 26. Символ 4</t>
  </si>
  <si>
    <t>Память для хранения названий рецептов. Задание 26. Символ 5</t>
  </si>
  <si>
    <t>Память для хранения названий рецептов. Задание 26. Символ 6</t>
  </si>
  <si>
    <t>Память для хранения названий рецептов. Задание 26. Символ 7</t>
  </si>
  <si>
    <t>Память для хранения названий рецептов. Задание 26. Символ 8</t>
  </si>
  <si>
    <t>Память для хранения названий рецептов. Задание 26. Символ 9</t>
  </si>
  <si>
    <t>Память для хранения названий рецептов. Задание 26. Символ 10</t>
  </si>
  <si>
    <t>Память для хранения названий рецептов. Задание 26. Символ 11</t>
  </si>
  <si>
    <t>Память для хранения названий рецептов. Задание 26. Символ 12</t>
  </si>
  <si>
    <t>Память для хранения названий рецептов. Задание 26. Символ 13</t>
  </si>
  <si>
    <t>Память для хранения названий рецептов. Задание 26. Символ 14</t>
  </si>
  <si>
    <t>Память для хранения названий рецептов. Задание 26. Символ 15</t>
  </si>
  <si>
    <t>Память для хранения названий рецептов. Задание 26. Символ 16</t>
  </si>
  <si>
    <t>Память для хранения названий рецептов. Задание 26. Символ 17</t>
  </si>
  <si>
    <t>Память для хранения названий рецептов. Задание 26. Символ 18</t>
  </si>
  <si>
    <t>Память для хранения названий рецептов. Задание 26. Символ 19</t>
  </si>
  <si>
    <t>Память для хранения названий рецептов. Задание 26. Символ 20</t>
  </si>
  <si>
    <t>Память для хранения названий рецептов. Задание 26. Символ 21</t>
  </si>
  <si>
    <t>Память для хранения названий рецептов. Задание 26. Символ 22</t>
  </si>
  <si>
    <t>Память для хранения названий рецептов. Задание 26. Символ 23</t>
  </si>
  <si>
    <t>Память для хранения названий рецептов. Задание 26. Символ 24</t>
  </si>
  <si>
    <t>Память для хранения названий рецептов. Задание 26. Символ 25</t>
  </si>
  <si>
    <t>Память для хранения названий рецептов. Задание 27. Символ 1</t>
  </si>
  <si>
    <t>Память для хранения названий рецептов. Задание 27. Символ 2</t>
  </si>
  <si>
    <t>Память для хранения названий рецептов. Задание 27. Символ 3</t>
  </si>
  <si>
    <t>Память для хранения названий рецептов. Задание 27. Символ 4</t>
  </si>
  <si>
    <t>Память для хранения названий рецептов. Задание 27. Символ 5</t>
  </si>
  <si>
    <t>Память для хранения названий рецептов. Задание 27. Символ 6</t>
  </si>
  <si>
    <t>Память для хранения названий рецептов. Задание 27. Символ 7</t>
  </si>
  <si>
    <t>Память для хранения названий рецептов. Задание 27. Символ 8</t>
  </si>
  <si>
    <t>Память для хранения названий рецептов. Задание 27. Символ 9</t>
  </si>
  <si>
    <t>Память для хранения названий рецептов. Задание 27. Символ 10</t>
  </si>
  <si>
    <t>Память для хранения названий рецептов. Задание 27. Символ 11</t>
  </si>
  <si>
    <t>Память для хранения названий рецептов. Задание 27. Символ 12</t>
  </si>
  <si>
    <t>Память для хранения названий рецептов. Задание 27. Символ 13</t>
  </si>
  <si>
    <t>Память для хранения названий рецептов. Задание 27. Символ 14</t>
  </si>
  <si>
    <t>Память для хранения названий рецептов. Задание 27. Символ 15</t>
  </si>
  <si>
    <t>Память для хранения названий рецептов. Задание 27. Символ 16</t>
  </si>
  <si>
    <t>Память для хранения названий рецептов. Задание 27. Символ 17</t>
  </si>
  <si>
    <t>Память для хранения названий рецептов. Задание 27. Символ 18</t>
  </si>
  <si>
    <t>Память для хранения названий рецептов. Задание 27. Символ 19</t>
  </si>
  <si>
    <t>Память для хранения названий рецептов. Задание 27. Символ 20</t>
  </si>
  <si>
    <t>Память для хранения названий рецептов. Задание 27. Символ 21</t>
  </si>
  <si>
    <t>Память для хранения названий рецептов. Задание 27. Символ 22</t>
  </si>
  <si>
    <t>Память для хранения названий рецептов. Задание 27. Символ 23</t>
  </si>
  <si>
    <t>Память для хранения названий рецептов. Задание 27. Символ 24</t>
  </si>
  <si>
    <t>Память для хранения названий рецептов. Задание 27. Символ 25</t>
  </si>
  <si>
    <t>Память для хранения названий рецептов. Задание 28. Символ 1</t>
  </si>
  <si>
    <t>Память для хранения названий рецептов. Задание 28. Символ 2</t>
  </si>
  <si>
    <t>Память для хранения названий рецептов. Задание 28. Символ 3</t>
  </si>
  <si>
    <t>Память для хранения названий рецептов. Задание 28. Символ 4</t>
  </si>
  <si>
    <t>Память для хранения названий рецептов. Задание 28. Символ 5</t>
  </si>
  <si>
    <t>Память для хранения названий рецептов. Задание 28. Символ 6</t>
  </si>
  <si>
    <t>Память для хранения названий рецептов. Задание 28. Символ 7</t>
  </si>
  <si>
    <t>Память для хранения названий рецептов. Задание 28. Символ 8</t>
  </si>
  <si>
    <t>Память для хранения названий рецептов. Задание 28. Символ 9</t>
  </si>
  <si>
    <t>Память для хранения названий рецептов. Задание 28. Символ 10</t>
  </si>
  <si>
    <t>Память для хранения названий рецептов. Задание 28. Символ 11</t>
  </si>
  <si>
    <t>Память для хранения названий рецептов. Задание 28. Символ 12</t>
  </si>
  <si>
    <t>Память для хранения названий рецептов. Задание 28. Символ 13</t>
  </si>
  <si>
    <t>Память для хранения названий рецептов. Задание 28. Символ 14</t>
  </si>
  <si>
    <t>Память для хранения названий рецептов. Задание 28. Символ 15</t>
  </si>
  <si>
    <t>Память для хранения названий рецептов. Задание 28. Символ 16</t>
  </si>
  <si>
    <t>Память для хранения названий рецептов. Задание 28. Символ 17</t>
  </si>
  <si>
    <t>Память для хранения названий рецептов. Задание 28. Символ 18</t>
  </si>
  <si>
    <t>Память для хранения названий рецептов. Задание 28. Символ 19</t>
  </si>
  <si>
    <t>Память для хранения названий рецептов. Задание 28. Символ 20</t>
  </si>
  <si>
    <t>Память для хранения названий рецептов. Задание 28. Символ 21</t>
  </si>
  <si>
    <t>Память для хранения названий рецептов. Задание 28. Символ 22</t>
  </si>
  <si>
    <t>Память для хранения названий рецептов. Задание 28. Символ 23</t>
  </si>
  <si>
    <t>Память для хранения названий рецептов. Задание 28. Символ 24</t>
  </si>
  <si>
    <t>Память для хранения названий рецептов. Задание 28. Символ 25</t>
  </si>
  <si>
    <t>Память для хранения названий рецептов. Задание 29. Символ 1</t>
  </si>
  <si>
    <t>Память для хранения названий рецептов. Задание 29. Символ 2</t>
  </si>
  <si>
    <t>Память для хранения названий рецептов. Задание 29. Символ 3</t>
  </si>
  <si>
    <t>Память для хранения названий рецептов. Задание 29. Символ 4</t>
  </si>
  <si>
    <t>Память для хранения названий рецептов. Задание 29. Символ 5</t>
  </si>
  <si>
    <t>Память для хранения названий рецептов. Задание 29. Символ 6</t>
  </si>
  <si>
    <t>Память для хранения названий рецептов. Задание 29. Символ 7</t>
  </si>
  <si>
    <t>Память для хранения названий рецептов. Задание 29. Символ 8</t>
  </si>
  <si>
    <t>Память для хранения названий рецептов. Задание 29. Символ 9</t>
  </si>
  <si>
    <t>Память для хранения названий рецептов. Задание 29. Символ 10</t>
  </si>
  <si>
    <t>Память для хранения названий рецептов. Задание 29. Символ 11</t>
  </si>
  <si>
    <t>Память для хранения названий рецептов. Задание 29. Символ 12</t>
  </si>
  <si>
    <t>Память для хранения названий рецептов. Задание 29. Символ 13</t>
  </si>
  <si>
    <t>Память для хранения названий рецептов. Задание 29. Символ 14</t>
  </si>
  <si>
    <t>Память для хранения названий рецептов. Задание 29. Символ 15</t>
  </si>
  <si>
    <t>Память для хранения названий рецептов. Задание 29. Символ 16</t>
  </si>
  <si>
    <t>Память для хранения названий рецептов. Задание 29. Символ 17</t>
  </si>
  <si>
    <t>Память для хранения названий рецептов. Задание 29. Символ 18</t>
  </si>
  <si>
    <t>Память для хранения названий рецептов. Задание 29. Символ 19</t>
  </si>
  <si>
    <t>Память для хранения названий рецептов. Задание 29. Символ 20</t>
  </si>
  <si>
    <t>Память для хранения названий рецептов. Задание 29. Символ 21</t>
  </si>
  <si>
    <t>Память для хранения названий рецептов. Задание 29. Символ 22</t>
  </si>
  <si>
    <t>Память для хранения названий рецептов. Задание 29. Символ 23</t>
  </si>
  <si>
    <t>Память для хранения названий рецептов. Задание 29. Символ 24</t>
  </si>
  <si>
    <t>Память для хранения названий рецептов. Задание 29. Символ 25</t>
  </si>
  <si>
    <t>Память для хранения названий рецептов. Задание 30. Символ 1</t>
  </si>
  <si>
    <t>Память для хранения названий рецептов. Задание 30. Символ 2</t>
  </si>
  <si>
    <t>Память для хранения названий рецептов. Задание 30. Символ 3</t>
  </si>
  <si>
    <t>Память для хранения названий рецептов. Задание 30. Символ 4</t>
  </si>
  <si>
    <t>Память для хранения названий рецептов. Задание 30. Символ 5</t>
  </si>
  <si>
    <t>Память для хранения названий рецептов. Задание 30. Символ 6</t>
  </si>
  <si>
    <t>Память для хранения названий рецептов. Задание 30. Символ 7</t>
  </si>
  <si>
    <t>Память для хранения названий рецептов. Задание 30. Символ 8</t>
  </si>
  <si>
    <t>Память для хранения названий рецептов. Задание 30. Символ 9</t>
  </si>
  <si>
    <t>Память для хранения названий рецептов. Задание 30. Символ 10</t>
  </si>
  <si>
    <t>Память для хранения названий рецептов. Задание 30. Символ 11</t>
  </si>
  <si>
    <t>Память для хранения названий рецептов. Задание 30. Символ 12</t>
  </si>
  <si>
    <t>Память для хранения названий рецептов. Задание 30. Символ 13</t>
  </si>
  <si>
    <t>Память для хранения названий рецептов. Задание 30. Символ 14</t>
  </si>
  <si>
    <t>Память для хранения названий рецептов. Задание 30. Символ 15</t>
  </si>
  <si>
    <t>Память для хранения названий рецептов. Задание 30. Символ 16</t>
  </si>
  <si>
    <t>Память для хранения названий рецептов. Задание 30. Символ 17</t>
  </si>
  <si>
    <t>Память для хранения названий рецептов. Задание 30. Символ 18</t>
  </si>
  <si>
    <t>Память для хранения названий рецептов. Задание 30. Символ 19</t>
  </si>
  <si>
    <t>Память для хранения названий рецептов. Задание 30. Символ 20</t>
  </si>
  <si>
    <t>Память для хранения названий рецептов. Задание 30. Символ 21</t>
  </si>
  <si>
    <t>Память для хранения названий рецептов. Задание 30. Символ 22</t>
  </si>
  <si>
    <t>Память для хранения названий рецептов. Задание 30. Символ 23</t>
  </si>
  <si>
    <t>Память для хранения названий рецептов. Задание 30. Символ 24</t>
  </si>
  <si>
    <t>Память для хранения названий рецептов. Задание 30. Символ 25</t>
  </si>
  <si>
    <t>Память для хранения названий рецептов. Задание 31. Символ 1</t>
  </si>
  <si>
    <t>Память для хранения названий рецептов. Задание 31. Символ 2</t>
  </si>
  <si>
    <t>Память для хранения названий рецептов. Задание 31. Символ 3</t>
  </si>
  <si>
    <t>Память для хранения названий рецептов. Задание 31. Символ 4</t>
  </si>
  <si>
    <t>Память для хранения названий рецептов. Задание 31. Символ 5</t>
  </si>
  <si>
    <t>Память для хранения названий рецептов. Задание 31. Символ 6</t>
  </si>
  <si>
    <t>Память для хранения названий рецептов. Задание 31. Символ 7</t>
  </si>
  <si>
    <t>Память для хранения названий рецептов. Задание 31. Символ 8</t>
  </si>
  <si>
    <t>Память для хранения названий рецептов. Задание 31. Символ 9</t>
  </si>
  <si>
    <t>Память для хранения названий рецептов. Задание 31. Символ 10</t>
  </si>
  <si>
    <t>Память для хранения названий рецептов. Задание 31. Символ 11</t>
  </si>
  <si>
    <t>Память для хранения названий рецептов. Задание 31. Символ 12</t>
  </si>
  <si>
    <t>Память для хранения названий рецептов. Задание 31. Символ 13</t>
  </si>
  <si>
    <t>Память для хранения названий рецептов. Задание 31. Символ 14</t>
  </si>
  <si>
    <t>Память для хранения названий рецептов. Задание 31. Символ 15</t>
  </si>
  <si>
    <t>Память для хранения названий рецептов. Задание 31. Символ 16</t>
  </si>
  <si>
    <t>Память для хранения названий рецептов. Задание 31. Символ 17</t>
  </si>
  <si>
    <t>Память для хранения названий рецептов. Задание 31. Символ 18</t>
  </si>
  <si>
    <t>Память для хранения названий рецептов. Задание 31. Символ 19</t>
  </si>
  <si>
    <t>Память для хранения названий рецептов. Задание 31. Символ 20</t>
  </si>
  <si>
    <t>Память для хранения названий рецептов. Задание 31. Символ 21</t>
  </si>
  <si>
    <t>Память для хранения названий рецептов. Задание 31. Символ 22</t>
  </si>
  <si>
    <t>Память для хранения названий рецептов. Задание 31. Символ 23</t>
  </si>
  <si>
    <t>Память для хранения названий рецептов. Задание 31. Символ 24</t>
  </si>
  <si>
    <t>Память для хранения названий рецептов. Задание 31. Символ 25</t>
  </si>
  <si>
    <t>Память для хранения названий рецептов. Задание 32. Символ 1</t>
  </si>
  <si>
    <t>Память для хранения названий рецептов. Задание 32. Символ 2</t>
  </si>
  <si>
    <t>Память для хранения названий рецептов. Задание 32. Символ 3</t>
  </si>
  <si>
    <t>Память для хранения названий рецептов. Задание 32. Символ 4</t>
  </si>
  <si>
    <t>Память для хранения названий рецептов. Задание 32. Символ 5</t>
  </si>
  <si>
    <t>Память для хранения названий рецептов. Задание 32. Символ 6</t>
  </si>
  <si>
    <t>Память для хранения названий рецептов. Задание 32. Символ 7</t>
  </si>
  <si>
    <t>Память для хранения названий рецептов. Задание 32. Символ 8</t>
  </si>
  <si>
    <t>Память для хранения названий рецептов. Задание 32. Символ 9</t>
  </si>
  <si>
    <t>Память для хранения названий рецептов. Задание 32. Символ 10</t>
  </si>
  <si>
    <t>Память для хранения названий рецептов. Задание 32. Символ 11</t>
  </si>
  <si>
    <t>Память для хранения названий рецептов. Задание 32. Символ 12</t>
  </si>
  <si>
    <t>Память для хранения названий рецептов. Задание 32. Символ 13</t>
  </si>
  <si>
    <t>Память для хранения названий рецептов. Задание 32. Символ 14</t>
  </si>
  <si>
    <t>Память для хранения названий рецептов. Задание 32. Символ 15</t>
  </si>
  <si>
    <t>Память для хранения названий рецептов. Задание 32. Символ 16</t>
  </si>
  <si>
    <t>Память для хранения названий рецептов. Задание 32. Символ 17</t>
  </si>
  <si>
    <t>Память для хранения названий рецептов. Задание 32. Символ 18</t>
  </si>
  <si>
    <t>Память для хранения названий рецептов. Задание 32. Символ 19</t>
  </si>
  <si>
    <t>Память для хранения названий рецептов. Задание 32. Символ 20</t>
  </si>
  <si>
    <t>Память для хранения названий рецептов. Задание 32. Символ 21</t>
  </si>
  <si>
    <t>Память для хранения названий рецептов. Задание 32. Символ 22</t>
  </si>
  <si>
    <t>Память для хранения названий рецептов. Задание 32. Символ 23</t>
  </si>
  <si>
    <t>Память для хранения названий рецептов. Задание 32. Символ 24</t>
  </si>
  <si>
    <t>Память для хранения названий рецептов. Задание 32. Символ 25</t>
  </si>
  <si>
    <t>Память для хранения названий рецептов. Задание 33. Символ 1</t>
  </si>
  <si>
    <t>Память для хранения названий рецептов. Задание 33. Символ 2</t>
  </si>
  <si>
    <t>Память для хранения названий рецептов. Задание 33. Символ 3</t>
  </si>
  <si>
    <t>Память для хранения названий рецептов. Задание 33. Символ 4</t>
  </si>
  <si>
    <t>Память для хранения названий рецептов. Задание 33. Символ 5</t>
  </si>
  <si>
    <t>Память для хранения названий рецептов. Задание 33. Символ 6</t>
  </si>
  <si>
    <t>Память для хранения названий рецептов. Задание 33. Символ 7</t>
  </si>
  <si>
    <t>Память для хранения названий рецептов. Задание 33. Символ 8</t>
  </si>
  <si>
    <t>Память для хранения названий рецептов. Задание 33. Символ 9</t>
  </si>
  <si>
    <t>Память для хранения названий рецептов. Задание 33. Символ 10</t>
  </si>
  <si>
    <t>Память для хранения названий рецептов. Задание 33. Символ 11</t>
  </si>
  <si>
    <t>Память для хранения названий рецептов. Задание 33. Символ 12</t>
  </si>
  <si>
    <t>Память для хранения названий рецептов. Задание 33. Символ 13</t>
  </si>
  <si>
    <t>Память для хранения названий рецептов. Задание 33. Символ 14</t>
  </si>
  <si>
    <t>Память для хранения названий рецептов. Задание 33. Символ 15</t>
  </si>
  <si>
    <t>Память для хранения названий рецептов. Задание 33. Символ 16</t>
  </si>
  <si>
    <t>Память для хранения названий рецептов. Задание 33. Символ 17</t>
  </si>
  <si>
    <t>Память для хранения названий рецептов. Задание 33. Символ 18</t>
  </si>
  <si>
    <t>Память для хранения названий рецептов. Задание 33. Символ 19</t>
  </si>
  <si>
    <t>Память для хранения названий рецептов. Задание 33. Символ 20</t>
  </si>
  <si>
    <t>Память для хранения названий рецептов. Задание 33. Символ 21</t>
  </si>
  <si>
    <t>Память для хранения названий рецептов. Задание 33. Символ 22</t>
  </si>
  <si>
    <t>Память для хранения названий рецептов. Задание 33. Символ 23</t>
  </si>
  <si>
    <t>Память для хранения названий рецептов. Задание 33. Символ 24</t>
  </si>
  <si>
    <t>Память для хранения названий рецептов. Задание 33. Символ 25</t>
  </si>
  <si>
    <t>Память для хранения названий рецептов. Задание 34. Символ 1</t>
  </si>
  <si>
    <t>Память для хранения названий рецептов. Задание 34. Символ 2</t>
  </si>
  <si>
    <t>Память для хранения названий рецептов. Задание 34. Символ 3</t>
  </si>
  <si>
    <t>Память для хранения названий рецептов. Задание 34. Символ 4</t>
  </si>
  <si>
    <t>Память для хранения названий рецептов. Задание 34. Символ 5</t>
  </si>
  <si>
    <t>Память для хранения названий рецептов. Задание 34. Символ 6</t>
  </si>
  <si>
    <t>Память для хранения названий рецептов. Задание 34. Символ 7</t>
  </si>
  <si>
    <t>Память для хранения названий рецептов. Задание 34. Символ 8</t>
  </si>
  <si>
    <t>Память для хранения названий рецептов. Задание 34. Символ 9</t>
  </si>
  <si>
    <t>Память для хранения названий рецептов. Задание 34. Символ 10</t>
  </si>
  <si>
    <t>Память для хранения названий рецептов. Задание 34. Символ 11</t>
  </si>
  <si>
    <t>Память для хранения названий рецептов. Задание 34. Символ 12</t>
  </si>
  <si>
    <t>Память для хранения названий рецептов. Задание 34. Символ 13</t>
  </si>
  <si>
    <t>Память для хранения названий рецептов. Задание 34. Символ 14</t>
  </si>
  <si>
    <t>Память для хранения названий рецептов. Задание 34. Символ 15</t>
  </si>
  <si>
    <t>Память для хранения названий рецептов. Задание 34. Символ 16</t>
  </si>
  <si>
    <t>Память для хранения названий рецептов. Задание 34. Символ 17</t>
  </si>
  <si>
    <t>Память для хранения названий рецептов. Задание 34. Символ 18</t>
  </si>
  <si>
    <t>Память для хранения названий рецептов. Задание 34. Символ 19</t>
  </si>
  <si>
    <t>Память для хранения названий рецептов. Задание 34. Символ 20</t>
  </si>
  <si>
    <t>Память для хранения названий рецептов. Задание 34. Символ 21</t>
  </si>
  <si>
    <t>Память для хранения названий рецептов. Задание 34. Символ 22</t>
  </si>
  <si>
    <t>Память для хранения названий рецептов. Задание 34. Символ 23</t>
  </si>
  <si>
    <t>Память для хранения названий рецептов. Задание 34. Символ 24</t>
  </si>
  <si>
    <t>Память для хранения названий рецептов. Задание 34. Символ 25</t>
  </si>
  <si>
    <t>Память для хранения названий рецептов. Задание 35. Символ 1</t>
  </si>
  <si>
    <t>Память для хранения названий рецептов. Задание 35. Символ 2</t>
  </si>
  <si>
    <t>Память для хранения названий рецептов. Задание 35. Символ 3</t>
  </si>
  <si>
    <t>Память для хранения названий рецептов. Задание 35. Символ 4</t>
  </si>
  <si>
    <t>Память для хранения названий рецептов. Задание 35. Символ 5</t>
  </si>
  <si>
    <t>Память для хранения названий рецептов. Задание 35. Символ 6</t>
  </si>
  <si>
    <t>Память для хранения названий рецептов. Задание 35. Символ 7</t>
  </si>
  <si>
    <t>Память для хранения названий рецептов. Задание 35. Символ 8</t>
  </si>
  <si>
    <t>Память для хранения названий рецептов. Задание 35. Символ 9</t>
  </si>
  <si>
    <t>Память для хранения названий рецептов. Задание 35. Символ 10</t>
  </si>
  <si>
    <t>Память для хранения названий рецептов. Задание 35. Символ 11</t>
  </si>
  <si>
    <t>Память для хранения названий рецептов. Задание 35. Символ 12</t>
  </si>
  <si>
    <t>Память для хранения названий рецептов. Задание 35. Символ 13</t>
  </si>
  <si>
    <t>Память для хранения названий рецептов. Задание 35. Символ 14</t>
  </si>
  <si>
    <t>Память для хранения названий рецептов. Задание 35. Символ 15</t>
  </si>
  <si>
    <t>Память для хранения названий рецептов. Задание 35. Символ 16</t>
  </si>
  <si>
    <t>Память для хранения названий рецептов. Задание 35. Символ 17</t>
  </si>
  <si>
    <t>Память для хранения названий рецептов. Задание 35. Символ 18</t>
  </si>
  <si>
    <t>Память для хранения названий рецептов. Задание 35. Символ 19</t>
  </si>
  <si>
    <t>Память для хранения названий рецептов. Задание 35. Символ 20</t>
  </si>
  <si>
    <t>Память для хранения названий рецептов. Задание 35. Символ 21</t>
  </si>
  <si>
    <t>Память для хранения названий рецептов. Задание 35. Символ 22</t>
  </si>
  <si>
    <t>Память для хранения названий рецептов. Задание 35. Символ 23</t>
  </si>
  <si>
    <t>Память для хранения названий рецептов. Задание 35. Символ 24</t>
  </si>
  <si>
    <t>Память для хранения названий рецептов. Задание 35. Символ 25</t>
  </si>
  <si>
    <t>Память для хранения названий рецептов. Задание 36. Символ 1</t>
  </si>
  <si>
    <t>Память для хранения названий рецептов. Задание 36. Символ 2</t>
  </si>
  <si>
    <t>Память для хранения названий рецептов. Задание 36. Символ 3</t>
  </si>
  <si>
    <t>Память для хранения названий рецептов. Задание 36. Символ 4</t>
  </si>
  <si>
    <t>Память для хранения названий рецептов. Задание 36. Символ 5</t>
  </si>
  <si>
    <t>Память для хранения названий рецептов. Задание 36. Символ 6</t>
  </si>
  <si>
    <t>Память для хранения названий рецептов. Задание 36. Символ 7</t>
  </si>
  <si>
    <t>Память для хранения названий рецептов. Задание 36. Символ 8</t>
  </si>
  <si>
    <t>Память для хранения названий рецептов. Задание 36. Символ 9</t>
  </si>
  <si>
    <t>Память для хранения названий рецептов. Задание 36. Символ 10</t>
  </si>
  <si>
    <t>Память для хранения названий рецептов. Задание 36. Символ 11</t>
  </si>
  <si>
    <t>Память для хранения названий рецептов. Задание 36. Символ 12</t>
  </si>
  <si>
    <t>Память для хранения названий рецептов. Задание 36. Символ 13</t>
  </si>
  <si>
    <t>Память для хранения названий рецептов. Задание 36. Символ 14</t>
  </si>
  <si>
    <t>Память для хранения названий рецептов. Задание 36. Символ 15</t>
  </si>
  <si>
    <t>Память для хранения названий рецептов. Задание 36. Символ 16</t>
  </si>
  <si>
    <t>Память для хранения названий рецептов. Задание 36. Символ 17</t>
  </si>
  <si>
    <t>Память для хранения названий рецептов. Задание 36. Символ 18</t>
  </si>
  <si>
    <t>Память для хранения названий рецептов. Задание 36. Символ 19</t>
  </si>
  <si>
    <t>Память для хранения названий рецептов. Задание 36. Символ 20</t>
  </si>
  <si>
    <t>Память для хранения названий рецептов. Задание 36. Символ 21</t>
  </si>
  <si>
    <t>Память для хранения названий рецептов. Задание 36. Символ 22</t>
  </si>
  <si>
    <t>Память для хранения названий рецептов. Задание 36. Символ 23</t>
  </si>
  <si>
    <t>Память для хранения названий рецептов. Задание 36. Символ 24</t>
  </si>
  <si>
    <t>Память для хранения названий рецептов. Задание 36. Символ 25</t>
  </si>
  <si>
    <t>Память для хранения названий рецептов. Задание 37. Символ 1</t>
  </si>
  <si>
    <t>Память для хранения названий рецептов. Задание 37. Символ 2</t>
  </si>
  <si>
    <t>Память для хранения названий рецептов. Задание 37. Символ 3</t>
  </si>
  <si>
    <t>Память для хранения названий рецептов. Задание 37. Символ 4</t>
  </si>
  <si>
    <t>Память для хранения названий рецептов. Задание 37. Символ 5</t>
  </si>
  <si>
    <t>Память для хранения названий рецептов. Задание 37. Символ 6</t>
  </si>
  <si>
    <t>Память для хранения названий рецептов. Задание 37. Символ 7</t>
  </si>
  <si>
    <t>Память для хранения названий рецептов. Задание 37. Символ 8</t>
  </si>
  <si>
    <t>Память для хранения названий рецептов. Задание 37. Символ 9</t>
  </si>
  <si>
    <t>Память для хранения названий рецептов. Задание 37. Символ 10</t>
  </si>
  <si>
    <t>Память для хранения названий рецептов. Задание 37. Символ 11</t>
  </si>
  <si>
    <t>Память для хранения названий рецептов. Задание 37. Символ 12</t>
  </si>
  <si>
    <t>Память для хранения названий рецептов. Задание 37. Символ 13</t>
  </si>
  <si>
    <t>Память для хранения названий рецептов. Задание 37. Символ 14</t>
  </si>
  <si>
    <t>Память для хранения названий рецептов. Задание 37. Символ 15</t>
  </si>
  <si>
    <t>Память для хранения названий рецептов. Задание 37. Символ 16</t>
  </si>
  <si>
    <t>Память для хранения названий рецептов. Задание 37. Символ 17</t>
  </si>
  <si>
    <t>Память для хранения названий рецептов. Задание 37. Символ 18</t>
  </si>
  <si>
    <t>Память для хранения названий рецептов. Задание 37. Символ 19</t>
  </si>
  <si>
    <t>Память для хранения названий рецептов. Задание 37. Символ 20</t>
  </si>
  <si>
    <t>Память для хранения названий рецептов. Задание 37. Символ 21</t>
  </si>
  <si>
    <t>Память для хранения названий рецептов. Задание 37. Символ 22</t>
  </si>
  <si>
    <t>Память для хранения названий рецептов. Задание 37. Символ 23</t>
  </si>
  <si>
    <t>Память для хранения названий рецептов. Задание 37. Символ 24</t>
  </si>
  <si>
    <t>Память для хранения названий рецептов. Задание 37. Символ 25</t>
  </si>
  <si>
    <t>Память для хранения названий рецептов. Задание 38. Символ 1</t>
  </si>
  <si>
    <t>Память для хранения названий рецептов. Задание 38. Символ 2</t>
  </si>
  <si>
    <t>Память для хранения названий рецептов. Задание 38. Символ 3</t>
  </si>
  <si>
    <t>Память для хранения названий рецептов. Задание 38. Символ 4</t>
  </si>
  <si>
    <t>Память для хранения названий рецептов. Задание 38. Символ 5</t>
  </si>
  <si>
    <t>Память для хранения названий рецептов. Задание 38. Символ 6</t>
  </si>
  <si>
    <t>Память для хранения названий рецептов. Задание 38. Символ 7</t>
  </si>
  <si>
    <t>Память для хранения названий рецептов. Задание 38. Символ 8</t>
  </si>
  <si>
    <t>Память для хранения названий рецептов. Задание 38. Символ 9</t>
  </si>
  <si>
    <t>Память для хранения названий рецептов. Задание 38. Символ 10</t>
  </si>
  <si>
    <t>Память для хранения названий рецептов. Задание 38. Символ 11</t>
  </si>
  <si>
    <t>Память для хранения названий рецептов. Задание 38. Символ 12</t>
  </si>
  <si>
    <t>Память для хранения названий рецептов. Задание 38. Символ 13</t>
  </si>
  <si>
    <t>Память для хранения названий рецептов. Задание 38. Символ 14</t>
  </si>
  <si>
    <t>Память для хранения названий рецептов. Задание 38. Символ 15</t>
  </si>
  <si>
    <t>Память для хранения названий рецептов. Задание 38. Символ 16</t>
  </si>
  <si>
    <t>Память для хранения названий рецептов. Задание 38. Символ 17</t>
  </si>
  <si>
    <t>Память для хранения названий рецептов. Задание 38. Символ 18</t>
  </si>
  <si>
    <t>Память для хранения названий рецептов. Задание 38. Символ 19</t>
  </si>
  <si>
    <t>Память для хранения названий рецептов. Задание 38. Символ 20</t>
  </si>
  <si>
    <t>Память для хранения названий рецептов. Задание 38. Символ 21</t>
  </si>
  <si>
    <t>Память для хранения названий рецептов. Задание 38. Символ 22</t>
  </si>
  <si>
    <t>Память для хранения названий рецептов. Задание 38. Символ 23</t>
  </si>
  <si>
    <t>Память для хранения названий рецептов. Задание 38. Символ 24</t>
  </si>
  <si>
    <t>Память для хранения названий рецептов. Задание 38. Символ 25</t>
  </si>
  <si>
    <t>Память для хранения названий рецептов. Задание 39. Символ 1</t>
  </si>
  <si>
    <t>Память для хранения названий рецептов. Задание 39. Символ 2</t>
  </si>
  <si>
    <t>Память для хранения названий рецептов. Задание 39. Символ 3</t>
  </si>
  <si>
    <t>Память для хранения названий рецептов. Задание 39. Символ 4</t>
  </si>
  <si>
    <t>Память для хранения названий рецептов. Задание 39. Символ 5</t>
  </si>
  <si>
    <t>Память для хранения названий рецептов. Задание 39. Символ 6</t>
  </si>
  <si>
    <t>Память для хранения названий рецептов. Задание 39. Символ 7</t>
  </si>
  <si>
    <t>Память для хранения названий рецептов. Задание 39. Символ 8</t>
  </si>
  <si>
    <t>Память для хранения названий рецептов. Задание 39. Символ 9</t>
  </si>
  <si>
    <t>Память для хранения названий рецептов. Задание 39. Символ 10</t>
  </si>
  <si>
    <t>Память для хранения названий рецептов. Задание 39. Символ 11</t>
  </si>
  <si>
    <t>Память для хранения названий рецептов. Задание 39. Символ 12</t>
  </si>
  <si>
    <t>Память для хранения названий рецептов. Задание 39. Символ 13</t>
  </si>
  <si>
    <t>Память для хранения названий рецептов. Задание 39. Символ 14</t>
  </si>
  <si>
    <t>Память для хранения названий рецептов. Задание 39. Символ 15</t>
  </si>
  <si>
    <t>Память для хранения названий рецептов. Задание 39. Символ 16</t>
  </si>
  <si>
    <t>Память для хранения названий рецептов. Задание 39. Символ 17</t>
  </si>
  <si>
    <t>Память для хранения названий рецептов. Задание 39. Символ 18</t>
  </si>
  <si>
    <t>Память для хранения названий рецептов. Задание 39. Символ 19</t>
  </si>
  <si>
    <t>Память для хранения названий рецептов. Задание 39. Символ 20</t>
  </si>
  <si>
    <t>Память для хранения названий рецептов. Задание 39. Символ 21</t>
  </si>
  <si>
    <t>Память для хранения названий рецептов. Задание 39. Символ 22</t>
  </si>
  <si>
    <t>Память для хранения названий рецептов. Задание 39. Символ 23</t>
  </si>
  <si>
    <t>Память для хранения названий рецептов. Задание 39. Символ 24</t>
  </si>
  <si>
    <t>Память для хранения названий рецептов. Задание 39. Символ 25</t>
  </si>
  <si>
    <t>Память для хранения названий рецептов. Задание 40. Символ 1</t>
  </si>
  <si>
    <t>Память для хранения названий рецептов. Задание 40. Символ 2</t>
  </si>
  <si>
    <t>Память для хранения названий рецептов. Задание 40. Символ 3</t>
  </si>
  <si>
    <t>Память для хранения названий рецептов. Задание 40. Символ 4</t>
  </si>
  <si>
    <t>Память для хранения названий рецептов. Задание 40. Символ 5</t>
  </si>
  <si>
    <t>Память для хранения названий рецептов. Задание 40. Символ 6</t>
  </si>
  <si>
    <t>Память для хранения названий рецептов. Задание 40. Символ 7</t>
  </si>
  <si>
    <t>Память для хранения названий рецептов. Задание 40. Символ 8</t>
  </si>
  <si>
    <t>Память для хранения названий рецептов. Задание 40. Символ 9</t>
  </si>
  <si>
    <t>Память для хранения названий рецептов. Задание 40. Символ 10</t>
  </si>
  <si>
    <t>Память для хранения названий рецептов. Задание 40. Символ 11</t>
  </si>
  <si>
    <t>Память для хранения названий рецептов. Задание 40. Символ 12</t>
  </si>
  <si>
    <t>Память для хранения названий рецептов. Задание 40. Символ 13</t>
  </si>
  <si>
    <t>Память для хранения названий рецептов. Задание 40. Символ 14</t>
  </si>
  <si>
    <t>Память для хранения названий рецептов. Задание 40. Символ 15</t>
  </si>
  <si>
    <t>Память для хранения названий рецептов. Задание 40. Символ 16</t>
  </si>
  <si>
    <t>Память для хранения названий рецептов. Задание 40. Символ 17</t>
  </si>
  <si>
    <t>Память для хранения названий рецептов. Задание 40. Символ 18</t>
  </si>
  <si>
    <t>Память для хранения названий рецептов. Задание 40. Символ 19</t>
  </si>
  <si>
    <t>Память для хранения названий рецептов. Задание 40. Символ 20</t>
  </si>
  <si>
    <t>Память для хранения названий рецептов. Задание 40. Символ 21</t>
  </si>
  <si>
    <t>Память для хранения названий рецептов. Задание 40. Символ 22</t>
  </si>
  <si>
    <t>Память для хранения названий рецептов. Задание 40. Символ 23</t>
  </si>
  <si>
    <t>Память для хранения названий рецептов. Задание 40. Символ 24</t>
  </si>
  <si>
    <t>Память для хранения названий рецептов. Задание 40. Символ 25</t>
  </si>
  <si>
    <t>Память для хранения названий рецептов. Задание 41. Символ 1</t>
  </si>
  <si>
    <t>Память для хранения названий рецептов. Задание 41. Символ 2</t>
  </si>
  <si>
    <t>Память для хранения названий рецептов. Задание 41. Символ 3</t>
  </si>
  <si>
    <t>Память для хранения названий рецептов. Задание 41. Символ 4</t>
  </si>
  <si>
    <t>Память для хранения названий рецептов. Задание 41. Символ 5</t>
  </si>
  <si>
    <t>Память для хранения названий рецептов. Задание 41. Символ 6</t>
  </si>
  <si>
    <t>Память для хранения названий рецептов. Задание 41. Символ 7</t>
  </si>
  <si>
    <t>Память для хранения названий рецептов. Задание 41. Символ 8</t>
  </si>
  <si>
    <t>Память для хранения названий рецептов. Задание 41. Символ 9</t>
  </si>
  <si>
    <t>Память для хранения названий рецептов. Задание 41. Символ 10</t>
  </si>
  <si>
    <t>Память для хранения названий рецептов. Задание 41. Символ 11</t>
  </si>
  <si>
    <t>Память для хранения названий рецептов. Задание 41. Символ 12</t>
  </si>
  <si>
    <t>Память для хранения названий рецептов. Задание 41. Символ 13</t>
  </si>
  <si>
    <t>Память для хранения названий рецептов. Задание 41. Символ 14</t>
  </si>
  <si>
    <t>Память для хранения названий рецептов. Задание 41. Символ 15</t>
  </si>
  <si>
    <t>Память для хранения названий рецептов. Задание 41. Символ 16</t>
  </si>
  <si>
    <t>Память для хранения названий рецептов. Задание 41. Символ 17</t>
  </si>
  <si>
    <t>Память для хранения названий рецептов. Задание 41. Символ 18</t>
  </si>
  <si>
    <t>Память для хранения названий рецептов. Задание 41. Символ 19</t>
  </si>
  <si>
    <t>Память для хранения названий рецептов. Задание 41. Символ 20</t>
  </si>
  <si>
    <t>Память для хранения названий рецептов. Задание 41. Символ 21</t>
  </si>
  <si>
    <t>Память для хранения названий рецептов. Задание 41. Символ 22</t>
  </si>
  <si>
    <t>Память для хранения названий рецептов. Задание 41. Символ 23</t>
  </si>
  <si>
    <t>Память для хранения названий рецептов. Задание 41. Символ 24</t>
  </si>
  <si>
    <t>Память для хранения названий рецептов. Задание 41. Символ 25</t>
  </si>
  <si>
    <t>Память для хранения названий рецептов. Задание 42. Символ 1</t>
  </si>
  <si>
    <t>Память для хранения названий рецептов. Задание 42. Символ 2</t>
  </si>
  <si>
    <t>Память для хранения названий рецептов. Задание 42. Символ 3</t>
  </si>
  <si>
    <t>Память для хранения названий рецептов. Задание 42. Символ 4</t>
  </si>
  <si>
    <t>Память для хранения названий рецептов. Задание 42. Символ 5</t>
  </si>
  <si>
    <t>Память для хранения названий рецептов. Задание 42. Символ 6</t>
  </si>
  <si>
    <t>Память для хранения названий рецептов. Задание 42. Символ 7</t>
  </si>
  <si>
    <t>Память для хранения названий рецептов. Задание 42. Символ 8</t>
  </si>
  <si>
    <t>Память для хранения названий рецептов. Задание 42. Символ 9</t>
  </si>
  <si>
    <t>Память для хранения названий рецептов. Задание 42. Символ 10</t>
  </si>
  <si>
    <t>Память для хранения названий рецептов. Задание 42. Символ 11</t>
  </si>
  <si>
    <t>Память для хранения названий рецептов. Задание 42. Символ 12</t>
  </si>
  <si>
    <t>Память для хранения названий рецептов. Задание 42. Символ 13</t>
  </si>
  <si>
    <t>Память для хранения названий рецептов. Задание 42. Символ 14</t>
  </si>
  <si>
    <t>Память для хранения названий рецептов. Задание 42. Символ 15</t>
  </si>
  <si>
    <t>Память для хранения названий рецептов. Задание 42. Символ 16</t>
  </si>
  <si>
    <t>Память для хранения названий рецептов. Задание 42. Символ 17</t>
  </si>
  <si>
    <t>Память для хранения названий рецептов. Задание 42. Символ 18</t>
  </si>
  <si>
    <t>Память для хранения названий рецептов. Задание 42. Символ 19</t>
  </si>
  <si>
    <t>Память для хранения названий рецептов. Задание 42. Символ 20</t>
  </si>
  <si>
    <t>Память для хранения названий рецептов. Задание 42. Символ 21</t>
  </si>
  <si>
    <t>Память для хранения названий рецептов. Задание 42. Символ 22</t>
  </si>
  <si>
    <t>Память для хранения названий рецептов. Задание 42. Символ 23</t>
  </si>
  <si>
    <t>Память для хранения названий рецептов. Задание 42. Символ 24</t>
  </si>
  <si>
    <t>Память для хранения названий рецептов. Задание 42. Символ 25</t>
  </si>
  <si>
    <t>Память для хранения названий рецептов. Задание 43. Символ 1</t>
  </si>
  <si>
    <t>Память для хранения названий рецептов. Задание 43. Символ 2</t>
  </si>
  <si>
    <t>Память для хранения названий рецептов. Задание 43. Символ 3</t>
  </si>
  <si>
    <t>Память для хранения названий рецептов. Задание 43. Символ 4</t>
  </si>
  <si>
    <t>Память для хранения названий рецептов. Задание 43. Символ 5</t>
  </si>
  <si>
    <t>Память для хранения названий рецептов. Задание 43. Символ 6</t>
  </si>
  <si>
    <t>Память для хранения названий рецептов. Задание 43. Символ 7</t>
  </si>
  <si>
    <t>Память для хранения названий рецептов. Задание 43. Символ 8</t>
  </si>
  <si>
    <t>Память для хранения названий рецептов. Задание 43. Символ 9</t>
  </si>
  <si>
    <t>Память для хранения названий рецептов. Задание 43. Символ 10</t>
  </si>
  <si>
    <t>Память для хранения названий рецептов. Задание 43. Символ 11</t>
  </si>
  <si>
    <t>Память для хранения названий рецептов. Задание 43. Символ 12</t>
  </si>
  <si>
    <t>Память для хранения названий рецептов. Задание 43. Символ 13</t>
  </si>
  <si>
    <t>Память для хранения названий рецептов. Задание 43. Символ 14</t>
  </si>
  <si>
    <t>Память для хранения названий рецептов. Задание 43. Символ 15</t>
  </si>
  <si>
    <t>Память для хранения названий рецептов. Задание 43. Символ 16</t>
  </si>
  <si>
    <t>Память для хранения названий рецептов. Задание 43. Символ 17</t>
  </si>
  <si>
    <t>Память для хранения названий рецептов. Задание 43. Символ 18</t>
  </si>
  <si>
    <t>Память для хранения названий рецептов. Задание 43. Символ 19</t>
  </si>
  <si>
    <t>Память для хранения названий рецептов. Задание 43. Символ 20</t>
  </si>
  <si>
    <t>Память для хранения названий рецептов. Задание 43. Символ 21</t>
  </si>
  <si>
    <t>Память для хранения названий рецептов. Задание 43. Символ 22</t>
  </si>
  <si>
    <t>Память для хранения названий рецептов. Задание 43. Символ 23</t>
  </si>
  <si>
    <t>Память для хранения названий рецептов. Задание 43. Символ 24</t>
  </si>
  <si>
    <t>Память для хранения названий рецептов. Задание 43. Символ 25</t>
  </si>
  <si>
    <t>Память для хранения названий рецептов. Задание 44. Символ 1</t>
  </si>
  <si>
    <t>Память для хранения названий рецептов. Задание 44. Символ 2</t>
  </si>
  <si>
    <t>Память для хранения названий рецептов. Задание 44. Символ 3</t>
  </si>
  <si>
    <t>Память для хранения названий рецептов. Задание 44. Символ 4</t>
  </si>
  <si>
    <t>Память для хранения названий рецептов. Задание 44. Символ 5</t>
  </si>
  <si>
    <t>Память для хранения названий рецептов. Задание 44. Символ 6</t>
  </si>
  <si>
    <t>Память для хранения названий рецептов. Задание 44. Символ 7</t>
  </si>
  <si>
    <t>Память для хранения названий рецептов. Задание 44. Символ 8</t>
  </si>
  <si>
    <t>Память для хранения названий рецептов. Задание 44. Символ 9</t>
  </si>
  <si>
    <t>Память для хранения названий рецептов. Задание 44. Символ 10</t>
  </si>
  <si>
    <t>Память для хранения названий рецептов. Задание 44. Символ 11</t>
  </si>
  <si>
    <t>Память для хранения названий рецептов. Задание 44. Символ 12</t>
  </si>
  <si>
    <t>Память для хранения названий рецептов. Задание 44. Символ 13</t>
  </si>
  <si>
    <t>Память для хранения названий рецептов. Задание 44. Символ 14</t>
  </si>
  <si>
    <t>Память для хранения названий рецептов. Задание 44. Символ 15</t>
  </si>
  <si>
    <t>Память для хранения названий рецептов. Задание 44. Символ 16</t>
  </si>
  <si>
    <t>Память для хранения названий рецептов. Задание 44. Символ 17</t>
  </si>
  <si>
    <t>Память для хранения названий рецептов. Задание 44. Символ 18</t>
  </si>
  <si>
    <t>Память для хранения названий рецептов. Задание 44. Символ 19</t>
  </si>
  <si>
    <t>Память для хранения названий рецептов. Задание 44. Символ 20</t>
  </si>
  <si>
    <t>Память для хранения названий рецептов. Задание 44. Символ 21</t>
  </si>
  <si>
    <t>Память для хранения названий рецептов. Задание 44. Символ 22</t>
  </si>
  <si>
    <t>Память для хранения названий рецептов. Задание 44. Символ 23</t>
  </si>
  <si>
    <t>Память для хранения названий рецептов. Задание 44. Символ 24</t>
  </si>
  <si>
    <t>Память для хранения названий рецептов. Задание 44. Символ 25</t>
  </si>
  <si>
    <t>Память для хранения названий рецептов. Задание 45. Символ 1</t>
  </si>
  <si>
    <t>Память для хранения названий рецептов. Задание 45. Символ 2</t>
  </si>
  <si>
    <t>Память для хранения названий рецептов. Задание 45. Символ 3</t>
  </si>
  <si>
    <t>Память для хранения названий рецептов. Задание 45. Символ 4</t>
  </si>
  <si>
    <t>Память для хранения названий рецептов. Задание 45. Символ 5</t>
  </si>
  <si>
    <t>Память для хранения названий рецептов. Задание 45. Символ 6</t>
  </si>
  <si>
    <t>Память для хранения названий рецептов. Задание 45. Символ 7</t>
  </si>
  <si>
    <t>Память для хранения названий рецептов. Задание 45. Символ 8</t>
  </si>
  <si>
    <t>Память для хранения названий рецептов. Задание 45. Символ 9</t>
  </si>
  <si>
    <t>Память для хранения названий рецептов. Задание 45. Символ 10</t>
  </si>
  <si>
    <t>Память для хранения названий рецептов. Задание 45. Символ 11</t>
  </si>
  <si>
    <t>Память для хранения названий рецептов. Задание 45. Символ 12</t>
  </si>
  <si>
    <t>Память для хранения названий рецептов. Задание 45. Символ 13</t>
  </si>
  <si>
    <t>Память для хранения названий рецептов. Задание 45. Символ 14</t>
  </si>
  <si>
    <t>Память для хранения названий рецептов. Задание 45. Символ 15</t>
  </si>
  <si>
    <t>Память для хранения названий рецептов. Задание 45. Символ 16</t>
  </si>
  <si>
    <t>Память для хранения названий рецептов. Задание 45. Символ 17</t>
  </si>
  <si>
    <t>Память для хранения названий рецептов. Задание 45. Символ 18</t>
  </si>
  <si>
    <t>Память для хранения названий рецептов. Задание 45. Символ 19</t>
  </si>
  <si>
    <t>Память для хранения названий рецептов. Задание 45. Символ 20</t>
  </si>
  <si>
    <t>Память для хранения названий рецептов. Задание 45. Символ 21</t>
  </si>
  <si>
    <t>Память для хранения названий рецептов. Задание 45. Символ 22</t>
  </si>
  <si>
    <t>Память для хранения названий рецептов. Задание 45. Символ 23</t>
  </si>
  <si>
    <t>Память для хранения названий рецептов. Задание 45. Символ 24</t>
  </si>
  <si>
    <t>Память для хранения названий рецептов. Задание 45. Символ 25</t>
  </si>
  <si>
    <t>Память для хранения названий рецептов. Задание 46. Символ 1</t>
  </si>
  <si>
    <t>Память для хранения названий рецептов. Задание 46. Символ 2</t>
  </si>
  <si>
    <t>Память для хранения названий рецептов. Задание 46. Символ 3</t>
  </si>
  <si>
    <t>Память для хранения названий рецептов. Задание 46. Символ 4</t>
  </si>
  <si>
    <t>Память для хранения названий рецептов. Задание 46. Символ 5</t>
  </si>
  <si>
    <t>Память для хранения названий рецептов. Задание 46. Символ 6</t>
  </si>
  <si>
    <t>Память для хранения названий рецептов. Задание 46. Символ 7</t>
  </si>
  <si>
    <t>Память для хранения названий рецептов. Задание 46. Символ 8</t>
  </si>
  <si>
    <t>Память для хранения названий рецептов. Задание 46. Символ 9</t>
  </si>
  <si>
    <t>Память для хранения названий рецептов. Задание 46. Символ 10</t>
  </si>
  <si>
    <t>Память для хранения названий рецептов. Задание 46. Символ 11</t>
  </si>
  <si>
    <t>Память для хранения названий рецептов. Задание 46. Символ 12</t>
  </si>
  <si>
    <t>Память для хранения названий рецептов. Задание 46. Символ 13</t>
  </si>
  <si>
    <t>Память для хранения названий рецептов. Задание 46. Символ 14</t>
  </si>
  <si>
    <t>Память для хранения названий рецептов. Задание 46. Символ 15</t>
  </si>
  <si>
    <t>Память для хранения названий рецептов. Задание 46. Символ 16</t>
  </si>
  <si>
    <t>Память для хранения названий рецептов. Задание 46. Символ 17</t>
  </si>
  <si>
    <t>Память для хранения названий рецептов. Задание 46. Символ 18</t>
  </si>
  <si>
    <t>Память для хранения названий рецептов. Задание 46. Символ 19</t>
  </si>
  <si>
    <t>Память для хранения названий рецептов. Задание 46. Символ 20</t>
  </si>
  <si>
    <t>Память для хранения названий рецептов. Задание 46. Символ 21</t>
  </si>
  <si>
    <t>Память для хранения названий рецептов. Задание 46. Символ 22</t>
  </si>
  <si>
    <t>Память для хранения названий рецептов. Задание 46. Символ 23</t>
  </si>
  <si>
    <t>Память для хранения названий рецептов. Задание 46. Символ 24</t>
  </si>
  <si>
    <t>Память для хранения названий рецептов. Задание 46. Символ 25</t>
  </si>
  <si>
    <t>Память для хранения названий рецептов. Задание 47. Символ 1</t>
  </si>
  <si>
    <t>Память для хранения названий рецептов. Задание 47. Символ 2</t>
  </si>
  <si>
    <t>Память для хранения названий рецептов. Задание 47. Символ 3</t>
  </si>
  <si>
    <t>Память для хранения названий рецептов. Задание 47. Символ 4</t>
  </si>
  <si>
    <t>Память для хранения названий рецептов. Задание 47. Символ 5</t>
  </si>
  <si>
    <t>Память для хранения названий рецептов. Задание 47. Символ 6</t>
  </si>
  <si>
    <t>Память для хранения названий рецептов. Задание 47. Символ 7</t>
  </si>
  <si>
    <t>Память для хранения названий рецептов. Задание 47. Символ 8</t>
  </si>
  <si>
    <t>Память для хранения названий рецептов. Задание 47. Символ 9</t>
  </si>
  <si>
    <t>Память для хранения названий рецептов. Задание 47. Символ 10</t>
  </si>
  <si>
    <t>Память для хранения названий рецептов. Задание 47. Символ 11</t>
  </si>
  <si>
    <t>Память для хранения названий рецептов. Задание 47. Символ 12</t>
  </si>
  <si>
    <t>Память для хранения названий рецептов. Задание 47. Символ 13</t>
  </si>
  <si>
    <t>Память для хранения названий рецептов. Задание 47. Символ 14</t>
  </si>
  <si>
    <t>Память для хранения названий рецептов. Задание 47. Символ 15</t>
  </si>
  <si>
    <t>Память для хранения названий рецептов. Задание 47. Символ 16</t>
  </si>
  <si>
    <t>Память для хранения названий рецептов. Задание 47. Символ 17</t>
  </si>
  <si>
    <t>Память для хранения названий рецептов. Задание 47. Символ 18</t>
  </si>
  <si>
    <t>Память для хранения названий рецептов. Задание 47. Символ 19</t>
  </si>
  <si>
    <t>Память для хранения названий рецептов. Задание 47. Символ 20</t>
  </si>
  <si>
    <t>Память для хранения названий рецептов. Задание 47. Символ 21</t>
  </si>
  <si>
    <t>Память для хранения названий рецептов. Задание 47. Символ 22</t>
  </si>
  <si>
    <t>Память для хранения названий рецептов. Задание 47. Символ 23</t>
  </si>
  <si>
    <t>Память для хранения названий рецептов. Задание 47. Символ 24</t>
  </si>
  <si>
    <t>Память для хранения названий рецептов. Задание 47. Символ 25</t>
  </si>
  <si>
    <t>Память для хранения названий рецептов. Задание 48. Символ 1</t>
  </si>
  <si>
    <t>Память для хранения названий рецептов. Задание 48. Символ 2</t>
  </si>
  <si>
    <t>Память для хранения названий рецептов. Задание 48. Символ 3</t>
  </si>
  <si>
    <t>Память для хранения названий рецептов. Задание 48. Символ 4</t>
  </si>
  <si>
    <t>Память для хранения названий рецептов. Задание 48. Символ 5</t>
  </si>
  <si>
    <t>Память для хранения названий рецептов. Задание 48. Символ 6</t>
  </si>
  <si>
    <t>Память для хранения названий рецептов. Задание 48. Символ 7</t>
  </si>
  <si>
    <t>Память для хранения названий рецептов. Задание 48. Символ 8</t>
  </si>
  <si>
    <t>Память для хранения названий рецептов. Задание 48. Символ 9</t>
  </si>
  <si>
    <t>Память для хранения названий рецептов. Задание 48. Символ 10</t>
  </si>
  <si>
    <t>Память для хранения названий рецептов. Задание 48. Символ 11</t>
  </si>
  <si>
    <t>Память для хранения названий рецептов. Задание 48. Символ 12</t>
  </si>
  <si>
    <t>Память для хранения названий рецептов. Задание 48. Символ 13</t>
  </si>
  <si>
    <t>Память для хранения названий рецептов. Задание 48. Символ 14</t>
  </si>
  <si>
    <t>Память для хранения названий рецептов. Задание 48. Символ 15</t>
  </si>
  <si>
    <t>Память для хранения названий рецептов. Задание 48. Символ 16</t>
  </si>
  <si>
    <t>Память для хранения названий рецептов. Задание 48. Символ 17</t>
  </si>
  <si>
    <t>Память для хранения названий рецептов. Задание 48. Символ 18</t>
  </si>
  <si>
    <t>Память для хранения названий рецептов. Задание 48. Символ 19</t>
  </si>
  <si>
    <t>Память для хранения названий рецептов. Задание 48. Символ 20</t>
  </si>
  <si>
    <t>Память для хранения названий рецептов. Задание 48. Символ 21</t>
  </si>
  <si>
    <t>Память для хранения названий рецептов. Задание 48. Символ 22</t>
  </si>
  <si>
    <t>Память для хранения названий рецептов. Задание 48. Символ 23</t>
  </si>
  <si>
    <t>Память для хранения названий рецептов. Задание 48. Символ 24</t>
  </si>
  <si>
    <t>Память для хранения названий рецептов. Задание 48. Символ 25</t>
  </si>
  <si>
    <t>Память для хранения названий рецептов. Задание 49. Символ 1</t>
  </si>
  <si>
    <t>Память для хранения названий рецептов. Задание 49. Символ 2</t>
  </si>
  <si>
    <t>Память для хранения названий рецептов. Задание 49. Символ 3</t>
  </si>
  <si>
    <t>Память для хранения названий рецептов. Задание 49. Символ 4</t>
  </si>
  <si>
    <t>Память для хранения названий рецептов. Задание 49. Символ 5</t>
  </si>
  <si>
    <t>Память для хранения названий рецептов. Задание 49. Символ 6</t>
  </si>
  <si>
    <t>Память для хранения названий рецептов. Задание 49. Символ 7</t>
  </si>
  <si>
    <t>Память для хранения названий рецептов. Задание 49. Символ 8</t>
  </si>
  <si>
    <t>Память для хранения названий рецептов. Задание 49. Символ 9</t>
  </si>
  <si>
    <t>Память для хранения названий рецептов. Задание 49. Символ 10</t>
  </si>
  <si>
    <t>Память для хранения названий рецептов. Задание 49. Символ 11</t>
  </si>
  <si>
    <t>Память для хранения названий рецептов. Задание 49. Символ 12</t>
  </si>
  <si>
    <t>Память для хранения названий рецептов. Задание 49. Символ 13</t>
  </si>
  <si>
    <t>Память для хранения названий рецептов. Задание 49. Символ 14</t>
  </si>
  <si>
    <t>Память для хранения названий рецептов. Задание 49. Символ 15</t>
  </si>
  <si>
    <t>Память для хранения названий рецептов. Задание 49. Символ 16</t>
  </si>
  <si>
    <t>Память для хранения названий рецептов. Задание 49. Символ 17</t>
  </si>
  <si>
    <t>Память для хранения названий рецептов. Задание 49. Символ 18</t>
  </si>
  <si>
    <t>Память для хранения названий рецептов. Задание 49. Символ 19</t>
  </si>
  <si>
    <t>Память для хранения названий рецептов. Задание 49. Символ 20</t>
  </si>
  <si>
    <t>Память для хранения названий рецептов. Задание 49. Символ 21</t>
  </si>
  <si>
    <t>Память для хранения названий рецептов. Задание 49. Символ 22</t>
  </si>
  <si>
    <t>Память для хранения названий рецептов. Задание 49. Символ 23</t>
  </si>
  <si>
    <t>Память для хранения названий рецептов. Задание 49. Символ 24</t>
  </si>
  <si>
    <t>Память для хранения названий рецептов. Задание 49. Символ 25</t>
  </si>
  <si>
    <t>Память для хранения названий рецептов. Задание 50. Символ 1</t>
  </si>
  <si>
    <t>Память для хранения названий рецептов. Задание 50. Символ 2</t>
  </si>
  <si>
    <t>Память для хранения названий рецептов. Задание 50. Символ 3</t>
  </si>
  <si>
    <t>Память для хранения названий рецептов. Задание 50. Символ 4</t>
  </si>
  <si>
    <t>Память для хранения названий рецептов. Задание 50. Символ 5</t>
  </si>
  <si>
    <t>Память для хранения названий рецептов. Задание 50. Символ 6</t>
  </si>
  <si>
    <t>Память для хранения названий рецептов. Задание 50. Символ 7</t>
  </si>
  <si>
    <t>Память для хранения названий рецептов. Задание 50. Символ 8</t>
  </si>
  <si>
    <t>Память для хранения названий рецептов. Задание 50. Символ 9</t>
  </si>
  <si>
    <t>Память для хранения названий рецептов. Задание 50. Символ 10</t>
  </si>
  <si>
    <t>Память для хранения названий рецептов. Задание 50. Символ 11</t>
  </si>
  <si>
    <t>Память для хранения названий рецептов. Задание 50. Символ 12</t>
  </si>
  <si>
    <t>Память для хранения названий рецептов. Задание 50. Символ 13</t>
  </si>
  <si>
    <t>Память для хранения названий рецептов. Задание 50. Символ 14</t>
  </si>
  <si>
    <t>Память для хранения названий рецептов. Задание 50. Символ 15</t>
  </si>
  <si>
    <t>Память для хранения названий рецептов. Задание 50. Символ 16</t>
  </si>
  <si>
    <t>Память для хранения названий рецептов. Задание 50. Символ 17</t>
  </si>
  <si>
    <t>Память для хранения названий рецептов. Задание 50. Символ 18</t>
  </si>
  <si>
    <t>Память для хранения названий рецептов. Задание 50. Символ 19</t>
  </si>
  <si>
    <t>Память для хранения названий рецептов. Задание 50. Символ 20</t>
  </si>
  <si>
    <t>Память для хранения названий рецептов. Задание 50. Символ 21</t>
  </si>
  <si>
    <t>Память для хранения названий рецептов. Задание 50. Символ 22</t>
  </si>
  <si>
    <t>Память для хранения названий рецептов. Задание 50. Символ 23</t>
  </si>
  <si>
    <t>Память для хранения названий рецептов. Задание 50. Символ 24</t>
  </si>
  <si>
    <t>Память для хранения названий рецептов. Задание 50. Символ 25</t>
  </si>
  <si>
    <t>Память для хранения названий рецептов. Задание 51. Символ 1</t>
  </si>
  <si>
    <t>Память для хранения названий рецептов. Задание 51. Символ 2</t>
  </si>
  <si>
    <t>Память для хранения названий рецептов. Задание 51. Символ 3</t>
  </si>
  <si>
    <t>Память для хранения названий рецептов. Задание 51. Символ 4</t>
  </si>
  <si>
    <t>Память для хранения названий рецептов. Задание 51. Символ 5</t>
  </si>
  <si>
    <t>Память для хранения названий рецептов. Задание 51. Символ 6</t>
  </si>
  <si>
    <t>Память для хранения названий рецептов. Задание 51. Символ 7</t>
  </si>
  <si>
    <t>Память для хранения названий рецептов. Задание 51. Символ 8</t>
  </si>
  <si>
    <t>Память для хранения названий рецептов. Задание 51. Символ 9</t>
  </si>
  <si>
    <t>Память для хранения названий рецептов. Задание 51. Символ 10</t>
  </si>
  <si>
    <t>Память для хранения названий рецептов. Задание 51. Символ 11</t>
  </si>
  <si>
    <t>Память для хранения названий рецептов. Задание 51. Символ 12</t>
  </si>
  <si>
    <t>Память для хранения названий рецептов. Задание 51. Символ 13</t>
  </si>
  <si>
    <t>Память для хранения названий рецептов. Задание 51. Символ 14</t>
  </si>
  <si>
    <t>Память для хранения названий рецептов. Задание 51. Символ 15</t>
  </si>
  <si>
    <t>Память для хранения названий рецептов. Задание 51. Символ 16</t>
  </si>
  <si>
    <t>Память для хранения названий рецептов. Задание 51. Символ 17</t>
  </si>
  <si>
    <t>Память для хранения названий рецептов. Задание 51. Символ 18</t>
  </si>
  <si>
    <t>Память для хранения названий рецептов. Задание 51. Символ 19</t>
  </si>
  <si>
    <t>Память для хранения названий рецептов. Задание 51. Символ 20</t>
  </si>
  <si>
    <t>Память для хранения названий рецептов. Задание 51. Символ 21</t>
  </si>
  <si>
    <t>Память для хранения названий рецептов. Задание 51. Символ 22</t>
  </si>
  <si>
    <t>Память для хранения названий рецептов. Задание 51. Символ 23</t>
  </si>
  <si>
    <t>Память для хранения названий рецептов. Задание 51. Символ 24</t>
  </si>
  <si>
    <t>Память для хранения названий рецептов. Задание 51. Символ 25</t>
  </si>
  <si>
    <t>Память для хранения названий рецептов. Задание 52. Символ 1</t>
  </si>
  <si>
    <t>Память для хранения названий рецептов. Задание 52. Символ 2</t>
  </si>
  <si>
    <t>Память для хранения названий рецептов. Задание 52. Символ 3</t>
  </si>
  <si>
    <t>Память для хранения названий рецептов. Задание 52. Символ 4</t>
  </si>
  <si>
    <t>Память для хранения названий рецептов. Задание 52. Символ 5</t>
  </si>
  <si>
    <t>Память для хранения названий рецептов. Задание 52. Символ 6</t>
  </si>
  <si>
    <t>Память для хранения названий рецептов. Задание 52. Символ 7</t>
  </si>
  <si>
    <t>Память для хранения названий рецептов. Задание 52. Символ 8</t>
  </si>
  <si>
    <t>Память для хранения названий рецептов. Задание 52. Символ 9</t>
  </si>
  <si>
    <t>Память для хранения названий рецептов. Задание 52. Символ 10</t>
  </si>
  <si>
    <t>Память для хранения названий рецептов. Задание 52. Символ 11</t>
  </si>
  <si>
    <t>Память для хранения названий рецептов. Задание 52. Символ 12</t>
  </si>
  <si>
    <t>Память для хранения названий рецептов. Задание 52. Символ 13</t>
  </si>
  <si>
    <t>Память для хранения названий рецептов. Задание 52. Символ 14</t>
  </si>
  <si>
    <t>Память для хранения названий рецептов. Задание 52. Символ 15</t>
  </si>
  <si>
    <t>Память для хранения названий рецептов. Задание 52. Символ 16</t>
  </si>
  <si>
    <t>Память для хранения названий рецептов. Задание 52. Символ 17</t>
  </si>
  <si>
    <t>Память для хранения названий рецептов. Задание 52. Символ 18</t>
  </si>
  <si>
    <t>Память для хранения названий рецептов. Задание 52. Символ 19</t>
  </si>
  <si>
    <t>Память для хранения названий рецептов. Задание 52. Символ 20</t>
  </si>
  <si>
    <t>Память для хранения названий рецептов. Задание 52. Символ 21</t>
  </si>
  <si>
    <t>Память для хранения названий рецептов. Задание 52. Символ 22</t>
  </si>
  <si>
    <t>Память для хранения названий рецептов. Задание 52. Символ 23</t>
  </si>
  <si>
    <t>Память для хранения названий рецептов. Задание 52. Символ 24</t>
  </si>
  <si>
    <t>Память для хранения названий рецептов. Задание 52. Символ 25</t>
  </si>
  <si>
    <t>Память для хранения названий рецептов. Задание 53. Символ 1</t>
  </si>
  <si>
    <t>Память для хранения названий рецептов. Задание 53. Символ 2</t>
  </si>
  <si>
    <t>Память для хранения названий рецептов. Задание 53. Символ 3</t>
  </si>
  <si>
    <t>Память для хранения названий рецептов. Задание 53. Символ 4</t>
  </si>
  <si>
    <t>Память для хранения названий рецептов. Задание 53. Символ 5</t>
  </si>
  <si>
    <t>Память для хранения названий рецептов. Задание 53. Символ 6</t>
  </si>
  <si>
    <t>Память для хранения названий рецептов. Задание 53. Символ 7</t>
  </si>
  <si>
    <t>Память для хранения названий рецептов. Задание 53. Символ 8</t>
  </si>
  <si>
    <t>Память для хранения названий рецептов. Задание 53. Символ 9</t>
  </si>
  <si>
    <t>Память для хранения названий рецептов. Задание 53. Символ 10</t>
  </si>
  <si>
    <t>Память для хранения названий рецептов. Задание 53. Символ 11</t>
  </si>
  <si>
    <t>Память для хранения названий рецептов. Задание 53. Символ 12</t>
  </si>
  <si>
    <t>Память для хранения названий рецептов. Задание 53. Символ 13</t>
  </si>
  <si>
    <t>Память для хранения названий рецептов. Задание 53. Символ 14</t>
  </si>
  <si>
    <t>Память для хранения названий рецептов. Задание 53. Символ 15</t>
  </si>
  <si>
    <t>Память для хранения названий рецептов. Задание 53. Символ 16</t>
  </si>
  <si>
    <t>Память для хранения названий рецептов. Задание 53. Символ 17</t>
  </si>
  <si>
    <t>Память для хранения названий рецептов. Задание 53. Символ 18</t>
  </si>
  <si>
    <t>Память для хранения названий рецептов. Задание 53. Символ 19</t>
  </si>
  <si>
    <t>Память для хранения названий рецептов. Задание 53. Символ 20</t>
  </si>
  <si>
    <t>Память для хранения названий рецептов. Задание 53. Символ 21</t>
  </si>
  <si>
    <t>Память для хранения названий рецептов. Задание 53. Символ 22</t>
  </si>
  <si>
    <t>Память для хранения названий рецептов. Задание 53. Символ 23</t>
  </si>
  <si>
    <t>Память для хранения названий рецептов. Задание 53. Символ 24</t>
  </si>
  <si>
    <t>Память для хранения названий рецептов. Задание 53. Символ 25</t>
  </si>
  <si>
    <t>Память для хранения названий рецептов. Задание 54. Символ 1</t>
  </si>
  <si>
    <t>Память для хранения названий рецептов. Задание 54. Символ 2</t>
  </si>
  <si>
    <t>Память для хранения названий рецептов. Задание 54. Символ 3</t>
  </si>
  <si>
    <t>Память для хранения названий рецептов. Задание 54. Символ 4</t>
  </si>
  <si>
    <t>Память для хранения названий рецептов. Задание 54. Символ 5</t>
  </si>
  <si>
    <t>Память для хранения названий рецептов. Задание 54. Символ 6</t>
  </si>
  <si>
    <t>Память для хранения названий рецептов. Задание 54. Символ 7</t>
  </si>
  <si>
    <t>Память для хранения названий рецептов. Задание 54. Символ 8</t>
  </si>
  <si>
    <t>Память для хранения названий рецептов. Задание 54. Символ 9</t>
  </si>
  <si>
    <t>Память для хранения названий рецептов. Задание 54. Символ 10</t>
  </si>
  <si>
    <t>Память для хранения названий рецептов. Задание 54. Символ 11</t>
  </si>
  <si>
    <t>Память для хранения названий рецептов. Задание 54. Символ 12</t>
  </si>
  <si>
    <t>Память для хранения названий рецептов. Задание 54. Символ 13</t>
  </si>
  <si>
    <t>Память для хранения названий рецептов. Задание 54. Символ 14</t>
  </si>
  <si>
    <t>Память для хранения названий рецептов. Задание 54. Символ 15</t>
  </si>
  <si>
    <t>Память для хранения названий рецептов. Задание 54. Символ 16</t>
  </si>
  <si>
    <t>Память для хранения названий рецептов. Задание 54. Символ 17</t>
  </si>
  <si>
    <t>Память для хранения названий рецептов. Задание 54. Символ 18</t>
  </si>
  <si>
    <t>Память для хранения названий рецептов. Задание 54. Символ 19</t>
  </si>
  <si>
    <t>Память для хранения названий рецептов. Задание 54. Символ 20</t>
  </si>
  <si>
    <t>Память для хранения названий рецептов. Задание 54. Символ 21</t>
  </si>
  <si>
    <t>Память для хранения названий рецептов. Задание 54. Символ 22</t>
  </si>
  <si>
    <t>Память для хранения названий рецептов. Задание 54. Символ 23</t>
  </si>
  <si>
    <t>Память для хранения названий рецептов. Задание 54. Символ 24</t>
  </si>
  <si>
    <t>Память для хранения названий рецептов. Задание 54. Символ 25</t>
  </si>
  <si>
    <t>Память для хранения названий рецептов. Задание 55. Символ 1</t>
  </si>
  <si>
    <t>Память для хранения названий рецептов. Задание 55. Символ 2</t>
  </si>
  <si>
    <t>Память для хранения названий рецептов. Задание 55. Символ 3</t>
  </si>
  <si>
    <t>Память для хранения названий рецептов. Задание 55. Символ 4</t>
  </si>
  <si>
    <t>Память для хранения названий рецептов. Задание 55. Символ 5</t>
  </si>
  <si>
    <t>Память для хранения названий рецептов. Задание 55. Символ 6</t>
  </si>
  <si>
    <t>Память для хранения названий рецептов. Задание 55. Символ 7</t>
  </si>
  <si>
    <t>Память для хранения названий рецептов. Задание 55. Символ 8</t>
  </si>
  <si>
    <t>Память для хранения названий рецептов. Задание 55. Символ 9</t>
  </si>
  <si>
    <t>Память для хранения названий рецептов. Задание 55. Символ 10</t>
  </si>
  <si>
    <t>Память для хранения названий рецептов. Задание 55. Символ 11</t>
  </si>
  <si>
    <t>Память для хранения названий рецептов. Задание 55. Символ 12</t>
  </si>
  <si>
    <t>Память для хранения названий рецептов. Задание 55. Символ 13</t>
  </si>
  <si>
    <t>Память для хранения названий рецептов. Задание 55. Символ 14</t>
  </si>
  <si>
    <t>Память для хранения названий рецептов. Задание 55. Символ 15</t>
  </si>
  <si>
    <t>Память для хранения названий рецептов. Задание 55. Символ 16</t>
  </si>
  <si>
    <t>Память для хранения названий рецептов. Задание 55. Символ 17</t>
  </si>
  <si>
    <t>Память для хранения названий рецептов. Задание 55. Символ 18</t>
  </si>
  <si>
    <t>Память для хранения названий рецептов. Задание 55. Символ 19</t>
  </si>
  <si>
    <t>Память для хранения названий рецептов. Задание 55. Символ 20</t>
  </si>
  <si>
    <t>Память для хранения названий рецептов. Задание 55. Символ 21</t>
  </si>
  <si>
    <t>Память для хранения названий рецептов. Задание 55. Символ 22</t>
  </si>
  <si>
    <t>Память для хранения названий рецептов. Задание 55. Символ 23</t>
  </si>
  <si>
    <t>Память для хранения названий рецептов. Задание 55. Символ 24</t>
  </si>
  <si>
    <t>Память для хранения названий рецептов. Задание 55. Символ 25</t>
  </si>
  <si>
    <t>Память для хранения названий рецептов. Задание 56. Символ 1</t>
  </si>
  <si>
    <t>Память для хранения названий рецептов. Задание 56. Символ 2</t>
  </si>
  <si>
    <t>Память для хранения названий рецептов. Задание 56. Символ 3</t>
  </si>
  <si>
    <t>Память для хранения названий рецептов. Задание 56. Символ 4</t>
  </si>
  <si>
    <t>Память для хранения названий рецептов. Задание 56. Символ 5</t>
  </si>
  <si>
    <t>Память для хранения названий рецептов. Задание 56. Символ 6</t>
  </si>
  <si>
    <t>Память для хранения названий рецептов. Задание 56. Символ 7</t>
  </si>
  <si>
    <t>Память для хранения названий рецептов. Задание 56. Символ 8</t>
  </si>
  <si>
    <t>Память для хранения названий рецептов. Задание 56. Символ 9</t>
  </si>
  <si>
    <t>Память для хранения названий рецептов. Задание 56. Символ 10</t>
  </si>
  <si>
    <t>Память для хранения названий рецептов. Задание 56. Символ 11</t>
  </si>
  <si>
    <t>Память для хранения названий рецептов. Задание 56. Символ 12</t>
  </si>
  <si>
    <t>Память для хранения названий рецептов. Задание 56. Символ 13</t>
  </si>
  <si>
    <t>Память для хранения названий рецептов. Задание 56. Символ 14</t>
  </si>
  <si>
    <t>Память для хранения названий рецептов. Задание 56. Символ 15</t>
  </si>
  <si>
    <t>Память для хранения названий рецептов. Задание 56. Символ 16</t>
  </si>
  <si>
    <t>Память для хранения названий рецептов. Задание 56. Символ 17</t>
  </si>
  <si>
    <t>Память для хранения названий рецептов. Задание 56. Символ 18</t>
  </si>
  <si>
    <t>Память для хранения названий рецептов. Задание 56. Символ 19</t>
  </si>
  <si>
    <t>Память для хранения названий рецептов. Задание 56. Символ 20</t>
  </si>
  <si>
    <t>Память для хранения названий рецептов. Задание 56. Символ 21</t>
  </si>
  <si>
    <t>Память для хранения названий рецептов. Задание 56. Символ 22</t>
  </si>
  <si>
    <t>Память для хранения названий рецептов. Задание 56. Символ 23</t>
  </si>
  <si>
    <t>Память для хранения названий рецептов. Задание 56. Символ 24</t>
  </si>
  <si>
    <t>Память для хранения названий рецептов. Задание 56. Символ 25</t>
  </si>
  <si>
    <t>Память для хранения названий рецептов. Задание 57. Символ 1</t>
  </si>
  <si>
    <t>Память для хранения названий рецептов. Задание 57. Символ 2</t>
  </si>
  <si>
    <t>Память для хранения названий рецептов. Задание 57. Символ 3</t>
  </si>
  <si>
    <t>Память для хранения названий рецептов. Задание 57. Символ 4</t>
  </si>
  <si>
    <t>Память для хранения названий рецептов. Задание 57. Символ 5</t>
  </si>
  <si>
    <t>Память для хранения названий рецептов. Задание 57. Символ 6</t>
  </si>
  <si>
    <t>Память для хранения названий рецептов. Задание 57. Символ 7</t>
  </si>
  <si>
    <t>Память для хранения названий рецептов. Задание 57. Символ 8</t>
  </si>
  <si>
    <t>Память для хранения названий рецептов. Задание 57. Символ 9</t>
  </si>
  <si>
    <t>Память для хранения названий рецептов. Задание 57. Символ 10</t>
  </si>
  <si>
    <t>Память для хранения названий рецептов. Задание 57. Символ 11</t>
  </si>
  <si>
    <t>Память для хранения названий рецептов. Задание 57. Символ 12</t>
  </si>
  <si>
    <t>Память для хранения названий рецептов. Задание 57. Символ 13</t>
  </si>
  <si>
    <t>Память для хранения названий рецептов. Задание 57. Символ 14</t>
  </si>
  <si>
    <t>Память для хранения названий рецептов. Задание 57. Символ 15</t>
  </si>
  <si>
    <t>Память для хранения названий рецептов. Задание 57. Символ 16</t>
  </si>
  <si>
    <t>Память для хранения названий рецептов. Задание 57. Символ 17</t>
  </si>
  <si>
    <t>Память для хранения названий рецептов. Задание 57. Символ 18</t>
  </si>
  <si>
    <t>Память для хранения названий рецептов. Задание 57. Символ 19</t>
  </si>
  <si>
    <t>Память для хранения названий рецептов. Задание 57. Символ 20</t>
  </si>
  <si>
    <t>Память для хранения названий рецептов. Задание 57. Символ 21</t>
  </si>
  <si>
    <t>Память для хранения названий рецептов. Задание 57. Символ 22</t>
  </si>
  <si>
    <t>Память для хранения названий рецептов. Задание 57. Символ 23</t>
  </si>
  <si>
    <t>Память для хранения названий рецептов. Задание 57. Символ 24</t>
  </si>
  <si>
    <t>Память для хранения названий рецептов. Задание 57. Символ 25</t>
  </si>
  <si>
    <t>Память для хранения названий рецептов. Задание 58. Символ 1</t>
  </si>
  <si>
    <t>Память для хранения названий рецептов. Задание 58. Символ 2</t>
  </si>
  <si>
    <t>Память для хранения названий рецептов. Задание 58. Символ 3</t>
  </si>
  <si>
    <t>Память для хранения названий рецептов. Задание 58. Символ 4</t>
  </si>
  <si>
    <t>Память для хранения названий рецептов. Задание 58. Символ 5</t>
  </si>
  <si>
    <t>Память для хранения названий рецептов. Задание 58. Символ 6</t>
  </si>
  <si>
    <t>Память для хранения названий рецептов. Задание 58. Символ 7</t>
  </si>
  <si>
    <t>Память для хранения названий рецептов. Задание 58. Символ 8</t>
  </si>
  <si>
    <t>Память для хранения названий рецептов. Задание 58. Символ 9</t>
  </si>
  <si>
    <t>Память для хранения названий рецептов. Задание 58. Символ 10</t>
  </si>
  <si>
    <t>Память для хранения названий рецептов. Задание 58. Символ 11</t>
  </si>
  <si>
    <t>Память для хранения названий рецептов. Задание 58. Символ 12</t>
  </si>
  <si>
    <t>Память для хранения названий рецептов. Задание 58. Символ 13</t>
  </si>
  <si>
    <t>Память для хранения названий рецептов. Задание 58. Символ 14</t>
  </si>
  <si>
    <t>Память для хранения названий рецептов. Задание 58. Символ 15</t>
  </si>
  <si>
    <t>Память для хранения названий рецептов. Задание 58. Символ 16</t>
  </si>
  <si>
    <t>Память для хранения названий рецептов. Задание 58. Символ 17</t>
  </si>
  <si>
    <t>Память для хранения названий рецептов. Задание 58. Символ 18</t>
  </si>
  <si>
    <t>Память для хранения названий рецептов. Задание 58. Символ 19</t>
  </si>
  <si>
    <t>Память для хранения названий рецептов. Задание 58. Символ 20</t>
  </si>
  <si>
    <t>Память для хранения названий рецептов. Задание 58. Символ 21</t>
  </si>
  <si>
    <t>Память для хранения названий рецептов. Задание 58. Символ 22</t>
  </si>
  <si>
    <t>Память для хранения названий рецептов. Задание 58. Символ 23</t>
  </si>
  <si>
    <t>Память для хранения названий рецептов. Задание 58. Символ 24</t>
  </si>
  <si>
    <t>Память для хранения названий рецептов. Задание 58. Символ 25</t>
  </si>
  <si>
    <t>Память для хранения названий рецептов. Задание 59. Символ 1</t>
  </si>
  <si>
    <t>Память для хранения названий рецептов. Задание 59. Символ 2</t>
  </si>
  <si>
    <t>Память для хранения названий рецептов. Задание 59. Символ 3</t>
  </si>
  <si>
    <t>Память для хранения названий рецептов. Задание 59. Символ 4</t>
  </si>
  <si>
    <t>Память для хранения названий рецептов. Задание 59. Символ 5</t>
  </si>
  <si>
    <t>Память для хранения названий рецептов. Задание 59. Символ 6</t>
  </si>
  <si>
    <t>Память для хранения названий рецептов. Задание 59. Символ 7</t>
  </si>
  <si>
    <t>Память для хранения названий рецептов. Задание 59. Символ 8</t>
  </si>
  <si>
    <t>Память для хранения названий рецептов. Задание 59. Символ 9</t>
  </si>
  <si>
    <t>Память для хранения названий рецептов. Задание 59. Символ 10</t>
  </si>
  <si>
    <t>Память для хранения названий рецептов. Задание 59. Символ 11</t>
  </si>
  <si>
    <t>Память для хранения названий рецептов. Задание 59. Символ 12</t>
  </si>
  <si>
    <t>Память для хранения названий рецептов. Задание 59. Символ 13</t>
  </si>
  <si>
    <t>Память для хранения названий рецептов. Задание 59. Символ 14</t>
  </si>
  <si>
    <t>Память для хранения названий рецептов. Задание 59. Символ 15</t>
  </si>
  <si>
    <t>Память для хранения названий рецептов. Задание 59. Символ 16</t>
  </si>
  <si>
    <t>Память для хранения названий рецептов. Задание 59. Символ 17</t>
  </si>
  <si>
    <t>Память для хранения названий рецептов. Задание 59. Символ 18</t>
  </si>
  <si>
    <t>Память для хранения названий рецептов. Задание 59. Символ 19</t>
  </si>
  <si>
    <t>Память для хранения названий рецептов. Задание 59. Символ 20</t>
  </si>
  <si>
    <t>Память для хранения названий рецептов. Задание 59. Символ 21</t>
  </si>
  <si>
    <t>Память для хранения названий рецептов. Задание 59. Символ 22</t>
  </si>
  <si>
    <t>Память для хранения названий рецептов. Задание 59. Символ 23</t>
  </si>
  <si>
    <t>Память для хранения названий рецептов. Задание 59. Символ 24</t>
  </si>
  <si>
    <t>Память для хранения названий рецептов. Задание 59. Символ 25</t>
  </si>
  <si>
    <t>Память для хранения названий рецептов. Задание 60. Символ 1</t>
  </si>
  <si>
    <t>Память для хранения названий рецептов. Задание 60. Символ 2</t>
  </si>
  <si>
    <t>Память для хранения названий рецептов. Задание 60. Символ 3</t>
  </si>
  <si>
    <t>Память для хранения названий рецептов. Задание 60. Символ 4</t>
  </si>
  <si>
    <t>Память для хранения названий рецептов. Задание 60. Символ 5</t>
  </si>
  <si>
    <t>Память для хранения названий рецептов. Задание 60. Символ 6</t>
  </si>
  <si>
    <t>Память для хранения названий рецептов. Задание 60. Символ 7</t>
  </si>
  <si>
    <t>Память для хранения названий рецептов. Задание 60. Символ 8</t>
  </si>
  <si>
    <t>Память для хранения названий рецептов. Задание 60. Символ 9</t>
  </si>
  <si>
    <t>Память для хранения названий рецептов. Задание 60. Символ 10</t>
  </si>
  <si>
    <t>Память для хранения названий рецептов. Задание 60. Символ 11</t>
  </si>
  <si>
    <t>Память для хранения названий рецептов. Задание 60. Символ 12</t>
  </si>
  <si>
    <t>Память для хранения названий рецептов. Задание 60. Символ 13</t>
  </si>
  <si>
    <t>Память для хранения названий рецептов. Задание 60. Символ 14</t>
  </si>
  <si>
    <t>Память для хранения названий рецептов. Задание 60. Символ 15</t>
  </si>
  <si>
    <t>Память для хранения названий рецептов. Задание 60. Символ 16</t>
  </si>
  <si>
    <t>Память для хранения названий рецептов. Задание 60. Символ 17</t>
  </si>
  <si>
    <t>Память для хранения названий рецептов. Задание 60. Символ 18</t>
  </si>
  <si>
    <t>Память для хранения названий рецептов. Задание 60. Символ 19</t>
  </si>
  <si>
    <t>Память для хранения названий рецептов. Задание 60. Символ 20</t>
  </si>
  <si>
    <t>Память для хранения названий рецептов. Задание 60. Символ 21</t>
  </si>
  <si>
    <t>Память для хранения названий рецептов. Задание 60. Символ 22</t>
  </si>
  <si>
    <t>Память для хранения названий рецептов. Задание 60. Символ 23</t>
  </si>
  <si>
    <t>Память для хранения названий рецептов. Задание 60. Символ 24</t>
  </si>
  <si>
    <t>Память для хранения названий рецептов. Задание 60. Символ 25</t>
  </si>
  <si>
    <t>Память для хранения названий рецептов. Задание 59. Символ 0</t>
  </si>
  <si>
    <t>Память для хранения названий рецептов. Задание 60. Символ 0</t>
  </si>
  <si>
    <t>Редактируемое имя задания. Символ 1</t>
  </si>
  <si>
    <t>Редактируемое имя задания. Символ 2</t>
  </si>
  <si>
    <t>Редактируемое имя задания. Символ 3</t>
  </si>
  <si>
    <t>Редактируемое имя задания. Символ 4</t>
  </si>
  <si>
    <t>Редактируемое имя задания. Символ 5</t>
  </si>
  <si>
    <t>Редактируемое имя задания. Символ 6</t>
  </si>
  <si>
    <t>Редактируемое имя задания. Символ 7</t>
  </si>
  <si>
    <t>Редактируемое имя задания. Символ 8</t>
  </si>
  <si>
    <t>Редактируемое имя задания. Символ 9</t>
  </si>
  <si>
    <t>Редактируемое имя задания. Символ 10</t>
  </si>
  <si>
    <t>Редактируемое имя задания. Символ 11</t>
  </si>
  <si>
    <t>Редактируемое имя задания. Символ 12</t>
  </si>
  <si>
    <t>Редактируемое имя задания. Символ 13</t>
  </si>
  <si>
    <t>Редактируемое имя задания. Символ 14</t>
  </si>
  <si>
    <t>Редактируемое имя задания. Символ 15</t>
  </si>
  <si>
    <t>Редактируемое имя задания. Символ 16</t>
  </si>
  <si>
    <t>Редактируемое имя задания. Символ 17</t>
  </si>
  <si>
    <t>Редактируемое имя задания. Символ 18</t>
  </si>
  <si>
    <t>Редактируемое имя задания. Символ 19</t>
  </si>
  <si>
    <t>Редактируемое имя задания. Символ 20</t>
  </si>
  <si>
    <t>Редактируемое имя задания. Символ 21</t>
  </si>
  <si>
    <t>Редактируемое имя задания. Символ 22</t>
  </si>
  <si>
    <t>Редактируемое имя задания. Символ 23</t>
  </si>
  <si>
    <t>Редактируемое имя задания. Символ 24</t>
  </si>
  <si>
    <t>Редактируемое имя задания. Символ 25</t>
  </si>
  <si>
    <t>_0002_ADDR_LNM</t>
  </si>
  <si>
    <t>WORD</t>
  </si>
  <si>
    <t>L03881</t>
  </si>
  <si>
    <t>FEnet: LNM information(above Ver 6.0)</t>
  </si>
  <si>
    <t>_0002_CH00_NFR</t>
  </si>
  <si>
    <t>BIT</t>
  </si>
  <si>
    <t>L039280</t>
  </si>
  <si>
    <t>FEnet: New Frame Ready (Ver 8.6 or higher)</t>
  </si>
  <si>
    <t>_0002_CH01_NFR</t>
  </si>
  <si>
    <t>L039281</t>
  </si>
  <si>
    <t>_0002_CH02_NFR</t>
  </si>
  <si>
    <t>L039282</t>
  </si>
  <si>
    <t>_0002_CH03_NFR</t>
  </si>
  <si>
    <t>L039283</t>
  </si>
  <si>
    <t>_0002_CH04_NFR</t>
  </si>
  <si>
    <t>L039284</t>
  </si>
  <si>
    <t>_0002_CH05_NFR</t>
  </si>
  <si>
    <t>L039285</t>
  </si>
  <si>
    <t>_0002_CH06_NFR</t>
  </si>
  <si>
    <t>L039286</t>
  </si>
  <si>
    <t>_0002_CH07_NFR</t>
  </si>
  <si>
    <t>L039287</t>
  </si>
  <si>
    <t>_0002_CH08_NFR</t>
  </si>
  <si>
    <t>L039288</t>
  </si>
  <si>
    <t>_0002_CH09_NFR</t>
  </si>
  <si>
    <t>L039289</t>
  </si>
  <si>
    <t>_0002_CH10_NFR</t>
  </si>
  <si>
    <t>L03928A</t>
  </si>
  <si>
    <t>_0002_CH11_NFR</t>
  </si>
  <si>
    <t>L03928B</t>
  </si>
  <si>
    <t>_0002_CH12_NFR</t>
  </si>
  <si>
    <t>L03928C</t>
  </si>
  <si>
    <t>_0002_CH13_NFR</t>
  </si>
  <si>
    <t>L03928D</t>
  </si>
  <si>
    <t>_0002_CH14_NFR</t>
  </si>
  <si>
    <t>L03928E</t>
  </si>
  <si>
    <t>_0002_CH15_NFR</t>
  </si>
  <si>
    <t>L03928F</t>
  </si>
  <si>
    <t>_0002_CH16_NFR</t>
  </si>
  <si>
    <t>L039290</t>
  </si>
  <si>
    <t>_0002_CH17_NFR</t>
  </si>
  <si>
    <t>L039291</t>
  </si>
  <si>
    <t>_0002_CH18_NFR</t>
  </si>
  <si>
    <t>L039292</t>
  </si>
  <si>
    <t>_0002_CH19_NFR</t>
  </si>
  <si>
    <t>L039293</t>
  </si>
  <si>
    <t>_0002_CH20_NFR</t>
  </si>
  <si>
    <t>L039294</t>
  </si>
  <si>
    <t>_0002_CH21_NFR</t>
  </si>
  <si>
    <t>L039295</t>
  </si>
  <si>
    <t>_0002_CH22_NFR</t>
  </si>
  <si>
    <t>L039296</t>
  </si>
  <si>
    <t>_0002_CH23_NFR</t>
  </si>
  <si>
    <t>L039297</t>
  </si>
  <si>
    <t>_0002_CH24_NFR</t>
  </si>
  <si>
    <t>L039298</t>
  </si>
  <si>
    <t>_0002_CH25_NFR</t>
  </si>
  <si>
    <t>L039299</t>
  </si>
  <si>
    <t>_0002_CH26_NFR</t>
  </si>
  <si>
    <t>L03929A</t>
  </si>
  <si>
    <t>_0002_CH27_NFR</t>
  </si>
  <si>
    <t>L03929B</t>
  </si>
  <si>
    <t>_0002_CH28_NFR</t>
  </si>
  <si>
    <t>L03929C</t>
  </si>
  <si>
    <t>_0002_CH29_NFR</t>
  </si>
  <si>
    <t>L03929D</t>
  </si>
  <si>
    <t>_0002_CH30_NFR</t>
  </si>
  <si>
    <t>L03929E</t>
  </si>
  <si>
    <t>_0002_CH31_NFR</t>
  </si>
  <si>
    <t>L03929F</t>
  </si>
  <si>
    <t>_0002_LINE_TOPOLOGY</t>
  </si>
  <si>
    <t>L038794</t>
  </si>
  <si>
    <t>RAPIEnet: Line topology state(above Ver 6.0)</t>
  </si>
  <si>
    <t>_0002_LINKUP_INFO</t>
  </si>
  <si>
    <t>L038758</t>
  </si>
  <si>
    <t>FEnet: Link up/down information</t>
  </si>
  <si>
    <t>_0002_RING_TOPOLOGY</t>
  </si>
  <si>
    <t>L038795</t>
  </si>
  <si>
    <t>FEnet: Ring topology state(above Ver 6.0)</t>
  </si>
  <si>
    <t>_0002_SC_INFO</t>
  </si>
  <si>
    <t>L03880</t>
  </si>
  <si>
    <t>FEnet: Server connection state</t>
  </si>
  <si>
    <t>_0002_STAND_ALONE</t>
  </si>
  <si>
    <t>L038790</t>
  </si>
  <si>
    <t>FEnet: Stand alone state(above Ver 6.0)</t>
  </si>
  <si>
    <t>OSSD статус лидара</t>
  </si>
  <si>
    <t>FORCE IN: Полка 1 разблокирована (геркон)</t>
  </si>
  <si>
    <t>FORCE IN: Полка 2 разблокирована (геркон)</t>
  </si>
  <si>
    <t>FORCE IN: Полка 3 разблокирована (геркон)</t>
  </si>
  <si>
    <t>FORCE IN: Полка 4 разблокирована (геркон)</t>
  </si>
  <si>
    <t>FORCE IN: Объект в зоне предупреждения лидара</t>
  </si>
  <si>
    <t>FORCE IN: Датчик давления воздуха</t>
  </si>
  <si>
    <t>FORCE IN: Кнопка "Запуск задания"</t>
  </si>
  <si>
    <t>FORCE IN: Кнопка "Запуск цикла робота"</t>
  </si>
  <si>
    <t>FORCE IN: Кнопка "Сброс ошибок"</t>
  </si>
  <si>
    <t>FORCE IN: OSSD статус лидара</t>
  </si>
  <si>
    <t>FORCE IN: Резерв</t>
  </si>
  <si>
    <t>FORCE OUT: Открыть полку 1</t>
  </si>
  <si>
    <t>FORCE OUT: Открыть полку 2</t>
  </si>
  <si>
    <t>FORCE OUT: Открыть полку 3</t>
  </si>
  <si>
    <t>FORCE OUT: Открыть полку 4</t>
  </si>
  <si>
    <t>FORCE OUT: Сброс системы безопасности лидара</t>
  </si>
  <si>
    <t>FORCE OUT: Резерв</t>
  </si>
  <si>
    <t>FORCE OUT: Индикатор "Задание запущено" (жёлтый)</t>
  </si>
  <si>
    <t>FORCE OUT: Индикатор "Цикл робота запущен" (зелёный)</t>
  </si>
  <si>
    <t>FORCE OUT: Индикатор "Ошибка" (красный)</t>
  </si>
  <si>
    <t>FORCE IN: Станок готов к работе</t>
  </si>
  <si>
    <t>FORCE IN: Станок ожидает загрузки</t>
  </si>
  <si>
    <t>FORCE IN: Патрон 1 открыт</t>
  </si>
  <si>
    <t>FORCE IN: Патрон 1 закрыт</t>
  </si>
  <si>
    <t>FORCE IN: Патрон 2 открыт</t>
  </si>
  <si>
    <t>FORCE IN: Патрон 2 закрыт</t>
  </si>
  <si>
    <t>FORCE IN: Поиск программы успешен</t>
  </si>
  <si>
    <t>FORCE IN: Ошибка поиска программы</t>
  </si>
  <si>
    <t>FORCE OUT: Система включена</t>
  </si>
  <si>
    <t>FORCE OUT: Загрузка завершена</t>
  </si>
  <si>
    <t>FORCE OUT: Открыть патрон 1</t>
  </si>
  <si>
    <t>FORCE OUT: Закрыть патрон 1</t>
  </si>
  <si>
    <t>FORCE OUT: Открыть патрон 2</t>
  </si>
  <si>
    <t>FORCE OUT: Закрыть патрон 2</t>
  </si>
  <si>
    <t>FORCE OUT: Запуск программы</t>
  </si>
  <si>
    <t>FORCE OUT: Поиск программы</t>
  </si>
  <si>
    <t>FORCE OUT: Номер программы станка бит 7</t>
  </si>
  <si>
    <t>P10000</t>
  </si>
  <si>
    <t>P10002</t>
  </si>
  <si>
    <t>P10006</t>
  </si>
  <si>
    <t>P10007</t>
  </si>
  <si>
    <t>P1000A</t>
  </si>
  <si>
    <t>P1000C</t>
  </si>
  <si>
    <t>P11000</t>
  </si>
  <si>
    <t>P11001</t>
  </si>
  <si>
    <t>P11002</t>
  </si>
  <si>
    <t>P11003</t>
  </si>
  <si>
    <t>P11004</t>
  </si>
  <si>
    <t>P11005</t>
  </si>
  <si>
    <t>M00120</t>
  </si>
  <si>
    <t>Система в состоянии ошибки</t>
  </si>
  <si>
    <t>M00121</t>
  </si>
  <si>
    <t>M00122</t>
  </si>
  <si>
    <t>Робот в ручном режиме</t>
  </si>
  <si>
    <t>BIT/WORD</t>
  </si>
  <si>
    <t>T0000</t>
  </si>
  <si>
    <t>100MS Таймер мигания сигнала об ошибке 10 секунд</t>
  </si>
  <si>
    <t>Z001</t>
  </si>
  <si>
    <t>Счётчик для инициализации чисел</t>
  </si>
  <si>
    <t>D00000</t>
  </si>
  <si>
    <t>D00001</t>
  </si>
  <si>
    <t>D00002</t>
  </si>
  <si>
    <t>D00003</t>
  </si>
  <si>
    <t>D00004</t>
  </si>
  <si>
    <t>D00005</t>
  </si>
  <si>
    <t>D00006</t>
  </si>
  <si>
    <t>D00007</t>
  </si>
  <si>
    <t>D00008</t>
  </si>
  <si>
    <t>D00009</t>
  </si>
  <si>
    <t>D00010</t>
  </si>
  <si>
    <t>D00011</t>
  </si>
  <si>
    <t>D00012</t>
  </si>
  <si>
    <t>D00013</t>
  </si>
  <si>
    <t>D00014</t>
  </si>
  <si>
    <t>D00015</t>
  </si>
  <si>
    <t>D00016</t>
  </si>
  <si>
    <t>D00017</t>
  </si>
  <si>
    <t>D00018</t>
  </si>
  <si>
    <t>D00019</t>
  </si>
  <si>
    <t>D00020</t>
  </si>
  <si>
    <t>D00021</t>
  </si>
  <si>
    <t>D00022</t>
  </si>
  <si>
    <t>D00023</t>
  </si>
  <si>
    <t>D00024</t>
  </si>
  <si>
    <t>D00025</t>
  </si>
  <si>
    <t>D00026</t>
  </si>
  <si>
    <t>D00027</t>
  </si>
  <si>
    <t>D00028</t>
  </si>
  <si>
    <t>D00029</t>
  </si>
  <si>
    <t>D00030</t>
  </si>
  <si>
    <t>D00031</t>
  </si>
  <si>
    <t>D00032</t>
  </si>
  <si>
    <t>D00033</t>
  </si>
  <si>
    <t>D00034</t>
  </si>
  <si>
    <t>D00035</t>
  </si>
  <si>
    <t>D00036</t>
  </si>
  <si>
    <t>D00037</t>
  </si>
  <si>
    <t>D00038</t>
  </si>
  <si>
    <t>D00039</t>
  </si>
  <si>
    <t>D00040</t>
  </si>
  <si>
    <t>D00041</t>
  </si>
  <si>
    <t>D00042</t>
  </si>
  <si>
    <t>D00043</t>
  </si>
  <si>
    <t>D00044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</si>
  <si>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</si>
  <si>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</si>
  <si>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</si>
  <si>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</si>
  <si>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</si>
  <si>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</si>
  <si>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</si>
  <si>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</si>
  <si>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</si>
  <si>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</si>
  <si>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D00055</t>
  </si>
  <si>
    <t>D00056</t>
  </si>
  <si>
    <t>D00057</t>
  </si>
  <si>
    <t>D00058</t>
  </si>
  <si>
    <t>D00059</t>
  </si>
  <si>
    <t>D00060</t>
  </si>
  <si>
    <t>D00061</t>
  </si>
  <si>
    <t>D00062</t>
  </si>
  <si>
    <t>D00063</t>
  </si>
  <si>
    <t>D00064</t>
  </si>
  <si>
    <t>D00065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</si>
  <si>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</si>
  <si>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</si>
  <si>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</si>
  <si>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</si>
  <si>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</si>
  <si>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</si>
  <si>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</si>
  <si>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</si>
  <si>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</si>
  <si>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</si>
  <si>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</si>
  <si>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</si>
  <si>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</si>
  <si>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</si>
  <si>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</si>
  <si>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</si>
  <si>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</si>
  <si>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</si>
  <si>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</si>
  <si>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</si>
  <si>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</si>
  <si>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</si>
  <si>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</si>
  <si>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</si>
  <si>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</si>
  <si>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</si>
  <si>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</si>
  <si>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</si>
  <si>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</si>
  <si>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</si>
  <si>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</si>
  <si>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</si>
  <si>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</si>
  <si>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</si>
  <si>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</si>
  <si>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</si>
  <si>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</si>
  <si>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</si>
  <si>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</si>
  <si>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</si>
  <si>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</si>
  <si>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</si>
  <si>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</si>
  <si>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</si>
  <si>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</si>
  <si>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</si>
  <si>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</si>
  <si>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</si>
  <si>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</si>
  <si>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</si>
  <si>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</si>
  <si>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</si>
  <si>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</si>
  <si>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</si>
  <si>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</si>
  <si>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</si>
  <si>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</si>
  <si>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</si>
  <si>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</si>
  <si>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</si>
  <si>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</si>
  <si>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</si>
  <si>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</si>
  <si>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M20470</t>
  </si>
  <si>
    <t>Флаг инициализации</t>
  </si>
  <si>
    <t>M00123</t>
  </si>
  <si>
    <t>Робот готов к запуску цикла</t>
  </si>
  <si>
    <t>M00124</t>
  </si>
  <si>
    <t>Мигание индикатора готовности робота к запуску цикла</t>
  </si>
  <si>
    <t>T0001</t>
  </si>
  <si>
    <t>100MS Задержка между включением моторов и запуском цикла</t>
  </si>
  <si>
    <t>T0002</t>
  </si>
  <si>
    <t>100MS Таймер на 2 секунды удерживания кнопки</t>
  </si>
  <si>
    <t>M00125</t>
  </si>
  <si>
    <t>Команда остановки цикла робота</t>
  </si>
  <si>
    <t>T0003</t>
  </si>
  <si>
    <t>100MS Таймер между командой на паузу робота и выключением моторов</t>
  </si>
  <si>
    <t>P1110</t>
  </si>
  <si>
    <t>Таймер открытия патрона 1 (0)</t>
  </si>
  <si>
    <t>D00130</t>
  </si>
  <si>
    <t>P10010</t>
  </si>
  <si>
    <t>P10011</t>
  </si>
  <si>
    <t>P10013</t>
  </si>
  <si>
    <t>P10014</t>
  </si>
  <si>
    <t>P10020</t>
  </si>
  <si>
    <t>P10021</t>
  </si>
  <si>
    <t>P10022</t>
  </si>
  <si>
    <t>P10023</t>
  </si>
  <si>
    <t>P10024</t>
  </si>
  <si>
    <t>P10030</t>
  </si>
  <si>
    <t>P10031</t>
  </si>
  <si>
    <t>P10044</t>
  </si>
  <si>
    <t>P10045</t>
  </si>
  <si>
    <t>P10046</t>
  </si>
  <si>
    <t>P10047</t>
  </si>
  <si>
    <t>P11010</t>
  </si>
  <si>
    <t>P11011</t>
  </si>
  <si>
    <t>P11013</t>
  </si>
  <si>
    <t>P11020</t>
  </si>
  <si>
    <t>P11021</t>
  </si>
  <si>
    <t>P11022</t>
  </si>
  <si>
    <t>P11023</t>
  </si>
  <si>
    <t>P11024</t>
  </si>
  <si>
    <t>P11030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</si>
  <si>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</si>
  <si>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</si>
  <si>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</si>
  <si>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</si>
  <si>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</si>
  <si>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</si>
  <si>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</si>
  <si>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</si>
  <si>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</si>
  <si>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T0004</t>
  </si>
  <si>
    <t>T100MS Таймаут ошибки разблокировки полки 1</t>
  </si>
  <si>
    <t>D00131</t>
  </si>
  <si>
    <t>M00137</t>
  </si>
  <si>
    <t>HMI Команда на открытие полки 4</t>
  </si>
  <si>
    <t>M00136</t>
  </si>
  <si>
    <t>HMI Команда на открытие полки 3</t>
  </si>
  <si>
    <t>M00135</t>
  </si>
  <si>
    <t>HMI Команда на открытие полки 2</t>
  </si>
  <si>
    <t>M00134</t>
  </si>
  <si>
    <t>HMI Команда на открытие полки 1</t>
  </si>
  <si>
    <t>M00133</t>
  </si>
  <si>
    <t>Команда на открытие полки 4</t>
  </si>
  <si>
    <t>M00132</t>
  </si>
  <si>
    <t>Команда на открытие полки 3</t>
  </si>
  <si>
    <t>M00131</t>
  </si>
  <si>
    <t>Команда на открытие полки 2</t>
  </si>
  <si>
    <t>M00130</t>
  </si>
  <si>
    <t>Команда на открытие полки 1</t>
  </si>
  <si>
    <t>M00139</t>
  </si>
  <si>
    <t>Индикатор ошибки открытия полки</t>
  </si>
  <si>
    <t>T0008</t>
  </si>
  <si>
    <t>T100MS Время, в течении которого полка 1 разблокирована</t>
  </si>
  <si>
    <t>T0005</t>
  </si>
  <si>
    <t>T100MS Таймаут ошибки разблокировки полки 2</t>
  </si>
  <si>
    <t>T0006</t>
  </si>
  <si>
    <t>T100MS Таймаут ошибки разблокировки полки 3</t>
  </si>
  <si>
    <t>T0007</t>
  </si>
  <si>
    <t>T100MS Таймаут ошибки разблокировки полки 4</t>
  </si>
  <si>
    <t>T0009</t>
  </si>
  <si>
    <t>T100MS Время, в течении которого полка 2 разблокирована</t>
  </si>
  <si>
    <t>T0010</t>
  </si>
  <si>
    <t>T100MS Время, в течении которого полка 3 разблокирована</t>
  </si>
  <si>
    <t>T0011</t>
  </si>
  <si>
    <t>T100MS Время, в течении которого полка 4 разблокирована</t>
  </si>
  <si>
    <t>P10033</t>
  </si>
  <si>
    <t>P10034</t>
  </si>
  <si>
    <t>P10035</t>
  </si>
  <si>
    <t>P10036</t>
  </si>
  <si>
    <t>P10037</t>
  </si>
  <si>
    <t>P10040</t>
  </si>
  <si>
    <t>P10041</t>
  </si>
  <si>
    <t>P10042</t>
  </si>
  <si>
    <t>P10043</t>
  </si>
  <si>
    <t>P10049</t>
  </si>
  <si>
    <t>P1004A</t>
  </si>
  <si>
    <t>P1004B</t>
  </si>
  <si>
    <t>P1004C</t>
  </si>
  <si>
    <t>P11100</t>
  </si>
  <si>
    <t>M00140</t>
  </si>
  <si>
    <t>Команда загрузки данных из базы рецептов</t>
  </si>
  <si>
    <t>M00141</t>
  </si>
  <si>
    <t>Команда сохранения данных в базу рецептов</t>
  </si>
  <si>
    <t>M00142</t>
  </si>
  <si>
    <t>Запись/считывание данных успешно</t>
  </si>
  <si>
    <t>M00143</t>
  </si>
  <si>
    <t>Ошибка записи/считывания данных</t>
  </si>
  <si>
    <t>M00144</t>
  </si>
  <si>
    <t>Кнопка сохранения задания в базу данных</t>
  </si>
  <si>
    <t>D00200</t>
  </si>
  <si>
    <t>D00201</t>
  </si>
  <si>
    <t>D00202</t>
  </si>
  <si>
    <t>D00321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</si>
  <si>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</si>
  <si>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</si>
  <si>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</si>
  <si>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</si>
  <si>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</si>
  <si>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</si>
  <si>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</si>
  <si>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</si>
  <si>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Z002</t>
  </si>
  <si>
    <t>Счётчик для инициализации строк</t>
  </si>
  <si>
    <t>M00160</t>
  </si>
  <si>
    <t>Статус захвата 1</t>
  </si>
  <si>
    <t>M00161</t>
  </si>
  <si>
    <t>Статус захвата 2</t>
  </si>
  <si>
    <t>M00162</t>
  </si>
  <si>
    <t>Статус патрона 1</t>
  </si>
  <si>
    <t>M00163</t>
  </si>
  <si>
    <t>Статус патрона 2</t>
  </si>
  <si>
    <t>M00164</t>
  </si>
  <si>
    <t xml:space="preserve">Статус следующей заготовки </t>
  </si>
  <si>
    <t>D00140</t>
  </si>
  <si>
    <t>M00165</t>
  </si>
  <si>
    <t>Статус станка: ожидание загрузки</t>
  </si>
  <si>
    <t>M00166</t>
  </si>
  <si>
    <t>Статус станка: В работе</t>
  </si>
  <si>
    <t>M00167</t>
  </si>
  <si>
    <t>Робот в домашнем положении</t>
  </si>
  <si>
    <t>M00168</t>
  </si>
  <si>
    <t>Статус робота: Цикл не запущен</t>
  </si>
  <si>
    <t>M00169</t>
  </si>
  <si>
    <t>Статус робота: Цикл запущен задание не запущено</t>
  </si>
  <si>
    <t>M0016A</t>
  </si>
  <si>
    <t>Статус робота: Задание запущено</t>
  </si>
  <si>
    <t>D00142</t>
  </si>
  <si>
    <t>D00143</t>
  </si>
  <si>
    <t>D00144</t>
  </si>
  <si>
    <t>D00145</t>
  </si>
  <si>
    <t>D00141</t>
  </si>
  <si>
    <t>D00132</t>
  </si>
  <si>
    <t>D00133</t>
  </si>
  <si>
    <t>D00134</t>
  </si>
  <si>
    <t>D00135</t>
  </si>
  <si>
    <t>M0013A</t>
  </si>
  <si>
    <t>Полка 1 загружена</t>
  </si>
  <si>
    <t>M0013B</t>
  </si>
  <si>
    <t>Полка 2 загружена</t>
  </si>
  <si>
    <t>M0013C</t>
  </si>
  <si>
    <t>Полка 3 загружена</t>
  </si>
  <si>
    <t>M0013D</t>
  </si>
  <si>
    <t>Полка 4 загружена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</si>
  <si>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</si>
  <si>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</si>
  <si>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</si>
  <si>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</si>
  <si>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</si>
  <si>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</si>
  <si>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</si>
  <si>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</si>
  <si>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</si>
  <si>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</si>
  <si>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</si>
  <si>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D00199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</si>
  <si>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</si>
  <si>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</si>
  <si>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</si>
  <si>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</si>
  <si>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</si>
  <si>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</si>
  <si>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</si>
  <si>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</si>
  <si>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</si>
  <si>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</si>
  <si>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</si>
  <si>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D10000</t>
  </si>
  <si>
    <t>D10001</t>
  </si>
  <si>
    <t>D10002</t>
  </si>
  <si>
    <t>D10003</t>
  </si>
  <si>
    <t>D10004</t>
  </si>
  <si>
    <t>D10005</t>
  </si>
  <si>
    <t>D10006</t>
  </si>
  <si>
    <t>D10007</t>
  </si>
  <si>
    <t>D10008</t>
  </si>
  <si>
    <t>D10009</t>
  </si>
  <si>
    <t>D10010</t>
  </si>
  <si>
    <t>D10011</t>
  </si>
  <si>
    <t>D10012</t>
  </si>
  <si>
    <t>D10013</t>
  </si>
  <si>
    <t>D10014</t>
  </si>
  <si>
    <t>D10015</t>
  </si>
  <si>
    <t>D10016</t>
  </si>
  <si>
    <t>D10017</t>
  </si>
  <si>
    <t>D10018</t>
  </si>
  <si>
    <t>D10019</t>
  </si>
  <si>
    <t>D10020</t>
  </si>
  <si>
    <t>D10021</t>
  </si>
  <si>
    <t>D10022</t>
  </si>
  <si>
    <t>D10023</t>
  </si>
  <si>
    <t>D10024</t>
  </si>
  <si>
    <t>D10025</t>
  </si>
  <si>
    <t>D10026</t>
  </si>
  <si>
    <t>D10027</t>
  </si>
  <si>
    <t>D10028</t>
  </si>
  <si>
    <t>D10029</t>
  </si>
  <si>
    <t>D10030</t>
  </si>
  <si>
    <t>D10031</t>
  </si>
  <si>
    <t>D10032</t>
  </si>
  <si>
    <t>D10033</t>
  </si>
  <si>
    <t>D10034</t>
  </si>
  <si>
    <t>D10035</t>
  </si>
  <si>
    <t>D10036</t>
  </si>
  <si>
    <t>D10037</t>
  </si>
  <si>
    <t>D10038</t>
  </si>
  <si>
    <t>D10039</t>
  </si>
  <si>
    <t>D10040</t>
  </si>
  <si>
    <t>D10041</t>
  </si>
  <si>
    <t>D10042</t>
  </si>
  <si>
    <t>D10043</t>
  </si>
  <si>
    <t>D10044</t>
  </si>
  <si>
    <t>D10045</t>
  </si>
  <si>
    <t>D10046</t>
  </si>
  <si>
    <t>D10047</t>
  </si>
  <si>
    <t>D10048</t>
  </si>
  <si>
    <t>D10049</t>
  </si>
  <si>
    <t>D10050</t>
  </si>
  <si>
    <t>D10051</t>
  </si>
  <si>
    <t>D10052</t>
  </si>
  <si>
    <t>D10053</t>
  </si>
  <si>
    <t>D10054</t>
  </si>
  <si>
    <t>D10055</t>
  </si>
  <si>
    <t>D10056</t>
  </si>
  <si>
    <t>D10057</t>
  </si>
  <si>
    <t>D10058</t>
  </si>
  <si>
    <t>D10059</t>
  </si>
  <si>
    <t>D10060</t>
  </si>
  <si>
    <t>D10061</t>
  </si>
  <si>
    <t>D10062</t>
  </si>
  <si>
    <t>D10063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</si>
  <si>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</si>
  <si>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</si>
  <si>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</si>
  <si>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</si>
  <si>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</si>
  <si>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</si>
  <si>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</si>
  <si>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</si>
  <si>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</si>
  <si>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</si>
  <si>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</si>
  <si>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D10075</t>
  </si>
  <si>
    <t>D10076</t>
  </si>
  <si>
    <t>D10077</t>
  </si>
  <si>
    <t>D10078</t>
  </si>
  <si>
    <t>D10079</t>
  </si>
  <si>
    <t>D10080</t>
  </si>
  <si>
    <t>D10081</t>
  </si>
  <si>
    <t>D10082</t>
  </si>
  <si>
    <t>D10083</t>
  </si>
  <si>
    <t>D10084</t>
  </si>
  <si>
    <t>D10085</t>
  </si>
  <si>
    <t>D10086</t>
  </si>
  <si>
    <t>D10087</t>
  </si>
  <si>
    <t>D10088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</si>
  <si>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</si>
  <si>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</si>
  <si>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</si>
  <si>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</si>
  <si>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</si>
  <si>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</si>
  <si>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</si>
  <si>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</si>
  <si>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</si>
  <si>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</si>
  <si>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</si>
  <si>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</si>
  <si>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</si>
  <si>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</si>
  <si>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</si>
  <si>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</si>
  <si>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</si>
  <si>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</si>
  <si>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</si>
  <si>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</si>
  <si>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</si>
  <si>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</si>
  <si>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</si>
  <si>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</si>
  <si>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</si>
  <si>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</si>
  <si>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D10115</t>
  </si>
  <si>
    <t>D10116</t>
  </si>
  <si>
    <t>D10117</t>
  </si>
  <si>
    <t>D10118</t>
  </si>
  <si>
    <t>D10119</t>
  </si>
  <si>
    <t>D10120</t>
  </si>
  <si>
    <t>D10121</t>
  </si>
  <si>
    <t>D10122</t>
  </si>
  <si>
    <t>D10123</t>
  </si>
  <si>
    <t>D10124</t>
  </si>
  <si>
    <t>D10125</t>
  </si>
  <si>
    <t>D10126</t>
  </si>
  <si>
    <t>D10127</t>
  </si>
  <si>
    <t>D10128</t>
  </si>
  <si>
    <t>D10129</t>
  </si>
  <si>
    <t>D10130</t>
  </si>
  <si>
    <t>D10131</t>
  </si>
  <si>
    <t>D10132</t>
  </si>
  <si>
    <t>D10133</t>
  </si>
  <si>
    <t>D10134</t>
  </si>
  <si>
    <t>D10135</t>
  </si>
  <si>
    <t>D10136</t>
  </si>
  <si>
    <t>D10137</t>
  </si>
  <si>
    <t>D10138</t>
  </si>
  <si>
    <t>D10139</t>
  </si>
  <si>
    <t>D10140</t>
  </si>
  <si>
    <t>D10141</t>
  </si>
  <si>
    <t>D10142</t>
  </si>
  <si>
    <t>D10143</t>
  </si>
  <si>
    <t>D10144</t>
  </si>
  <si>
    <t>D10145</t>
  </si>
  <si>
    <t>D10146</t>
  </si>
  <si>
    <t>D10147</t>
  </si>
  <si>
    <t>D10148</t>
  </si>
  <si>
    <t>D10149</t>
  </si>
  <si>
    <t>D10150</t>
  </si>
  <si>
    <t>D10151</t>
  </si>
  <si>
    <t>D10152</t>
  </si>
  <si>
    <t>D10153</t>
  </si>
  <si>
    <t>D10154</t>
  </si>
  <si>
    <t>D10155</t>
  </si>
  <si>
    <t>D10156</t>
  </si>
  <si>
    <t>D10157</t>
  </si>
  <si>
    <t>D10158</t>
  </si>
  <si>
    <t>D10159</t>
  </si>
  <si>
    <t>D10160</t>
  </si>
  <si>
    <t>D10161</t>
  </si>
  <si>
    <t>D10162</t>
  </si>
  <si>
    <t>D10163</t>
  </si>
  <si>
    <t>D10164</t>
  </si>
  <si>
    <t>D10165</t>
  </si>
  <si>
    <t>D10166</t>
  </si>
  <si>
    <t>D10167</t>
  </si>
  <si>
    <t>D10168</t>
  </si>
  <si>
    <t>D10169</t>
  </si>
  <si>
    <t>D10170</t>
  </si>
  <si>
    <t>D10171</t>
  </si>
  <si>
    <t>D10172</t>
  </si>
  <si>
    <t>D10173</t>
  </si>
  <si>
    <t>D10174</t>
  </si>
  <si>
    <t>D10175</t>
  </si>
  <si>
    <t>D10176</t>
  </si>
  <si>
    <t>D10177</t>
  </si>
  <si>
    <t>D10178</t>
  </si>
  <si>
    <t>D10179</t>
  </si>
  <si>
    <t>D10180</t>
  </si>
  <si>
    <t>D10181</t>
  </si>
  <si>
    <t>D10182</t>
  </si>
  <si>
    <t>D10183</t>
  </si>
  <si>
    <t>D10184</t>
  </si>
  <si>
    <t>D10185</t>
  </si>
  <si>
    <t>D10186</t>
  </si>
  <si>
    <t>D10187</t>
  </si>
  <si>
    <t>D10188</t>
  </si>
  <si>
    <t>D10189</t>
  </si>
  <si>
    <t>D10190</t>
  </si>
  <si>
    <t>D10191</t>
  </si>
  <si>
    <t>D10192</t>
  </si>
  <si>
    <t>D10193</t>
  </si>
  <si>
    <t>D10194</t>
  </si>
  <si>
    <t>D10195</t>
  </si>
  <si>
    <t>D10196</t>
  </si>
  <si>
    <t>D10197</t>
  </si>
  <si>
    <t>D10198</t>
  </si>
  <si>
    <t>D10199</t>
  </si>
  <si>
    <t>D10200</t>
  </si>
  <si>
    <t>D10201</t>
  </si>
  <si>
    <t>D10202</t>
  </si>
  <si>
    <t>D10203</t>
  </si>
  <si>
    <t>D10204</t>
  </si>
  <si>
    <t>D10205</t>
  </si>
  <si>
    <t>D10206</t>
  </si>
  <si>
    <t>D10207</t>
  </si>
  <si>
    <t>D10208</t>
  </si>
  <si>
    <t>D10209</t>
  </si>
  <si>
    <t>D10210</t>
  </si>
  <si>
    <t>D10211</t>
  </si>
  <si>
    <t>D10212</t>
  </si>
  <si>
    <t>D10213</t>
  </si>
  <si>
    <t>D10214</t>
  </si>
  <si>
    <t>D10215</t>
  </si>
  <si>
    <t>D10216</t>
  </si>
  <si>
    <t>D10217</t>
  </si>
  <si>
    <t>D10218</t>
  </si>
  <si>
    <t>D10219</t>
  </si>
  <si>
    <t>D10220</t>
  </si>
  <si>
    <t>D10221</t>
  </si>
  <si>
    <t>D10222</t>
  </si>
  <si>
    <t>D10223</t>
  </si>
  <si>
    <t>D10224</t>
  </si>
  <si>
    <t>D10225</t>
  </si>
  <si>
    <t>D10226</t>
  </si>
  <si>
    <t>D10227</t>
  </si>
  <si>
    <t>D10228</t>
  </si>
  <si>
    <t>D10229</t>
  </si>
  <si>
    <t>D10230</t>
  </si>
  <si>
    <t>D10231</t>
  </si>
  <si>
    <t>D10232</t>
  </si>
  <si>
    <t>D10233</t>
  </si>
  <si>
    <t>D10234</t>
  </si>
  <si>
    <t>D10235</t>
  </si>
  <si>
    <t>D10236</t>
  </si>
  <si>
    <t>D10237</t>
  </si>
  <si>
    <t>D10238</t>
  </si>
  <si>
    <t>D10239</t>
  </si>
  <si>
    <t>D10240</t>
  </si>
  <si>
    <t>D10241</t>
  </si>
  <si>
    <t>D10242</t>
  </si>
  <si>
    <t>D10243</t>
  </si>
  <si>
    <t>D10244</t>
  </si>
  <si>
    <t>D10245</t>
  </si>
  <si>
    <t>D10246</t>
  </si>
  <si>
    <t>D10247</t>
  </si>
  <si>
    <t>D10248</t>
  </si>
  <si>
    <t>D10249</t>
  </si>
  <si>
    <t>D10250</t>
  </si>
  <si>
    <t>D10251</t>
  </si>
  <si>
    <t>D10252</t>
  </si>
  <si>
    <t>D10253</t>
  </si>
  <si>
    <t>D10254</t>
  </si>
  <si>
    <t>D10255</t>
  </si>
  <si>
    <t>D10256</t>
  </si>
  <si>
    <t>D10257</t>
  </si>
  <si>
    <t>D10258</t>
  </si>
  <si>
    <t>D10259</t>
  </si>
  <si>
    <t>D10260</t>
  </si>
  <si>
    <t>D10261</t>
  </si>
  <si>
    <t>D10262</t>
  </si>
  <si>
    <t>D10263</t>
  </si>
  <si>
    <t>D10264</t>
  </si>
  <si>
    <t>D10265</t>
  </si>
  <si>
    <t>D10266</t>
  </si>
  <si>
    <t>D10267</t>
  </si>
  <si>
    <t>D10268</t>
  </si>
  <si>
    <t>D10269</t>
  </si>
  <si>
    <t>D10270</t>
  </si>
  <si>
    <t>D10271</t>
  </si>
  <si>
    <t>D10272</t>
  </si>
  <si>
    <t>D10273</t>
  </si>
  <si>
    <t>D10274</t>
  </si>
  <si>
    <t>D10275</t>
  </si>
  <si>
    <t>D10276</t>
  </si>
  <si>
    <t>D10277</t>
  </si>
  <si>
    <t>D10278</t>
  </si>
  <si>
    <t>D10279</t>
  </si>
  <si>
    <t>D10280</t>
  </si>
  <si>
    <t>D10281</t>
  </si>
  <si>
    <t>D10282</t>
  </si>
  <si>
    <t>D10283</t>
  </si>
  <si>
    <t>D10284</t>
  </si>
  <si>
    <t>D10285</t>
  </si>
  <si>
    <t>D10286</t>
  </si>
  <si>
    <t>D10287</t>
  </si>
  <si>
    <t>D10288</t>
  </si>
  <si>
    <t>D10289</t>
  </si>
  <si>
    <t>D10290</t>
  </si>
  <si>
    <t>D10291</t>
  </si>
  <si>
    <t>D10292</t>
  </si>
  <si>
    <t>D10293</t>
  </si>
  <si>
    <t>D10294</t>
  </si>
  <si>
    <t>D10295</t>
  </si>
  <si>
    <t>D10296</t>
  </si>
  <si>
    <t>D10297</t>
  </si>
  <si>
    <t>D10298</t>
  </si>
  <si>
    <t>D10299</t>
  </si>
  <si>
    <t>D10300</t>
  </si>
  <si>
    <t>D10301</t>
  </si>
  <si>
    <t>D10302</t>
  </si>
  <si>
    <t>D10303</t>
  </si>
  <si>
    <t>D10304</t>
  </si>
  <si>
    <t>D10305</t>
  </si>
  <si>
    <t>D10306</t>
  </si>
  <si>
    <t>D10307</t>
  </si>
  <si>
    <t>D10308</t>
  </si>
  <si>
    <t>D10309</t>
  </si>
  <si>
    <t>D10310</t>
  </si>
  <si>
    <t>D10311</t>
  </si>
  <si>
    <t>D10312</t>
  </si>
  <si>
    <t>D10313</t>
  </si>
  <si>
    <t>D10314</t>
  </si>
  <si>
    <t>D10315</t>
  </si>
  <si>
    <t>D10316</t>
  </si>
  <si>
    <t>D10317</t>
  </si>
  <si>
    <t>D10318</t>
  </si>
  <si>
    <t>D10319</t>
  </si>
  <si>
    <t>D10320</t>
  </si>
  <si>
    <t>D10321</t>
  </si>
  <si>
    <t>D10322</t>
  </si>
  <si>
    <t>D10323</t>
  </si>
  <si>
    <t>D10324</t>
  </si>
  <si>
    <t>D10325</t>
  </si>
  <si>
    <t>D10326</t>
  </si>
  <si>
    <t>D10327</t>
  </si>
  <si>
    <t>D10328</t>
  </si>
  <si>
    <t>D10329</t>
  </si>
  <si>
    <t>D10330</t>
  </si>
  <si>
    <t>D10331</t>
  </si>
  <si>
    <t>D10332</t>
  </si>
  <si>
    <t>D10333</t>
  </si>
  <si>
    <t>D10334</t>
  </si>
  <si>
    <t>D10335</t>
  </si>
  <si>
    <t>D10336</t>
  </si>
  <si>
    <t>D10337</t>
  </si>
  <si>
    <t>D10338</t>
  </si>
  <si>
    <t>D10339</t>
  </si>
  <si>
    <t>D10340</t>
  </si>
  <si>
    <t>D10341</t>
  </si>
  <si>
    <t>D10342</t>
  </si>
  <si>
    <t>D10343</t>
  </si>
  <si>
    <t>D10344</t>
  </si>
  <si>
    <t>D10345</t>
  </si>
  <si>
    <t>D10346</t>
  </si>
  <si>
    <t>D10347</t>
  </si>
  <si>
    <t>D10348</t>
  </si>
  <si>
    <t>D10349</t>
  </si>
  <si>
    <t>D10350</t>
  </si>
  <si>
    <t>D10351</t>
  </si>
  <si>
    <t>D10352</t>
  </si>
  <si>
    <t>D10353</t>
  </si>
  <si>
    <t>D10354</t>
  </si>
  <si>
    <t>D10355</t>
  </si>
  <si>
    <t>D10356</t>
  </si>
  <si>
    <t>D10357</t>
  </si>
  <si>
    <t>D10358</t>
  </si>
  <si>
    <t>D10359</t>
  </si>
  <si>
    <t>D10360</t>
  </si>
  <si>
    <t>D10361</t>
  </si>
  <si>
    <t>D10362</t>
  </si>
  <si>
    <t>D10363</t>
  </si>
  <si>
    <t>D10364</t>
  </si>
  <si>
    <t>D10365</t>
  </si>
  <si>
    <t>D10366</t>
  </si>
  <si>
    <t>D10367</t>
  </si>
  <si>
    <t>D10368</t>
  </si>
  <si>
    <t>D10369</t>
  </si>
  <si>
    <t>D10370</t>
  </si>
  <si>
    <t>D10371</t>
  </si>
  <si>
    <t>D10372</t>
  </si>
  <si>
    <t>D10373</t>
  </si>
  <si>
    <t>D10374</t>
  </si>
  <si>
    <t>D10375</t>
  </si>
  <si>
    <t>D10376</t>
  </si>
  <si>
    <t>D10377</t>
  </si>
  <si>
    <t>D10378</t>
  </si>
  <si>
    <t>D10379</t>
  </si>
  <si>
    <t>D10380</t>
  </si>
  <si>
    <t>D10381</t>
  </si>
  <si>
    <t>D10382</t>
  </si>
  <si>
    <t>D10383</t>
  </si>
  <si>
    <t>D10384</t>
  </si>
  <si>
    <t>D10385</t>
  </si>
  <si>
    <t>D10386</t>
  </si>
  <si>
    <t>D10387</t>
  </si>
  <si>
    <t>D10388</t>
  </si>
  <si>
    <t>D10389</t>
  </si>
  <si>
    <t>D10390</t>
  </si>
  <si>
    <t>D10391</t>
  </si>
  <si>
    <t>D10392</t>
  </si>
  <si>
    <t>D10393</t>
  </si>
  <si>
    <t>D10394</t>
  </si>
  <si>
    <t>D10395</t>
  </si>
  <si>
    <t>D10396</t>
  </si>
  <si>
    <t>D10397</t>
  </si>
  <si>
    <t>D10398</t>
  </si>
  <si>
    <t>D10399</t>
  </si>
  <si>
    <t>D10400</t>
  </si>
  <si>
    <t>D10401</t>
  </si>
  <si>
    <t>D10402</t>
  </si>
  <si>
    <t>D10403</t>
  </si>
  <si>
    <t>D10404</t>
  </si>
  <si>
    <t>D10405</t>
  </si>
  <si>
    <t>D10406</t>
  </si>
  <si>
    <t>D10407</t>
  </si>
  <si>
    <t>D10408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</si>
  <si>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</si>
  <si>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</si>
  <si>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</si>
  <si>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</si>
  <si>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</si>
  <si>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</si>
  <si>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</si>
  <si>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</si>
  <si>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D10417</t>
  </si>
  <si>
    <t>D10418</t>
  </si>
  <si>
    <t>D10419</t>
  </si>
  <si>
    <t>D10420</t>
  </si>
  <si>
    <t>D10421</t>
  </si>
  <si>
    <t>D10422</t>
  </si>
  <si>
    <t>D10423</t>
  </si>
  <si>
    <t>D10424</t>
  </si>
  <si>
    <t>D10425</t>
  </si>
  <si>
    <t>D10426</t>
  </si>
  <si>
    <t>D10427</t>
  </si>
  <si>
    <t>D10428</t>
  </si>
  <si>
    <t>D10429</t>
  </si>
  <si>
    <t>D10430</t>
  </si>
  <si>
    <t>D10431</t>
  </si>
  <si>
    <t>D10432</t>
  </si>
  <si>
    <t>D10433</t>
  </si>
  <si>
    <t>D10434</t>
  </si>
  <si>
    <t>D10435</t>
  </si>
  <si>
    <t>D10436</t>
  </si>
  <si>
    <t>D10437</t>
  </si>
  <si>
    <t>D10438</t>
  </si>
  <si>
    <t>D10439</t>
  </si>
  <si>
    <t>D10440</t>
  </si>
  <si>
    <t>D10441</t>
  </si>
  <si>
    <t>D10442</t>
  </si>
  <si>
    <t>D10443</t>
  </si>
  <si>
    <t>D10444</t>
  </si>
  <si>
    <t>D10445</t>
  </si>
  <si>
    <t>D10446</t>
  </si>
  <si>
    <t>D10447</t>
  </si>
  <si>
    <t>D10448</t>
  </si>
  <si>
    <t>D10449</t>
  </si>
  <si>
    <t>D10450</t>
  </si>
  <si>
    <t>D10451</t>
  </si>
  <si>
    <t>D10452</t>
  </si>
  <si>
    <t>D10453</t>
  </si>
  <si>
    <t>D10454</t>
  </si>
  <si>
    <t>D10455</t>
  </si>
  <si>
    <t>D10456</t>
  </si>
  <si>
    <t>D10457</t>
  </si>
  <si>
    <t>D10458</t>
  </si>
  <si>
    <t>D10459</t>
  </si>
  <si>
    <t>D10460</t>
  </si>
  <si>
    <t>D10461</t>
  </si>
  <si>
    <t>D10462</t>
  </si>
  <si>
    <t>D10463</t>
  </si>
  <si>
    <t>D10464</t>
  </si>
  <si>
    <t>D10465</t>
  </si>
  <si>
    <t>D10466</t>
  </si>
  <si>
    <t>D10467</t>
  </si>
  <si>
    <t>D10468</t>
  </si>
  <si>
    <t>D10469</t>
  </si>
  <si>
    <t>D10470</t>
  </si>
  <si>
    <t>D10471</t>
  </si>
  <si>
    <t>D10472</t>
  </si>
  <si>
    <t>D10473</t>
  </si>
  <si>
    <t>D10474</t>
  </si>
  <si>
    <t>D10475</t>
  </si>
  <si>
    <t>D10476</t>
  </si>
  <si>
    <t>D10477</t>
  </si>
  <si>
    <t>D10478</t>
  </si>
  <si>
    <t>D10479</t>
  </si>
  <si>
    <t>D10480</t>
  </si>
  <si>
    <t>D10481</t>
  </si>
  <si>
    <t>D10482</t>
  </si>
  <si>
    <t>D10483</t>
  </si>
  <si>
    <t>D10484</t>
  </si>
  <si>
    <t>D10485</t>
  </si>
  <si>
    <t>D10486</t>
  </si>
  <si>
    <t>D10487</t>
  </si>
  <si>
    <t>D10488</t>
  </si>
  <si>
    <t>D10489</t>
  </si>
  <si>
    <t>D10490</t>
  </si>
  <si>
    <t>D10491</t>
  </si>
  <si>
    <t>D10492</t>
  </si>
  <si>
    <t>D10493</t>
  </si>
  <si>
    <t>D10494</t>
  </si>
  <si>
    <t>D10495</t>
  </si>
  <si>
    <t>D10496</t>
  </si>
  <si>
    <t>D10497</t>
  </si>
  <si>
    <t>D10498</t>
  </si>
  <si>
    <t>D10499</t>
  </si>
  <si>
    <t>D10500</t>
  </si>
  <si>
    <t>D10501</t>
  </si>
  <si>
    <t>D10502</t>
  </si>
  <si>
    <t>D10503</t>
  </si>
  <si>
    <t>D10504</t>
  </si>
  <si>
    <t>D10505</t>
  </si>
  <si>
    <t>D10506</t>
  </si>
  <si>
    <t>D10507</t>
  </si>
  <si>
    <t>D10508</t>
  </si>
  <si>
    <t>D10509</t>
  </si>
  <si>
    <t>D10510</t>
  </si>
  <si>
    <t>D10511</t>
  </si>
  <si>
    <t>D10512</t>
  </si>
  <si>
    <t>D10513</t>
  </si>
  <si>
    <t>D10514</t>
  </si>
  <si>
    <t>D10515</t>
  </si>
  <si>
    <t>D10516</t>
  </si>
  <si>
    <t>D10517</t>
  </si>
  <si>
    <t>D10518</t>
  </si>
  <si>
    <t>D10519</t>
  </si>
  <si>
    <t>D10520</t>
  </si>
  <si>
    <t>D10521</t>
  </si>
  <si>
    <t>D10522</t>
  </si>
  <si>
    <t>D10523</t>
  </si>
  <si>
    <t>D10524</t>
  </si>
  <si>
    <t>D10525</t>
  </si>
  <si>
    <t>D10526</t>
  </si>
  <si>
    <t>D10527</t>
  </si>
  <si>
    <t>D10528</t>
  </si>
  <si>
    <t>D10529</t>
  </si>
  <si>
    <t>D10530</t>
  </si>
  <si>
    <t>D10531</t>
  </si>
  <si>
    <t>D10532</t>
  </si>
  <si>
    <t>D10533</t>
  </si>
  <si>
    <t>D10534</t>
  </si>
  <si>
    <t>D10535</t>
  </si>
  <si>
    <t>D10536</t>
  </si>
  <si>
    <t>D10537</t>
  </si>
  <si>
    <t>D10538</t>
  </si>
  <si>
    <t>D10539</t>
  </si>
  <si>
    <t>D10540</t>
  </si>
  <si>
    <t>D10541</t>
  </si>
  <si>
    <t>D10542</t>
  </si>
  <si>
    <t>D10543</t>
  </si>
  <si>
    <t>D10544</t>
  </si>
  <si>
    <t>D10545</t>
  </si>
  <si>
    <t>D10546</t>
  </si>
  <si>
    <t>D10547</t>
  </si>
  <si>
    <t>D10548</t>
  </si>
  <si>
    <t>D10549</t>
  </si>
  <si>
    <t>D10550</t>
  </si>
  <si>
    <t>D10551</t>
  </si>
  <si>
    <t>D10552</t>
  </si>
  <si>
    <t>D10553</t>
  </si>
  <si>
    <t>D10554</t>
  </si>
  <si>
    <t>D10555</t>
  </si>
  <si>
    <t>D10556</t>
  </si>
  <si>
    <t>D10557</t>
  </si>
  <si>
    <t>D10558</t>
  </si>
  <si>
    <t>D10559</t>
  </si>
  <si>
    <t>D10560</t>
  </si>
  <si>
    <t>D10561</t>
  </si>
  <si>
    <t>D10562</t>
  </si>
  <si>
    <t>D10563</t>
  </si>
  <si>
    <t>D10564</t>
  </si>
  <si>
    <t>D10565</t>
  </si>
  <si>
    <t>D10566</t>
  </si>
  <si>
    <t>D10567</t>
  </si>
  <si>
    <t>D10568</t>
  </si>
  <si>
    <t>D10569</t>
  </si>
  <si>
    <t>D10570</t>
  </si>
  <si>
    <t>D10571</t>
  </si>
  <si>
    <t>D10572</t>
  </si>
  <si>
    <t>D10573</t>
  </si>
  <si>
    <t>D10574</t>
  </si>
  <si>
    <t>D10575</t>
  </si>
  <si>
    <t>D10576</t>
  </si>
  <si>
    <t>D10577</t>
  </si>
  <si>
    <t>D10578</t>
  </si>
  <si>
    <t>D10579</t>
  </si>
  <si>
    <t>D10580</t>
  </si>
  <si>
    <t>D10581</t>
  </si>
  <si>
    <t>D10582</t>
  </si>
  <si>
    <t>D10583</t>
  </si>
  <si>
    <t>D10584</t>
  </si>
  <si>
    <t>D10585</t>
  </si>
  <si>
    <t>D10586</t>
  </si>
  <si>
    <t>D10587</t>
  </si>
  <si>
    <t>D10588</t>
  </si>
  <si>
    <t>D10589</t>
  </si>
  <si>
    <t>D10590</t>
  </si>
  <si>
    <t>D10591</t>
  </si>
  <si>
    <t>D10592</t>
  </si>
  <si>
    <t>D10593</t>
  </si>
  <si>
    <t>D10594</t>
  </si>
  <si>
    <t>D10595</t>
  </si>
  <si>
    <t>D10596</t>
  </si>
  <si>
    <t>D10597</t>
  </si>
  <si>
    <t>D10598</t>
  </si>
  <si>
    <t>D10599</t>
  </si>
  <si>
    <t>D10600</t>
  </si>
  <si>
    <t>D10601</t>
  </si>
  <si>
    <t>D10602</t>
  </si>
  <si>
    <t>D10603</t>
  </si>
  <si>
    <t>D10604</t>
  </si>
  <si>
    <t>D10605</t>
  </si>
  <si>
    <t>D10606</t>
  </si>
  <si>
    <t>D10607</t>
  </si>
  <si>
    <t>D10608</t>
  </si>
  <si>
    <t>D10609</t>
  </si>
  <si>
    <t>D10610</t>
  </si>
  <si>
    <t>D10611</t>
  </si>
  <si>
    <t>D10612</t>
  </si>
  <si>
    <t>D10613</t>
  </si>
  <si>
    <t>D10614</t>
  </si>
  <si>
    <t>D10615</t>
  </si>
  <si>
    <t>D10616</t>
  </si>
  <si>
    <t>D10617</t>
  </si>
  <si>
    <t>D10618</t>
  </si>
  <si>
    <t>D10619</t>
  </si>
  <si>
    <t>D10620</t>
  </si>
  <si>
    <t>D10621</t>
  </si>
  <si>
    <t>D10622</t>
  </si>
  <si>
    <t>D10623</t>
  </si>
  <si>
    <t>D10624</t>
  </si>
  <si>
    <t>D10625</t>
  </si>
  <si>
    <t>D10626</t>
  </si>
  <si>
    <t>D10627</t>
  </si>
  <si>
    <t>D10628</t>
  </si>
  <si>
    <t>D10629</t>
  </si>
  <si>
    <t>D10630</t>
  </si>
  <si>
    <t>D10631</t>
  </si>
  <si>
    <t>D10632</t>
  </si>
  <si>
    <t>D10633</t>
  </si>
  <si>
    <t>D10634</t>
  </si>
  <si>
    <t>D10635</t>
  </si>
  <si>
    <t>D10636</t>
  </si>
  <si>
    <t>D10637</t>
  </si>
  <si>
    <t>D10638</t>
  </si>
  <si>
    <t>D10639</t>
  </si>
  <si>
    <t>D10640</t>
  </si>
  <si>
    <t>D10641</t>
  </si>
  <si>
    <t>D10642</t>
  </si>
  <si>
    <t>D10643</t>
  </si>
  <si>
    <t>D10644</t>
  </si>
  <si>
    <t>D10645</t>
  </si>
  <si>
    <t>D10646</t>
  </si>
  <si>
    <t>D10647</t>
  </si>
  <si>
    <t>D10648</t>
  </si>
  <si>
    <t>D10649</t>
  </si>
  <si>
    <t>D10650</t>
  </si>
  <si>
    <t>D10651</t>
  </si>
  <si>
    <t>D10652</t>
  </si>
  <si>
    <t>D10653</t>
  </si>
  <si>
    <t>D10654</t>
  </si>
  <si>
    <t>D10655</t>
  </si>
  <si>
    <t>D10656</t>
  </si>
  <si>
    <t>D10657</t>
  </si>
  <si>
    <t>D10658</t>
  </si>
  <si>
    <t>D10659</t>
  </si>
  <si>
    <t>D10660</t>
  </si>
  <si>
    <t>D10661</t>
  </si>
  <si>
    <t>D10662</t>
  </si>
  <si>
    <t>D10663</t>
  </si>
  <si>
    <t>D10664</t>
  </si>
  <si>
    <t>D10665</t>
  </si>
  <si>
    <t>D10666</t>
  </si>
  <si>
    <t>D10667</t>
  </si>
  <si>
    <t>D10668</t>
  </si>
  <si>
    <t>D10669</t>
  </si>
  <si>
    <t>D10670</t>
  </si>
  <si>
    <t>D10671</t>
  </si>
  <si>
    <t>D10672</t>
  </si>
  <si>
    <t>D10673</t>
  </si>
  <si>
    <t>D10674</t>
  </si>
  <si>
    <t>D10675</t>
  </si>
  <si>
    <t>D10676</t>
  </si>
  <si>
    <t>D10677</t>
  </si>
  <si>
    <t>D10678</t>
  </si>
  <si>
    <t>D10679</t>
  </si>
  <si>
    <t>D10680</t>
  </si>
  <si>
    <t>D10681</t>
  </si>
  <si>
    <t>D10682</t>
  </si>
  <si>
    <t>D10683</t>
  </si>
  <si>
    <t>D10684</t>
  </si>
  <si>
    <t>D10685</t>
  </si>
  <si>
    <t>D10686</t>
  </si>
  <si>
    <t>D10687</t>
  </si>
  <si>
    <t>D10688</t>
  </si>
  <si>
    <t>D10689</t>
  </si>
  <si>
    <t>D10690</t>
  </si>
  <si>
    <t>D10691</t>
  </si>
  <si>
    <t>D10692</t>
  </si>
  <si>
    <t>D10693</t>
  </si>
  <si>
    <t>D10694</t>
  </si>
  <si>
    <t>D10695</t>
  </si>
  <si>
    <t>D10696</t>
  </si>
  <si>
    <t>D10697</t>
  </si>
  <si>
    <t>D10698</t>
  </si>
  <si>
    <t>D10699</t>
  </si>
  <si>
    <t>D10700</t>
  </si>
  <si>
    <t>D10701</t>
  </si>
  <si>
    <t>D10702</t>
  </si>
  <si>
    <t>D10703</t>
  </si>
  <si>
    <t>D10704</t>
  </si>
  <si>
    <t>D10705</t>
  </si>
  <si>
    <t>D10706</t>
  </si>
  <si>
    <t>D10707</t>
  </si>
  <si>
    <t>D10708</t>
  </si>
  <si>
    <t>D10709</t>
  </si>
  <si>
    <t>D10710</t>
  </si>
  <si>
    <t>D10711</t>
  </si>
  <si>
    <t>D10712</t>
  </si>
  <si>
    <t>D10713</t>
  </si>
  <si>
    <t>D10714</t>
  </si>
  <si>
    <t>D10715</t>
  </si>
  <si>
    <t>D10716</t>
  </si>
  <si>
    <t>D10717</t>
  </si>
  <si>
    <t>D10718</t>
  </si>
  <si>
    <t>D10719</t>
  </si>
  <si>
    <t>D10720</t>
  </si>
  <si>
    <t>D10721</t>
  </si>
  <si>
    <t>D10722</t>
  </si>
  <si>
    <t>D10723</t>
  </si>
  <si>
    <t>D10724</t>
  </si>
  <si>
    <t>D10725</t>
  </si>
  <si>
    <t>D10726</t>
  </si>
  <si>
    <t>D10727</t>
  </si>
  <si>
    <t>D10728</t>
  </si>
  <si>
    <t>D10729</t>
  </si>
  <si>
    <t>D10730</t>
  </si>
  <si>
    <t>D10731</t>
  </si>
  <si>
    <t>D10732</t>
  </si>
  <si>
    <t>D10733</t>
  </si>
  <si>
    <t>D10734</t>
  </si>
  <si>
    <t>D10735</t>
  </si>
  <si>
    <t>D10736</t>
  </si>
  <si>
    <t>D10737</t>
  </si>
  <si>
    <t>D10738</t>
  </si>
  <si>
    <t>D10739</t>
  </si>
  <si>
    <t>D10740</t>
  </si>
  <si>
    <t>D10741</t>
  </si>
  <si>
    <t>D10742</t>
  </si>
  <si>
    <t>D10743</t>
  </si>
  <si>
    <t>D10744</t>
  </si>
  <si>
    <t>D10745</t>
  </si>
  <si>
    <t>D10746</t>
  </si>
  <si>
    <t>D10747</t>
  </si>
  <si>
    <t>D10748</t>
  </si>
  <si>
    <t>D10749</t>
  </si>
  <si>
    <t>D10750</t>
  </si>
  <si>
    <t>D10751</t>
  </si>
  <si>
    <t>D10752</t>
  </si>
  <si>
    <t>D10753</t>
  </si>
  <si>
    <t>D10754</t>
  </si>
  <si>
    <t>D10755</t>
  </si>
  <si>
    <t>D10756</t>
  </si>
  <si>
    <t>D10757</t>
  </si>
  <si>
    <t>D10758</t>
  </si>
  <si>
    <t>D10759</t>
  </si>
  <si>
    <t>D10760</t>
  </si>
  <si>
    <t>D10761</t>
  </si>
  <si>
    <t>D10762</t>
  </si>
  <si>
    <t>D10763</t>
  </si>
  <si>
    <t>D10764</t>
  </si>
  <si>
    <t>D10765</t>
  </si>
  <si>
    <t>D10766</t>
  </si>
  <si>
    <t>D10767</t>
  </si>
  <si>
    <t>D10768</t>
  </si>
  <si>
    <t>D10769</t>
  </si>
  <si>
    <t>D10770</t>
  </si>
  <si>
    <t>D10771</t>
  </si>
  <si>
    <t>D10772</t>
  </si>
  <si>
    <t>D10773</t>
  </si>
  <si>
    <t>D10774</t>
  </si>
  <si>
    <t>D10775</t>
  </si>
  <si>
    <t>D10776</t>
  </si>
  <si>
    <t>D10777</t>
  </si>
  <si>
    <t>D10778</t>
  </si>
  <si>
    <t>D10779</t>
  </si>
  <si>
    <t>D10780</t>
  </si>
  <si>
    <t>D10781</t>
  </si>
  <si>
    <t>D10782</t>
  </si>
  <si>
    <t>D10783</t>
  </si>
  <si>
    <t>D10784</t>
  </si>
  <si>
    <t>D10785</t>
  </si>
  <si>
    <t>D10786</t>
  </si>
  <si>
    <t>D10787</t>
  </si>
  <si>
    <t>D10788</t>
  </si>
  <si>
    <t>D10789</t>
  </si>
  <si>
    <t>D10790</t>
  </si>
  <si>
    <t>D10791</t>
  </si>
  <si>
    <t>D10792</t>
  </si>
  <si>
    <t>D10793</t>
  </si>
  <si>
    <t>D10794</t>
  </si>
  <si>
    <t>D10795</t>
  </si>
  <si>
    <t>D10796</t>
  </si>
  <si>
    <t>D10797</t>
  </si>
  <si>
    <t>D10798</t>
  </si>
  <si>
    <t>D10799</t>
  </si>
  <si>
    <t>D10800</t>
  </si>
  <si>
    <t>D10801</t>
  </si>
  <si>
    <t>D10802</t>
  </si>
  <si>
    <t>D10803</t>
  </si>
  <si>
    <t>D10804</t>
  </si>
  <si>
    <t>D10805</t>
  </si>
  <si>
    <t>D10806</t>
  </si>
  <si>
    <t>D10807</t>
  </si>
  <si>
    <t>D10808</t>
  </si>
  <si>
    <t>D10809</t>
  </si>
  <si>
    <t>D10810</t>
  </si>
  <si>
    <t>D10811</t>
  </si>
  <si>
    <t>D10812</t>
  </si>
  <si>
    <t>D10813</t>
  </si>
  <si>
    <t>D10814</t>
  </si>
  <si>
    <t>D10815</t>
  </si>
  <si>
    <t>D10816</t>
  </si>
  <si>
    <t>D10817</t>
  </si>
  <si>
    <t>D10818</t>
  </si>
  <si>
    <t>D10819</t>
  </si>
  <si>
    <t>D10820</t>
  </si>
  <si>
    <t>D10821</t>
  </si>
  <si>
    <t>D10822</t>
  </si>
  <si>
    <t>D10823</t>
  </si>
  <si>
    <t>D10824</t>
  </si>
  <si>
    <t>D10825</t>
  </si>
  <si>
    <t>D10826</t>
  </si>
  <si>
    <t>D10827</t>
  </si>
  <si>
    <t>D10828</t>
  </si>
  <si>
    <t>D10829</t>
  </si>
  <si>
    <t>D10830</t>
  </si>
  <si>
    <t>D10831</t>
  </si>
  <si>
    <t>D10832</t>
  </si>
  <si>
    <t>D10833</t>
  </si>
  <si>
    <t>D10834</t>
  </si>
  <si>
    <t>D10835</t>
  </si>
  <si>
    <t>D10836</t>
  </si>
  <si>
    <t>D10837</t>
  </si>
  <si>
    <t>D10838</t>
  </si>
  <si>
    <t>D10839</t>
  </si>
  <si>
    <t>D10840</t>
  </si>
  <si>
    <t>D10841</t>
  </si>
  <si>
    <t>D10842</t>
  </si>
  <si>
    <t>D10843</t>
  </si>
  <si>
    <t>D10844</t>
  </si>
  <si>
    <t>D10845</t>
  </si>
  <si>
    <t>D10846</t>
  </si>
  <si>
    <t>D10847</t>
  </si>
  <si>
    <t>D10848</t>
  </si>
  <si>
    <t>D10849</t>
  </si>
  <si>
    <t>D10850</t>
  </si>
  <si>
    <t>D10851</t>
  </si>
  <si>
    <t>D10852</t>
  </si>
  <si>
    <t>D10853</t>
  </si>
  <si>
    <t>D10854</t>
  </si>
  <si>
    <t>D10855</t>
  </si>
  <si>
    <t>D10856</t>
  </si>
  <si>
    <t>D10857</t>
  </si>
  <si>
    <t>D10858</t>
  </si>
  <si>
    <t>D10859</t>
  </si>
  <si>
    <t>D10860</t>
  </si>
  <si>
    <t>D10861</t>
  </si>
  <si>
    <t>D10862</t>
  </si>
  <si>
    <t>D10863</t>
  </si>
  <si>
    <t>D10864</t>
  </si>
  <si>
    <t>D10865</t>
  </si>
  <si>
    <t>D10866</t>
  </si>
  <si>
    <t>D10867</t>
  </si>
  <si>
    <t>D10868</t>
  </si>
  <si>
    <t>D10869</t>
  </si>
  <si>
    <t>D10870</t>
  </si>
  <si>
    <t>D10871</t>
  </si>
  <si>
    <t>D10872</t>
  </si>
  <si>
    <t>D10873</t>
  </si>
  <si>
    <t>D10874</t>
  </si>
  <si>
    <t>D10875</t>
  </si>
  <si>
    <t>D10876</t>
  </si>
  <si>
    <t>D10877</t>
  </si>
  <si>
    <t>D10878</t>
  </si>
  <si>
    <t>D10879</t>
  </si>
  <si>
    <t>D10880</t>
  </si>
  <si>
    <t>D10881</t>
  </si>
  <si>
    <t>D10882</t>
  </si>
  <si>
    <t>D10883</t>
  </si>
  <si>
    <t>D10884</t>
  </si>
  <si>
    <t>D10885</t>
  </si>
  <si>
    <t>D10886</t>
  </si>
  <si>
    <t>D10887</t>
  </si>
  <si>
    <t>D10888</t>
  </si>
  <si>
    <t>D10889</t>
  </si>
  <si>
    <t>D10890</t>
  </si>
  <si>
    <t>D10891</t>
  </si>
  <si>
    <t>D10892</t>
  </si>
  <si>
    <t>D10893</t>
  </si>
  <si>
    <t>D10894</t>
  </si>
  <si>
    <t>D10895</t>
  </si>
  <si>
    <t>D10896</t>
  </si>
  <si>
    <t>D10897</t>
  </si>
  <si>
    <t>D10898</t>
  </si>
  <si>
    <t>D10899</t>
  </si>
  <si>
    <t>D10900</t>
  </si>
  <si>
    <t>D10901</t>
  </si>
  <si>
    <t>D10902</t>
  </si>
  <si>
    <t>D10903</t>
  </si>
  <si>
    <t>D10904</t>
  </si>
  <si>
    <t>D10905</t>
  </si>
  <si>
    <t>D10906</t>
  </si>
  <si>
    <t>D10907</t>
  </si>
  <si>
    <t>D10908</t>
  </si>
  <si>
    <t>D10909</t>
  </si>
  <si>
    <t>D10910</t>
  </si>
  <si>
    <t>D10911</t>
  </si>
  <si>
    <t>D10912</t>
  </si>
  <si>
    <t>D10913</t>
  </si>
  <si>
    <t>D10914</t>
  </si>
  <si>
    <t>D10915</t>
  </si>
  <si>
    <t>D10916</t>
  </si>
  <si>
    <t>D10917</t>
  </si>
  <si>
    <t>D10918</t>
  </si>
  <si>
    <t>D10919</t>
  </si>
  <si>
    <t>D10920</t>
  </si>
  <si>
    <t>D10921</t>
  </si>
  <si>
    <t>D10922</t>
  </si>
  <si>
    <t>D10923</t>
  </si>
  <si>
    <t>D10924</t>
  </si>
  <si>
    <t>D10925</t>
  </si>
  <si>
    <t>D10926</t>
  </si>
  <si>
    <t>D10927</t>
  </si>
  <si>
    <t>D10928</t>
  </si>
  <si>
    <t>D10929</t>
  </si>
  <si>
    <t>D10930</t>
  </si>
  <si>
    <t>D10931</t>
  </si>
  <si>
    <t>D10932</t>
  </si>
  <si>
    <t>D10933</t>
  </si>
  <si>
    <t>D10934</t>
  </si>
  <si>
    <t>D10935</t>
  </si>
  <si>
    <t>D10936</t>
  </si>
  <si>
    <t>D10937</t>
  </si>
  <si>
    <t>D10938</t>
  </si>
  <si>
    <t>D10939</t>
  </si>
  <si>
    <t>D10940</t>
  </si>
  <si>
    <t>D10941</t>
  </si>
  <si>
    <t>D10942</t>
  </si>
  <si>
    <t>D10943</t>
  </si>
  <si>
    <t>D10944</t>
  </si>
  <si>
    <t>D10945</t>
  </si>
  <si>
    <t>D10946</t>
  </si>
  <si>
    <t>D10947</t>
  </si>
  <si>
    <t>D10948</t>
  </si>
  <si>
    <t>D10949</t>
  </si>
  <si>
    <t>D10950</t>
  </si>
  <si>
    <t>D10951</t>
  </si>
  <si>
    <t>D10952</t>
  </si>
  <si>
    <t>D10953</t>
  </si>
  <si>
    <t>D10954</t>
  </si>
  <si>
    <t>D10955</t>
  </si>
  <si>
    <t>D10956</t>
  </si>
  <si>
    <t>D10957</t>
  </si>
  <si>
    <t>D10958</t>
  </si>
  <si>
    <t>D10959</t>
  </si>
  <si>
    <t>D11000</t>
  </si>
  <si>
    <t>D11001</t>
  </si>
  <si>
    <t>D11002</t>
  </si>
  <si>
    <t>D11003</t>
  </si>
  <si>
    <t>D11004</t>
  </si>
  <si>
    <t>D11005</t>
  </si>
  <si>
    <t>D11006</t>
  </si>
  <si>
    <t>D11007</t>
  </si>
  <si>
    <t>D11008</t>
  </si>
  <si>
    <t>D11009</t>
  </si>
  <si>
    <t>D11010</t>
  </si>
  <si>
    <t>D11011</t>
  </si>
  <si>
    <t>D11012</t>
  </si>
  <si>
    <t>D11013</t>
  </si>
  <si>
    <t>D11014</t>
  </si>
  <si>
    <t>D11015</t>
  </si>
  <si>
    <t>D11016</t>
  </si>
  <si>
    <t>D11017</t>
  </si>
  <si>
    <t>D11018</t>
  </si>
  <si>
    <t>D11019</t>
  </si>
  <si>
    <t>D11020</t>
  </si>
  <si>
    <t>D11021</t>
  </si>
  <si>
    <t>D11022</t>
  </si>
  <si>
    <t>D11023</t>
  </si>
  <si>
    <t>D11024</t>
  </si>
  <si>
    <t>D11025</t>
  </si>
  <si>
    <t>D11026</t>
  </si>
  <si>
    <t>D11027</t>
  </si>
  <si>
    <t>D11028</t>
  </si>
  <si>
    <t>D11029</t>
  </si>
  <si>
    <t>D11030</t>
  </si>
  <si>
    <t>D11031</t>
  </si>
  <si>
    <t>D11032</t>
  </si>
  <si>
    <t>D11033</t>
  </si>
  <si>
    <t>D11034</t>
  </si>
  <si>
    <t>D11035</t>
  </si>
  <si>
    <t>D11036</t>
  </si>
  <si>
    <t>D11037</t>
  </si>
  <si>
    <t>D11038</t>
  </si>
  <si>
    <t>D11039</t>
  </si>
  <si>
    <t>D11040</t>
  </si>
  <si>
    <t>D11041</t>
  </si>
  <si>
    <t>D11042</t>
  </si>
  <si>
    <t>D11043</t>
  </si>
  <si>
    <t>D11044</t>
  </si>
  <si>
    <t>D11045</t>
  </si>
  <si>
    <t>D11046</t>
  </si>
  <si>
    <t>D11047</t>
  </si>
  <si>
    <t>D11048</t>
  </si>
  <si>
    <t>D11049</t>
  </si>
  <si>
    <t>D11050</t>
  </si>
  <si>
    <t>D11051</t>
  </si>
  <si>
    <t>D11052</t>
  </si>
  <si>
    <t>D11053</t>
  </si>
  <si>
    <t>D11054</t>
  </si>
  <si>
    <t>D11055</t>
  </si>
  <si>
    <t>D11056</t>
  </si>
  <si>
    <t>D11057</t>
  </si>
  <si>
    <t>D11058</t>
  </si>
  <si>
    <t>D11059</t>
  </si>
  <si>
    <t>D11060</t>
  </si>
  <si>
    <t>D11061</t>
  </si>
  <si>
    <t>D11062</t>
  </si>
  <si>
    <t>D11063</t>
  </si>
  <si>
    <t>D11064</t>
  </si>
  <si>
    <t>D11065</t>
  </si>
  <si>
    <t>D11066</t>
  </si>
  <si>
    <t>D11067</t>
  </si>
  <si>
    <t>D11068</t>
  </si>
  <si>
    <t>D11069</t>
  </si>
  <si>
    <t>D11070</t>
  </si>
  <si>
    <t>D11071</t>
  </si>
  <si>
    <t>D11072</t>
  </si>
  <si>
    <t>D11073</t>
  </si>
  <si>
    <t>D11074</t>
  </si>
  <si>
    <t>D11075</t>
  </si>
  <si>
    <t>D11076</t>
  </si>
  <si>
    <t>D11077</t>
  </si>
  <si>
    <t>D11078</t>
  </si>
  <si>
    <t>D11079</t>
  </si>
  <si>
    <t>D11080</t>
  </si>
  <si>
    <t>D11081</t>
  </si>
  <si>
    <t>D11082</t>
  </si>
  <si>
    <t>D11083</t>
  </si>
  <si>
    <t>D11084</t>
  </si>
  <si>
    <t>D11085</t>
  </si>
  <si>
    <t>D11086</t>
  </si>
  <si>
    <t>D11087</t>
  </si>
  <si>
    <t>D11088</t>
  </si>
  <si>
    <t>D11089</t>
  </si>
  <si>
    <t>D11090</t>
  </si>
  <si>
    <t>D11091</t>
  </si>
  <si>
    <t>D11092</t>
  </si>
  <si>
    <t>D11093</t>
  </si>
  <si>
    <t>D11094</t>
  </si>
  <si>
    <t>D11095</t>
  </si>
  <si>
    <t>D11096</t>
  </si>
  <si>
    <t>D11097</t>
  </si>
  <si>
    <t>D11098</t>
  </si>
  <si>
    <t>D11099</t>
  </si>
  <si>
    <t>D11100</t>
  </si>
  <si>
    <t>D11101</t>
  </si>
  <si>
    <t>D11102</t>
  </si>
  <si>
    <t>D11103</t>
  </si>
  <si>
    <t>D11104</t>
  </si>
  <si>
    <t>D11105</t>
  </si>
  <si>
    <t>D11106</t>
  </si>
  <si>
    <t>D11107</t>
  </si>
  <si>
    <t>D11108</t>
  </si>
  <si>
    <t>D11109</t>
  </si>
  <si>
    <t>D11110</t>
  </si>
  <si>
    <t>D11111</t>
  </si>
  <si>
    <t>D11112</t>
  </si>
  <si>
    <t>D11113</t>
  </si>
  <si>
    <t>D11114</t>
  </si>
  <si>
    <t>D11115</t>
  </si>
  <si>
    <t>D11116</t>
  </si>
  <si>
    <t>D11117</t>
  </si>
  <si>
    <t>D11118</t>
  </si>
  <si>
    <t>D11119</t>
  </si>
  <si>
    <t>D11120</t>
  </si>
  <si>
    <t>D11121</t>
  </si>
  <si>
    <t>D11122</t>
  </si>
  <si>
    <t>D11123</t>
  </si>
  <si>
    <t>D11124</t>
  </si>
  <si>
    <t>D11125</t>
  </si>
  <si>
    <t>D11126</t>
  </si>
  <si>
    <t>D11127</t>
  </si>
  <si>
    <t>D11128</t>
  </si>
  <si>
    <t>D11129</t>
  </si>
  <si>
    <t>D11130</t>
  </si>
  <si>
    <t>D11131</t>
  </si>
  <si>
    <t>D11132</t>
  </si>
  <si>
    <t>D11133</t>
  </si>
  <si>
    <t>D11134</t>
  </si>
  <si>
    <t>D11135</t>
  </si>
  <si>
    <t>D11136</t>
  </si>
  <si>
    <t>D11137</t>
  </si>
  <si>
    <t>D11138</t>
  </si>
  <si>
    <t>D11139</t>
  </si>
  <si>
    <t>D11140</t>
  </si>
  <si>
    <t>D11141</t>
  </si>
  <si>
    <t>D11142</t>
  </si>
  <si>
    <t>D11143</t>
  </si>
  <si>
    <t>D11144</t>
  </si>
  <si>
    <t>D11145</t>
  </si>
  <si>
    <t>D11146</t>
  </si>
  <si>
    <t>D11147</t>
  </si>
  <si>
    <t>D11148</t>
  </si>
  <si>
    <t>D11149</t>
  </si>
  <si>
    <t>D11150</t>
  </si>
  <si>
    <t>D11151</t>
  </si>
  <si>
    <t>D11152</t>
  </si>
  <si>
    <t>D11153</t>
  </si>
  <si>
    <t>D11154</t>
  </si>
  <si>
    <t>D11155</t>
  </si>
  <si>
    <t>D11156</t>
  </si>
  <si>
    <t>D11157</t>
  </si>
  <si>
    <t>D11158</t>
  </si>
  <si>
    <t>D11159</t>
  </si>
  <si>
    <t>D11160</t>
  </si>
  <si>
    <t>D11161</t>
  </si>
  <si>
    <t>D11162</t>
  </si>
  <si>
    <t>D11163</t>
  </si>
  <si>
    <t>D11164</t>
  </si>
  <si>
    <t>D11165</t>
  </si>
  <si>
    <t>D11166</t>
  </si>
  <si>
    <t>D11167</t>
  </si>
  <si>
    <t>D11168</t>
  </si>
  <si>
    <t>D11169</t>
  </si>
  <si>
    <t>D11170</t>
  </si>
  <si>
    <t>D11171</t>
  </si>
  <si>
    <t>D11172</t>
  </si>
  <si>
    <t>D11173</t>
  </si>
  <si>
    <t>D11174</t>
  </si>
  <si>
    <t>D11175</t>
  </si>
  <si>
    <t>D11176</t>
  </si>
  <si>
    <t>D11177</t>
  </si>
  <si>
    <t>D11178</t>
  </si>
  <si>
    <t>D11179</t>
  </si>
  <si>
    <t>D11180</t>
  </si>
  <si>
    <t>D11181</t>
  </si>
  <si>
    <t>D11182</t>
  </si>
  <si>
    <t>D11183</t>
  </si>
  <si>
    <t>D11184</t>
  </si>
  <si>
    <t>D11185</t>
  </si>
  <si>
    <t>D11186</t>
  </si>
  <si>
    <t>D11187</t>
  </si>
  <si>
    <t>D11188</t>
  </si>
  <si>
    <t>D11189</t>
  </si>
  <si>
    <t>D11190</t>
  </si>
  <si>
    <t>D11191</t>
  </si>
  <si>
    <t>D11192</t>
  </si>
  <si>
    <t>D11193</t>
  </si>
  <si>
    <t>D11194</t>
  </si>
  <si>
    <t>D11195</t>
  </si>
  <si>
    <t>D11196</t>
  </si>
  <si>
    <t>D11197</t>
  </si>
  <si>
    <t>D11198</t>
  </si>
  <si>
    <t>D11199</t>
  </si>
  <si>
    <t>D11200</t>
  </si>
  <si>
    <t>D11201</t>
  </si>
  <si>
    <t>D11202</t>
  </si>
  <si>
    <t>D11203</t>
  </si>
  <si>
    <t>D11204</t>
  </si>
  <si>
    <t>D11205</t>
  </si>
  <si>
    <t>D11206</t>
  </si>
  <si>
    <t>D11207</t>
  </si>
  <si>
    <t>D11208</t>
  </si>
  <si>
    <t>D11209</t>
  </si>
  <si>
    <t>D11210</t>
  </si>
  <si>
    <t>D11211</t>
  </si>
  <si>
    <t>D11212</t>
  </si>
  <si>
    <t>D11213</t>
  </si>
  <si>
    <t>D11214</t>
  </si>
  <si>
    <t>D11215</t>
  </si>
  <si>
    <t>D11216</t>
  </si>
  <si>
    <t>D11217</t>
  </si>
  <si>
    <t>D11218</t>
  </si>
  <si>
    <t>D11219</t>
  </si>
  <si>
    <t>D11220</t>
  </si>
  <si>
    <t>D11221</t>
  </si>
  <si>
    <t>D11222</t>
  </si>
  <si>
    <t>D11223</t>
  </si>
  <si>
    <t>D11224</t>
  </si>
  <si>
    <t>D11225</t>
  </si>
  <si>
    <t>D11226</t>
  </si>
  <si>
    <t>D11227</t>
  </si>
  <si>
    <t>D11228</t>
  </si>
  <si>
    <t>D11229</t>
  </si>
  <si>
    <t>D11230</t>
  </si>
  <si>
    <t>D11231</t>
  </si>
  <si>
    <t>D11232</t>
  </si>
  <si>
    <t>D11233</t>
  </si>
  <si>
    <t>D11234</t>
  </si>
  <si>
    <t>D11235</t>
  </si>
  <si>
    <t>D11236</t>
  </si>
  <si>
    <t>D11237</t>
  </si>
  <si>
    <t>D11238</t>
  </si>
  <si>
    <t>D11239</t>
  </si>
  <si>
    <t>D11240</t>
  </si>
  <si>
    <t>D11241</t>
  </si>
  <si>
    <t>D11242</t>
  </si>
  <si>
    <t>D11243</t>
  </si>
  <si>
    <t>D11244</t>
  </si>
  <si>
    <t>D11245</t>
  </si>
  <si>
    <t>D11246</t>
  </si>
  <si>
    <t>D11247</t>
  </si>
  <si>
    <t>D11248</t>
  </si>
  <si>
    <t>D11249</t>
  </si>
  <si>
    <t>D11250</t>
  </si>
  <si>
    <t>D11251</t>
  </si>
  <si>
    <t>D11252</t>
  </si>
  <si>
    <t>D11253</t>
  </si>
  <si>
    <t>D11254</t>
  </si>
  <si>
    <t>D11255</t>
  </si>
  <si>
    <t>D11256</t>
  </si>
  <si>
    <t>D11257</t>
  </si>
  <si>
    <t>D11258</t>
  </si>
  <si>
    <t>D11259</t>
  </si>
  <si>
    <t>D11260</t>
  </si>
  <si>
    <t>D11261</t>
  </si>
  <si>
    <t>D11262</t>
  </si>
  <si>
    <t>D11263</t>
  </si>
  <si>
    <t>D11264</t>
  </si>
  <si>
    <t>D11265</t>
  </si>
  <si>
    <t>D11266</t>
  </si>
  <si>
    <t>D11267</t>
  </si>
  <si>
    <t>D11268</t>
  </si>
  <si>
    <t>D11269</t>
  </si>
  <si>
    <t>D11270</t>
  </si>
  <si>
    <t>D11271</t>
  </si>
  <si>
    <t>D11272</t>
  </si>
  <si>
    <t>D11273</t>
  </si>
  <si>
    <t>D11274</t>
  </si>
  <si>
    <t>D11275</t>
  </si>
  <si>
    <t>D11276</t>
  </si>
  <si>
    <t>D11277</t>
  </si>
  <si>
    <t>D11278</t>
  </si>
  <si>
    <t>D11279</t>
  </si>
  <si>
    <t>D11280</t>
  </si>
  <si>
    <t>D11281</t>
  </si>
  <si>
    <t>D11282</t>
  </si>
  <si>
    <t>D11283</t>
  </si>
  <si>
    <t>D11284</t>
  </si>
  <si>
    <t>D11285</t>
  </si>
  <si>
    <t>D11286</t>
  </si>
  <si>
    <t>D11287</t>
  </si>
  <si>
    <t>D11288</t>
  </si>
  <si>
    <t>D11289</t>
  </si>
  <si>
    <t>D11290</t>
  </si>
  <si>
    <t>D11291</t>
  </si>
  <si>
    <t>D11292</t>
  </si>
  <si>
    <t>D11293</t>
  </si>
  <si>
    <t>D11294</t>
  </si>
  <si>
    <t>D11295</t>
  </si>
  <si>
    <t>D11296</t>
  </si>
  <si>
    <t>D11297</t>
  </si>
  <si>
    <t>D11298</t>
  </si>
  <si>
    <t>D11299</t>
  </si>
  <si>
    <t>D11300</t>
  </si>
  <si>
    <t>D11301</t>
  </si>
  <si>
    <t>D11302</t>
  </si>
  <si>
    <t>D11303</t>
  </si>
  <si>
    <t>D11304</t>
  </si>
  <si>
    <t>D11305</t>
  </si>
  <si>
    <t>D11306</t>
  </si>
  <si>
    <t>D11307</t>
  </si>
  <si>
    <t>D11308</t>
  </si>
  <si>
    <t>D11309</t>
  </si>
  <si>
    <t>D11310</t>
  </si>
  <si>
    <t>D11311</t>
  </si>
  <si>
    <t>D11312</t>
  </si>
  <si>
    <t>D11313</t>
  </si>
  <si>
    <t>D11314</t>
  </si>
  <si>
    <t>D11315</t>
  </si>
  <si>
    <t>D11316</t>
  </si>
  <si>
    <t>D11317</t>
  </si>
  <si>
    <t>D11318</t>
  </si>
  <si>
    <t>D11319</t>
  </si>
  <si>
    <t>D11320</t>
  </si>
  <si>
    <t>D11321</t>
  </si>
  <si>
    <t>D11322</t>
  </si>
  <si>
    <t>D11323</t>
  </si>
  <si>
    <t>D11324</t>
  </si>
  <si>
    <t>D11325</t>
  </si>
  <si>
    <t>D11326</t>
  </si>
  <si>
    <t>D11327</t>
  </si>
  <si>
    <t>D11328</t>
  </si>
  <si>
    <t>D11329</t>
  </si>
  <si>
    <t>D11330</t>
  </si>
  <si>
    <t>D11331</t>
  </si>
  <si>
    <t>D11332</t>
  </si>
  <si>
    <t>D11333</t>
  </si>
  <si>
    <t>D11334</t>
  </si>
  <si>
    <t>D11335</t>
  </si>
  <si>
    <t>D11336</t>
  </si>
  <si>
    <t>D11337</t>
  </si>
  <si>
    <t>D11338</t>
  </si>
  <si>
    <t>D11339</t>
  </si>
  <si>
    <t>D11340</t>
  </si>
  <si>
    <t>D11341</t>
  </si>
  <si>
    <t>D11342</t>
  </si>
  <si>
    <t>D11343</t>
  </si>
  <si>
    <t>D11344</t>
  </si>
  <si>
    <t>D11345</t>
  </si>
  <si>
    <t>D11346</t>
  </si>
  <si>
    <t>D11347</t>
  </si>
  <si>
    <t>D11348</t>
  </si>
  <si>
    <t>D11349</t>
  </si>
  <si>
    <t>D11350</t>
  </si>
  <si>
    <t>D11351</t>
  </si>
  <si>
    <t>D11352</t>
  </si>
  <si>
    <t>D11353</t>
  </si>
  <si>
    <t>D11354</t>
  </si>
  <si>
    <t>D11355</t>
  </si>
  <si>
    <t>D11356</t>
  </si>
  <si>
    <t>D11357</t>
  </si>
  <si>
    <t>D11358</t>
  </si>
  <si>
    <t>D11359</t>
  </si>
  <si>
    <t>D11360</t>
  </si>
  <si>
    <t>D11361</t>
  </si>
  <si>
    <t>D11362</t>
  </si>
  <si>
    <t>D11363</t>
  </si>
  <si>
    <t>D11364</t>
  </si>
  <si>
    <t>D11365</t>
  </si>
  <si>
    <t>D11366</t>
  </si>
  <si>
    <t>D11367</t>
  </si>
  <si>
    <t>D11368</t>
  </si>
  <si>
    <t>D11369</t>
  </si>
  <si>
    <t>D11370</t>
  </si>
  <si>
    <t>D11371</t>
  </si>
  <si>
    <t>D11372</t>
  </si>
  <si>
    <t>D11373</t>
  </si>
  <si>
    <t>D11374</t>
  </si>
  <si>
    <t>D11375</t>
  </si>
  <si>
    <t>D11376</t>
  </si>
  <si>
    <t>D11377</t>
  </si>
  <si>
    <t>D11378</t>
  </si>
  <si>
    <t>D11379</t>
  </si>
  <si>
    <t>D11380</t>
  </si>
  <si>
    <t>D11381</t>
  </si>
  <si>
    <t>D11382</t>
  </si>
  <si>
    <t>D11383</t>
  </si>
  <si>
    <t>D11384</t>
  </si>
  <si>
    <t>D11385</t>
  </si>
  <si>
    <t>D11386</t>
  </si>
  <si>
    <t>D11387</t>
  </si>
  <si>
    <t>D11388</t>
  </si>
  <si>
    <t>D11389</t>
  </si>
  <si>
    <t>D11390</t>
  </si>
  <si>
    <t>D11391</t>
  </si>
  <si>
    <t>D11392</t>
  </si>
  <si>
    <t>D11393</t>
  </si>
  <si>
    <t>D11394</t>
  </si>
  <si>
    <t>D11395</t>
  </si>
  <si>
    <t>D11396</t>
  </si>
  <si>
    <t>D11397</t>
  </si>
  <si>
    <t>D11398</t>
  </si>
  <si>
    <t>D11399</t>
  </si>
  <si>
    <t>D11400</t>
  </si>
  <si>
    <t>D11401</t>
  </si>
  <si>
    <t>D11402</t>
  </si>
  <si>
    <t>D11403</t>
  </si>
  <si>
    <t>D11404</t>
  </si>
  <si>
    <t>D11405</t>
  </si>
  <si>
    <t>D11406</t>
  </si>
  <si>
    <t>D11407</t>
  </si>
  <si>
    <t>D11408</t>
  </si>
  <si>
    <t>D11409</t>
  </si>
  <si>
    <t>D11410</t>
  </si>
  <si>
    <t>D11411</t>
  </si>
  <si>
    <t>D11412</t>
  </si>
  <si>
    <t>D11413</t>
  </si>
  <si>
    <t>D11414</t>
  </si>
  <si>
    <t>D11415</t>
  </si>
  <si>
    <t>D11416</t>
  </si>
  <si>
    <t>D11417</t>
  </si>
  <si>
    <t>D11418</t>
  </si>
  <si>
    <t>D11419</t>
  </si>
  <si>
    <t>D11420</t>
  </si>
  <si>
    <t>D11421</t>
  </si>
  <si>
    <t>D11422</t>
  </si>
  <si>
    <t>D11423</t>
  </si>
  <si>
    <t>D11424</t>
  </si>
  <si>
    <t>D11425</t>
  </si>
  <si>
    <t>D11426</t>
  </si>
  <si>
    <t>D11427</t>
  </si>
  <si>
    <t>D11428</t>
  </si>
  <si>
    <t>D11429</t>
  </si>
  <si>
    <t>D11430</t>
  </si>
  <si>
    <t>D11431</t>
  </si>
  <si>
    <t>D11432</t>
  </si>
  <si>
    <t>D11433</t>
  </si>
  <si>
    <t>D11434</t>
  </si>
  <si>
    <t>D11435</t>
  </si>
  <si>
    <t>D11436</t>
  </si>
  <si>
    <t>D11437</t>
  </si>
  <si>
    <t>D11438</t>
  </si>
  <si>
    <t>D11439</t>
  </si>
  <si>
    <t>D11440</t>
  </si>
  <si>
    <t>D11441</t>
  </si>
  <si>
    <t>D11442</t>
  </si>
  <si>
    <t>D11443</t>
  </si>
  <si>
    <t>D11444</t>
  </si>
  <si>
    <t>D11445</t>
  </si>
  <si>
    <t>D11446</t>
  </si>
  <si>
    <t>D11447</t>
  </si>
  <si>
    <t>D11448</t>
  </si>
  <si>
    <t>D11449</t>
  </si>
  <si>
    <t>D11450</t>
  </si>
  <si>
    <t>D11451</t>
  </si>
  <si>
    <t>D11452</t>
  </si>
  <si>
    <t>D11453</t>
  </si>
  <si>
    <t>D11454</t>
  </si>
  <si>
    <t>D11455</t>
  </si>
  <si>
    <t>D11456</t>
  </si>
  <si>
    <t>D11457</t>
  </si>
  <si>
    <t>D11458</t>
  </si>
  <si>
    <t>D11459</t>
  </si>
  <si>
    <t>D11460</t>
  </si>
  <si>
    <t>D11461</t>
  </si>
  <si>
    <t>D11462</t>
  </si>
  <si>
    <t>D11463</t>
  </si>
  <si>
    <t>D11464</t>
  </si>
  <si>
    <t>D11465</t>
  </si>
  <si>
    <t>D11466</t>
  </si>
  <si>
    <t>D11467</t>
  </si>
  <si>
    <t>D11468</t>
  </si>
  <si>
    <t>D11469</t>
  </si>
  <si>
    <t>D11470</t>
  </si>
  <si>
    <t>D11471</t>
  </si>
  <si>
    <t>D11472</t>
  </si>
  <si>
    <t>D11473</t>
  </si>
  <si>
    <t>D11474</t>
  </si>
  <si>
    <t>D11475</t>
  </si>
  <si>
    <t>D11476</t>
  </si>
  <si>
    <t>D11477</t>
  </si>
  <si>
    <t>D11478</t>
  </si>
  <si>
    <t>D11479</t>
  </si>
  <si>
    <t>D11480</t>
  </si>
  <si>
    <t>D11481</t>
  </si>
  <si>
    <t>D11482</t>
  </si>
  <si>
    <t>D11483</t>
  </si>
  <si>
    <t>D11484</t>
  </si>
  <si>
    <t>D11485</t>
  </si>
  <si>
    <t>D11486</t>
  </si>
  <si>
    <t>D11487</t>
  </si>
  <si>
    <t>D11488</t>
  </si>
  <si>
    <t>D11489</t>
  </si>
  <si>
    <t>D11490</t>
  </si>
  <si>
    <t>D11491</t>
  </si>
  <si>
    <t>D11492</t>
  </si>
  <si>
    <t>D11493</t>
  </si>
  <si>
    <t>D11494</t>
  </si>
  <si>
    <t>D11495</t>
  </si>
  <si>
    <t>D11496</t>
  </si>
  <si>
    <t>D11497</t>
  </si>
  <si>
    <t>D11498</t>
  </si>
  <si>
    <t>D11499</t>
  </si>
  <si>
    <t>D11500</t>
  </si>
  <si>
    <t>D11501</t>
  </si>
  <si>
    <t>D11502</t>
  </si>
  <si>
    <t>D11503</t>
  </si>
  <si>
    <t>D11504</t>
  </si>
  <si>
    <t>D11505</t>
  </si>
  <si>
    <t>D11506</t>
  </si>
  <si>
    <t>D11507</t>
  </si>
  <si>
    <t>D11508</t>
  </si>
  <si>
    <t>D11509</t>
  </si>
  <si>
    <t>D11510</t>
  </si>
  <si>
    <t>D11511</t>
  </si>
  <si>
    <t>D00170</t>
  </si>
  <si>
    <t>D00171</t>
  </si>
  <si>
    <t>T0014</t>
  </si>
  <si>
    <t>100MS Таймер на сброс флага успешной загрузки данных</t>
  </si>
  <si>
    <t>T0013</t>
  </si>
  <si>
    <t>100MS Таймер на сброс флага об ошибке загрузки данных</t>
  </si>
  <si>
    <t>T0012</t>
  </si>
  <si>
    <t>100MS Время на смену номера блока и номера рецепта</t>
  </si>
  <si>
    <t>T0015</t>
  </si>
  <si>
    <t>100MS Таймер сброса команды загрузки данных</t>
  </si>
  <si>
    <t>T0016</t>
  </si>
  <si>
    <t>100MS Таймер сброса команды сохранения данных</t>
  </si>
  <si>
    <t>T0017</t>
  </si>
  <si>
    <t>T0018</t>
  </si>
  <si>
    <t>D00168</t>
  </si>
  <si>
    <t>D00172</t>
  </si>
  <si>
    <t>D12000</t>
  </si>
  <si>
    <t>Z003</t>
  </si>
  <si>
    <t>Смещение редактируемого имени задания</t>
  </si>
  <si>
    <t>D00173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</si>
  <si>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</si>
  <si>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</si>
  <si>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</si>
  <si>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</si>
  <si>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</si>
  <si>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</si>
  <si>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</si>
  <si>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</si>
  <si>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</si>
  <si>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</si>
  <si>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</si>
  <si>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</si>
  <si>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</si>
  <si>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</si>
  <si>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</si>
  <si>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</si>
  <si>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</si>
  <si>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</si>
  <si>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</si>
  <si>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</si>
  <si>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</si>
  <si>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T0019</t>
  </si>
  <si>
    <t>D00180</t>
  </si>
  <si>
    <t>M00126</t>
  </si>
  <si>
    <t>Сброс задания HMI</t>
  </si>
  <si>
    <t>T0030</t>
  </si>
  <si>
    <t>100MS Время для сброса</t>
  </si>
  <si>
    <t>P11006</t>
  </si>
  <si>
    <t>D00314.0</t>
  </si>
  <si>
    <t>ID пластины в базе данных. 0 бит</t>
  </si>
  <si>
    <t>D00400.0</t>
  </si>
  <si>
    <t>Количество рядов на пластине. 0 бит</t>
  </si>
  <si>
    <t>D00136</t>
  </si>
  <si>
    <t>D00175</t>
  </si>
  <si>
    <t>D00176</t>
  </si>
  <si>
    <t>D00177</t>
  </si>
  <si>
    <t>D00178</t>
  </si>
  <si>
    <t>D00136.0</t>
  </si>
  <si>
    <t>Количество деталей на полке 0 бит</t>
  </si>
  <si>
    <t>D00402.0</t>
  </si>
  <si>
    <t>Количество ячеек в чётных рядах пластины 0 бит</t>
  </si>
  <si>
    <t>D00401.0</t>
  </si>
  <si>
    <t>Количество ячеек в нечётных рядах пластины 0 бит</t>
  </si>
  <si>
    <t>D00319.0</t>
  </si>
  <si>
    <t>D00320.0</t>
  </si>
  <si>
    <t>D00322.0</t>
  </si>
  <si>
    <t>Что сначала: открытие захвата или закрытие патрона\n\r\n</t>
  </si>
  <si>
    <t>D00322</t>
  </si>
  <si>
    <t>D00315.0</t>
  </si>
  <si>
    <t>D00316.0</t>
  </si>
  <si>
    <t>D00203</t>
  </si>
  <si>
    <t>M00170</t>
  </si>
  <si>
    <t>Замедление робота при приближении человека</t>
  </si>
  <si>
    <t>M00171</t>
  </si>
  <si>
    <t>Автоматический сброс лидара</t>
  </si>
  <si>
    <t>M00145</t>
  </si>
  <si>
    <t>Кнопка сохранения пластины в базу данных</t>
  </si>
  <si>
    <t>M00146</t>
  </si>
  <si>
    <t>Загрузка при первом открытии рецепта заданий</t>
  </si>
  <si>
    <t>M00147</t>
  </si>
  <si>
    <t>Требуется загрузка задания при редактировании</t>
  </si>
  <si>
    <t>M00148</t>
  </si>
  <si>
    <t>Флаг загрузки задания при редактировании</t>
  </si>
  <si>
    <t>T0031</t>
  </si>
  <si>
    <t>100MS Таймер на подготовку данных перед загрузкой</t>
  </si>
  <si>
    <t>M00150</t>
  </si>
  <si>
    <t>Флаг сохранения задания</t>
  </si>
  <si>
    <t>T0032</t>
  </si>
  <si>
    <t>100MS Время действия команды сохранения задания</t>
  </si>
  <si>
    <t>M00151</t>
  </si>
  <si>
    <t>Флаг сохранения пластины</t>
  </si>
  <si>
    <t>T0033</t>
  </si>
  <si>
    <t>100MS Время действия команды сохранения пластины</t>
  </si>
  <si>
    <t>Z004</t>
  </si>
  <si>
    <t>Смещение редактируемого имени пластины</t>
  </si>
  <si>
    <t>M00149</t>
  </si>
  <si>
    <t>Требуется загрузка пластины при редактировании</t>
  </si>
  <si>
    <t>T0034</t>
  </si>
  <si>
    <t>D00174</t>
  </si>
  <si>
    <t>M0014A</t>
  </si>
  <si>
    <t>Флаг загрузки пластины при редактировании</t>
  </si>
  <si>
    <t>M0014B</t>
  </si>
  <si>
    <t>Загрузка при первом открытии рецепта пластин</t>
  </si>
  <si>
    <t>D00190</t>
  </si>
  <si>
    <t>M0014C</t>
  </si>
  <si>
    <t>Флаг загрузки задания при изменении</t>
  </si>
  <si>
    <t>M0014D</t>
  </si>
  <si>
    <t>Требуется загрузка задания при изменении</t>
  </si>
  <si>
    <t>T0035</t>
  </si>
  <si>
    <t>M0014E</t>
  </si>
  <si>
    <t>Флаг загрузки пластины при запуске цикла</t>
  </si>
  <si>
    <t>M0014F</t>
  </si>
  <si>
    <t>Требуется загрузка пластины при запуске цикла</t>
  </si>
  <si>
    <t>M00127</t>
  </si>
  <si>
    <t>Готовность к запуску задания</t>
  </si>
  <si>
    <t>M00129</t>
  </si>
  <si>
    <t>M00128</t>
  </si>
  <si>
    <t>Мигание готовности к запуску задания</t>
  </si>
  <si>
    <t>M00152</t>
  </si>
  <si>
    <t>Загрузка один раз при запуске цикла</t>
  </si>
  <si>
    <t>T0036</t>
  </si>
  <si>
    <t>T0037</t>
  </si>
  <si>
    <t>100MS Время остановки задания</t>
  </si>
  <si>
    <t>T0038</t>
  </si>
  <si>
    <t>100MS Подготовка количества деталей</t>
  </si>
  <si>
    <t>P11031</t>
  </si>
  <si>
    <t>M00173</t>
  </si>
  <si>
    <t>Циклический сигнал сброса лидара</t>
  </si>
  <si>
    <t>M00174</t>
  </si>
  <si>
    <t>Была нарушена зона безопасности лидара</t>
  </si>
  <si>
    <t>M00175</t>
  </si>
  <si>
    <t>Любая другая ошибка кроме лидара</t>
  </si>
  <si>
    <t>M0012A</t>
  </si>
  <si>
    <t>Требуется запуск задания</t>
  </si>
  <si>
    <t>D00321.0</t>
  </si>
  <si>
    <t>Номер программы. бит 0</t>
  </si>
  <si>
    <t>D00321.1</t>
  </si>
  <si>
    <t>Номер программы. бит 1</t>
  </si>
  <si>
    <t>D00321.2</t>
  </si>
  <si>
    <t>Номер программы. бит 2</t>
  </si>
  <si>
    <t>D00321.3</t>
  </si>
  <si>
    <t>Номер программы. бит 3</t>
  </si>
  <si>
    <t>D00321.4</t>
  </si>
  <si>
    <t>Номер программы. бит 4</t>
  </si>
  <si>
    <t>D00321.5</t>
  </si>
  <si>
    <t>Номер программы. бит 5</t>
  </si>
  <si>
    <t>D00321.6</t>
  </si>
  <si>
    <t>Номер программы. бит 6</t>
  </si>
  <si>
    <t>D00321.7</t>
  </si>
  <si>
    <t>Номер программы. бит 7</t>
  </si>
  <si>
    <t>T0040</t>
  </si>
  <si>
    <t>100MS Время между запуском задания и станка</t>
  </si>
  <si>
    <t>M0012B</t>
  </si>
  <si>
    <t>T0020</t>
  </si>
  <si>
    <t>100MS Задержка команды старт роботу</t>
  </si>
  <si>
    <t>T0021</t>
  </si>
  <si>
    <t>100MS Сброс флага запуска задания</t>
  </si>
  <si>
    <t>D00210</t>
  </si>
  <si>
    <t>D00211</t>
  </si>
  <si>
    <t>D00213</t>
  </si>
  <si>
    <t>D00214</t>
  </si>
  <si>
    <t>D00215</t>
  </si>
  <si>
    <t>D00216</t>
  </si>
  <si>
    <t>D00217</t>
  </si>
  <si>
    <t>D00210.0</t>
  </si>
  <si>
    <t>Время открытия захвата 1</t>
  </si>
  <si>
    <t>D00211.0</t>
  </si>
  <si>
    <t>Время открытия захвата 2</t>
  </si>
  <si>
    <t>D00212.0</t>
  </si>
  <si>
    <t>Время закрытия захвата 1</t>
  </si>
  <si>
    <t>D00213.0</t>
  </si>
  <si>
    <t>Время закрытия захвата 2</t>
  </si>
  <si>
    <t>D00214.0</t>
  </si>
  <si>
    <t xml:space="preserve">Ожидание открытия кулачков патрона 1 после сигнала </t>
  </si>
  <si>
    <t>D00215.0</t>
  </si>
  <si>
    <t xml:space="preserve">Ожидание открытия кулачков патрона 2 после сигнала </t>
  </si>
  <si>
    <t>D00216.0</t>
  </si>
  <si>
    <t xml:space="preserve">Ожидание закрытия кулачков патрона 1 после сигнала </t>
  </si>
  <si>
    <t>D00217.0</t>
  </si>
  <si>
    <t xml:space="preserve">Ожидание закрытия кулачков патрона 2 после сигнала </t>
  </si>
  <si>
    <t>D00218.0</t>
  </si>
  <si>
    <t>Прижим при захвате детали с полки</t>
  </si>
  <si>
    <t>D00219.0</t>
  </si>
  <si>
    <t>Прижим при установке деталь на полку</t>
  </si>
  <si>
    <t>D00220.0</t>
  </si>
  <si>
    <t>Прижим при установки детали в патрон</t>
  </si>
  <si>
    <t>D00221.0</t>
  </si>
  <si>
    <t>Прижим при захвате детали из патрона</t>
  </si>
  <si>
    <t>P11110</t>
  </si>
  <si>
    <t>Таймер открытия патрона 2 (0)</t>
  </si>
  <si>
    <t>P11118</t>
  </si>
  <si>
    <t>Таймер закрытия патрона 2 (0)</t>
  </si>
  <si>
    <t>Длина заготовки (0)</t>
  </si>
  <si>
    <t>Длина обработанной с одной стороны детали (0)</t>
  </si>
  <si>
    <t>D00222</t>
  </si>
  <si>
    <t>D00222.0</t>
  </si>
  <si>
    <t>Длина обработанной с одной стороны детали (8)</t>
  </si>
  <si>
    <t>T0022</t>
  </si>
  <si>
    <t>100MS Задержка после выхода из варнинг зоны</t>
  </si>
  <si>
    <t>Полная длина кулачков на захвате 1 (0)</t>
  </si>
  <si>
    <t>D00223</t>
  </si>
  <si>
    <t>D00223.0</t>
  </si>
  <si>
    <t>Скорость обдува 0 бит</t>
  </si>
  <si>
    <t>M20471</t>
  </si>
  <si>
    <t>Поднять флаг инициализации с HMI</t>
  </si>
  <si>
    <t>T0050</t>
  </si>
  <si>
    <t>Время зажатия кнопки инициализации</t>
  </si>
  <si>
    <t>P00000</t>
  </si>
  <si>
    <t>IN: Полка 1 разблокирована (геркон)</t>
  </si>
  <si>
    <t>P00001</t>
  </si>
  <si>
    <t>IN: Полка 2 разблокирована (геркон)</t>
  </si>
  <si>
    <t>P00002</t>
  </si>
  <si>
    <t>IN: Полка 3 разблокирована (геркон)</t>
  </si>
  <si>
    <t>P00003</t>
  </si>
  <si>
    <t>IN: Полка 4 разблокирована (геркон)</t>
  </si>
  <si>
    <t>P00004</t>
  </si>
  <si>
    <t>IN: Объект в зоне предупреждения лидара</t>
  </si>
  <si>
    <t>P00005</t>
  </si>
  <si>
    <t>IN: Датчик давления воздуха</t>
  </si>
  <si>
    <t>P00006</t>
  </si>
  <si>
    <t>IN: Кнопка "Запуск задания"</t>
  </si>
  <si>
    <t>P00007</t>
  </si>
  <si>
    <t>IN: Кнопка "Запуск цикла робота"</t>
  </si>
  <si>
    <t>P00008</t>
  </si>
  <si>
    <t>IN: Кнопка "Сброс ошибок"</t>
  </si>
  <si>
    <t>P00009</t>
  </si>
  <si>
    <t>IN: OSSD статус лидара</t>
  </si>
  <si>
    <t>P0000A</t>
  </si>
  <si>
    <t>IN: Резерв</t>
  </si>
  <si>
    <t>P0000B</t>
  </si>
  <si>
    <t>P0000C</t>
  </si>
  <si>
    <t>P0000D</t>
  </si>
  <si>
    <t>P0000E</t>
  </si>
  <si>
    <t>P0000F</t>
  </si>
  <si>
    <t>OUT: Открыть полку 1</t>
  </si>
  <si>
    <t>OUT: Открыть полку 2</t>
  </si>
  <si>
    <t>OUT: Открыть полку 3</t>
  </si>
  <si>
    <t>OUT: Открыть полку 4</t>
  </si>
  <si>
    <t>OUT: Сброс системы безопасности лидара</t>
  </si>
  <si>
    <t>OUT: Индикатор "Задание запущено" (жёлтый)</t>
  </si>
  <si>
    <t>OUT: Индикатор "Цикл робота запущен" (зелёный)</t>
  </si>
  <si>
    <t>OUT: Индикатор "Ошибка" (красный)</t>
  </si>
  <si>
    <t>OUT: Резерв</t>
  </si>
  <si>
    <t>IN: Станок готов к работе</t>
  </si>
  <si>
    <t>IN: Станок ожидает загрузки</t>
  </si>
  <si>
    <t>IN: Патрон 1 открыт</t>
  </si>
  <si>
    <t>IN: Патрон 1 закрыт</t>
  </si>
  <si>
    <t>IN: Патрон 2 открыт</t>
  </si>
  <si>
    <t>IN: Патрон 2 закрыт</t>
  </si>
  <si>
    <t>IN: Поиск программы успешен</t>
  </si>
  <si>
    <t>IN: Ошибка поиска программы</t>
  </si>
  <si>
    <t>OUT: Система включена</t>
  </si>
  <si>
    <t>OUT: Загрузка завершена</t>
  </si>
  <si>
    <t>OUT: Открыть патрон 1</t>
  </si>
  <si>
    <t>OUT: Закрыть патрон 1</t>
  </si>
  <si>
    <t>OUT: Открыть патрон 2</t>
  </si>
  <si>
    <t>OUT: Закрыть патрон 2</t>
  </si>
  <si>
    <t>OUT: Запуск программы</t>
  </si>
  <si>
    <t>OUT: Поиск программы</t>
  </si>
  <si>
    <t>OUT: Номер программы станка бит 0</t>
  </si>
  <si>
    <t>OUT: Номер программы станка бит 1</t>
  </si>
  <si>
    <t>OUT: Номер программы станка бит 2</t>
  </si>
  <si>
    <t>OUT: Номер программы станка бит 3</t>
  </si>
  <si>
    <t>OUT: Номер программы станка бит 4</t>
  </si>
  <si>
    <t>OUT: Номер программы станка бит 5</t>
  </si>
  <si>
    <t>OUT: Номер программы станка бит 6</t>
  </si>
  <si>
    <t>OUT: Номер программы станка бит 7</t>
  </si>
  <si>
    <t>FORCE OUT: Номер программы станка бит 1</t>
  </si>
  <si>
    <t>FORCE OUT: Номер программы станка бит 2</t>
  </si>
  <si>
    <t>FORCE OUT: Номер программы станка бит 3</t>
  </si>
  <si>
    <t>FORCE OUT: Номер программы станка бит 4</t>
  </si>
  <si>
    <t>FORCE OUT: Номер программы станка бит 5</t>
  </si>
  <si>
    <t>FORCE OUT: Номер программы станка бит 6</t>
  </si>
  <si>
    <t>FORCE OUT: Номер программы станка бит 0</t>
  </si>
  <si>
    <t>T0041</t>
  </si>
  <si>
    <t>100MS Ожидание ответа от станка</t>
  </si>
  <si>
    <t>M00200</t>
  </si>
  <si>
    <t>M00201</t>
  </si>
  <si>
    <t>Наличие внутренней станции перехвата</t>
  </si>
  <si>
    <t>M00202</t>
  </si>
  <si>
    <t>Наличие внешней станции перехвата</t>
  </si>
  <si>
    <t>D10960</t>
  </si>
  <si>
    <t>D10961</t>
  </si>
  <si>
    <t>D10962</t>
  </si>
  <si>
    <t>D10963</t>
  </si>
  <si>
    <t>D10964</t>
  </si>
  <si>
    <t>D10965</t>
  </si>
  <si>
    <t>D10966</t>
  </si>
  <si>
    <t>D10967</t>
  </si>
  <si>
    <t>D10968</t>
  </si>
  <si>
    <t>D10969</t>
  </si>
  <si>
    <t>D10970</t>
  </si>
  <si>
    <t>D10971</t>
  </si>
  <si>
    <t>D10972</t>
  </si>
  <si>
    <t>D10973</t>
  </si>
  <si>
    <t>D10974</t>
  </si>
  <si>
    <t>D10975</t>
  </si>
  <si>
    <t>D10976</t>
  </si>
  <si>
    <t>D10977</t>
  </si>
  <si>
    <t>D10978</t>
  </si>
  <si>
    <t>D10979</t>
  </si>
  <si>
    <t>D10980</t>
  </si>
  <si>
    <t>D10981</t>
  </si>
  <si>
    <t>D10982</t>
  </si>
  <si>
    <t>D10983</t>
  </si>
  <si>
    <t>D10984</t>
  </si>
  <si>
    <t>D10985</t>
  </si>
  <si>
    <t>D10986</t>
  </si>
  <si>
    <t>D10987</t>
  </si>
  <si>
    <t>D10988</t>
  </si>
  <si>
    <t>D10989</t>
  </si>
  <si>
    <t>D10990</t>
  </si>
  <si>
    <t>D10991</t>
  </si>
  <si>
    <t>D10992</t>
  </si>
  <si>
    <t>D10993</t>
  </si>
  <si>
    <t>D10994</t>
  </si>
  <si>
    <t>D10995</t>
  </si>
  <si>
    <t>D10996</t>
  </si>
  <si>
    <t>D10997</t>
  </si>
  <si>
    <t>D10998</t>
  </si>
  <si>
    <t>D10999</t>
  </si>
  <si>
    <t>D11512</t>
  </si>
  <si>
    <t>D11513</t>
  </si>
  <si>
    <t>D11514</t>
  </si>
  <si>
    <t>D11515</t>
  </si>
  <si>
    <t>D11516</t>
  </si>
  <si>
    <t>D11517</t>
  </si>
  <si>
    <t>D11518</t>
  </si>
  <si>
    <t>D11519</t>
  </si>
  <si>
    <t>D11520</t>
  </si>
  <si>
    <t>D11521</t>
  </si>
  <si>
    <t>D11522</t>
  </si>
  <si>
    <t>D11523</t>
  </si>
  <si>
    <t>D11524</t>
  </si>
  <si>
    <t>D11525</t>
  </si>
  <si>
    <t>D11526</t>
  </si>
  <si>
    <t>D11527</t>
  </si>
  <si>
    <t>D11528</t>
  </si>
  <si>
    <t>D11529</t>
  </si>
  <si>
    <t>D11530</t>
  </si>
  <si>
    <t>D11531</t>
  </si>
  <si>
    <t>D11532</t>
  </si>
  <si>
    <t>D11533</t>
  </si>
  <si>
    <t>D11534</t>
  </si>
  <si>
    <t>D11535</t>
  </si>
  <si>
    <t>D11536</t>
  </si>
  <si>
    <t>D11537</t>
  </si>
  <si>
    <t>D11538</t>
  </si>
  <si>
    <t>D11539</t>
  </si>
  <si>
    <t>D11540</t>
  </si>
  <si>
    <t>D11541</t>
  </si>
  <si>
    <t>D11542</t>
  </si>
  <si>
    <t>D11543</t>
  </si>
  <si>
    <t>D11544</t>
  </si>
  <si>
    <t>D11545</t>
  </si>
  <si>
    <t>D11546</t>
  </si>
  <si>
    <t>D11547</t>
  </si>
  <si>
    <t>D11548</t>
  </si>
  <si>
    <t>D11549</t>
  </si>
  <si>
    <t>D11550</t>
  </si>
  <si>
    <t>D11551</t>
  </si>
  <si>
    <t>D11552</t>
  </si>
  <si>
    <t>D11553</t>
  </si>
  <si>
    <t>D11554</t>
  </si>
  <si>
    <t>D11555</t>
  </si>
  <si>
    <t>D11556</t>
  </si>
  <si>
    <t>D11557</t>
  </si>
  <si>
    <t>D11558</t>
  </si>
  <si>
    <t>D00250</t>
  </si>
  <si>
    <t>D00256</t>
  </si>
  <si>
    <t>D12001</t>
  </si>
  <si>
    <t>D12002</t>
  </si>
  <si>
    <t>D12003</t>
  </si>
  <si>
    <t>D12004</t>
  </si>
  <si>
    <t>D12005</t>
  </si>
  <si>
    <t>D12006</t>
  </si>
  <si>
    <t>D12007</t>
  </si>
  <si>
    <t>D12008</t>
  </si>
  <si>
    <t>D12009</t>
  </si>
  <si>
    <t>D12010</t>
  </si>
  <si>
    <t>D12011</t>
  </si>
  <si>
    <t>D12012</t>
  </si>
  <si>
    <t>D12013</t>
  </si>
  <si>
    <t>D12014</t>
  </si>
  <si>
    <t>D12015</t>
  </si>
  <si>
    <t>D12016</t>
  </si>
  <si>
    <t>D12017</t>
  </si>
  <si>
    <t>D12018</t>
  </si>
  <si>
    <t>D12019</t>
  </si>
  <si>
    <t>D12020</t>
  </si>
  <si>
    <t>D12021</t>
  </si>
  <si>
    <t>D12022</t>
  </si>
  <si>
    <t>D12023</t>
  </si>
  <si>
    <t>D12024</t>
  </si>
  <si>
    <t>M20460</t>
  </si>
  <si>
    <t>Английская раскладка без капса</t>
  </si>
  <si>
    <t>M20461</t>
  </si>
  <si>
    <t>Английская раскладка капс</t>
  </si>
  <si>
    <t>M20462</t>
  </si>
  <si>
    <t>Русская раскладка без капса</t>
  </si>
  <si>
    <t>M20463</t>
  </si>
  <si>
    <t>Русская раскладка капс</t>
  </si>
  <si>
    <t>M20464</t>
  </si>
  <si>
    <t>РУС ОН</t>
  </si>
  <si>
    <t>M20465</t>
  </si>
  <si>
    <t>КАПС ОН</t>
  </si>
  <si>
    <t>D00331</t>
  </si>
  <si>
    <t>D00332</t>
  </si>
  <si>
    <t>D00332.0</t>
  </si>
  <si>
    <t>D00332.1</t>
  </si>
  <si>
    <t>D00332.2</t>
  </si>
  <si>
    <t>D00332.3</t>
  </si>
  <si>
    <t>D00332.4</t>
  </si>
  <si>
    <t>D00332.5</t>
  </si>
  <si>
    <t>D00332.6</t>
  </si>
  <si>
    <t>D00332.7</t>
  </si>
  <si>
    <t>D00332.8</t>
  </si>
  <si>
    <t>D00221</t>
  </si>
  <si>
    <t>D00212</t>
  </si>
  <si>
    <t>M00176</t>
  </si>
  <si>
    <t>Проверка датчиков захвата 1</t>
  </si>
  <si>
    <t>M00177</t>
  </si>
  <si>
    <t>Проверка датчиков захвата 2</t>
  </si>
  <si>
    <t>P1000D</t>
  </si>
  <si>
    <t>P10018</t>
  </si>
  <si>
    <t>P10019</t>
  </si>
  <si>
    <t>P1001A</t>
  </si>
  <si>
    <t>P1001B</t>
  </si>
  <si>
    <t>P1001C</t>
  </si>
  <si>
    <t>P10028</t>
  </si>
  <si>
    <t>P10050</t>
  </si>
  <si>
    <t>Код ошибки на роботе (0)</t>
  </si>
  <si>
    <t>P10051</t>
  </si>
  <si>
    <t>Код ошибки на роботе (1)</t>
  </si>
  <si>
    <t>P10052</t>
  </si>
  <si>
    <t>Код ошибки на роботе (2)</t>
  </si>
  <si>
    <t>P10053</t>
  </si>
  <si>
    <t>Код ошибки на роботе (3)</t>
  </si>
  <si>
    <t>P10054</t>
  </si>
  <si>
    <t>Код ошибки на роботе (4)</t>
  </si>
  <si>
    <t>P10055</t>
  </si>
  <si>
    <t>Код ошибки на роботе (5)</t>
  </si>
  <si>
    <t>P10056</t>
  </si>
  <si>
    <t>Код ошибки на роботе (6)</t>
  </si>
  <si>
    <t>P10057</t>
  </si>
  <si>
    <t>Код ошибки на роботе (7)</t>
  </si>
  <si>
    <t>P10058</t>
  </si>
  <si>
    <t>Код ошибки на роботе (8)</t>
  </si>
  <si>
    <t>P10059</t>
  </si>
  <si>
    <t>Код ошибки на роботе (9)</t>
  </si>
  <si>
    <t>P1005A</t>
  </si>
  <si>
    <t>Код ошибки на роботе (10)</t>
  </si>
  <si>
    <t>P1005B</t>
  </si>
  <si>
    <t>Код ошибки на роботе (11)</t>
  </si>
  <si>
    <t>P1005C</t>
  </si>
  <si>
    <t>Код ошибки на роботе (12)</t>
  </si>
  <si>
    <t>P1005D</t>
  </si>
  <si>
    <t>Код ошибки на роботе (13)</t>
  </si>
  <si>
    <t>P1005E</t>
  </si>
  <si>
    <t>Код ошибки на роботе (14)</t>
  </si>
  <si>
    <t>P1005F</t>
  </si>
  <si>
    <t>Код ошибки на роботе (15)</t>
  </si>
  <si>
    <t>P10060</t>
  </si>
  <si>
    <t>Состояние захвата 1 (0)</t>
  </si>
  <si>
    <t>P10061</t>
  </si>
  <si>
    <t>Состояние захвата 1 (1)</t>
  </si>
  <si>
    <t>P10062</t>
  </si>
  <si>
    <t>Состояние захвата 1 (2)</t>
  </si>
  <si>
    <t>P10063</t>
  </si>
  <si>
    <t>Состояние захвата 1 (3)</t>
  </si>
  <si>
    <t>P10064</t>
  </si>
  <si>
    <t>Состояние захвата 1 (4)</t>
  </si>
  <si>
    <t>P10065</t>
  </si>
  <si>
    <t>Состояние захвата 1 (5)</t>
  </si>
  <si>
    <t>P10066</t>
  </si>
  <si>
    <t>Состояние захвата 1 (6)</t>
  </si>
  <si>
    <t>P10067</t>
  </si>
  <si>
    <t>Состояние захвата 1 (7)</t>
  </si>
  <si>
    <t>P10068</t>
  </si>
  <si>
    <t>Состояние захвата 2 (0)</t>
  </si>
  <si>
    <t>P10069</t>
  </si>
  <si>
    <t>Состояние захвата 2 (1)</t>
  </si>
  <si>
    <t>P1006A</t>
  </si>
  <si>
    <t>Состояние захвата 2 (2)</t>
  </si>
  <si>
    <t>P1006B</t>
  </si>
  <si>
    <t>Состояние захвата 2 (3)</t>
  </si>
  <si>
    <t>P1006C</t>
  </si>
  <si>
    <t>Состояние захвата 2 (4)</t>
  </si>
  <si>
    <t>P1006D</t>
  </si>
  <si>
    <t>Состояние захвата 2 (5)</t>
  </si>
  <si>
    <t>P1006E</t>
  </si>
  <si>
    <t>Состояние захвата 2 (6)</t>
  </si>
  <si>
    <t>P1006F</t>
  </si>
  <si>
    <t>Состояние захвата 2 (7)</t>
  </si>
  <si>
    <t>P10070</t>
  </si>
  <si>
    <t>Состояние патрона 1 (0)</t>
  </si>
  <si>
    <t>P10071</t>
  </si>
  <si>
    <t>Состояние патрона 1 (1)</t>
  </si>
  <si>
    <t>P10072</t>
  </si>
  <si>
    <t>Состояние патрона 1 (2)</t>
  </si>
  <si>
    <t>P10073</t>
  </si>
  <si>
    <t>Состояние патрона 1 (3)</t>
  </si>
  <si>
    <t>P10074</t>
  </si>
  <si>
    <t>Состояние патрона 1 (4)</t>
  </si>
  <si>
    <t>P10075</t>
  </si>
  <si>
    <t>Состояние патрона 1 (5)</t>
  </si>
  <si>
    <t>P10076</t>
  </si>
  <si>
    <t>Состояние патрона 1 (6)</t>
  </si>
  <si>
    <t>P10077</t>
  </si>
  <si>
    <t>Состояние патрона 1 (7)</t>
  </si>
  <si>
    <t>P10078</t>
  </si>
  <si>
    <t>Состояние патрона 2 / станции перехвата (0)</t>
  </si>
  <si>
    <t>P10079</t>
  </si>
  <si>
    <t>Состояние патрона 2 / станции перехвата (1)</t>
  </si>
  <si>
    <t>P1007A</t>
  </si>
  <si>
    <t>Состояние патрона 2 / станции перехвата (2)</t>
  </si>
  <si>
    <t>P1007B</t>
  </si>
  <si>
    <t>Состояние патрона 2 / станции перехвата (3)</t>
  </si>
  <si>
    <t>P1007C</t>
  </si>
  <si>
    <t>Состояние патрона 2 / станции перехвата (4)</t>
  </si>
  <si>
    <t>P1007D</t>
  </si>
  <si>
    <t>Состояние патрона 2 / станции перехвата (5)</t>
  </si>
  <si>
    <t>P1007E</t>
  </si>
  <si>
    <t>Состояние патрона 2 / станции перехвата (6)</t>
  </si>
  <si>
    <t>P1007F</t>
  </si>
  <si>
    <t>Состояние патрона 2 / станции перехвата (7)</t>
  </si>
  <si>
    <t>P10080</t>
  </si>
  <si>
    <t>Обработано деталей (0)</t>
  </si>
  <si>
    <t>P10081</t>
  </si>
  <si>
    <t>Обработано деталей (1)</t>
  </si>
  <si>
    <t>P10082</t>
  </si>
  <si>
    <t>Обработано деталей (2)</t>
  </si>
  <si>
    <t>P10083</t>
  </si>
  <si>
    <t>Обработано деталей (3)</t>
  </si>
  <si>
    <t>P10084</t>
  </si>
  <si>
    <t>Обработано деталей (4)</t>
  </si>
  <si>
    <t>P10085</t>
  </si>
  <si>
    <t>Обработано деталей (5)</t>
  </si>
  <si>
    <t>P10086</t>
  </si>
  <si>
    <t>Обработано деталей (6)</t>
  </si>
  <si>
    <t>P10087</t>
  </si>
  <si>
    <t>Обработано деталей (7)</t>
  </si>
  <si>
    <t>P10088</t>
  </si>
  <si>
    <t>Следующая деталь (0)</t>
  </si>
  <si>
    <t>P10089</t>
  </si>
  <si>
    <t>Следующая деталь (1)</t>
  </si>
  <si>
    <t>P1008A</t>
  </si>
  <si>
    <t>Следующая деталь (2)</t>
  </si>
  <si>
    <t>P1008B</t>
  </si>
  <si>
    <t>Следующая деталь (3)</t>
  </si>
  <si>
    <t>P1008C</t>
  </si>
  <si>
    <t>Следующая деталь (4)</t>
  </si>
  <si>
    <t>P1008D</t>
  </si>
  <si>
    <t>Следующая деталь (5)</t>
  </si>
  <si>
    <t>P1008E</t>
  </si>
  <si>
    <t>Следующая деталь (6)</t>
  </si>
  <si>
    <t>P1008F</t>
  </si>
  <si>
    <t>Следующая деталь (7)</t>
  </si>
  <si>
    <t>P11018</t>
  </si>
  <si>
    <t>P11019</t>
  </si>
  <si>
    <t>P1101B</t>
  </si>
  <si>
    <t>P11034</t>
  </si>
  <si>
    <t>P11035</t>
  </si>
  <si>
    <t>P11036</t>
  </si>
  <si>
    <t>P11050</t>
  </si>
  <si>
    <t>Скорость робота (0)</t>
  </si>
  <si>
    <t>P11051</t>
  </si>
  <si>
    <t>Скорость робота (1)</t>
  </si>
  <si>
    <t>P11052</t>
  </si>
  <si>
    <t>Скорость робота (2)</t>
  </si>
  <si>
    <t>P11053</t>
  </si>
  <si>
    <t>Скорость робота (3)</t>
  </si>
  <si>
    <t>P11054</t>
  </si>
  <si>
    <t>Скорость робота (4)</t>
  </si>
  <si>
    <t>P11055</t>
  </si>
  <si>
    <t>Скорость робота (5)</t>
  </si>
  <si>
    <t>P11056</t>
  </si>
  <si>
    <t>Скорость робота (6)</t>
  </si>
  <si>
    <t>P11057</t>
  </si>
  <si>
    <t>Скорость робота (7)</t>
  </si>
  <si>
    <t>P11060</t>
  </si>
  <si>
    <t>Скорость поиска (0)</t>
  </si>
  <si>
    <t>P11061</t>
  </si>
  <si>
    <t>Скорость поиска (1)</t>
  </si>
  <si>
    <t>P11062</t>
  </si>
  <si>
    <t>Скорость поиска (2)</t>
  </si>
  <si>
    <t>P11063</t>
  </si>
  <si>
    <t>Скорость поиска (3)</t>
  </si>
  <si>
    <t>P11064</t>
  </si>
  <si>
    <t>Скорость поиска (4)</t>
  </si>
  <si>
    <t>P11065</t>
  </si>
  <si>
    <t>Скорость поиска (5)</t>
  </si>
  <si>
    <t>P11066</t>
  </si>
  <si>
    <t>Скорость поиска (6)</t>
  </si>
  <si>
    <t>P11067</t>
  </si>
  <si>
    <t>Скорость поиска (7)</t>
  </si>
  <si>
    <t>P11068</t>
  </si>
  <si>
    <t>Скорость обдува (0)</t>
  </si>
  <si>
    <t>P11069</t>
  </si>
  <si>
    <t>Скорость обдува (1)</t>
  </si>
  <si>
    <t>P1106A</t>
  </si>
  <si>
    <t>Скорость обдува (2)</t>
  </si>
  <si>
    <t>P1106B</t>
  </si>
  <si>
    <t>Скорость обдува (3)</t>
  </si>
  <si>
    <t>P1106C</t>
  </si>
  <si>
    <t>Скорость обдува (4)</t>
  </si>
  <si>
    <t>P1106D</t>
  </si>
  <si>
    <t>Скорость обдува (5)</t>
  </si>
  <si>
    <t>P1106E</t>
  </si>
  <si>
    <t>Скорость обдува (6)</t>
  </si>
  <si>
    <t>P1106F</t>
  </si>
  <si>
    <t>Скорость обдува (7)</t>
  </si>
  <si>
    <t>P11070</t>
  </si>
  <si>
    <t>Overshoot при поиске (0)</t>
  </si>
  <si>
    <t>P11071</t>
  </si>
  <si>
    <t>Overshoot при поиске (1)</t>
  </si>
  <si>
    <t>P11072</t>
  </si>
  <si>
    <t>Overshoot при поиске (2)</t>
  </si>
  <si>
    <t>P11073</t>
  </si>
  <si>
    <t>Overshoot при поиске (3)</t>
  </si>
  <si>
    <t>P11080</t>
  </si>
  <si>
    <t>Таймер открытия захвата 1 (0)</t>
  </si>
  <si>
    <t>P11081</t>
  </si>
  <si>
    <t>Таймер открытия захвата 1 (1)</t>
  </si>
  <si>
    <t>P11082</t>
  </si>
  <si>
    <t>Таймер открытия захвата 1 (2)</t>
  </si>
  <si>
    <t>P11083</t>
  </si>
  <si>
    <t>Таймер открытия захвата 1 (3)</t>
  </si>
  <si>
    <t>P11084</t>
  </si>
  <si>
    <t>Таймер открытия захвата 1 (4)</t>
  </si>
  <si>
    <t>P11085</t>
  </si>
  <si>
    <t>Таймер открытия захвата 1 (5)</t>
  </si>
  <si>
    <t>P11086</t>
  </si>
  <si>
    <t>Таймер открытия захвата 1 (6)</t>
  </si>
  <si>
    <t>P11087</t>
  </si>
  <si>
    <t>Таймер открытия захвата 1 (7)</t>
  </si>
  <si>
    <t>P11088</t>
  </si>
  <si>
    <t>Таймер закрытия захвата 1 (0)</t>
  </si>
  <si>
    <t>P11089</t>
  </si>
  <si>
    <t>Таймер закрытия захвата 1 (1)</t>
  </si>
  <si>
    <t>P1108A</t>
  </si>
  <si>
    <t>Таймер закрытия захвата 1 (2)</t>
  </si>
  <si>
    <t>P1108B</t>
  </si>
  <si>
    <t>Таймер закрытия захвата 1 (3)</t>
  </si>
  <si>
    <t>P1108C</t>
  </si>
  <si>
    <t>Таймер закрытия захвата 1 (4)</t>
  </si>
  <si>
    <t>P1108D</t>
  </si>
  <si>
    <t>Таймер закрытия захвата 1 (5)</t>
  </si>
  <si>
    <t>P1108E</t>
  </si>
  <si>
    <t>Таймер закрытия захвата 1 (6)</t>
  </si>
  <si>
    <t>P1108F</t>
  </si>
  <si>
    <t>Таймер закрытия захвата 1 (7)</t>
  </si>
  <si>
    <t>P11090</t>
  </si>
  <si>
    <t>Таймер открытия захвата 2 (0)</t>
  </si>
  <si>
    <t>P11091</t>
  </si>
  <si>
    <t>Таймер открытия захвата 2 (1)</t>
  </si>
  <si>
    <t>P11092</t>
  </si>
  <si>
    <t>Таймер открытия захвата 2 (2)</t>
  </si>
  <si>
    <t>P11093</t>
  </si>
  <si>
    <t>Таймер открытия захвата 2 (3)</t>
  </si>
  <si>
    <t>P11094</t>
  </si>
  <si>
    <t>Таймер открытия захвата 2 (4)</t>
  </si>
  <si>
    <t>P11095</t>
  </si>
  <si>
    <t>Таймер открытия захвата 2 (5)</t>
  </si>
  <si>
    <t>P11096</t>
  </si>
  <si>
    <t>Таймер открытия захвата 2 (6)</t>
  </si>
  <si>
    <t>P11097</t>
  </si>
  <si>
    <t>Таймер открытия захвата 2 (7)</t>
  </si>
  <si>
    <t>P11098</t>
  </si>
  <si>
    <t>Таймер закрытия захвата 2 (0)</t>
  </si>
  <si>
    <t>P11099</t>
  </si>
  <si>
    <t>Таймер закрытия захвата 2 (1)</t>
  </si>
  <si>
    <t>P1109A</t>
  </si>
  <si>
    <t>Таймер закрытия захвата 2 (2)</t>
  </si>
  <si>
    <t>P1109B</t>
  </si>
  <si>
    <t>Таймер закрытия захвата 2 (3)</t>
  </si>
  <si>
    <t>P1109C</t>
  </si>
  <si>
    <t>Таймер закрытия захвата 2 (4)</t>
  </si>
  <si>
    <t>P1109D</t>
  </si>
  <si>
    <t>Таймер закрытия захвата 2 (5)</t>
  </si>
  <si>
    <t>P1109E</t>
  </si>
  <si>
    <t>Таймер закрытия захвата 2 (6)</t>
  </si>
  <si>
    <t>P1109F</t>
  </si>
  <si>
    <t>Таймер закрытия захвата 2 (7)</t>
  </si>
  <si>
    <t>P11101</t>
  </si>
  <si>
    <t>Таймер открытия патрона 1 (1)</t>
  </si>
  <si>
    <t>P11102</t>
  </si>
  <si>
    <t>Таймер открытия патрона 1 (2)</t>
  </si>
  <si>
    <t>P11103</t>
  </si>
  <si>
    <t>Таймер открытия патрона 1 (3)</t>
  </si>
  <si>
    <t>P11104</t>
  </si>
  <si>
    <t>Таймер открытия патрона 1 (4)</t>
  </si>
  <si>
    <t>P11105</t>
  </si>
  <si>
    <t>Таймер открытия патрона 1 (5)</t>
  </si>
  <si>
    <t>P11106</t>
  </si>
  <si>
    <t>Таймер открытия патрона 1 (6)</t>
  </si>
  <si>
    <t>P11107</t>
  </si>
  <si>
    <t>Таймер открытия патрона 1 (7)</t>
  </si>
  <si>
    <t>P11108</t>
  </si>
  <si>
    <t>Таймер закрытия патрона 1 (0)</t>
  </si>
  <si>
    <t>P11109</t>
  </si>
  <si>
    <t>Таймер закрытия патрона 1 (1)</t>
  </si>
  <si>
    <t>P1110A</t>
  </si>
  <si>
    <t>Таймер закрытия патрона 1 (2)</t>
  </si>
  <si>
    <t>P1110B</t>
  </si>
  <si>
    <t>Таймер закрытия патрона 1 (3)</t>
  </si>
  <si>
    <t>P1110C</t>
  </si>
  <si>
    <t>Таймер закрытия патрона 1 (4)</t>
  </si>
  <si>
    <t>P1110D</t>
  </si>
  <si>
    <t>Таймер закрытия патрона 1 (5)</t>
  </si>
  <si>
    <t>P1110E</t>
  </si>
  <si>
    <t>Таймер закрытия патрона 1 (6)</t>
  </si>
  <si>
    <t>P1110F</t>
  </si>
  <si>
    <t>Таймер закрытия патрона 1 (7)</t>
  </si>
  <si>
    <t>P11111</t>
  </si>
  <si>
    <t>Таймер открытия патрона 2 (1)</t>
  </si>
  <si>
    <t>P11112</t>
  </si>
  <si>
    <t>Таймер открытия патрона 2 (2)</t>
  </si>
  <si>
    <t>P11113</t>
  </si>
  <si>
    <t>Таймер открытия патрона 2 (3)</t>
  </si>
  <si>
    <t>P11114</t>
  </si>
  <si>
    <t>Таймер открытия патрона 2 (4)</t>
  </si>
  <si>
    <t>P11115</t>
  </si>
  <si>
    <t>Таймер открытия патрона 2 (5)</t>
  </si>
  <si>
    <t>P11116</t>
  </si>
  <si>
    <t>Таймер открытия патрона 2 (6)</t>
  </si>
  <si>
    <t>P11117</t>
  </si>
  <si>
    <t>Таймер открытия патрона 2 (7)</t>
  </si>
  <si>
    <t>P11119</t>
  </si>
  <si>
    <t>Таймер закрытия патрона 2 (1)</t>
  </si>
  <si>
    <t>P1111A</t>
  </si>
  <si>
    <t>Таймер закрытия патрона 2 (2)</t>
  </si>
  <si>
    <t>P1111B</t>
  </si>
  <si>
    <t>Таймер закрытия патрона 2 (3)</t>
  </si>
  <si>
    <t>P1111C</t>
  </si>
  <si>
    <t>Таймер закрытия патрона 2 (4)</t>
  </si>
  <si>
    <t>P1111D</t>
  </si>
  <si>
    <t>Таймер закрытия патрона 2 (5)</t>
  </si>
  <si>
    <t>P1111E</t>
  </si>
  <si>
    <t>Таймер закрытия патрона 2 (6)</t>
  </si>
  <si>
    <t>P1111F</t>
  </si>
  <si>
    <t>Таймер закрытия патрона 2 (7)</t>
  </si>
  <si>
    <t>P11161</t>
  </si>
  <si>
    <t>Длина заготовки (1)</t>
  </si>
  <si>
    <t>P11162</t>
  </si>
  <si>
    <t>Длина заготовки (2)</t>
  </si>
  <si>
    <t>P11163</t>
  </si>
  <si>
    <t>Длина заготовки (3)</t>
  </si>
  <si>
    <t>P11164</t>
  </si>
  <si>
    <t>Длина заготовки (4)</t>
  </si>
  <si>
    <t>P11165</t>
  </si>
  <si>
    <t>Длина заготовки (5)</t>
  </si>
  <si>
    <t>P11166</t>
  </si>
  <si>
    <t>Длина заготовки (6)</t>
  </si>
  <si>
    <t>P11167</t>
  </si>
  <si>
    <t>Длина заготовки (7)</t>
  </si>
  <si>
    <t>P11169</t>
  </si>
  <si>
    <t>Длина обработанной с одной стороны детали (1)</t>
  </si>
  <si>
    <t>P1116A</t>
  </si>
  <si>
    <t>Длина обработанной с одной стороны детали (2)</t>
  </si>
  <si>
    <t>P1116B</t>
  </si>
  <si>
    <t>Длина обработанной с одной стороны детали (3)</t>
  </si>
  <si>
    <t>P1116C</t>
  </si>
  <si>
    <t>Длина обработанной с одной стороны детали (4)</t>
  </si>
  <si>
    <t>P1116D</t>
  </si>
  <si>
    <t>Длина обработанной с одной стороны детали (5)</t>
  </si>
  <si>
    <t>P1116E</t>
  </si>
  <si>
    <t>Длина обработанной с одной стороны детали (6)</t>
  </si>
  <si>
    <t>P1116F</t>
  </si>
  <si>
    <t>Длина обработанной с одной стороны детали (7)</t>
  </si>
  <si>
    <t>P11171</t>
  </si>
  <si>
    <t>Длина готовой детали (0)</t>
  </si>
  <si>
    <t>P11172</t>
  </si>
  <si>
    <t>Длина готовой детали (1)</t>
  </si>
  <si>
    <t>P11173</t>
  </si>
  <si>
    <t>Длина готовой детали (2)</t>
  </si>
  <si>
    <t>P11174</t>
  </si>
  <si>
    <t>Длина готовой детали (3)</t>
  </si>
  <si>
    <t>P11175</t>
  </si>
  <si>
    <t>Длина готовой детали (4)</t>
  </si>
  <si>
    <t>P11176</t>
  </si>
  <si>
    <t>Длина готовой детали (5)</t>
  </si>
  <si>
    <t>P11177</t>
  </si>
  <si>
    <t>Длина готовой детали (6)</t>
  </si>
  <si>
    <t>P11179</t>
  </si>
  <si>
    <t>Полная длина кулачков на захвате 1 (1)</t>
  </si>
  <si>
    <t>P1117A</t>
  </si>
  <si>
    <t>Полная длина кулачков на захвате 1 (2)</t>
  </si>
  <si>
    <t>P1117B</t>
  </si>
  <si>
    <t>Полная длина кулачков на захвате 1 (3)</t>
  </si>
  <si>
    <t>P1117C</t>
  </si>
  <si>
    <t>Полная длина кулачков на захвате 1 (4)</t>
  </si>
  <si>
    <t>P1117D</t>
  </si>
  <si>
    <t>Полная длина кулачков на захвате 1 (5)</t>
  </si>
  <si>
    <t>P1117E</t>
  </si>
  <si>
    <t>Полная длина кулачков на захвате 1 (6)</t>
  </si>
  <si>
    <t>P1117F</t>
  </si>
  <si>
    <t>Полная длина кулачков на захвате 1 (7)</t>
  </si>
  <si>
    <t>Тело кулачков на захвате 1 (0)</t>
  </si>
  <si>
    <t>P11181</t>
  </si>
  <si>
    <t>Тело кулачков на захвате 1 (1)</t>
  </si>
  <si>
    <t>P11182</t>
  </si>
  <si>
    <t>Тело кулачков на захвате 1 (2)</t>
  </si>
  <si>
    <t>P11183</t>
  </si>
  <si>
    <t>Тело кулачков на захвате 1 (3)</t>
  </si>
  <si>
    <t>P11184</t>
  </si>
  <si>
    <t>Тело кулачков на захвате 1 (4)</t>
  </si>
  <si>
    <t>P11185</t>
  </si>
  <si>
    <t>Тело кулачков на захвате 1 (5)</t>
  </si>
  <si>
    <t>P11186</t>
  </si>
  <si>
    <t>Тело кулачков на захвате 1 (6)</t>
  </si>
  <si>
    <t>P11187</t>
  </si>
  <si>
    <t>Тело кулачков на захвате 1 (7)</t>
  </si>
  <si>
    <t>Полная длина кулачков на захвате 2 (0)</t>
  </si>
  <si>
    <t>P11189</t>
  </si>
  <si>
    <t>Полная длина кулачков на захвате 2 (1)</t>
  </si>
  <si>
    <t>P1118A</t>
  </si>
  <si>
    <t>Полная длина кулачков на захвате 2 (2)</t>
  </si>
  <si>
    <t>P1118B</t>
  </si>
  <si>
    <t>Полная длина кулачков на захвате 2 (3)</t>
  </si>
  <si>
    <t>P1118C</t>
  </si>
  <si>
    <t>Полная длина кулачков на захвате 2 (4)</t>
  </si>
  <si>
    <t>P1118D</t>
  </si>
  <si>
    <t>Полная длина кулачков на захвате 2 (5)</t>
  </si>
  <si>
    <t>P1118E</t>
  </si>
  <si>
    <t>Полная длина кулачков на захвате 2 (6)</t>
  </si>
  <si>
    <t>P1118F</t>
  </si>
  <si>
    <t>Полная длина кулачков на захвате 2 (7)</t>
  </si>
  <si>
    <t>Тело кулачков на захвате 2 (0)</t>
  </si>
  <si>
    <t>P11191</t>
  </si>
  <si>
    <t>Тело кулачков на захвате 2 (1)</t>
  </si>
  <si>
    <t>P11192</t>
  </si>
  <si>
    <t>Тело кулачков на захвате 2 (2)</t>
  </si>
  <si>
    <t>P11193</t>
  </si>
  <si>
    <t>Тело кулачков на захвате 2 (3)</t>
  </si>
  <si>
    <t>P11194</t>
  </si>
  <si>
    <t>Тело кулачков на захвате 2 (4)</t>
  </si>
  <si>
    <t>P11195</t>
  </si>
  <si>
    <t>Тело кулачков на захвате 2 (5)</t>
  </si>
  <si>
    <t>P11196</t>
  </si>
  <si>
    <t>Тело кулачков на захвате 2 (6)</t>
  </si>
  <si>
    <t>P11197</t>
  </si>
  <si>
    <t>Тело кулачков на захвате 2 (7)</t>
  </si>
  <si>
    <t>Полная длина кулачков в патроне 1 (0)</t>
  </si>
  <si>
    <t>P11199</t>
  </si>
  <si>
    <t>Полная длина кулачков в патроне 1 (1)</t>
  </si>
  <si>
    <t>P1119A</t>
  </si>
  <si>
    <t>Полная длина кулачков в патроне 1 (2)</t>
  </si>
  <si>
    <t>P1119B</t>
  </si>
  <si>
    <t>Полная длина кулачков в патроне 1 (3)</t>
  </si>
  <si>
    <t>P1119C</t>
  </si>
  <si>
    <t>Полная длина кулачков в патроне 1 (4)</t>
  </si>
  <si>
    <t>P1119D</t>
  </si>
  <si>
    <t>Полная длина кулачков в патроне 1 (5)</t>
  </si>
  <si>
    <t>P1119E</t>
  </si>
  <si>
    <t>Полная длина кулачков в патроне 1 (6)</t>
  </si>
  <si>
    <t>P1119F</t>
  </si>
  <si>
    <t>Полная длина кулачков в патроне 1 (7)</t>
  </si>
  <si>
    <t>Тело кулачков в патроне 1 (0)</t>
  </si>
  <si>
    <t>P11201</t>
  </si>
  <si>
    <t>Тело кулачков в патроне 1 (1)</t>
  </si>
  <si>
    <t>P11202</t>
  </si>
  <si>
    <t>Тело кулачков в патроне 1 (2)</t>
  </si>
  <si>
    <t>P11203</t>
  </si>
  <si>
    <t>Тело кулачков в патроне 1 (3)</t>
  </si>
  <si>
    <t>P11204</t>
  </si>
  <si>
    <t>Тело кулачков в патроне 1 (4)</t>
  </si>
  <si>
    <t>P11205</t>
  </si>
  <si>
    <t>Тело кулачков в патроне 1 (5)</t>
  </si>
  <si>
    <t>P11206</t>
  </si>
  <si>
    <t>Тело кулачков в патроне 1 (6)</t>
  </si>
  <si>
    <t>P11207</t>
  </si>
  <si>
    <t>Тело кулачков в патроне 1 (7)</t>
  </si>
  <si>
    <t>Полная длина кулачков в патроне 2/ ст.перехвата (0)</t>
  </si>
  <si>
    <t>P11209</t>
  </si>
  <si>
    <t>Полная длина кулачков в патроне 2/ ст.перехвата (1)</t>
  </si>
  <si>
    <t>P1120A</t>
  </si>
  <si>
    <t>Полная длина кулачков в патроне 2/ ст.перехвата (2)</t>
  </si>
  <si>
    <t>P1120B</t>
  </si>
  <si>
    <t>Полная длина кулачков в патроне 2/ ст.перехвата (3)</t>
  </si>
  <si>
    <t>P1120C</t>
  </si>
  <si>
    <t>Полная длина кулачков в патроне 2/ ст.перехвата (4)</t>
  </si>
  <si>
    <t>P1120D</t>
  </si>
  <si>
    <t>Полная длина кулачков в патроне 2/ ст.перехвата (5)</t>
  </si>
  <si>
    <t>P1120E</t>
  </si>
  <si>
    <t>Полная длина кулачков в патроне 2/ ст.перехвата (6)</t>
  </si>
  <si>
    <t>P1120F</t>
  </si>
  <si>
    <t>Полная длина кулачков в патроне 2/ ст.перехвата (7)</t>
  </si>
  <si>
    <t>Тело кулачков в патроне 2/ ст.перехвата  (0)</t>
  </si>
  <si>
    <t>P11211</t>
  </si>
  <si>
    <t>Тело кулачков в патроне 2/ ст.перехвата  (1)</t>
  </si>
  <si>
    <t>P11212</t>
  </si>
  <si>
    <t>Тело кулачков в патроне 2/ ст.перехвата  (2)</t>
  </si>
  <si>
    <t>P11213</t>
  </si>
  <si>
    <t>Тело кулачков в патроне 2/ ст.перехвата  (3)</t>
  </si>
  <si>
    <t>P11214</t>
  </si>
  <si>
    <t>Тело кулачков в патроне 2/ ст.перехвата  (4)</t>
  </si>
  <si>
    <t>P11215</t>
  </si>
  <si>
    <t>Тело кулачков в патроне 2/ ст.перехвата  (5)</t>
  </si>
  <si>
    <t>P11216</t>
  </si>
  <si>
    <t>Тело кулачков в патроне 2/ ст.перехвата  (6)</t>
  </si>
  <si>
    <t>P11217</t>
  </si>
  <si>
    <t>Тело кулачков в патроне 2/ ст.перехвата  (7)</t>
  </si>
  <si>
    <t>Количество рядов на пластине (0)</t>
  </si>
  <si>
    <t>P11219</t>
  </si>
  <si>
    <t>Количество рядов на пластине (1)</t>
  </si>
  <si>
    <t>P1121A</t>
  </si>
  <si>
    <t>Количество рядов на пластине (2)</t>
  </si>
  <si>
    <t>P1121B</t>
  </si>
  <si>
    <t>Количество рядов на пластине (3)</t>
  </si>
  <si>
    <t>Количество ячеек в нечётных рядах (0)</t>
  </si>
  <si>
    <t>P1121D</t>
  </si>
  <si>
    <t>Количество ячеек в нечётных рядах (1)</t>
  </si>
  <si>
    <t>P1121E</t>
  </si>
  <si>
    <t>Количество ячеек в нечётных рядах (2)</t>
  </si>
  <si>
    <t>P1121F</t>
  </si>
  <si>
    <t>Количество ячеек в нечётных рядах (3)</t>
  </si>
  <si>
    <t>Количество ячеек в чётных рядах (0)</t>
  </si>
  <si>
    <t>P11221</t>
  </si>
  <si>
    <t>Количество ячеек в чётных рядах (1)</t>
  </si>
  <si>
    <t>P11222</t>
  </si>
  <si>
    <t>Количество ячеек в чётных рядах (2)</t>
  </si>
  <si>
    <t>P11223</t>
  </si>
  <si>
    <t>Количество ячеек в чётных рядах (3)</t>
  </si>
  <si>
    <t>Расстояние между ячейками (0)</t>
  </si>
  <si>
    <t>P11231</t>
  </si>
  <si>
    <t>Расстояние между ячейками (1)</t>
  </si>
  <si>
    <t>P11232</t>
  </si>
  <si>
    <t>Расстояние между ячейками (2)</t>
  </si>
  <si>
    <t>P11233</t>
  </si>
  <si>
    <t>Расстояние между ячейками (3)</t>
  </si>
  <si>
    <t>P11234</t>
  </si>
  <si>
    <t>Расстояние между ячейками (4)</t>
  </si>
  <si>
    <t>P11235</t>
  </si>
  <si>
    <t>Расстояние между ячейками (5)</t>
  </si>
  <si>
    <t>P11236</t>
  </si>
  <si>
    <t>Расстояние между ячейками (6)</t>
  </si>
  <si>
    <t>P11237</t>
  </si>
  <si>
    <t>Расстояние между ячейками (7)</t>
  </si>
  <si>
    <t>P11238</t>
  </si>
  <si>
    <t>Расстояние между ячейками (8)</t>
  </si>
  <si>
    <t>P11239</t>
  </si>
  <si>
    <t>Расстояние между ячейками (9)</t>
  </si>
  <si>
    <t>P1123A</t>
  </si>
  <si>
    <t>Расстояние между ячейками (10)</t>
  </si>
  <si>
    <t>P1123B</t>
  </si>
  <si>
    <t>Расстояние между ячейками (11)</t>
  </si>
  <si>
    <t>P1123C</t>
  </si>
  <si>
    <t>Расстояние между ячейками (12)</t>
  </si>
  <si>
    <t>P1123D</t>
  </si>
  <si>
    <t>Расстояние между ячейками (13)</t>
  </si>
  <si>
    <t>P1123E</t>
  </si>
  <si>
    <t>Расстояние между ячейками (14)</t>
  </si>
  <si>
    <t>P1123F</t>
  </si>
  <si>
    <t>Расстояние между ячейками (15)</t>
  </si>
  <si>
    <t>Расстояние между рядами (0)</t>
  </si>
  <si>
    <t>P11241</t>
  </si>
  <si>
    <t>Расстояние между рядами (1)</t>
  </si>
  <si>
    <t>P11242</t>
  </si>
  <si>
    <t>Расстояние между рядами (2)</t>
  </si>
  <si>
    <t>P11243</t>
  </si>
  <si>
    <t>Расстояние между рядами (3)</t>
  </si>
  <si>
    <t>P11244</t>
  </si>
  <si>
    <t>Расстояние между рядами (4)</t>
  </si>
  <si>
    <t>P11245</t>
  </si>
  <si>
    <t>Расстояние между рядами (5)</t>
  </si>
  <si>
    <t>P11246</t>
  </si>
  <si>
    <t>Расстояние между рядами (6)</t>
  </si>
  <si>
    <t>P11247</t>
  </si>
  <si>
    <t>Расстояние между рядами (7)</t>
  </si>
  <si>
    <t>P11248</t>
  </si>
  <si>
    <t>Расстояние между рядами (8)</t>
  </si>
  <si>
    <t>P11249</t>
  </si>
  <si>
    <t>Расстояние между рядами (9)</t>
  </si>
  <si>
    <t>P1124A</t>
  </si>
  <si>
    <t>Расстояние между рядами (10)</t>
  </si>
  <si>
    <t>P1124B</t>
  </si>
  <si>
    <t>Расстояние между рядами (11)</t>
  </si>
  <si>
    <t>P1124C</t>
  </si>
  <si>
    <t>Расстояние между рядами (12)</t>
  </si>
  <si>
    <t>P1124D</t>
  </si>
  <si>
    <t>Расстояние между рядами (13)</t>
  </si>
  <si>
    <t>P1124E</t>
  </si>
  <si>
    <t>Расстояние между рядами (14)</t>
  </si>
  <si>
    <t>P1124F</t>
  </si>
  <si>
    <t>Расстояние между рядами (15)</t>
  </si>
  <si>
    <t>Смещение чётного ряда (0)</t>
  </si>
  <si>
    <t>P11251</t>
  </si>
  <si>
    <t>Смещение чётного ряда (1)</t>
  </si>
  <si>
    <t>P11252</t>
  </si>
  <si>
    <t>Смещение чётного ряда (2)</t>
  </si>
  <si>
    <t>P11253</t>
  </si>
  <si>
    <t>Смещение чётного ряда (3)</t>
  </si>
  <si>
    <t>P11254</t>
  </si>
  <si>
    <t>Смещение чётного ряда (4)</t>
  </si>
  <si>
    <t>P11255</t>
  </si>
  <si>
    <t>Смещение чётного ряда (5)</t>
  </si>
  <si>
    <t>P11256</t>
  </si>
  <si>
    <t>Смещение чётного ряда (6)</t>
  </si>
  <si>
    <t>P11257</t>
  </si>
  <si>
    <t>Смещение чётного ряда (7)</t>
  </si>
  <si>
    <t>P11258</t>
  </si>
  <si>
    <t>Смещение чётного ряда (8)</t>
  </si>
  <si>
    <t>P11259</t>
  </si>
  <si>
    <t>Смещение чётного ряда (9)</t>
  </si>
  <si>
    <t>P1125A</t>
  </si>
  <si>
    <t>Смещение чётного ряда (10)</t>
  </si>
  <si>
    <t>P1125B</t>
  </si>
  <si>
    <t>Смещение чётного ряда (11)</t>
  </si>
  <si>
    <t>P1125C</t>
  </si>
  <si>
    <t>Смещение чётного ряда (12)</t>
  </si>
  <si>
    <t>P1125D</t>
  </si>
  <si>
    <t>Смещение чётного ряда (13)</t>
  </si>
  <si>
    <t>P1125E</t>
  </si>
  <si>
    <t>Смещение чётного ряда (14)</t>
  </si>
  <si>
    <t>P1125F</t>
  </si>
  <si>
    <t>Смещение чётного ряда (15)</t>
  </si>
  <si>
    <t>Смещение первого ряда относительно нуля Х (0)</t>
  </si>
  <si>
    <t>P11261</t>
  </si>
  <si>
    <t>Смещение первого ряда относительно нуля Х (1)</t>
  </si>
  <si>
    <t>P11262</t>
  </si>
  <si>
    <t>Смещение первого ряда относительно нуля Х (2)</t>
  </si>
  <si>
    <t>P11263</t>
  </si>
  <si>
    <t>Смещение первого ряда относительно нуля Х (3)</t>
  </si>
  <si>
    <t>P11264</t>
  </si>
  <si>
    <t>Смещение первого ряда относительно нуля Х (4)</t>
  </si>
  <si>
    <t>P11265</t>
  </si>
  <si>
    <t>Смещение первого ряда относительно нуля Х (5)</t>
  </si>
  <si>
    <t>P11266</t>
  </si>
  <si>
    <t>Смещение первого ряда относительно нуля Х (6)</t>
  </si>
  <si>
    <t>P11267</t>
  </si>
  <si>
    <t>Смещение первого ряда относительно нуля Х (7)</t>
  </si>
  <si>
    <t>P11268</t>
  </si>
  <si>
    <t>Смещение первого ряда относительно нуля Х (8)</t>
  </si>
  <si>
    <t>P11269</t>
  </si>
  <si>
    <t>Смещение первого ряда относительно нуля Х (9)</t>
  </si>
  <si>
    <t>P1126A</t>
  </si>
  <si>
    <t>Смещение первого ряда относительно нуля Х (10)</t>
  </si>
  <si>
    <t>P1126B</t>
  </si>
  <si>
    <t>Смещение первого ряда относительно нуля Х (11)</t>
  </si>
  <si>
    <t>P1126C</t>
  </si>
  <si>
    <t>Смещение первого ряда относительно нуля Х (12)</t>
  </si>
  <si>
    <t>P1126D</t>
  </si>
  <si>
    <t>Смещение первого ряда относительно нуля Х (13)</t>
  </si>
  <si>
    <t>P1126E</t>
  </si>
  <si>
    <t>Смещение первого ряда относительно нуля Х (14)</t>
  </si>
  <si>
    <t>P1126F</t>
  </si>
  <si>
    <t>Смещение первого ряда относительно нуля Х (15)</t>
  </si>
  <si>
    <t>Смещение первого ряда относительно нуля Y (0)</t>
  </si>
  <si>
    <t>P11271</t>
  </si>
  <si>
    <t>Смещение первого ряда относительно нуля Y (1)</t>
  </si>
  <si>
    <t>P11272</t>
  </si>
  <si>
    <t>Смещение первого ряда относительно нуля Y (2)</t>
  </si>
  <si>
    <t>P11273</t>
  </si>
  <si>
    <t>Смещение первого ряда относительно нуля Y (3)</t>
  </si>
  <si>
    <t>P11274</t>
  </si>
  <si>
    <t>Смещение первого ряда относительно нуля Y (4)</t>
  </si>
  <si>
    <t>P11275</t>
  </si>
  <si>
    <t>Смещение первого ряда относительно нуля Y (5)</t>
  </si>
  <si>
    <t>P11276</t>
  </si>
  <si>
    <t>Смещение первого ряда относительно нуля Y (6)</t>
  </si>
  <si>
    <t>P11277</t>
  </si>
  <si>
    <t>Смещение первого ряда относительно нуля Y (7)</t>
  </si>
  <si>
    <t>P11278</t>
  </si>
  <si>
    <t>Смещение первого ряда относительно нуля Y (8)</t>
  </si>
  <si>
    <t>P11279</t>
  </si>
  <si>
    <t>Смещение первого ряда относительно нуля Y (9)</t>
  </si>
  <si>
    <t>P1127A</t>
  </si>
  <si>
    <t>Смещение первого ряда относительно нуля Y (10)</t>
  </si>
  <si>
    <t>P1127B</t>
  </si>
  <si>
    <t>Смещение первого ряда относительно нуля Y (11)</t>
  </si>
  <si>
    <t>P1127C</t>
  </si>
  <si>
    <t>Смещение первого ряда относительно нуля Y (12)</t>
  </si>
  <si>
    <t>P1127D</t>
  </si>
  <si>
    <t>Смещение первого ряда относительно нуля Y (13)</t>
  </si>
  <si>
    <t>P1127E</t>
  </si>
  <si>
    <t>Смещение первого ряда относительно нуля Y (14)</t>
  </si>
  <si>
    <t>P1127F</t>
  </si>
  <si>
    <t>Смещение первого ряда относительно нуля Y (15)</t>
  </si>
  <si>
    <t>Номер программы на станке (0)</t>
  </si>
  <si>
    <t>P11281</t>
  </si>
  <si>
    <t>Номер программы на станке (1)</t>
  </si>
  <si>
    <t>P11282</t>
  </si>
  <si>
    <t>Номер программы на станке (2)</t>
  </si>
  <si>
    <t>P11283</t>
  </si>
  <si>
    <t>Номер программы на станке (3)</t>
  </si>
  <si>
    <t>P11284</t>
  </si>
  <si>
    <t>Номер программы на станке (4)</t>
  </si>
  <si>
    <t>P11285</t>
  </si>
  <si>
    <t>Номер программы на станке (5)</t>
  </si>
  <si>
    <t>P11286</t>
  </si>
  <si>
    <t>Номер программы на станке (6)</t>
  </si>
  <si>
    <t>P11287</t>
  </si>
  <si>
    <t>Номер программы на станке (7)</t>
  </si>
  <si>
    <t>Номер кастомной программы перехвата 1 (0)</t>
  </si>
  <si>
    <t>P11289</t>
  </si>
  <si>
    <t>Номер кастомной программы перехвата 1 (1)</t>
  </si>
  <si>
    <t>P1128A</t>
  </si>
  <si>
    <t>Номер кастомной программы перехвата 1 (2)</t>
  </si>
  <si>
    <t>P1128B</t>
  </si>
  <si>
    <t>Номер кастомной программы перехвата 1 (3)</t>
  </si>
  <si>
    <t>P1128C</t>
  </si>
  <si>
    <t>Номер кастомной программы перехвата 1 (4)</t>
  </si>
  <si>
    <t>P1128D</t>
  </si>
  <si>
    <t>Номер кастомной программы перехвата 1 (5)</t>
  </si>
  <si>
    <t>P1128E</t>
  </si>
  <si>
    <t>Номер кастомной программы перехвата 1 (6)</t>
  </si>
  <si>
    <t>P1128F</t>
  </si>
  <si>
    <t>Номер кастомной программы перехвата 1 (7)</t>
  </si>
  <si>
    <t>Номер программы обдува 1 (0)</t>
  </si>
  <si>
    <t>P11291</t>
  </si>
  <si>
    <t>Номер программы обдува 1 (1)</t>
  </si>
  <si>
    <t>P11292</t>
  </si>
  <si>
    <t>Номер программы обдува 1 (2)</t>
  </si>
  <si>
    <t>P11293</t>
  </si>
  <si>
    <t>Номер программы обдува 1 (3)</t>
  </si>
  <si>
    <t>P11294</t>
  </si>
  <si>
    <t>Номер программы обдува 1 (4)</t>
  </si>
  <si>
    <t>P11295</t>
  </si>
  <si>
    <t>Номер программы обдува 1 (5)</t>
  </si>
  <si>
    <t>P11296</t>
  </si>
  <si>
    <t>Номер программы обдува 1 (6)</t>
  </si>
  <si>
    <t>P11297</t>
  </si>
  <si>
    <t>Номер программы обдува 1 (7)</t>
  </si>
  <si>
    <t>Номер программы обдува 2 (0)</t>
  </si>
  <si>
    <t>P11299</t>
  </si>
  <si>
    <t>Номер программы обдува 2 (1)</t>
  </si>
  <si>
    <t>P1129A</t>
  </si>
  <si>
    <t>Номер программы обдува 2 (2)</t>
  </si>
  <si>
    <t>P1129B</t>
  </si>
  <si>
    <t>Номер программы обдува 2 (3)</t>
  </si>
  <si>
    <t>P1129C</t>
  </si>
  <si>
    <t>Номер программы обдува 2 (4)</t>
  </si>
  <si>
    <t>P1129D</t>
  </si>
  <si>
    <t>Номер программы обдува 2 (5)</t>
  </si>
  <si>
    <t>P1129E</t>
  </si>
  <si>
    <t>Номер программы обдува 2 (6)</t>
  </si>
  <si>
    <t>P1129F</t>
  </si>
  <si>
    <t>Номер программы обдува 2 (7)</t>
  </si>
  <si>
    <t>P11300</t>
  </si>
  <si>
    <t>Загружено ячеек (0)</t>
  </si>
  <si>
    <t>P11301</t>
  </si>
  <si>
    <t>Загружено ячеек (1)</t>
  </si>
  <si>
    <t>P11302</t>
  </si>
  <si>
    <t>Загружено ячеек (2)</t>
  </si>
  <si>
    <t>P11303</t>
  </si>
  <si>
    <t>Загружено ячеек (3)</t>
  </si>
  <si>
    <t>P11304</t>
  </si>
  <si>
    <t>Загружено ячеек (4)</t>
  </si>
  <si>
    <t>P11305</t>
  </si>
  <si>
    <t>Загружено ячеек (5)</t>
  </si>
  <si>
    <t>P11306</t>
  </si>
  <si>
    <t>Загружено ячеек (6)</t>
  </si>
  <si>
    <t>P11307</t>
  </si>
  <si>
    <t>Загружено ячеек (7)</t>
  </si>
  <si>
    <t>P11308</t>
  </si>
  <si>
    <t>Загружено ячеек (8)</t>
  </si>
  <si>
    <t>P11320</t>
  </si>
  <si>
    <t>P11321</t>
  </si>
  <si>
    <t>P11322</t>
  </si>
  <si>
    <t>P11323</t>
  </si>
  <si>
    <t>P11324</t>
  </si>
  <si>
    <t>P11325</t>
  </si>
  <si>
    <t>P1005</t>
  </si>
  <si>
    <t>P1006</t>
  </si>
  <si>
    <t>P1007</t>
  </si>
  <si>
    <t>P1008</t>
  </si>
  <si>
    <t>P1105</t>
  </si>
  <si>
    <t>P1106</t>
  </si>
  <si>
    <t>P1107</t>
  </si>
  <si>
    <t>P1108</t>
  </si>
  <si>
    <t>P1109</t>
  </si>
  <si>
    <t>P1111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</si>
  <si>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</si>
  <si>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</si>
  <si>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</si>
  <si>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</si>
  <si>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</si>
  <si>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</si>
  <si>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</si>
  <si>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</si>
  <si>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</si>
  <si>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</si>
  <si>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</si>
  <si>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</si>
  <si>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</si>
  <si>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</si>
  <si>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</si>
  <si>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1</t>
  </si>
  <si>
    <t>2</t>
  </si>
  <si>
    <t>3</t>
  </si>
  <si>
    <t>4</t>
  </si>
  <si>
    <t>5</t>
  </si>
  <si>
    <t>6</t>
  </si>
  <si>
    <t>D00129</t>
  </si>
  <si>
    <t>D00137</t>
  </si>
  <si>
    <t>D00138</t>
  </si>
  <si>
    <t>D00139</t>
  </si>
  <si>
    <t>D00169</t>
  </si>
  <si>
    <t>D00179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</si>
  <si>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</si>
  <si>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</si>
  <si>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</si>
  <si>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</si>
  <si>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</si>
  <si>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</si>
  <si>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</si>
  <si>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</si>
  <si>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</si>
  <si>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</si>
  <si>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</si>
  <si>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</si>
  <si>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</si>
  <si>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</si>
  <si>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</si>
  <si>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</si>
  <si>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</si>
  <si>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D00204</t>
  </si>
  <si>
    <t>D00205</t>
  </si>
  <si>
    <t>D00206</t>
  </si>
  <si>
    <t>D00207</t>
  </si>
  <si>
    <t>D00208</t>
  </si>
  <si>
    <t>D00209</t>
  </si>
  <si>
    <t>D00218</t>
  </si>
  <si>
    <t>D00219</t>
  </si>
  <si>
    <t>D00220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</si>
  <si>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</si>
  <si>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</si>
  <si>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</si>
  <si>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</si>
  <si>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</si>
  <si>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</si>
  <si>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</si>
  <si>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</si>
  <si>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</si>
  <si>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</si>
  <si>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</si>
  <si>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</si>
  <si>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</si>
  <si>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</si>
  <si>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</si>
  <si>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</si>
  <si>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</si>
  <si>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</si>
  <si>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</si>
  <si>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</si>
  <si>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</si>
  <si>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</si>
  <si>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</si>
  <si>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</si>
  <si>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</si>
  <si>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</si>
  <si>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D00251</t>
  </si>
  <si>
    <t>D00252</t>
  </si>
  <si>
    <t>D00253</t>
  </si>
  <si>
    <t>D00254</t>
  </si>
  <si>
    <t>D00255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</si>
  <si>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</si>
  <si>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</si>
  <si>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</si>
  <si>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</si>
  <si>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</si>
  <si>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</si>
  <si>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</si>
  <si>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</si>
  <si>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</si>
  <si>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</si>
  <si>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</si>
  <si>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</si>
  <si>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</si>
  <si>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</si>
  <si>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</si>
  <si>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</si>
  <si>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</si>
  <si>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</si>
  <si>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</si>
  <si>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</si>
  <si>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</si>
  <si>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</si>
  <si>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</si>
  <si>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</si>
  <si>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</si>
  <si>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</si>
  <si>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</si>
  <si>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</si>
  <si>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</si>
  <si>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</si>
  <si>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</si>
  <si>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</si>
  <si>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</si>
  <si>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</si>
  <si>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</si>
  <si>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</si>
  <si>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</si>
  <si>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</si>
  <si>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</si>
  <si>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</si>
  <si>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</si>
  <si>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</si>
  <si>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</si>
  <si>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</si>
  <si>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</si>
  <si>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</si>
  <si>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</si>
  <si>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</si>
  <si>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</si>
  <si>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</si>
  <si>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</si>
  <si>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</si>
  <si>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</si>
  <si>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</si>
  <si>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</si>
  <si>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</si>
  <si>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</si>
  <si>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</si>
  <si>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</si>
  <si>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</si>
  <si>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</si>
  <si>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</si>
  <si>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</si>
  <si>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</si>
  <si>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</si>
  <si>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</si>
  <si>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</si>
  <si>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</si>
  <si>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</si>
  <si>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</si>
  <si>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</si>
  <si>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</si>
  <si>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</si>
  <si>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</si>
  <si>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</si>
  <si>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</si>
  <si>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</si>
  <si>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</si>
  <si>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</si>
  <si>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</si>
  <si>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D00370</t>
  </si>
  <si>
    <t>D00371</t>
  </si>
  <si>
    <t>D00372</t>
  </si>
  <si>
    <t>D00373</t>
  </si>
  <si>
    <t>D00374</t>
  </si>
  <si>
    <t>D00375</t>
  </si>
  <si>
    <t>D00376</t>
  </si>
  <si>
    <t>D00377</t>
  </si>
  <si>
    <t>D00378</t>
  </si>
  <si>
    <t>D00379</t>
  </si>
  <si>
    <t>D00380</t>
  </si>
  <si>
    <t>D00381</t>
  </si>
  <si>
    <t>D00382</t>
  </si>
  <si>
    <t>D00383</t>
  </si>
  <si>
    <t>D00384</t>
  </si>
  <si>
    <t>D00385</t>
  </si>
  <si>
    <t>D00386</t>
  </si>
  <si>
    <t>D00387</t>
  </si>
  <si>
    <t>D00388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</si>
  <si>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</si>
  <si>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</si>
  <si>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</si>
  <si>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</si>
  <si>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</si>
  <si>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</si>
  <si>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</si>
  <si>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</si>
  <si>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</si>
  <si>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</si>
  <si>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</si>
  <si>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</si>
  <si>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</si>
  <si>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</si>
  <si>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</si>
  <si>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</si>
  <si>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</si>
  <si>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</si>
  <si>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</si>
  <si>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</si>
  <si>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</si>
  <si>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</si>
  <si>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</si>
  <si>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</si>
  <si>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</si>
  <si>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</si>
  <si>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</si>
  <si>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</si>
  <si>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</si>
  <si>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</si>
  <si>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</si>
  <si>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</si>
  <si>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</si>
  <si>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</si>
  <si>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</si>
  <si>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</si>
  <si>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</si>
  <si>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</si>
  <si>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</si>
  <si>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</si>
  <si>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</si>
  <si>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</si>
  <si>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</si>
  <si>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</si>
  <si>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</si>
  <si>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</si>
  <si>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</si>
  <si>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</si>
  <si>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</si>
  <si>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</si>
  <si>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</si>
  <si>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</si>
  <si>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</si>
  <si>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</si>
  <si>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</si>
  <si>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</si>
  <si>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</si>
  <si>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</si>
  <si>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</si>
  <si>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</si>
  <si>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</si>
  <si>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</si>
  <si>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</si>
  <si>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</si>
  <si>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</si>
  <si>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</si>
  <si>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</si>
  <si>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</si>
  <si>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</si>
  <si>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</si>
  <si>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</si>
  <si>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</si>
  <si>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</si>
  <si>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</si>
  <si>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</si>
  <si>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</si>
  <si>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</si>
  <si>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</si>
  <si>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</si>
  <si>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</si>
  <si>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</si>
  <si>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</si>
  <si>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</si>
  <si>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</si>
  <si>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</si>
  <si>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</si>
  <si>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</si>
  <si>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</si>
  <si>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</si>
  <si>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</si>
  <si>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</si>
  <si>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</si>
  <si>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</si>
  <si>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</si>
  <si>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</si>
  <si>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</si>
  <si>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</si>
  <si>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</si>
  <si>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</si>
  <si>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</si>
  <si>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</si>
  <si>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</si>
  <si>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</si>
  <si>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</si>
  <si>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</si>
  <si>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</si>
  <si>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</si>
  <si>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</si>
  <si>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</si>
  <si>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</si>
  <si>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</si>
  <si>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</si>
  <si>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</si>
  <si>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</si>
  <si>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</si>
  <si>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</si>
  <si>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</si>
  <si>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</si>
  <si>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</si>
  <si>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</si>
  <si>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</si>
  <si>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</si>
  <si>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</si>
  <si>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</si>
  <si>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</si>
  <si>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</si>
  <si>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</si>
  <si>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</si>
  <si>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</si>
  <si>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</si>
  <si>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</si>
  <si>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</si>
  <si>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</si>
  <si>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</si>
  <si>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</si>
  <si>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</si>
  <si>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</si>
  <si>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</si>
  <si>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</si>
  <si>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</si>
  <si>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</si>
  <si>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</si>
  <si>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</si>
  <si>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</si>
  <si>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</si>
  <si>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D00534</t>
  </si>
  <si>
    <t>D00535</t>
  </si>
  <si>
    <t>D00536</t>
  </si>
  <si>
    <t>D00537</t>
  </si>
  <si>
    <t>D00538</t>
  </si>
  <si>
    <t>D00539</t>
  </si>
  <si>
    <t>D00540</t>
  </si>
  <si>
    <t>D00541</t>
  </si>
  <si>
    <t>D00542</t>
  </si>
  <si>
    <t>D00543</t>
  </si>
  <si>
    <t>D00544</t>
  </si>
  <si>
    <t>D00545</t>
  </si>
  <si>
    <t>D00546</t>
  </si>
  <si>
    <t>D00547</t>
  </si>
  <si>
    <t>D00548</t>
  </si>
  <si>
    <t>D00549</t>
  </si>
  <si>
    <t>D00550</t>
  </si>
  <si>
    <t>D00551</t>
  </si>
  <si>
    <t>D00552</t>
  </si>
  <si>
    <t>D00553</t>
  </si>
  <si>
    <t>D00554</t>
  </si>
  <si>
    <t>D00555</t>
  </si>
  <si>
    <t>D00556</t>
  </si>
  <si>
    <t>D00557</t>
  </si>
  <si>
    <t>D00558</t>
  </si>
  <si>
    <t>D00559</t>
  </si>
  <si>
    <t>D00560</t>
  </si>
  <si>
    <t>D00561</t>
  </si>
  <si>
    <t>D00562</t>
  </si>
  <si>
    <t>D00563</t>
  </si>
  <si>
    <t>D00564</t>
  </si>
  <si>
    <t>D00565</t>
  </si>
  <si>
    <t>D00566</t>
  </si>
  <si>
    <t>D00567</t>
  </si>
  <si>
    <t>D00568</t>
  </si>
  <si>
    <t>D00569</t>
  </si>
  <si>
    <t>D00570</t>
  </si>
  <si>
    <t>D00571</t>
  </si>
  <si>
    <t>D00572</t>
  </si>
  <si>
    <t>D00573</t>
  </si>
  <si>
    <t>D00574</t>
  </si>
  <si>
    <t>D00575</t>
  </si>
  <si>
    <t>D00576</t>
  </si>
  <si>
    <t>D00577</t>
  </si>
  <si>
    <t>D00578</t>
  </si>
  <si>
    <t>D00579</t>
  </si>
  <si>
    <t>D00580</t>
  </si>
  <si>
    <t>D00581</t>
  </si>
  <si>
    <t>D00582</t>
  </si>
  <si>
    <t>D00583</t>
  </si>
  <si>
    <t>D00584</t>
  </si>
  <si>
    <t>D00585</t>
  </si>
  <si>
    <t>D00586</t>
  </si>
  <si>
    <t>D00587</t>
  </si>
  <si>
    <t>D00588</t>
  </si>
  <si>
    <t>D00589</t>
  </si>
  <si>
    <t>D00590</t>
  </si>
  <si>
    <t>D00591</t>
  </si>
  <si>
    <t>D00592</t>
  </si>
  <si>
    <t>D00593</t>
  </si>
  <si>
    <t>D00594</t>
  </si>
  <si>
    <t>D00595</t>
  </si>
  <si>
    <t>D00596</t>
  </si>
  <si>
    <t>D00597</t>
  </si>
  <si>
    <t>D00598</t>
  </si>
  <si>
    <t>D00599</t>
  </si>
  <si>
    <t>D00600</t>
  </si>
  <si>
    <t>D00601</t>
  </si>
  <si>
    <t>D00602</t>
  </si>
  <si>
    <t>D00603</t>
  </si>
  <si>
    <t>D00604</t>
  </si>
  <si>
    <t>D00605</t>
  </si>
  <si>
    <t>D00606</t>
  </si>
  <si>
    <t>D00607</t>
  </si>
  <si>
    <t>D00608</t>
  </si>
  <si>
    <t>D00609</t>
  </si>
  <si>
    <t>D00610</t>
  </si>
  <si>
    <t>D00611</t>
  </si>
  <si>
    <t>D00612</t>
  </si>
  <si>
    <t>D00613</t>
  </si>
  <si>
    <t>D00614</t>
  </si>
  <si>
    <t>D00615</t>
  </si>
  <si>
    <t>D00616</t>
  </si>
  <si>
    <t>D00617</t>
  </si>
  <si>
    <t>D00618</t>
  </si>
  <si>
    <t>D00619</t>
  </si>
  <si>
    <t>D00620</t>
  </si>
  <si>
    <t>D00621</t>
  </si>
  <si>
    <t>D00622</t>
  </si>
  <si>
    <t>D00623</t>
  </si>
  <si>
    <t>D00624</t>
  </si>
  <si>
    <t>D00625</t>
  </si>
  <si>
    <t>D00626</t>
  </si>
  <si>
    <t>D00627</t>
  </si>
  <si>
    <t>D00628</t>
  </si>
  <si>
    <t>D00629</t>
  </si>
  <si>
    <t>D00630</t>
  </si>
  <si>
    <t>D00631</t>
  </si>
  <si>
    <t>D00632</t>
  </si>
  <si>
    <t>D00633</t>
  </si>
  <si>
    <t>D00634</t>
  </si>
  <si>
    <t>D00635</t>
  </si>
  <si>
    <t>D00636</t>
  </si>
  <si>
    <t>D00637</t>
  </si>
  <si>
    <t>D00638</t>
  </si>
  <si>
    <t>D00639</t>
  </si>
  <si>
    <t>D00640</t>
  </si>
  <si>
    <t>D00641</t>
  </si>
  <si>
    <t>D00642</t>
  </si>
  <si>
    <t>D00643</t>
  </si>
  <si>
    <t>D00644</t>
  </si>
  <si>
    <t>D00645</t>
  </si>
  <si>
    <t>D00646</t>
  </si>
  <si>
    <t>D00647</t>
  </si>
  <si>
    <t>D00648</t>
  </si>
  <si>
    <t>D00649</t>
  </si>
  <si>
    <t>D00650</t>
  </si>
  <si>
    <t>D00651</t>
  </si>
  <si>
    <t>D00652</t>
  </si>
  <si>
    <t>D00653</t>
  </si>
  <si>
    <t>D00654</t>
  </si>
  <si>
    <t>D00655</t>
  </si>
  <si>
    <t>D00656</t>
  </si>
  <si>
    <t>D00657</t>
  </si>
  <si>
    <t>D00658</t>
  </si>
  <si>
    <t>D00659</t>
  </si>
  <si>
    <t>D00660</t>
  </si>
  <si>
    <t>D00661</t>
  </si>
  <si>
    <t>D00662</t>
  </si>
  <si>
    <t>D00663</t>
  </si>
  <si>
    <t>D00664</t>
  </si>
  <si>
    <t>D00665</t>
  </si>
  <si>
    <t>D00666</t>
  </si>
  <si>
    <t>D00667</t>
  </si>
  <si>
    <t>D00668</t>
  </si>
  <si>
    <t>D00669</t>
  </si>
  <si>
    <t>D00670</t>
  </si>
  <si>
    <t>D00671</t>
  </si>
  <si>
    <t>D00672</t>
  </si>
  <si>
    <t>D00673</t>
  </si>
  <si>
    <t>D00674</t>
  </si>
  <si>
    <t>D00675</t>
  </si>
  <si>
    <t>D00676</t>
  </si>
  <si>
    <t>D00677</t>
  </si>
  <si>
    <t>D00678</t>
  </si>
  <si>
    <t>D00679</t>
  </si>
  <si>
    <t>D00680</t>
  </si>
  <si>
    <t>D00681</t>
  </si>
  <si>
    <t>D00682</t>
  </si>
  <si>
    <t>D00683</t>
  </si>
  <si>
    <t>D00684</t>
  </si>
  <si>
    <t>D00685</t>
  </si>
  <si>
    <t>D00686</t>
  </si>
  <si>
    <t>D00687</t>
  </si>
  <si>
    <t>D00688</t>
  </si>
  <si>
    <t>D00689</t>
  </si>
  <si>
    <t>D00690</t>
  </si>
  <si>
    <t>D00691</t>
  </si>
  <si>
    <t>D00692</t>
  </si>
  <si>
    <t>D00693</t>
  </si>
  <si>
    <t>D00694</t>
  </si>
  <si>
    <t>D00695</t>
  </si>
  <si>
    <t>D00696</t>
  </si>
  <si>
    <t>D00697</t>
  </si>
  <si>
    <t>D00698</t>
  </si>
  <si>
    <t>D00699</t>
  </si>
  <si>
    <t>D00700</t>
  </si>
  <si>
    <t>D00701</t>
  </si>
  <si>
    <t>D00702</t>
  </si>
  <si>
    <t>D00703</t>
  </si>
  <si>
    <t>D00704</t>
  </si>
  <si>
    <t>D00705</t>
  </si>
  <si>
    <t>D00706</t>
  </si>
  <si>
    <t>D00707</t>
  </si>
  <si>
    <t>D00708</t>
  </si>
  <si>
    <t>D00709</t>
  </si>
  <si>
    <t>D00710</t>
  </si>
  <si>
    <t>D00711</t>
  </si>
  <si>
    <t>D00712</t>
  </si>
  <si>
    <t>D00713</t>
  </si>
  <si>
    <t>D00714</t>
  </si>
  <si>
    <t>D00715</t>
  </si>
  <si>
    <t>D00716</t>
  </si>
  <si>
    <t>D00717</t>
  </si>
  <si>
    <t>D00718</t>
  </si>
  <si>
    <t>D00719</t>
  </si>
  <si>
    <t>D00720</t>
  </si>
  <si>
    <t>D00721</t>
  </si>
  <si>
    <t>D00722</t>
  </si>
  <si>
    <t>D00723</t>
  </si>
  <si>
    <t>D00724</t>
  </si>
  <si>
    <t>D00725</t>
  </si>
  <si>
    <t>D00726</t>
  </si>
  <si>
    <t>D00727</t>
  </si>
  <si>
    <t>D00728</t>
  </si>
  <si>
    <t>D00729</t>
  </si>
  <si>
    <t>D00730</t>
  </si>
  <si>
    <t>D00731</t>
  </si>
  <si>
    <t>D00732</t>
  </si>
  <si>
    <t>D00733</t>
  </si>
  <si>
    <t>D00734</t>
  </si>
  <si>
    <t>D00735</t>
  </si>
  <si>
    <t>D00736</t>
  </si>
  <si>
    <t>D00737</t>
  </si>
  <si>
    <t>D00738</t>
  </si>
  <si>
    <t>D00739</t>
  </si>
  <si>
    <t>D00740</t>
  </si>
  <si>
    <t>D00741</t>
  </si>
  <si>
    <t>D00742</t>
  </si>
  <si>
    <t>D00743</t>
  </si>
  <si>
    <t>D00744</t>
  </si>
  <si>
    <t>D00745</t>
  </si>
  <si>
    <t>D00746</t>
  </si>
  <si>
    <t>D00747</t>
  </si>
  <si>
    <t>D00748</t>
  </si>
  <si>
    <t>D00749</t>
  </si>
  <si>
    <t>D00750</t>
  </si>
  <si>
    <t>D00751</t>
  </si>
  <si>
    <t>D00752</t>
  </si>
  <si>
    <t>D00753</t>
  </si>
  <si>
    <t>D00754</t>
  </si>
  <si>
    <t>D00755</t>
  </si>
  <si>
    <t>D00756</t>
  </si>
  <si>
    <t>D00757</t>
  </si>
  <si>
    <t>D00758</t>
  </si>
  <si>
    <t>D00759</t>
  </si>
  <si>
    <t>D00760</t>
  </si>
  <si>
    <t>D00761</t>
  </si>
  <si>
    <t>D00762</t>
  </si>
  <si>
    <t>D00763</t>
  </si>
  <si>
    <t>D00764</t>
  </si>
  <si>
    <t>D00765</t>
  </si>
  <si>
    <t>D00766</t>
  </si>
  <si>
    <t>D00767</t>
  </si>
  <si>
    <t>D00768</t>
  </si>
  <si>
    <t>D00769</t>
  </si>
  <si>
    <t>D00770</t>
  </si>
  <si>
    <t>D00771</t>
  </si>
  <si>
    <t>D00772</t>
  </si>
  <si>
    <t>D00773</t>
  </si>
  <si>
    <t>D00774</t>
  </si>
  <si>
    <t>D00775</t>
  </si>
  <si>
    <t>D00776</t>
  </si>
  <si>
    <t>D00777</t>
  </si>
  <si>
    <t>D00778</t>
  </si>
  <si>
    <t>D00779</t>
  </si>
  <si>
    <t>D00780</t>
  </si>
  <si>
    <t>D00781</t>
  </si>
  <si>
    <t>D00782</t>
  </si>
  <si>
    <t>D00783</t>
  </si>
  <si>
    <t>D00784</t>
  </si>
  <si>
    <t>D00785</t>
  </si>
  <si>
    <t>D00786</t>
  </si>
  <si>
    <t>D00787</t>
  </si>
  <si>
    <t>D00788</t>
  </si>
  <si>
    <t>D00789</t>
  </si>
  <si>
    <t>D00790</t>
  </si>
  <si>
    <t>D00791</t>
  </si>
  <si>
    <t>D00792</t>
  </si>
  <si>
    <t>D00793</t>
  </si>
  <si>
    <t>D00794</t>
  </si>
  <si>
    <t>D00795</t>
  </si>
  <si>
    <t>D00796</t>
  </si>
  <si>
    <t>D00797</t>
  </si>
  <si>
    <t>D00798</t>
  </si>
  <si>
    <t>D00799</t>
  </si>
  <si>
    <t>D00800</t>
  </si>
  <si>
    <t>D00801</t>
  </si>
  <si>
    <t>D00802</t>
  </si>
  <si>
    <t>D00803</t>
  </si>
  <si>
    <t>D00804</t>
  </si>
  <si>
    <t>D00805</t>
  </si>
  <si>
    <t>D00806</t>
  </si>
  <si>
    <t>D00807</t>
  </si>
  <si>
    <t>D00808</t>
  </si>
  <si>
    <t>D00809</t>
  </si>
  <si>
    <t>D00810</t>
  </si>
  <si>
    <t>D00811</t>
  </si>
  <si>
    <t>D00812</t>
  </si>
  <si>
    <t>D00813</t>
  </si>
  <si>
    <t>D00814</t>
  </si>
  <si>
    <t>D00815</t>
  </si>
  <si>
    <t>D00816</t>
  </si>
  <si>
    <t>D00817</t>
  </si>
  <si>
    <t>D00818</t>
  </si>
  <si>
    <t>D00819</t>
  </si>
  <si>
    <t>D00820</t>
  </si>
  <si>
    <t>D00821</t>
  </si>
  <si>
    <t>D00822</t>
  </si>
  <si>
    <t>D00823</t>
  </si>
  <si>
    <t>D00824</t>
  </si>
  <si>
    <t>D00825</t>
  </si>
  <si>
    <t>D00826</t>
  </si>
  <si>
    <t>D00827</t>
  </si>
  <si>
    <t>D00828</t>
  </si>
  <si>
    <t>D00829</t>
  </si>
  <si>
    <t>D00830</t>
  </si>
  <si>
    <t>D00831</t>
  </si>
  <si>
    <t>D00832</t>
  </si>
  <si>
    <t>D00833</t>
  </si>
  <si>
    <t>D00834</t>
  </si>
  <si>
    <t>D00835</t>
  </si>
  <si>
    <t>D00836</t>
  </si>
  <si>
    <t>D00837</t>
  </si>
  <si>
    <t>D00838</t>
  </si>
  <si>
    <t>D00839</t>
  </si>
  <si>
    <t>D00840</t>
  </si>
  <si>
    <t>D00841</t>
  </si>
  <si>
    <t xml:space="preserve"> Объект в красной зоне лидара</t>
  </si>
  <si>
    <t>Text table</t>
  </si>
  <si>
    <t>Отсутствует программа на станке</t>
  </si>
  <si>
    <t>Робот в режиме наладки</t>
  </si>
  <si>
    <t>Device</t>
  </si>
  <si>
    <t>Alarm Condition</t>
  </si>
  <si>
    <t>Window. No</t>
  </si>
  <si>
    <t>Text Index</t>
  </si>
  <si>
    <t>Alarm count device</t>
  </si>
  <si>
    <t>Preview</t>
  </si>
  <si>
    <t>Робот: Невозможно запустить программу из-за ошибки EXT. START ENABLE.</t>
  </si>
  <si>
    <t>Робот: Невозможно запустить программу из-за ошибки EXT. START DISABLE.</t>
  </si>
  <si>
    <t>Робот: На этапе RPS_END не был подан сигнал запуска.</t>
  </si>
  <si>
    <t>Робот: Невозможно выполнить программу, переключатель HOLD включен.</t>
  </si>
  <si>
    <t>Робот: Программа уже запущена.</t>
  </si>
  <si>
    <t>Робот: Программа управления роботом уже запущена.</t>
  </si>
  <si>
    <t>Робот: Невозможно продолжить выполнение программы. Используйте команду EXECUTE.</t>
  </si>
  <si>
    <t>Робот: Робот движется.</t>
  </si>
  <si>
    <t>Робот: Выполнение невозможно из-за ошибки. Ошибка сброшена.</t>
  </si>
  <si>
    <t>Робот: Невозможно выполнить, поскольку программа уже используется.</t>
  </si>
  <si>
    <t>Робот: Невозможно удалить, используется другой командой.</t>
  </si>
  <si>
    <t>Робот: Невозможно удалить, использовано в программе.</t>
  </si>
  <si>
    <t>Робот: Невозможно удалить программу в редакторе.</t>
  </si>
  <si>
    <t>Робот: Для удаления программы используйте команды KILL или PCKILL.</t>
  </si>
  <si>
    <t>Робот: Программа на ПК запущена.</t>
  </si>
  <si>
    <t>Робот: Не работает, пульт управления в процессе работы.</t>
  </si>
  <si>
    <t>Робот: Невозможно выполнить команду DO.</t>
  </si>
  <si>
    <t>Робот: Невозможно выполнить инструкцию MC.</t>
  </si>
  <si>
    <t>Робот: Невозможно выполнить в программе Robot.</t>
  </si>
  <si>
    <t>Робот: Выполнение запроса невозможно.</t>
  </si>
  <si>
    <t>Робот: Невозможно выполнить, функция не задана.</t>
  </si>
  <si>
    <t>Робот: Невозможно завершить запущенную программу.</t>
  </si>
  <si>
    <t>Робот: Редактировать программу невозможно, блокировка обучения включена.</t>
  </si>
  <si>
    <t>Робот: Не удается вставить.</t>
  </si>
  <si>
    <t>Робот: Название программы не указано.</t>
  </si>
  <si>
    <t>Робот: Программа заблокирована другой процедурой.</t>
  </si>
  <si>
    <t>Робот: Свободной памяти нет.</t>
  </si>
  <si>
    <t>Робот: Нет шага программы.</t>
  </si>
  <si>
    <t>Робот: Программа с таким названием уже существует.</t>
  </si>
  <si>
    <t>Робот: Данная программа не подлежит редактированию.</t>
  </si>
  <si>
    <t>Робот: Запись запрещена. Установите параметр [Принять запись] и возобновите работу.</t>
  </si>
  <si>
    <t>Робот: Изменение программы запрещено. Установите [Принять] и возобновите работу.</t>
  </si>
  <si>
    <t>Робот: Имя программы "calib_load_" недопустимо.</t>
  </si>
  <si>
    <t>Робот: Программа не существует.</t>
  </si>
  <si>
    <t>Робот: Подвеска для обучения не подключена.</t>
  </si>
  <si>
    <t>Робот: Невозможно выполнить эту команду в панели интерфейса.</t>
  </si>
  <si>
    <t>Робот: Сбой команды автоматического мониторинга.</t>
  </si>
  <si>
    <t>Робот: Программа NUM запущена.</t>
  </si>
  <si>
    <t>Робот: Невозможно выполнить в режиме ПОВТОРЕНИЯ.</t>
  </si>
  <si>
    <t>Робот: Невозможно выполнить операцию, поскольку питание двигателя включено.</t>
  </si>
  <si>
    <t>Робот: Включите режим обучения и блокировку обучения.</t>
  </si>
  <si>
    <t>Робот: Включите переключатель триггера.</t>
  </si>
  <si>
    <t>Робот: Отключившийся робот не может выбрать программу/шаг.</t>
  </si>
  <si>
    <t>Робот: Невозможно выполнить проверку тормозов во время её проведения.</t>
  </si>
  <si>
    <t>Робот: Программа заблокирована.</t>
  </si>
  <si>
    <t>Робот: Существует защищенная программа.</t>
  </si>
  <si>
    <t>Робот: Не удаётся снять защиту во время работы программы.</t>
  </si>
  <si>
    <t>Робот: Из-за переполнения памяти скопировать программу не удалось.</t>
  </si>
  <si>
    <t>Робот: Поскольку память была заполнена, работа программы была приостановлена.</t>
  </si>
  <si>
    <t>Робот: Выключите переключатель триггера.</t>
  </si>
  <si>
    <t>Робот: Обучите команду блокировки оси на этапе включения зажима.</t>
  </si>
  <si>
    <t>Робот: Обучите технике разблокировки оси на этапе включения зажима.</t>
  </si>
  <si>
    <t>Робот: Использовать можно только небольшой кулон-урок.</t>
  </si>
  <si>
    <t>Робот: Невозможно использовать с маленьким пультом управления.</t>
  </si>
  <si>
    <t>Робот: Запись невозможна, так как программа запущена.</t>
  </si>
  <si>
    <t>Робот: Невозможно запустить как программу для ПК.</t>
  </si>
  <si>
    <t>Робот: Пожалуйста, управляйте им обеими руками!</t>
  </si>
  <si>
    <t>Робот: Проведение операций запрещено.</t>
  </si>
  <si>
    <t>Робот: Объем изменений пути, внесенных пользователем, превышает пороговое значение.</t>
  </si>
  <si>
    <t>Робот: Невозможно выполнить эту инструкцию во время изменения пути по вводу пользователя.</t>
  </si>
  <si>
    <t>Робот: (RTC) Невозможно переключиться между положениями ВКЛ/ВЫКЛ.</t>
  </si>
  <si>
    <t>Робот: RTC) Невозможно выполнить в режиме ПОВТОРЕНИЯ.</t>
  </si>
  <si>
    <t>Робот: RTC) Невозможно выполнить в режиме обучения.</t>
  </si>
  <si>
    <t>Робот: RTC)RTC_SW включен.</t>
  </si>
  <si>
    <t>Робот: Хранение данных прекращено.</t>
  </si>
  <si>
    <t>Робот: Редактирование программы запрещено. Установите [Принять] и возобновите работу.</t>
  </si>
  <si>
    <t>Робот: Выключите питание двигателя.</t>
  </si>
  <si>
    <t>Робот: Переведите переключатель HOLD/RUN в положение HOLD.</t>
  </si>
  <si>
    <t>Робот: Внешняя ось отсутствует.</t>
  </si>
  <si>
    <t>Робот: Недопустимый тип позиционера.</t>
  </si>
  <si>
    <t>Робот: Изменить невозможно, данные пользователя уже существуют.</t>
  </si>
  <si>
    <t>Робот: Ошибка в графической области.</t>
  </si>
  <si>
    <t>Робот: Эта опция отключена.</t>
  </si>
  <si>
    <t>Робот: Невозможно выполнить, поскольку выполняется другим устройством.</t>
  </si>
  <si>
    <t>Робот: Устройство не готово.</t>
  </si>
  <si>
    <t>Робот: Недопустимое имя файла.</t>
  </si>
  <si>
    <t>Робот: Диск не готов.</t>
  </si>
  <si>
    <t>Робот: Неверный формат диска.</t>
  </si>
  <si>
    <t>Робот: Диск защищен от записи.</t>
  </si>
  <si>
    <t>Робот: Диск заполнен.</t>
  </si>
  <si>
    <t>Робот: Слишком много файлов.</t>
  </si>
  <si>
    <t>Робот: Невозможно записать данные в файл, доступный только для чтения.</t>
  </si>
  <si>
    <t>Робот: Не удаётся открыть файл.</t>
  </si>
  <si>
    <t>Робот: Невозможно закрыть файл.</t>
  </si>
  <si>
    <t>Робот: Теперь осуществляется запись данных в хранилище.</t>
  </si>
  <si>
    <t>Робот: Функция АЦП уже используется.</t>
  </si>
  <si>
    <t>Робот: Незаконный номер устройства.</t>
  </si>
  <si>
    <t>Робот: Невозможно выполнить на этом терминале.</t>
  </si>
  <si>
    <t>Робот: Использовать DOUBLE OX нельзя.</t>
  </si>
  <si>
    <t>Робот: В кооперативном режиме.</t>
  </si>
  <si>
    <t>Робот: Недопустимое значение координаты X.</t>
  </si>
  <si>
    <t>Робот: Недопустимое значение координаты Y.</t>
  </si>
  <si>
    <t>Робот: Недопустимое значение координаты Z.</t>
  </si>
  <si>
    <t>Робот: Невозможно использовать сигнал, он уже использован на панели интерфейса.</t>
  </si>
  <si>
    <t>Робот: Плата Arm ID занята.</t>
  </si>
  <si>
    <t>Робот: Данные настроек оси неверны.</t>
  </si>
  <si>
    <t>Робот: Неизвестный номер вспомогательной функции.</t>
  </si>
  <si>
    <t>Робот: Удаленный шаг являлся целевым шагом инструкции «Переход, Вызов».</t>
  </si>
  <si>
    <t>Робот: Неправильный ввод числа в качестве параметра WHERE.</t>
  </si>
  <si>
    <t>Робот: Ведется запись логов.</t>
  </si>
  <si>
    <t>Робот: Неопределенная память.</t>
  </si>
  <si>
    <t>Робот: Не данные.</t>
  </si>
  <si>
    <t>Робот: Ошибка проверки памяти.</t>
  </si>
  <si>
    <t>Робот: Модуляция тракта в реальном времени уже запущена.</t>
  </si>
  <si>
    <t>Робот: Ошибка в матричных вычислениях.</t>
  </si>
  <si>
    <t>Робот: Невозможно запустить цикл по инструкции FN.</t>
  </si>
  <si>
    <t>Робот: Карта не готова.</t>
  </si>
  <si>
    <t>Робот: Загружена не та карта.</t>
  </si>
  <si>
    <t>Робот: Карта защищена от записи.</t>
  </si>
  <si>
    <t>Робот: Батарея карты имеет низкое напряжение.</t>
  </si>
  <si>
    <t>Робот: Карта не отформатирована.</t>
  </si>
  <si>
    <t>Робот: Невозможно отформатировать эту карту.</t>
  </si>
  <si>
    <t>Робот: Ошибка инициализации карты.</t>
  </si>
  <si>
    <t>Робот: Файл уже открыт.</t>
  </si>
  <si>
    <t>Робот: Файл отсутствует на карте.</t>
  </si>
  <si>
    <t>Робот: Была предпринята попытка открыть слишком много файлов.</t>
  </si>
  <si>
    <t>Робот: Непредвиденная ошибка при доступе к карте.</t>
  </si>
  <si>
    <t>Робот: Недопустимые порядковые номера для данных ввода-вывода файлов.</t>
  </si>
  <si>
    <t>Робот: [LSEQ]Программа включает недоступные учебные материалы.</t>
  </si>
  <si>
    <t>Робот: [LSEQ]Слишком много шагов.</t>
  </si>
  <si>
    <t>Робот: [LSEQ]Недопустимый тип переменной сигнала.</t>
  </si>
  <si>
    <t>Робот: [LSEQ]Программа уже запущена.</t>
  </si>
  <si>
    <t>Робот: [LSEQ]Количество сигналов выходит за пределы заданного диапазона.</t>
  </si>
  <si>
    <t>Робот: [SerialFlash]Невозможно открыть файл.</t>
  </si>
  <si>
    <t>Робот: [SerialFlash]Ошибка чтения данных.</t>
  </si>
  <si>
    <t>Робот: [SerialFlash]Ошибка записи данных.</t>
  </si>
  <si>
    <t>Робот: [SerialFlash]Файл или каталог не существует.</t>
  </si>
  <si>
    <t>Робот: Файл не существует на дискете.</t>
  </si>
  <si>
    <t>Робот: [FDD/PC_CARD]Сбой при записи данных в соответствии с функцией проверки.</t>
  </si>
  <si>
    <t>Робот: [FDD/PC_CARD]Ошибочный ответ от функции проверки.</t>
  </si>
  <si>
    <t>Робот: [FDD]Нет свободного места.</t>
  </si>
  <si>
    <t>Робот: [Многодисковая обработка] Загружен недействительный диск.</t>
  </si>
  <si>
    <t>Робот: Состояние загрузочной флэш-памяти — запись запрещена.</t>
  </si>
  <si>
    <t>Робот: [Последовательная прошивка] Ошибка каталога файлов.</t>
  </si>
  <si>
    <t>Робот: В данный момент невозможно выполнить редактируемую программу.</t>
  </si>
  <si>
    <t>Робот: [FDD/PC_CARD]Устройство уже используется.</t>
  </si>
  <si>
    <t>Робот: Регистрация новых данных невозможна.</t>
  </si>
  <si>
    <t>Робот: Переключатель C/S установлен в положение "отключено".</t>
  </si>
  <si>
    <t>Робот: [LSEQ] Максимальное количество циклов выполнения.</t>
  </si>
  <si>
    <t>Робот: [LSEQ] Другая программа ожидает выполнения.</t>
  </si>
  <si>
    <t>Робот: Дискета сломана.</t>
  </si>
  <si>
    <t>Робот: Номер канала JtXX указан неверно.</t>
  </si>
  <si>
    <t>Робот: Идет сохранение/загрузка.</t>
  </si>
  <si>
    <t>Робот: [Последовательная флэш-память] Произошла ошибка доступа.</t>
  </si>
  <si>
    <t>Робот: [Последовательная флэш-память] Загрузка или скачивание прервано.</t>
  </si>
  <si>
    <t>Робот: Карта заполнена.</t>
  </si>
  <si>
    <t>Робот: Выполнение невозможно из-за присвоенного каналу совместного номера.</t>
  </si>
  <si>
    <t>Робот: Не выполняйте начало/конец совместной игры при обратном ходе.</t>
  </si>
  <si>
    <t>Робот: Журнал пользователя не создан.</t>
  </si>
  <si>
    <t>Робот: Изменено количество регистраций в журнале пользователя.</t>
  </si>
  <si>
    <t>Робот: Не удаётся зарегистрировать пользовательский лог, нет свободной памяти.</t>
  </si>
  <si>
    <t>Робот: Данные журнала пользователя не регистрируются.</t>
  </si>
  <si>
    <t>Робот: Тип данных журнала пользователя и указанных данных различаются.</t>
  </si>
  <si>
    <t>Робот: Не удается загрузить некорректный параметр компенсации.</t>
  </si>
  <si>
    <t>Робот: Данные о сервоприводах отсутствуют в соответствии со спецификацией сервопривода.</t>
  </si>
  <si>
    <t>Робот: [Последовательная прошивка] Файл или каталог уже существует.</t>
  </si>
  <si>
    <t>Робот: [Последовательная прошивка] Каталог еще не пуст.</t>
  </si>
  <si>
    <t>Робот: [Последовательная флешка] Нет места для записи.</t>
  </si>
  <si>
    <t>Робот: [Последовательная флэш-память] Невозможно получить доступ к файлу в режиме только для чтения.</t>
  </si>
  <si>
    <t>Робот: От платы ЦП ответа нет.</t>
  </si>
  <si>
    <t>Робот: Невозможно запустить цикл после прерывания процесса укладки на поддоны.</t>
  </si>
  <si>
    <t>Робот: В процессе укладки на поддоны невозможно изменить этапы.</t>
  </si>
  <si>
    <t>Робот: Ось не предназначена для бесконечного вращения.</t>
  </si>
  <si>
    <t>Робот: Не удается перевести состояние паллетирования в положение «ВКЛ».</t>
  </si>
  <si>
    <t>Робот: Макроошибка.</t>
  </si>
  <si>
    <t>Робот: Вложенность слишком велика в файле включения.</t>
  </si>
  <si>
    <t>Робот: Отсутствует файл или папка.</t>
  </si>
  <si>
    <t>Робот: USB-накопитель не вставлен.</t>
  </si>
  <si>
    <t>Робот: Не удалось загрузить программное обеспечение.</t>
  </si>
  <si>
    <t>Робот: Доступного объема памяти USB-накопителя недостаточно.</t>
  </si>
  <si>
    <t>Робот: Доступного объема памяти Compact Flash невелик.</t>
  </si>
  <si>
    <t>Робот: Система в данный момент загружает программное обеспечение.</t>
  </si>
  <si>
    <t>Робот: На USB-накопителе отсутствует какое-либо программное обеспечение.</t>
  </si>
  <si>
    <t>Робот: Программа не может быть выполнена из-за одновременного ввода сигнатур.</t>
  </si>
  <si>
    <t>Робот: [USB/CF]Ошибка записи файла.</t>
  </si>
  <si>
    <t>Робот: Пожалуйста, верните ось вращения в исходное положение.</t>
  </si>
  <si>
    <t>Робот: Имя файла слишком длинное.</t>
  </si>
  <si>
    <t>Робот: Невозможно запустить цикл работы из инструкции KI.</t>
  </si>
  <si>
    <t>Робот: Невозможно переместить. Потому что ось отсоединена.</t>
  </si>
  <si>
    <t>Робот: Обнуление невозможно из-за разрыва соединения.</t>
  </si>
  <si>
    <t>Робот: (SSCNET) Включите сервопривод перед выполнением установки исходного положения.</t>
  </si>
  <si>
    <t>Робот: (SSCNET) Невозможно выполнить в серии J2S.</t>
  </si>
  <si>
    <t>Робот: (SSCNET) Абсолютное положение удалено. Установите исходное положение.</t>
  </si>
  <si>
    <t>Робот: Невозможно отключить робота, так как он находится в кооперативном режиме. Пожалуйста, отпустите режим кооператива.</t>
  </si>
  <si>
    <t>Робот: Соединение невозможно подключить/отключить, поскольку сервоусилитель отключен.</t>
  </si>
  <si>
    <t>Робот: Бесконечная ось остановлена.</t>
  </si>
  <si>
    <t>Робот: Скорость вращения всех осей составляет более 300 об/мин.</t>
  </si>
  <si>
    <t>Робот: Инициализируйте значение параметра инструмента.</t>
  </si>
  <si>
    <t>Робот: Размер файла образа превышает размер файла CF.</t>
  </si>
  <si>
    <t>Робот: Версии RFS различаются.</t>
  </si>
  <si>
    <t>Робот: Файл лицензии OpenAS не существует.</t>
  </si>
  <si>
    <t>Робот: Лицензионный файл OpenAS недействителен.</t>
  </si>
  <si>
    <t>Робот: Не удалось считать серийный номер с запоминающего устройства.</t>
  </si>
  <si>
    <t>Робот: Лицензия приложения OpenAS не установлена.</t>
  </si>
  <si>
    <t>Робот: Лицензия приложения OpenAS недействительна.</t>
  </si>
  <si>
    <t>Робот: Лицензия приложения OpenAS установлена.</t>
  </si>
  <si>
    <t>Робот: Не удается получить данные для управления табло в процессе их обработки.</t>
  </si>
  <si>
    <t>Робот: Выберите станок с ЧПУ.</t>
  </si>
  <si>
    <t>Робот: Не удалось восстановить приложение OpenAS.</t>
  </si>
  <si>
    <t>Робот: Не удалось выполнить настройку запуска приложения OpenAS.</t>
  </si>
  <si>
    <t>Робот: Интерфейс FIELD-BUS не включен.</t>
  </si>
  <si>
    <t>Робот: DEVNET)Узел XX отсутствует в списке сканирования.</t>
  </si>
  <si>
    <t>Робот: (DEVNET) Уже в этом режиме.</t>
  </si>
  <si>
    <t>Робот: Повторяющийся номер сигнала</t>
  </si>
  <si>
    <t>Робот: Ограничение сигналов FIELD-BUS (макс. XX)</t>
  </si>
  <si>
    <t>Робот: (CC-LINK) Несоответствие версий.</t>
  </si>
  <si>
    <t>Робот: (EN/IP-M) Уже в указанном режиме.</t>
  </si>
  <si>
    <t>Робот: (FIELD-BUS) Невозможно выполнить с устаревшей прошивкой карты ANYBUS.</t>
  </si>
  <si>
    <t>Робот: (FIELD-BUS) Невозможно установить связь с интерфейсной платой.</t>
  </si>
  <si>
    <t>Робот: (FIELD-BUS) Ошибка: Неверный тип интерфейсной карты.</t>
  </si>
  <si>
    <t>Робот: (FIELD-BUS) Инициализация карты не завершена.</t>
  </si>
  <si>
    <t>Робот: Режим PROFINET(CP16)) уже указан.</t>
  </si>
  <si>
    <t>Робот: Ожидание завершения сварочных работ.</t>
  </si>
  <si>
    <t>Робот: Ожидание возврата или возврата положительного входного сигнала.</t>
  </si>
  <si>
    <t>Робот: Последовательность точечных остановок запущена.</t>
  </si>
  <si>
    <t>Робот: Несоответствие данных о типе внешней оси и типе пушки.</t>
  </si>
  <si>
    <t>Робот: Смещенное местоположение STEPXX выходит за пределы допустимого диапазона.</t>
  </si>
  <si>
    <t>Робот: Программа STEPXX в исходном коде находится вне зоны действия.</t>
  </si>
  <si>
    <t>Робот: Указанная база данных картин не существует.</t>
  </si>
  <si>
    <t>Робот: Невозможно запустить программу из-за приостановки воспроизведения.</t>
  </si>
  <si>
    <t>Робот: Выполнение невозможно из-за последовательности продувки воздухом.</t>
  </si>
  <si>
    <t>Робот: Выполнение невозможно, поскольку робот отключен.</t>
  </si>
  <si>
    <t>Робот: Невозможно задать круговое перемещение к конечной точке траектории распыления.</t>
  </si>
  <si>
    <t>Робот: Количество заданных точек для траектории опрыскивания превышает допустимый предел.</t>
  </si>
  <si>
    <t>Робот: Количество инструкций между точками превышает допустимый предел.</t>
  </si>
  <si>
    <t>Робот: Недостаток количества заданных точек для обозначения траектории опрыскивания.</t>
  </si>
  <si>
    <t>Робот: Выбранная программа, отличная от pgxxx.</t>
  </si>
  <si>
    <t>Робот: Невозможно переместить точки, переключиться на совместную интерполяцию или добавить точки.</t>
  </si>
  <si>
    <t>Робот: Редактировать программу невозможно, блокировка обучения отключена.</t>
  </si>
  <si>
    <t>Робот: Программное обеспечение для управления покрасочным оборудованием не запускается.</t>
  </si>
  <si>
    <t>Робот: Не удается сгенерировать направление рабочей линии.</t>
  </si>
  <si>
    <t>Робот: Недопустимое положение инструмента.</t>
  </si>
  <si>
    <t>Робот: База данных сварных швов отсутствует.</t>
  </si>
  <si>
    <t>Робот: Изменить состояние сварного шва невозможно.</t>
  </si>
  <si>
    <t>Робот: Шаг:XX. Предшествующий L.START отсутствует.</t>
  </si>
  <si>
    <t>Робот: Тип оси не задан как сервопривод горелки.</t>
  </si>
  <si>
    <t>Робот: Функция сдвига не может быть использована в интерпретации CIR.</t>
  </si>
  <si>
    <t>Робот: Невозможно выполнить сброс программы, поскольку устройство находится не в исходном положении 1.</t>
  </si>
  <si>
    <t>Робот: В режиме измерения силы доступна только интерпретация NOP.</t>
  </si>
  <si>
    <t>Робот: Изменить ход невозможно, потому что зажим уже установлен.</t>
  </si>
  <si>
    <t>Робот: Файл параметров сервопривода не найден.</t>
  </si>
  <si>
    <t>Робот: Включите питание двигателя.</t>
  </si>
  <si>
    <t>Робот: Из-за режима повтора подождите, пока начнётся режим обучения.</t>
  </si>
  <si>
    <t>Робот: По числу, которое может быть зарегистрировано в случае прерывания.</t>
  </si>
  <si>
    <t>Робот: Невозможно выполнить программу из-за ошибки маскирования.</t>
  </si>
  <si>
    <t>Робот: Канал ONC/ONCI уже получен.</t>
  </si>
  <si>
    <t>Робот: Невозможно выполнить сохранение.</t>
  </si>
  <si>
    <t>Робот: Невозможно принять запись, потому что робот движется.</t>
  </si>
  <si>
    <t>Робот: При повторном выполнении операции объем изменений данных слишком велик.</t>
  </si>
  <si>
    <t>Робот: Невозможно выполнить программу из-за ввода сигнала в режиме CLAMP MODE.</t>
  </si>
  <si>
    <t>Робот: Номер контроллера продублирован.</t>
  </si>
  <si>
    <t>Робот: Номер робота IL дублируется.</t>
  </si>
  <si>
    <t>Робот: Сервер IL обрабатывает данные.</t>
  </si>
  <si>
    <t>Робот: Соединение с сервером IL отключено.</t>
  </si>
  <si>
    <t>Робот: IP-адрес сервера IL еще не установлен.</t>
  </si>
  <si>
    <t>Робот: Установите режим обучения.</t>
  </si>
  <si>
    <t>Робот: Выключите сервопривод.</t>
  </si>
  <si>
    <t>Робот: ILL) Ошибка тайм-аута связи.</t>
  </si>
  <si>
    <t>Робот: ILL) Ошибка тайм-аута при обработке данных на ПК-сервере.</t>
  </si>
  <si>
    <t>Робот: Ошибка ожидания завершения обработки запроса на сервере ILL)PC.</t>
  </si>
  <si>
    <t>Робот: ILL) Ошибка в системе автоматической блокировки.</t>
  </si>
  <si>
    <t>Робот: (ILL) Не удалось снять блокировку операции с подчиненного контроллера.</t>
  </si>
  <si>
    <t>Робот: (ILL) Не удалось установить связь с сервером ПК.</t>
  </si>
  <si>
    <t>Робот: Номер робота IL не зарегистрирован.</t>
  </si>
  <si>
    <t>Робот: Неприемлемое направление управления.</t>
  </si>
  <si>
    <t>Робот: Недопустимое расстояние контроля.</t>
  </si>
  <si>
    <t>Робот: Для некоторых контрольных точек указаны одинаковые данные.</t>
  </si>
  <si>
    <t>Робот: Опорные точки 1, 2, 3 расположены на прямой линии.</t>
  </si>
  <si>
    <t>Робот: Точка отсчета 4 находится за пределами допустимого диапазона.</t>
  </si>
  <si>
    <t>Робот: Невозможно выполнить манипуляцию, поскольку блокировка обучения включена.</t>
  </si>
  <si>
    <t>Робот: Команда RMTL.POINT содержит слишком много символов.</t>
  </si>
  <si>
    <t>Робот: Время сварки слишком короткое. Пожалуйста, измените скорость сварки и размер.</t>
  </si>
  <si>
    <t>Робот: Сварка остановлена ​​в точке XX/XX.</t>
  </si>
  <si>
    <t>Робот: Перемещение невозможно. Переключитесь на линейную интерполяцию.</t>
  </si>
  <si>
    <t>Робот: Последовательность инструкций для дистанционной лазерной сварки неверна.</t>
  </si>
  <si>
    <t>Робот: В данной конфигурации невозможно двигаться по прямой линии JTXX.</t>
  </si>
  <si>
    <t>Робот: Контроль превышения максимальной скорости вращения. Установите низкую скорость.</t>
  </si>
  <si>
    <t>Робот: Информация из журнала операций была очищена.</t>
  </si>
  <si>
    <t>Робот: Калибровка не удалась. Повторите попытку после изменения позы.</t>
  </si>
  <si>
    <t>Робот: Передатчик JTXX вышел из зоны действия. Проверьте рабочую зону.</t>
  </si>
  <si>
    <t>Робот: Недопустимый центр тяжести, параметр по умолчанию установлен.</t>
  </si>
  <si>
    <t>Робот: Неверный момент нагрузки. Задан параметр по умолчанию.</t>
  </si>
  <si>
    <t>Робот: Настройки приложения изменены. Выключите и снова включите питание блока управления.</t>
  </si>
  <si>
    <t>Робот: Параметр изменен. Выключите и снова включите питание управления.</t>
  </si>
  <si>
    <t>Робот: Ошибка огибающей положения jtXX при последней остановке.</t>
  </si>
  <si>
    <t>Робот: Низкое напряжение батареи оперативной памяти.</t>
  </si>
  <si>
    <t>Робот: Сигнализация ПЛК. (XX)</t>
  </si>
  <si>
    <t>Робот: Для изменения параметров сервопривода выключите, а затем снова включите питание контроллера.</t>
  </si>
  <si>
    <t>Робот: Низкое напряжение батареи энкодера. [Серво(XX)]</t>
  </si>
  <si>
    <t>Робот: Изменено количество осей. Выполнить повторную инициализацию.</t>
  </si>
  <si>
    <t>Робот: Вероятность отказа.</t>
  </si>
  <si>
    <t>Робот: Крутящий момент двигателя превышает предельное значение. JTXX</t>
  </si>
  <si>
    <t>Робот: Низкое напряжение батареи энкодера.[Внешняя ось (XX)]</t>
  </si>
  <si>
    <t>Робот: Изменен сетевой параметр. Выключите и снова включите питание управления.</t>
  </si>
  <si>
    <t>Робот: Зарегистрированное значение превышает номинальную нагрузку.</t>
  </si>
  <si>
    <t>Робот: Обнаружен сектор с ошибкой.</t>
  </si>
  <si>
    <t>Робот: В настоящее время оптимальное положение тела найти невозможно.</t>
  </si>
  <si>
    <t>Робот: Не выполнять команду ZRPAADSET.</t>
  </si>
  <si>
    <t>Робот: Неправильное положение вилки обучения или низкое напряжение P-N.[XX]</t>
  </si>
  <si>
    <t>Робот: Отклонение от положения последней остановки превышает установленный предел.</t>
  </si>
  <si>
    <t>Робот: (SSCNET) Предупреждение о чрезмерной регенерации соединения XX (код XX)</t>
  </si>
  <si>
    <t>Робот: (SSCNET) Предупреждение о перегрузке двигателя Jt XX (код XX)</t>
  </si>
  <si>
    <t>Робот: Пока подъемник заблокирован, он не может двигаться.</t>
  </si>
  <si>
    <t>Робот: Центр тяжести полезной нагрузки превышает допустимый предел. Возможно, повреждены редукторы.</t>
  </si>
  <si>
    <t>Робот: Центр тяжести полезной нагрузки превышает допустимый предел. Используйте JT5 только при нулевом угле наклона.</t>
  </si>
  <si>
    <t>Робот: Тормозной момент JtXX снижен.</t>
  </si>
  <si>
    <t>Робот: Невозможно двигаться по прямой линии, если значение JTXX не равно 0 градусов.</t>
  </si>
  <si>
    <t>Робот: Невозможно двигаться прямо — фланец обращен в направлении верхней сферы.</t>
  </si>
  <si>
    <t>Робот: Невозможно изменить ориентацию.</t>
  </si>
  <si>
    <t>Робот: Низкое напряжение питания энкодера. jtXX</t>
  </si>
  <si>
    <t>Робот: Напряжение батареи энкодера низкое. Проверьте обнуление. JtXX</t>
  </si>
  <si>
    <t>Робот: Данные о шагах отличаются.</t>
  </si>
  <si>
    <t>Робот: Данные о вращении энкодера ненормальные.(jt XX)</t>
  </si>
  <si>
    <t>Робот: Ошибка ответа кодировщика (Jt XX).</t>
  </si>
  <si>
    <t>Робот: Ошибка связи кодировщика.(jt XX)</t>
  </si>
  <si>
    <t>Робот: Ошибка скорости jt XX.</t>
  </si>
  <si>
    <t>Робот: Скорость вращения энкодера превысила допустимый предел (jt XX)</t>
  </si>
  <si>
    <t>Робот: Температура энкодера превысила допустимый предел (jt XX)</t>
  </si>
  <si>
    <t>Робот: Ошибка огибающей скорости при бесконечном вращении оси (jt XX)</t>
  </si>
  <si>
    <t>Робот: Отсутствует текущая обратная связь JtXX. (Сбой усилителя, отключение жгута проводов питания)</t>
  </si>
  <si>
    <t>Робот: Ошибка отслеживания ABS энкодера (jt XX)</t>
  </si>
  <si>
    <t>Робот: Ошибка импульса INC энкодера (jt XX)</t>
  </si>
  <si>
    <t>Робот: Количество ошибок энкодера превысило лимит jtXX.</t>
  </si>
  <si>
    <t>Робот: Произошла ошибка связи по протоколу TCP (RSC). (КОД: XX)</t>
  </si>
  <si>
    <t>Робот: RSC) Произошла ошибка передачи выходных данных команды. (КОД: XX)</t>
  </si>
  <si>
    <t>Робот: RSC) Произошла ошибка инициализации USB-связи. (КОД: XX)</t>
  </si>
  <si>
    <t>Робот: Произошла ошибка генерации параметра RSC (CODE:XX).</t>
  </si>
  <si>
    <t>Робот: (FANXX-XX) Скорость вращения вентилятора ниже допустимого предела. (ServoBoardXX)</t>
  </si>
  <si>
    <t>Робот: Срок службы AVR скоро истечет.</t>
  </si>
  <si>
    <t>Робот: Таймер цикла обработки изображений завершен.</t>
  </si>
  <si>
    <t>Робот: [Основная плата ЦП] Температура ЦП превысила допустимый предел. (XX 1/1000?)</t>
  </si>
  <si>
    <t>Робот: В данной конфигурации невозможно перемещаться вдоль прямой линии инструмента.</t>
  </si>
  <si>
    <t>Робот: Link3 создает помехи в грунте.</t>
  </si>
  <si>
    <t>Робот: Link5 создает помехи в базовой станции.</t>
  </si>
  <si>
    <t>Робот: Link6 создает помехи в базовой станции.</t>
  </si>
  <si>
    <t>Робот: TP изменено. Подтвердите текущее положение и запустите робота.</t>
  </si>
  <si>
    <t>Робот: Время работы подсветки TP превысило допустимый предел.</t>
  </si>
  <si>
    <t>Робот: Количество включений/выключений реле MC превысило допустимый предел.(SrvB'dXX)(MCXX)</t>
  </si>
  <si>
    <t>Робот: Превышен лимит. (Части: XX)</t>
  </si>
  <si>
    <t>Робот: Включение сервопривода невозможно из-за внешнего воздействия. (JT XX)</t>
  </si>
  <si>
    <t>Робот: Редуктор высокой нагрузки (JT XX)</t>
  </si>
  <si>
    <t>Робот: Воспользуйтесь переключателями на дополнительной панели управления.</t>
  </si>
  <si>
    <t>Робот: (SSCNET) Батарея энкодера Jt XX имеет низкое напряжение (код XX).</t>
  </si>
  <si>
    <t>Робот: (SSCNET) Предупреждение о параметре Jt XX (код XX)</t>
  </si>
  <si>
    <t>Робот: (SSCNET) Тревога Jt XX (код XX)</t>
  </si>
  <si>
    <t>Робот: Текущее положение JTXX отклоняется от положения остановки.</t>
  </si>
  <si>
    <t>Робот: Отклонение JTXX слишком велико.</t>
  </si>
  <si>
    <t>Робот: Компания AS Software заменила программное обеспечение.</t>
  </si>
  <si>
    <t>Робот: [ServoBoardXX] Скорость вращения вентилятора сервоусилителя ниже нижнего предела.</t>
  </si>
  <si>
    <t>Робот: Ошибка процессора. Выключите и снова включите питание блока управления.</t>
  </si>
  <si>
    <t>Робот: Расстояние между пунктом назначения и текущим местоположением превысило установленное значение.</t>
  </si>
  <si>
    <t>Робот: Отклонение от положения последней остановки превышает установленный предел. (код: XX)</t>
  </si>
  <si>
    <t>Робот: Синхронизация часов не удалась.</t>
  </si>
  <si>
    <t>Робот: Предупреждение о колебаниях двигателя (JtXX). Возможно, неисправен приводной блок или слишком высокое усиление.</t>
  </si>
  <si>
    <t>Робот: Низкое напряжение батареи энкодера. [Плата резервного питания XX]</t>
  </si>
  <si>
    <t>Робот: Условия эксплуатации сокращают срок службы смазки. (JTXX) Сократите вдвое циклы замены и пополнения смазки. (JTXX)</t>
  </si>
  <si>
    <t>Робот: Условия эксплуатации сокращают срок службы смазки. (JTXX) Сократите цикл замены смазки вдвое. (JTXX)</t>
  </si>
  <si>
    <t>Робот: Сообщение об ошибке SLOGIC №1</t>
  </si>
  <si>
    <t>Робот: Сообщение об ошибке SLOGIC №2</t>
  </si>
  <si>
    <t>Робот: Сообщение об ошибке SLOGIC №3</t>
  </si>
  <si>
    <t>Робот: Сообщение об ошибке SLOGIC №4</t>
  </si>
  <si>
    <t>Робот: Сообщение об ошибке SLOGIC № 5</t>
  </si>
  <si>
    <t>Робот: Сообщение об ошибке SLOGIC №6</t>
  </si>
  <si>
    <t>Робот: Сообщение об ошибке SLOGIC №7</t>
  </si>
  <si>
    <t>Робот: Сообщение об ошибке SLOGIC № 8</t>
  </si>
  <si>
    <t>Робот: Сообщение об ошибке SLOGIC №9</t>
  </si>
  <si>
    <t>Робот: Сообщение об ошибке SLOGIC № 10</t>
  </si>
  <si>
    <t>Робот: Сообщение об ошибке SLOGIC № 11</t>
  </si>
  <si>
    <t>Робот: Сообщение об ошибке SLOGIC № 12</t>
  </si>
  <si>
    <t>Робот: Сообщение об ошибке SLOGIC № 13</t>
  </si>
  <si>
    <t>Робот: Сообщение об ошибке SLOGIC № 14</t>
  </si>
  <si>
    <t>Робот: Сообщение об ошибке SLOGIC № 15</t>
  </si>
  <si>
    <t>Робот: Сообщение об ошибке SLOGIC № 16</t>
  </si>
  <si>
    <t>Робот: Сообщение об ошибке SLOGIC № 17</t>
  </si>
  <si>
    <t>Робот: Сообщение об ошибке SLOGIC № 18</t>
  </si>
  <si>
    <t>Робот: Сообщение об ошибке SLOGIC № 19</t>
  </si>
  <si>
    <t>Робот: Сообщение об ошибке SLOGIC № 20</t>
  </si>
  <si>
    <t>Робот: Сообщение об ошибке SLOGIC № 21</t>
  </si>
  <si>
    <t>Робот: Сообщение об ошибке SLOGIC № 22</t>
  </si>
  <si>
    <t>Робот: Сообщение об ошибке SLOGIC № 23</t>
  </si>
  <si>
    <t>Робот: Сообщение об ошибке SLOGIC № 24</t>
  </si>
  <si>
    <t>Робот: Сообщение об ошибке SLOGIC № 25</t>
  </si>
  <si>
    <t>Робот: Сообщение об ошибке SLOGIC № 26</t>
  </si>
  <si>
    <t>Робот: Сообщение об ошибке SLOGIC № 27</t>
  </si>
  <si>
    <t>Робот: Сообщение об ошибке SLOGIC № 28</t>
  </si>
  <si>
    <t>Робот: Сообщение об ошибке SLOGIC № 29</t>
  </si>
  <si>
    <t>Робот: Сообщение об ошибке SLOGIC № 30</t>
  </si>
  <si>
    <t>Робот: Сообщение об ошибке SLOGIC № 31</t>
  </si>
  <si>
    <t>Робот: Сообщение об ошибке SLOGIC № 32</t>
  </si>
  <si>
    <t>Робот: Сообщение об ошибке SLOGIC № 33</t>
  </si>
  <si>
    <t>Робот: Сообщение об ошибке SLOGIC № 34</t>
  </si>
  <si>
    <t>Робот: Сообщение об ошибке SLOGIC № 35</t>
  </si>
  <si>
    <t>Робот: Сообщение об ошибке SLOGIC № 36</t>
  </si>
  <si>
    <t>Робот: Сообщение об ошибке SLOGIC № 37</t>
  </si>
  <si>
    <t>Робот: Сообщение об ошибке SLOGIC № 38</t>
  </si>
  <si>
    <t>Робот: Сообщение об ошибке SLOGIC № 39</t>
  </si>
  <si>
    <t>Робот: Сообщение об ошибке SLOGIC № 40</t>
  </si>
  <si>
    <t>Робот: Сообщение об ошибке SLOGIC № 41</t>
  </si>
  <si>
    <t>Робот: Сообщение об ошибке SLOGIC № 42</t>
  </si>
  <si>
    <t>Робот: Сообщение об ошибке SLOGIC № 43</t>
  </si>
  <si>
    <t>Робот: Сообщение об ошибке SLOGIC № 44</t>
  </si>
  <si>
    <t>Робот: Сообщение об ошибке SLOGIC № 45</t>
  </si>
  <si>
    <t>Робот: Сообщение об ошибке SLOGIC № 46</t>
  </si>
  <si>
    <t>Робот: Сообщение об ошибке SLOGIC № 47</t>
  </si>
  <si>
    <t>Робот: Сообщение об ошибке SLOGIC № 48</t>
  </si>
  <si>
    <t>Робот: Сообщение об ошибке SLOGIC № 49</t>
  </si>
  <si>
    <t>Робот: Сообщение об ошибке SLOGIC № 50</t>
  </si>
  <si>
    <t>Робот: Сообщение об ошибке SLOGIC № 51</t>
  </si>
  <si>
    <t>Робот: Сообщение об ошибке SLOGIC № 52</t>
  </si>
  <si>
    <t>Робот: Сообщение об ошибке SLOGIC № 53</t>
  </si>
  <si>
    <t>Робот: Сообщение об ошибке SLOGIC № 54</t>
  </si>
  <si>
    <t>Робот: Сообщение об ошибке SLOGIC № 55</t>
  </si>
  <si>
    <t>Робот: Сообщение об ошибке SLOGIC № 56</t>
  </si>
  <si>
    <t>Робот: Сообщение об ошибке SLOGIC № 57</t>
  </si>
  <si>
    <t>Робот: Сообщение об ошибке SLOGIC № 58</t>
  </si>
  <si>
    <t>Робот: Сообщение об ошибке SLOGIC № 59</t>
  </si>
  <si>
    <t>Робот: Сообщение об ошибке SLOGIC № 60</t>
  </si>
  <si>
    <t>Робот: Сообщение об ошибке SLOGIC № 61</t>
  </si>
  <si>
    <t>Робот: Сообщение об ошибке SLOGIC № 62</t>
  </si>
  <si>
    <t>Робот: Сообщение об ошибке SLOGIC № 63</t>
  </si>
  <si>
    <t>Робот: Сообщение об ошибке SLOGIC № 64</t>
  </si>
  <si>
    <t>Робот: Максимальная нагрузка составляет XX% от допустимого крутящего момента.</t>
  </si>
  <si>
    <t>Робот: Нагрузка превысила допустимый крутящий момент.</t>
  </si>
  <si>
    <t>Робот: Нагрузка превысила максимальный крутящий момент.</t>
  </si>
  <si>
    <t>Робот: Пожалуйста, укажите номер группы как XX.</t>
  </si>
  <si>
    <t>Робот: Свободный объем USB-накопителей снизился до значения ниже установленного.</t>
  </si>
  <si>
    <t>Робот: Не удалось сохранить данные журнала визуализации.</t>
  </si>
  <si>
    <t>Робот: Не забудьте ответить на комплексную последовательность действий.</t>
  </si>
  <si>
    <t>Робот: (SSCNET) Абсолютное положение Jt XX стерто. Установите исходное положение.</t>
  </si>
  <si>
    <t>Робот: Зажим для захвата и выделенный сигнал дублируются.</t>
  </si>
  <si>
    <t>Робот: Поскольку истекает срок действия разрешения на использование робота, использовать его будет невозможно.</t>
  </si>
  <si>
    <t>Робот: На вход поступал специальный сигнал EXT. MOTOR OFF.</t>
  </si>
  <si>
    <t>Робот: PC10P) Сигнализация о времени обработки.</t>
  </si>
  <si>
    <t>Робот: Автоматическое резервное копирование образа CF завершилось неудачей.XX XX</t>
  </si>
  <si>
    <t>Робот: Обнаружена ошибка уровня.</t>
  </si>
  <si>
    <t>Робот: XX Превышен верхний предел уровня управления вывесками. XX</t>
  </si>
  <si>
    <t>Робот: Снижение напряжения батареи энкодера</t>
  </si>
  <si>
    <t>Робот: Поскольку тормоз отпущен, движение невозможно.</t>
  </si>
  <si>
    <t>Робот: Срок технического обслуживания истек, требуется техническое обслуживание.</t>
  </si>
  <si>
    <t>Робот: Превышено допустимое общее время работы от батареи, требуется техническое обслуживание.</t>
  </si>
  <si>
    <t>Робот: Превышено общее время подключения робота, требуется техническое обслуживание.</t>
  </si>
  <si>
    <t>Робот: Превышено допустимое общее время работы сервопривода, требуется техническое обслуживание.</t>
  </si>
  <si>
    <t>Робот: Общее расстояние перемещения JtXX превысило допустимый предел, требуется техническое обслуживание.</t>
  </si>
  <si>
    <t>Робот: Превышено общее количество включений MC, требуется техническое обслуживание.</t>
  </si>
  <si>
    <t>Робот: Превышено максимальное общее время работы сервопривода, требуется техническое обслуживание.</t>
  </si>
  <si>
    <t>Робот: Превышено максимальное количество срабатываний аварийной остановки, требуется техническое обслуживание.</t>
  </si>
  <si>
    <t>Робот: JtXX общее (текущее)^3-расстояние движения превысило предел, требуется техническое обслуживание.</t>
  </si>
  <si>
    <t>Робот: Превышено среднеквадратичное значение тока (JtXX), требуется техническое обслуживание.</t>
  </si>
  <si>
    <t>Робот: Питание(1) на вход платы ввода/вывода № XX неисправно.</t>
  </si>
  <si>
    <t>Робот: Питание (2) для входа на плату ввода/вывода № XX неисправно.</t>
  </si>
  <si>
    <t>Робот: Питание выходного сигнала платы ввода-вывода № XX ненормальное или перегорел предохранитель.</t>
  </si>
  <si>
    <t>Робот: Превышено допустимое общее время работы JtXX, требуется техническое обслуживание.</t>
  </si>
  <si>
    <t>Робот: Общее время выполнения операций превышено, требуется техническое обслуживание.</t>
  </si>
  <si>
    <t>Робот: От PLC не поступило ответа на запрос о разборе процесса записи информации.</t>
  </si>
  <si>
    <t>Робот: Информация о поломке не может быть записана на ПЛК[EC = XX].</t>
  </si>
  <si>
    <t>Робот: При написании текста методом разбора невозможно получить правильный ответ.</t>
  </si>
  <si>
    <t>Робот: (FIELD-BUS)Верховный порт ОФФЛАЙН.</t>
  </si>
  <si>
    <t>Робот: (FIELD-BUS)Главный порт ОФФЛАЙН.</t>
  </si>
  <si>
    <t>Робот: Ошибка передачи данных (CC-LINK) на главной плате. XX</t>
  </si>
  <si>
    <t>Робот: (Безопасность Ethernet/IP) Соединение разорвано. (код: XX)</t>
  </si>
  <si>
    <t>Робот: (FIELD-BUS) Сигнализация о времени обработки.</t>
  </si>
  <si>
    <t>Робот: Отпустите условие ожидания в режиме измерения силы.</t>
  </si>
  <si>
    <t>Робот: Ошибка связи с ПЛК.</t>
  </si>
  <si>
    <t>Робот: Сварочный контроллер № XX не подключен.</t>
  </si>
  <si>
    <t>Робот: Контроллер сварки #XX не отвечает.</t>
  </si>
  <si>
    <t>Робот: Ошибка ответа контроллера сварки #XX.</t>
  </si>
  <si>
    <t>Робот: (Точечная сварка) От RWC (сварщик XX) ответа нет.</t>
  </si>
  <si>
    <t>Робот: (Точечная сварка) Ошибка ответа RWC (сварщик XX).</t>
  </si>
  <si>
    <t>Робот: (Точечная сварка) Неисправность сварного шва (сварщик XX).</t>
  </si>
  <si>
    <t>Робот: (Точечная сварка) Ошибка обрыва кабеля (сварщик XX).</t>
  </si>
  <si>
    <t>Робот: (Точечная сварка) Внутренняя утечка (сварщик XX).</t>
  </si>
  <si>
    <t>Робот: (Точечная сварка) Сигнализация о замене основного кабеля (сварочный аппарат XX).</t>
  </si>
  <si>
    <t>Робот: (Точечная сварка) Нет связи с RWC (сварщик XX).</t>
  </si>
  <si>
    <t>Робот: Не удается достичь заданной силы.</t>
  </si>
  <si>
    <t>Робот: Износ наконечника превышает допустимый предел. (ДВИЖУЩАЯСЯ СТОРОНА)</t>
  </si>
  <si>
    <t>Робот: Износ наконечника превышает допустимый предел. (ФИКСИРОВАННАЯ СТОРОНА)</t>
  </si>
  <si>
    <t>Робот: (Точечная сварка) Сварочный ток уменьшился.</t>
  </si>
  <si>
    <t>Робот: Появилось предупреждение о сварке (код XX).</t>
  </si>
  <si>
    <t>Робот: (Точечная сварка) Неисправность сварки (сварщик XX) Код детализации=XX</t>
  </si>
  <si>
    <t>Робот: (Точечная сварка) Неисправность сварки (сварщик XX) Простой код = XX</t>
  </si>
  <si>
    <t>Робот: (Точечная сварка) Внутренняя утечка (сварщик XX) Код детализации=XX</t>
  </si>
  <si>
    <t>Робот: (Точечная сварка) Внутренняя утечка (сварщик XX) Простой код = XX</t>
  </si>
  <si>
    <t>Робот: Болт/гайка не подается.</t>
  </si>
  <si>
    <t>Робот: Обнаружен посторонний предмет.</t>
  </si>
  <si>
    <t>Робот: Болт/гайка могут быть установлены между наконечниками. Пожалуйста, выполните команду «ШАГ ВВЕРХ-СБРОС», если наконечники были заменены.</t>
  </si>
  <si>
    <t>Робот: Сварочный аппарат не поддерживает отображение результатов на мониторе (таймер XX).</t>
  </si>
  <si>
    <t>Робот: После пробного запуска подключите пистолет обратно. Если пистолет не подключен, нажмите кнопку сброса.</t>
  </si>
  <si>
    <t>Робот: Редукторы смазки и подшипники электродвигателей.</t>
  </si>
  <si>
    <t>Робот: Замените основной кабель робота.</t>
  </si>
  <si>
    <t>Робот: Замените вентиляторы охлаждения в контроллере.</t>
  </si>
  <si>
    <t>Робот: Замените источник постоянного тока в контроллере.</t>
  </si>
  <si>
    <t>Робот: Замените сервопривод.</t>
  </si>
  <si>
    <t>Робот: Замените усилитель мощности роботизированной руки.</t>
  </si>
  <si>
    <t>Робот: Замените усилитель мощности для запястья робота.</t>
  </si>
  <si>
    <t>Робот: Замените усилитель мощности для путешественника.</t>
  </si>
  <si>
    <t>Робот: Блокировка Exp отключается с помощью перемычки.</t>
  </si>
  <si>
    <t>Робот: Не выбрано. Внутреннее давление. Взрывозащищенный.</t>
  </si>
  <si>
    <t>Робот: Отключить проверку относительного расстояния до оружия (ID:XX).</t>
  </si>
  <si>
    <t>Робот: Ошибка регистрации переменной сигнала спуска затвора.</t>
  </si>
  <si>
    <t>Робот: Ось стола находится не в исходном положении.</t>
  </si>
  <si>
    <t>Робот: Ось манипулятора не повернулась в положение для привода стола.</t>
  </si>
  <si>
    <t>Робот: Не удается снять блокировку движения. Отпустите тормоз, чтобы восстановить работу.</t>
  </si>
  <si>
    <t>Робот: Невозможно повернуть стол, поскольку состояние сигнала включения — false.</t>
  </si>
  <si>
    <t>Робот: R-SHUTTLE: Ось подачи находится не в положении, необходимом для переключения на стол.</t>
  </si>
  <si>
    <t>Робот: L-образный челнок: Ось подачи находится не в положении, необходимом для переключения на стол.</t>
  </si>
  <si>
    <t>Робот: R-SHUTTLE: Ось стола не находится в исходном положении.</t>
  </si>
  <si>
    <t>Робот: L-образный челнок: Ось стола не находится в исходном положении.</t>
  </si>
  <si>
    <t>Робот: Выполните переключение на таблицу или источник данных.</t>
  </si>
  <si>
    <t>Робот: Ось челнока сместилась. Выполните обнуление.</t>
  </si>
  <si>
    <t>Робот: R-SHUTTLE: Ограничение SW для стола/подающего устройства неисправно.</t>
  </si>
  <si>
    <t>Робот: L-SHUTTLE: Ограничение SW для стола/подающего устройства неисправно.</t>
  </si>
  <si>
    <t>Робот: Данная программа не может быть использована для R-SHUTTLE.</t>
  </si>
  <si>
    <t>Робот: Данная программа не может быть использована для L-SHUTTLE.</t>
  </si>
  <si>
    <t>Робот: Ожидаемый уровень напряжения на этапе XX выходит за пределы допустимого диапазона.</t>
  </si>
  <si>
    <t>Робот: Выполните переключение на стол или на строй.</t>
  </si>
  <si>
    <t>Робот: Параметр Limit-SW для стола/рукава имеет ненормальное значение.</t>
  </si>
  <si>
    <t>Робот: Произошла ошибка сварщика (№ XX).</t>
  </si>
  <si>
    <t>Робот: Целевое положение при планировании движения является ошибкой.</t>
  </si>
  <si>
    <t>Робот: Невозможно работать без оси сервопривода сварочного пистолета из-за режима измерения давления.</t>
  </si>
  <si>
    <t>Робот: Обнаружена ошибка в количестве зазоров на плате.</t>
  </si>
  <si>
    <t>Робот: В наряде Tip Dress был обнаружен инородный предмет.</t>
  </si>
  <si>
    <t>Робот: Значение автоматического сбора превышает уровень отклонения обрабатываемой детали от нормы.</t>
  </si>
  <si>
    <t>Робот: Функция Sync.search действительна.</t>
  </si>
  <si>
    <t>Робот: Количество одежды, предназначенной для работы в компании Servo, превышает допустимый предел.</t>
  </si>
  <si>
    <t>Робот: Текучесть при повязке выходит за верхний предел.</t>
  </si>
  <si>
    <t>Робот: Текущий уровень жидкости в повязке выходит за нижний предел.</t>
  </si>
  <si>
    <t>Робот: Заготовка не обнаружена.</t>
  </si>
  <si>
    <t>Робот: Сигнал обнаружения касания пистолета уже подан.</t>
  </si>
  <si>
    <t>Робот: Расстояние между кончиками превысило установленное значение.</t>
  </si>
  <si>
    <t>Робот: Сбой в автокоррекции.</t>
  </si>
  <si>
    <t>Робот: Текущее положение выходит за пределы допустимого диапазона до зажима (XX*10^-1 мм).</t>
  </si>
  <si>
    <t>Робот: Ошибка записи данных сварочного аппарата (компания DENGEN). Код ошибки = XX, смещение = 0xXX.</t>
  </si>
  <si>
    <t>Робот: Ошибка чтения данных сварочного аппарата (компания DENGEN). Код ошибки = XX, смещение = 0xXX.</t>
  </si>
  <si>
    <t>Робот: Автоматическая коррекция: Неисправно соединение с датчиком.</t>
  </si>
  <si>
    <t>Робот: Автоматическая коррекция: связь с датчиком нарушена.</t>
  </si>
  <si>
    <t>Робот: Автокоррекция: Удар пистолетом завершен.</t>
  </si>
  <si>
    <t>Робот: Автокоррекция: счетчик повторных попыток исчерпан.</t>
  </si>
  <si>
    <t>Робот: Автокоррекция: ошибка области движения.</t>
  </si>
  <si>
    <t>Робот: Автоматическая коррекция: Заготовка не обнаружена.</t>
  </si>
  <si>
    <t>Робот: Автокоррекция: Расстояние между кончиками превышено.</t>
  </si>
  <si>
    <t>Робот: Автоматическая коррекция: ручная коррекция после поиска недействительна.</t>
  </si>
  <si>
    <t>Робот: Автоматическая коррекция: Автоматическая коррекция обучения превысила допустимый предел.</t>
  </si>
  <si>
    <t>Робот: Режим обучения изменен и отключен в режиме TEACH.</t>
  </si>
  <si>
    <t>Робот: Обучение положению зажима «ВКЛ» недостаточно эффективно. Пожалуйста, выполните программу обучения. снова в режиме.</t>
  </si>
  <si>
    <t>Робот: Управление с обратной связью по усилию не было запущено.</t>
  </si>
  <si>
    <t>Робот: Значение обратной связи по усилию превышено.</t>
  </si>
  <si>
    <t>Робот: Данные калибровки и настройки могут быть отменены из-за завершения работы в режиме автоматической калибровки.</t>
  </si>
  <si>
    <t>Робот: Ошибка при автоматической калибровке сварочного аппарата с сервоприводом.</t>
  </si>
  <si>
    <t>Робот: Сила автоматической калибровки сварочного аппарата с сервоприводом превышена допустимым пределом.</t>
  </si>
  <si>
    <t>Робот: Начальная позиция при автоматической калибровке сварочного аппарата с сервоприводом слишком близка.</t>
  </si>
  <si>
    <t>Робот: Автоматическая коррекция: Ошибка конфигурации.</t>
  </si>
  <si>
    <t>Робот: Невозможно продолжить проверку движения, так как устройство отклонилось от последней позиции.</t>
  </si>
  <si>
    <t>Робот: Невозможно выполнить программу из-за низкого напряжения.</t>
  </si>
  <si>
    <t>Робот: Неверные данные о форме.</t>
  </si>
  <si>
    <t>Робот: Данные объектов не заданы.</t>
  </si>
  <si>
    <t>Робот: Не удается достичь заданной силы Jt XX.</t>
  </si>
  <si>
    <t>Робот: Значение команды почти превышает виртуальный защитный барьер. (SphereXX, LineXX)</t>
  </si>
  <si>
    <t>Робот: Значение команды почти превышает виртуальный защитный барьер. (SphereXX, ZUpper)</t>
  </si>
  <si>
    <t>Робот: Значение команды почти превышает виртуальный защитный барьер. (SphereXX, ZLower)</t>
  </si>
  <si>
    <t>Робот: Значение команды почти выходит за пределы ограниченного пространства. (SphereXX, Часть XX, Строка XX)</t>
  </si>
  <si>
    <t>Робот: Значение команды почти выходит за пределы ограниченного пространства. (SphereXX, Part.XX ZUpper)</t>
  </si>
  <si>
    <t>Робот: Значение команды почти выходит за пределы ограниченного пространства. (SphereXX, Part.XX ZLower)</t>
  </si>
  <si>
    <t>Робот: Значение команды почти превышает значение виртуального защитного барьера. (ToolBox, LineXX)</t>
  </si>
  <si>
    <t>Робот: Значение команды почти превышает виртуальный защитный барьер. (ToolBox, ZUpper)</t>
  </si>
  <si>
    <t>Робот: Значение команды почти выходит за пределы ограниченного пространства. (ToolBox, Part.XX)</t>
  </si>
  <si>
    <t>Робот: Значение командной строки почти превышает значение виртуального защитного ограждения. (LinkXX, LineXX)</t>
  </si>
  <si>
    <t>Робот: Значение команды почти превышает значение виртуального защитного барьера. (LinkXX, ZUpper)</t>
  </si>
  <si>
    <t>Робот: Значение команды почти превышает значение виртуального защитного ограждения. (LinkXX, ZLower)</t>
  </si>
  <si>
    <t>Робот: Значение команды почти выходит за пределы ограниченного пространства. (LinkXX, Part.XX LineXX)</t>
  </si>
  <si>
    <t>Робот: Значение команды почти выходит за пределы ограниченного пространства. (LinkXX, Part.XX ZUpper)</t>
  </si>
  <si>
    <t>Робот: Значение команды почти выходит за пределы ограниченного пространства. (LinkXX, Part.XX ZLower)</t>
  </si>
  <si>
    <t>Робот: Длина рычага почти превысила угол точки XX системы VSF.</t>
  </si>
  <si>
    <t>Робот: Обнаружены помехи в зоне поражения.</t>
  </si>
  <si>
    <t>Робот: Обнаружены помехи в работе манипулятора. (XXXX, XX XXXX)</t>
  </si>
  <si>
    <t>Робот: (ILL) Обнаружены помехи от манипулятора. (XXXX, XX XXXX)</t>
  </si>
  <si>
    <t>Робот: ИЛЛЮСТРАЦИЯ) Ошибка ожидания завершения обработки последовательности.</t>
  </si>
  <si>
    <t>Робот: ILL) Ошибка системы обработки последовательности.</t>
  </si>
  <si>
    <t>Робот: ILL) Ошибка ожидания завершения обработки при создании/установке.</t>
  </si>
  <si>
    <t>Робот: ILL) Ошибка системы бесблокировочной функции межблочного соединения.</t>
  </si>
  <si>
    <t>Робот: [ARM CONTROL b'd]Данные, полученные с сервера IL, недействительны.</t>
  </si>
  <si>
    <t>Робот: Невозможно выполнить операцию, поскольку поступил сигнал ограничения движения.</t>
  </si>
  <si>
    <t>Робот: Ошибка дверной панели.</t>
  </si>
  <si>
    <t>Робот: Данные пользователя повреждены. (код XX)</t>
  </si>
  <si>
    <t>Робот: Неизвестная ошибка.</t>
  </si>
  <si>
    <t>Робот: [СервоплатаXX] Ошибка шины ЦП.</t>
  </si>
  <si>
    <t>Робот: Существует ненормальное сообщение с комментарием.</t>
  </si>
  <si>
    <t>Робот: Несуществующая этикетка.</t>
  </si>
  <si>
    <t>Робот: Переменная не определена.</t>
  </si>
  <si>
    <t>Робот: Данные о местоположении не определены.</t>
  </si>
  <si>
    <t>Робот: Строковая переменная не определена.</t>
  </si>
  <si>
    <t>Робот: Программа или метка не определены.</t>
  </si>
  <si>
    <t>Робот: Значение выходит за пределы допустимого диапазона.</t>
  </si>
  <si>
    <t>Робот: Без суффикса массива.</t>
  </si>
  <si>
    <t>Робот: Разделить на ноль.</t>
  </si>
  <si>
    <t>Робот: Переполнение при вычислении чисел с плавающей запятой.</t>
  </si>
  <si>
    <t>Робот: Слишком длинная нить.</t>
  </si>
  <si>
    <t>Робот: Была предпринята попытка операции с отрицательным показателем степени.</t>
  </si>
  <si>
    <t>Робот: Слишком сложное выражение.</t>
  </si>
  <si>
    <t>Робот: Нет выражений для оценки.</t>
  </si>
  <si>
    <t>Робот: Параметр SQRT отрицательный.</t>
  </si>
  <si>
    <t>Робот: Значение суффикса массива выходит за пределы допустимого диапазона.</t>
  </si>
  <si>
    <t>Робот: Неверное или отсутствующее значение аргумента.</t>
  </si>
  <si>
    <t>Робот: Неверный номер соединения.</t>
  </si>
  <si>
    <t>Робот: Слишком много вызовов подпрограмм.</t>
  </si>
  <si>
    <t>Робот: Несуществующая подпрограмма.</t>
  </si>
  <si>
    <t>Робот: Программа без указания места назначения.</t>
  </si>
  <si>
    <t>Робот: Невозможно указать программу-источник перехода в качестве программы-получателя перехода.</t>
  </si>
  <si>
    <t>Робот: Данные о положении тела на следующем шаге движения не определены.</t>
  </si>
  <si>
    <t>Робот: Ошибка контрольной суммы инструкции блочного шага.</t>
  </si>
  <si>
    <t>Робот: Данные о шагах некорректны.</t>
  </si>
  <si>
    <t>Робот: Данные выражения повреждены.</t>
  </si>
  <si>
    <t>Робот: Ошибка контрольной суммы системных данных.</t>
  </si>
  <si>
    <t>Робот: Данные шага повреждены. pg=XX stepXX(XX)</t>
  </si>
  <si>
    <t>Робот: Файловая система неисправна (код: XX).</t>
  </si>
  <si>
    <t>Робот: Программа была отменена из-за ошибки в выбранной программе.</t>
  </si>
  <si>
    <t>Робот: Данные программы в памяти не обновляются.</t>
  </si>
  <si>
    <t>Робот: Файл данных программы в CFast не обновляется.</t>
  </si>
  <si>
    <t>Робот: Файл данных программы в CFast поврежден.</t>
  </si>
  <si>
    <t>Робот: Ошибка канала АЦП.</t>
  </si>
  <si>
    <t>Робот: Ошибка диапазона входного сигнала АЦП.</t>
  </si>
  <si>
    <t>Робот: Ошибка интерфейса ПЛК.</t>
  </si>
  <si>
    <t>Робот: Встроенный ПЛК не установлен.</t>
  </si>
  <si>
    <t>Робот: Плата системы INTER-bus не готова.</t>
  </si>
  <si>
    <t>Робот: Ошибка разности показаний энкодера оси вращения.</t>
  </si>
  <si>
    <t>Робот: Переключатель сенсорной панели закорочен.</t>
  </si>
  <si>
    <t>Робот: Плата управления последовательностью питания не установлена.</t>
  </si>
  <si>
    <t>Робот: Вторая плата управления последовательностью питания не установлена.</t>
  </si>
  <si>
    <t>Робот: Нет. Плата ввода/вывода XX не установлена.</t>
  </si>
  <si>
    <t>Робот: Обнаружена ошибка в последовательности включения питания.</t>
  </si>
  <si>
    <t>Робот: Встроенная плата управления последовательностью не установлена.</t>
  </si>
  <si>
    <t>Робот: Плата RI/O или плата C-NET не установлены.</t>
  </si>
  <si>
    <t>Робот: Плата INTERBUS не установлена.</t>
  </si>
  <si>
    <t>Робот: Двухпортовая память для связи не установлена.</t>
  </si>
  <si>
    <t>Робот: Плата интерфейса усилителя не установлена. (код=XXH)</t>
  </si>
  <si>
    <t>Робот: Плата NoXX CC-LINK не установлена.</t>
  </si>
  <si>
    <t>Робот: Ошибка ПЛК. Код ошибки: Hex.XX.</t>
  </si>
  <si>
    <t>Робот: Ошибка состояния INTERBUS.</t>
  </si>
  <si>
    <t>Робот: Плата управления последовательностью питания блока безопасности не установлена.</t>
  </si>
  <si>
    <t>Робот: Внешнее оборудование работает некорректно.</t>
  </si>
  <si>
    <t>Робот: Ошибка платы Arm ID (код XX).</t>
  </si>
  <si>
    <t>Робот: Ошибка на плате управления последовательностью питания. (код XX)</t>
  </si>
  <si>
    <t>Робот: Ошибка связи в сети роботов.</t>
  </si>
  <si>
    <t>Робот: Ошибка последовательности выпуска EXT.AXIS (код XX)</t>
  </si>
  <si>
    <t>Робот: Ошибка последовательности подключения внешней оси (код XX).</t>
  </si>
  <si>
    <t>Робот: Несоответствие идентификатора основного процессора.</t>
  </si>
  <si>
    <t>Робот: Защитная цепь была отключена.</t>
  </si>
  <si>
    <t>Робот: Двигатель JtXX перегружен.</t>
  </si>
  <si>
    <t>Робот: Данные энкодера ненормальные.(jt XX)</t>
  </si>
  <si>
    <t>Робот: Неверный подсчет данных энкодера (jt XX).</t>
  </si>
  <si>
    <t>Робот: Несоответствие данных энкодеров ABS и INC (jt XX).</t>
  </si>
  <si>
    <t>Робот: Ошибка линии кодировщика (jt XX).</t>
  </si>
  <si>
    <t>Робот: Ошибка инициализации кодировщика (jt XX).</t>
  </si>
  <si>
    <t>Робот: Ошибка преобразования данных кодировщика.(jt XX)</t>
  </si>
  <si>
    <t>Робот: Ошибка энкодера МР-датчика. (jt XX)</t>
  </si>
  <si>
    <t>Робот: Концевой выключатель (JT XX) включен.</t>
  </si>
  <si>
    <t>Робот: Сигнальная линия концевого выключателя отключена.</t>
  </si>
  <si>
    <t>Робот: Функция "Teach Plug" работает некорректно.</t>
  </si>
  <si>
    <t>Робот: Местонахождение пункта назначения находится за пределами указанной зоны.</t>
  </si>
  <si>
    <t>Робот: (Точечная сварка) Несоответствие между сварочным пистолетом и зажимом.</t>
  </si>
  <si>
    <t>Робот: Слишком малое расстояние между начальной и конечной точками.</t>
  </si>
  <si>
    <t>Робот: Номер оси не относится к режиму следования конвейера.</t>
  </si>
  <si>
    <t>Робот: Смещение данных при обнулении является недопустимым значением.</t>
  </si>
  <si>
    <t>Робот: Текущее местоположение находится за пределами указанной зоны.</t>
  </si>
  <si>
    <t>Робот: Сигнал отключения питания энкодера и тормоза не является выделенным.</t>
  </si>
  <si>
    <t>Робот: Неправильный двойной выход OX.</t>
  </si>
  <si>
    <t>Робот: Сигнал датчика заготовки не является выделенным.</t>
  </si>
  <si>
    <t>Робот: Сигнал от датчика заготовки уже поступил.</t>
  </si>
  <si>
    <t>Робот: Невозможно выполнить инструкцию движения.</t>
  </si>
  <si>
    <t>Робот: Ошибка позиционирования начальной точки для окружности.</t>
  </si>
  <si>
    <t>Робот: Главный робот уже существует.</t>
  </si>
  <si>
    <t>Робот: Уточните, какому роботу были даны указания: MASTER/ALONE.</t>
  </si>
  <si>
    <t>Робот: Робот-раб уже существует.</t>
  </si>
  <si>
    <t>Робот: Это не инструкция для кооперативного движения.</t>
  </si>
  <si>
    <t>Робот: Невозможно выполнить операцию в режиме обратной проверки.</t>
  </si>
  <si>
    <t>Робот: Невозможно выполнить в ОДНОЙ программе.</t>
  </si>
  <si>
    <t>Робот: JT2 и JT3 мешают друг другу во время движения для принятия исходной позы.</t>
  </si>
  <si>
    <t>Робот: JT2 и JT3 мешают друг другу во время движения для завершения позы.</t>
  </si>
  <si>
    <t>Робот: Недопустимый номер поддона.</t>
  </si>
  <si>
    <t>Робот: Недопустимый номер заготовки.</t>
  </si>
  <si>
    <t>Робот: Недопустимый номер шаблона.</t>
  </si>
  <si>
    <t>Робот: Недопустимый тип шаблона.</t>
  </si>
  <si>
    <t>Робот: Незаконные данные о заготовке.</t>
  </si>
  <si>
    <t>Робот: Незаконные данные о паллетах.</t>
  </si>
  <si>
    <t>Робот: Сигнал ON/ONI уже подан.</t>
  </si>
  <si>
    <t>Робот: Сигнал XMOVE уже подан.</t>
  </si>
  <si>
    <t>Робот: Данные о местоположении дома не определены.</t>
  </si>
  <si>
    <t>Робот: Недопустимое значение таймера.</t>
  </si>
  <si>
    <t>Робот: Превышено максимальное количество сигналов.</t>
  </si>
  <si>
    <t>Робот: Незаконное количество зажимов.</t>
  </si>
  <si>
    <t>Робот: Нельзя использовать отрицательное значение времени.</t>
  </si>
  <si>
    <t>Робот: Значение не задано.</t>
  </si>
  <si>
    <t>Робот: Недопустимый номер сигнала.</t>
  </si>
  <si>
    <t>Робот: Невозможно использовать выделенный сигнал.</t>
  </si>
  <si>
    <t>Робот: Не в режиме RPS.</t>
  </si>
  <si>
    <t>Робот: Нельзя использовать отрицательные значения.</t>
  </si>
  <si>
    <t>Робот: Выход за пределы абсолютного нижнего предела диапазона движения.</t>
  </si>
  <si>
    <t>Робот: Выход за пределы абсолютного верхнего диапазона движения.</t>
  </si>
  <si>
    <t>Робот: Выход за пределы установленного нижнего диапазона движения.</t>
  </si>
  <si>
    <t>Робот: Выход за пределы установленного верхнего диапазона движения.</t>
  </si>
  <si>
    <t>Робот: Начальная точка для JtXX за пределами диапазона движения.</t>
  </si>
  <si>
    <t>Робот: Конечная точка для JtXX за пределами зоны действия движения.</t>
  </si>
  <si>
    <t>Робот: Пункт назначения находится вне зоны действия сигнала.</t>
  </si>
  <si>
    <t>Робот: В текущей конфигурации невозможно выполнить линейное перемещение.</t>
  </si>
  <si>
    <t>Робот: Внешние данные модуляции не вводятся.</t>
  </si>
  <si>
    <t>Робот: Данные внешней модуляции являются аномальными.</t>
  </si>
  <si>
    <t>Робот: Объем данных модуляции превышает допустимый предел.</t>
  </si>
  <si>
    <t>Робот: Неправильная инструкция движения для выполнения модуляции движения.</t>
  </si>
  <si>
    <t>Робот: Незаконный номер сустава.</t>
  </si>
  <si>
    <t>Робот: Не удается выполнить инструкцию движения в программе для ПК.</t>
  </si>
  <si>
    <t>Робот: Неправильные настройки вспомогательных данных.</t>
  </si>
  <si>
    <t>Робот: Отсутствует инструкция C1MOVE или C2MOVE.</t>
  </si>
  <si>
    <t>Робот: Инструкция C1MOVE(CIR1) необходима перед инструкцией C2MOVE.</t>
  </si>
  <si>
    <t>Робот: Не удаётся создать дугообразный путь, проверьте положение трёх точек.</t>
  </si>
  <si>
    <t>Робот: Невозможно выполнить в соответствии со спецификацией герметизации.</t>
  </si>
  <si>
    <t>Робот: Выполняется только в соответствии со спецификацией герметизации.</t>
  </si>
  <si>
    <t>Робот: Параметр не задан, выполнить невозможно.</t>
  </si>
  <si>
    <t>Робот: Над положением конвейера.</t>
  </si>
  <si>
    <t>Робот: Слишком много инструкций SPINMOVE.</t>
  </si>
  <si>
    <t>Робот: Начальная/конечная точка находится в защищенном пространстве.</t>
  </si>
  <si>
    <t>Робот: Выполнение на этом роботе невозможно.</t>
  </si>
  <si>
    <t>Робот: Использовать ОТДЕЛЬНОЕ УПРАВЛЕНИЕ невозможно.</t>
  </si>
  <si>
    <t>Робот: Дублирующиеся идентификаторы роботов в сети.</t>
  </si>
  <si>
    <t>Робот: Плата интерфейса конвейера не установлена.</t>
  </si>
  <si>
    <t>Робот: Группа не подготовлена.</t>
  </si>
  <si>
    <t>Робот: Из-за ограничений движения JTXX не может двигаться.</t>
  </si>
  <si>
    <t>Робот: Сигнал от датчика заготовки не обнаружен.</t>
  </si>
  <si>
    <t>Робот: Нарушение кооперативного управления.</t>
  </si>
  <si>
    <t>Робот: Принудительное прекращение кооперативного контроля.</t>
  </si>
  <si>
    <t>Робот: Ось вращения не останавливается на каждых 360 градусах.</t>
  </si>
  <si>
    <t>Робот: Обработка завершена.</t>
  </si>
  <si>
    <t>Робот: Значение команды JtXX внезапно изменилось.</t>
  </si>
  <si>
    <t>Робот: Значение команды для JtXX за пределами зоны движения.</t>
  </si>
  <si>
    <t>Робот: Текущая команда вызывает помехи между Jt2 и Jt3.</t>
  </si>
  <si>
    <t>Робот: Другой робот уже находится в зоне помех.</t>
  </si>
  <si>
    <t>Робот: Неожиданное отключение питания двигателя.</t>
  </si>
  <si>
    <t>Робот: Ошибка скорости Jt XX.</t>
  </si>
  <si>
    <t>Робот: Ошибка отклонения Jt XX.</t>
  </si>
  <si>
    <t>Робот: Ошибка огибающей скорости jt XX.</t>
  </si>
  <si>
    <t>Робот: Ошибка скорости выполнения команды jt XX.</t>
  </si>
  <si>
    <t>Робот: Ошибка ускорения команды jt XX.</t>
  </si>
  <si>
    <t>Робот: Ошибка несовпадения между пунктом назначения и текущим положением точки XX.</t>
  </si>
  <si>
    <t>Робот: Внешняя ось JtXX перемещалась во время их удержания.</t>
  </si>
  <si>
    <t>Робот: Обнаружено столкновение JtXX.</t>
  </si>
  <si>
    <t>Робот: Обнаружен неожиданный шок JtXX.</t>
  </si>
  <si>
    <t>Робот: Питание двигателя отключено. Измерение остановлено.</t>
  </si>
  <si>
    <t>Робот: Конвейер достиг максимального значения.</t>
  </si>
  <si>
    <t>Робот: Ненормальный шаг перемещения заготовки на конвейере.</t>
  </si>
  <si>
    <t>Робот: Питание двигателя отключено.</t>
  </si>
  <si>
    <t>Робот: Стандартный терминал не подключен.</t>
  </si>
  <si>
    <t>Робот: Невозможно выполнить ввод/вывод данных для обучения кулона.</t>
  </si>
  <si>
    <t>Робот: Вспомогательный терминал не подключен.</t>
  </si>
  <si>
    <t>Робот: Плата ЦАП не установлена.</t>
  </si>
  <si>
    <t>Робот: Нет конвейерной оси.</t>
  </si>
  <si>
    <t>Робот: Конвейерные перевозки выходят за пределы зоны синхронизации.</t>
  </si>
  <si>
    <t>Робот: Отсутствует ось прокладки.</t>
  </si>
  <si>
    <t>Робот: Номер оси конвейера не задан.</t>
  </si>
  <si>
    <t>Робот: Отсутствует плата управления постановкой на охрану.</t>
  </si>
  <si>
    <t>Робот: Невозможно использовать указанный канал, он уже занят.</t>
  </si>
  <si>
    <t>Робот: [LSEQ]Обработка прервана из-за превышения времени обработки.</t>
  </si>
  <si>
    <t>Робот: Не удается открыть файл настроек, поэтому невозможно установить состояние отгрузки.</t>
  </si>
  <si>
    <t>Робот: Не удается прочитать файл настроек, поэтому невозможно установить состояние отгрузки.</t>
  </si>
  <si>
    <t>Робот: Не удается открыть данные настроек, поэтому невозможно установить состояние отгрузки.</t>
  </si>
  <si>
    <t>Робот: Не удается прочитать данные настроек, поэтому невозможно установить состояние отгрузки.</t>
  </si>
  <si>
    <t>Робот: Слишком много данных для установки состояния отгрузки.</t>
  </si>
  <si>
    <t>Робот: Название параметра состояния отгрузки слишком длинное.</t>
  </si>
  <si>
    <t>Робот: Плата управления последовательностью питания обнаружила ошибку (код = XX).</t>
  </si>
  <si>
    <t>Робот: Порт SIO не установлен.</t>
  </si>
  <si>
    <t>Робот: Аналого-цифровой преобразователь не установлен.</t>
  </si>
  <si>
    <t>Робот: [ПЛАТА УПРАВЛЕНИЯ ARM] Время обработки истекло.</t>
  </si>
  <si>
    <t>Робот: Ошибка платы интерфейса Arm ID (код XX).</t>
  </si>
  <si>
    <t>Робот: (SSCNET) Сервопривод выдает ошибку в jtXX.</t>
  </si>
  <si>
    <t>Робот: (SSCNET) Код ошибки сервопривода: (XX).</t>
  </si>
  <si>
    <t>Робот: (SSCNET) Ошибка сервопривода и ошибка настроек монитора jtXX.</t>
  </si>
  <si>
    <t>Робот: Автоматическая регистрация инструмента не поддерживается данной моделью робота.</t>
  </si>
  <si>
    <t>Робот: В канале XX, отвечающем за вычисление гравитации, произошло переполнение буфера.</t>
  </si>
  <si>
    <t>Робот: Робот остановился на проверке рабочей зоны.</t>
  </si>
  <si>
    <t>Робот: [LSEQ]Ошибка выполнения программы при включении управляющего питания. (код XX)</t>
  </si>
  <si>
    <t>Робот: Не удалось загрузить параметр внешней оси (Jt-A).</t>
  </si>
  <si>
    <t>Робот: Номер не присвоен указанному каналу. (Jt-A)</t>
  </si>
  <si>
    <t>Робот: Не удалось загрузить параметр внешней оси (Jt-B).</t>
  </si>
  <si>
    <t>Робот: Номер не присвоен указанному каналу. (Jt-B)</t>
  </si>
  <si>
    <t>Робот: Ошибка в последовательности изменения параметров сервопривода (код XX).</t>
  </si>
  <si>
    <t>Робот: Раб не готов.</t>
  </si>
  <si>
    <t>Робот: Коммуникационная плата CC-LINK не установлена.</t>
  </si>
  <si>
    <t>Робот: Плата связи сварочного аппарата не установлена.</t>
  </si>
  <si>
    <t>Робот: Ошибка связи сервопривода Jt XX.</t>
  </si>
  <si>
    <t>Робот: Плата АЦП № 0 не установлена.</t>
  </si>
  <si>
    <t>Робот: Смещение данных при обнулении является недопустимым значением. (RobotXX)</t>
  </si>
  <si>
    <t>Робот: (SSCNET) Ошибка загрузки параметра внешней оси.</t>
  </si>
  <si>
    <t>Робот: (SSCNET) Совместный номер канала не присвоен.</t>
  </si>
  <si>
    <t>Робот: Ошибка связи между модулем управления пусковым механизмом и платой интерфейса пускового механизма.</t>
  </si>
  <si>
    <t>Робот: Текущая компенсация изгиба слишком велика.(jt XX)</t>
  </si>
  <si>
    <t>Робот: Ошибка загрузки параметра внешней оси (Jt-XX).</t>
  </si>
  <si>
    <t>Робот: Низкое напряжение батареи энкодера.[Серво(XX)]</t>
  </si>
  <si>
    <t>Робот: Поскольку JT5 не равен нулю градусов, движение по прямой невозможно.</t>
  </si>
  <si>
    <t>Робот: Недопустимая конфигурация для движения.</t>
  </si>
  <si>
    <t>Робот: В точке старта происходит помеха между JT1 и JT2.</t>
  </si>
  <si>
    <t>Робот: На конечном участке происходит интерференция между JT1 и JT2.</t>
  </si>
  <si>
    <t>Робот: Между Jt1 и Jt2 происходит помеха в передаче текущего сигнала.</t>
  </si>
  <si>
    <t>Робот: (SSCNET) Ошибка в последовательности изменения параметров сервопривода (код XX)</t>
  </si>
  <si>
    <t>Робот: (SSCNET) Ошибка регенерации Jt XX (код XX)</t>
  </si>
  <si>
    <t>Робот: (SSCNET) Ошибка скорости Jt XX (код XX)</t>
  </si>
  <si>
    <t>Робот: (SSCNET) Перегрузка двигателя Jt XX (код XX)</t>
  </si>
  <si>
    <t>Робот: (SSCNET) Ошибка отклонения Jt XX (код XX)</t>
  </si>
  <si>
    <t>Робот: (Двойной сервопривод) Ошибка отклонения между ведущим и ведомым шарнирами.</t>
  </si>
  <si>
    <t>Робот: Компенсационный сигнал LS не предназначен для использования по назначению.</t>
  </si>
  <si>
    <t>Робот: Ошибка в последовательности проверки тормозов.</t>
  </si>
  <si>
    <t>Робот: Функция проверки тормозов не поддерживается программным обеспечением сервопривода версии.</t>
  </si>
  <si>
    <t>Робот: (Двойной сервопривод) Невозможно компенсировать погрешность тока (отклонение XX).</t>
  </si>
  <si>
    <t>Робот: Доска для проверки помех не установлена.</t>
  </si>
  <si>
    <t>Робот: Диктофон не может остановиться.</t>
  </si>
  <si>
    <t>Робот: Местоположение LS не зарегистрировано.</t>
  </si>
  <si>
    <t>Робот: Текущий уровень растяжения превышает допустимый предел.</t>
  </si>
  <si>
    <t>Робот: Полное превышение допустимого растяжения.</t>
  </si>
  <si>
    <t>Робот: Тип платы ввода/вывода на плате ARM ID указан неверно.</t>
  </si>
  <si>
    <t>Робот: Ошибка загрузки параметров сервопривода (Jt-XX).</t>
  </si>
  <si>
    <t>Робот: Невозможно выполнить программу, так как она не защищена.</t>
  </si>
  <si>
    <t>Робот: Поскольку память была заполнена, копирование программы было приостановлено.</t>
  </si>
  <si>
    <t>Робот: JT4 и роботизированная рука мешают друг другу во время движения для принятия исходной позы.</t>
  </si>
  <si>
    <t>Робот: В процессе движения для завершения позы JT4 и роботизированная рука мешают друг другу.</t>
  </si>
  <si>
    <t>Робот: Текущая команда вызывает помехи между JT4 и роботизированной рукой.</t>
  </si>
  <si>
    <t>Робот: JT5 и JT6 мешают друг другу во время движения для принятия исходной позы.</t>
  </si>
  <si>
    <t>Робот: Соединения JT5 и JT6 мешают друг другу во время движения для завершения позы.</t>
  </si>
  <si>
    <t>Робот: Текущая команда вызывает помехи между JT5 и JT6.</t>
  </si>
  <si>
    <t>Робот: Превышает допустимое количество инструкций вывода для данного пути.</t>
  </si>
  <si>
    <t>Робот: Точка вывода сигнала находится вне зоны его прохождения.</t>
  </si>
  <si>
    <t>Робот: Указано слишком много номеров сигналов.</t>
  </si>
  <si>
    <t>Робот: Инструкция по перемещению к начальной/конечной точке пути не задана.</t>
  </si>
  <si>
    <t>Робот: В инструкции по выполнению последнего/следующего движения отсутствуют данные о положении.</t>
  </si>
  <si>
    <t>Робот: В одной и той же точке обнаружено несколько точек выходного сигнала.</t>
  </si>
  <si>
    <t>Робот: Отсутствует инструкция по завершению исправления.</t>
  </si>
  <si>
    <t>Робот: Значение JT4 в начальной точке не равно 0 градусам.</t>
  </si>
  <si>
    <t>Робот: Значение JT4 в целевой точке не равно 0 градусам.</t>
  </si>
  <si>
    <t>Робот: Фланец обращен в направлении верхней сферы в начальной точке.</t>
  </si>
  <si>
    <t>Робот: Фланец направлен в сторону верхней сферы в целевой точке.</t>
  </si>
  <si>
    <t>Робот: Дополнительная плата ЦП не установлена.</t>
  </si>
  <si>
    <t>Робот: Сигнал IJoint/ILinear не указан.</t>
  </si>
  <si>
    <t>Робот: Сигнал IJoint/ILinear не обнаружен.</t>
  </si>
  <si>
    <t>Робот: Отдельная плата управления вводом/выводом не установлена.</t>
  </si>
  <si>
    <t>Робот: Расстояние слишком велико, чтобы его можно было исправить.</t>
  </si>
  <si>
    <t>Робот: Ошибка распознавания изображения.</t>
  </si>
  <si>
    <t>Робот: Ошибка видеосвязи.</t>
  </si>
  <si>
    <t>Робот: Данная инструкция не может быть использована в режиме коррекции кадров.</t>
  </si>
  <si>
    <t>Робот: Базовая рама не передается из видеосистемы.</t>
  </si>
  <si>
    <t>Робот: Неверный параметр для FN481.</t>
  </si>
  <si>
    <t>Робот: Невозможно создать более 99 базовых фреймов.</t>
  </si>
  <si>
    <t>Робот: Выполнение невозможно, поскольку камера XX отключена.</t>
  </si>
  <si>
    <t>Робот: Соединения JT1 и JT2, а также пол мешают при выполнении движения для принятия исходной позы.</t>
  </si>
  <si>
    <t>Робот: Соединения JT1 и JT2, а также пол мешают при выполнении движения для завершения позы.</t>
  </si>
  <si>
    <t>Робот: Текущая команда вызывает помехи между JT1, JT2 и полом.</t>
  </si>
  <si>
    <t>Робот: Вычисление абсолютных данных энкодера не завершено.(jt XX)</t>
  </si>
  <si>
    <t>Робот: Флаг доступа к EEPROM в кодировщике занят.(jt XX)</t>
  </si>
  <si>
    <t>Робот: Температура в энкодере превысила допустимый предел. (jt XX)</t>
  </si>
  <si>
    <t>Робот: Скорость вращения энкодера превышает допустимый предел. (jt XX)</t>
  </si>
  <si>
    <t>Робот: Произошла ошибка доступа к EEPROM в кодировщике (jt XX).</t>
  </si>
  <si>
    <t>Робот: Данные вращения энкодера (внутренние) не соответствуют действительности. (jt XX)</t>
  </si>
  <si>
    <t>Робот: Ошибка несовпадения между запросом и ответом в кодировщике (jt XX).</t>
  </si>
  <si>
    <t>Робот: Невозможно выполнить операцию, поскольку один из модулей группы XX выключен.</t>
  </si>
  <si>
    <t>Робот: Питание двигателя невыбранного робота было включено.</t>
  </si>
  <si>
    <t>Робот: Отсутствуют внутренний клапан, датчик и плата интерфейса сброса ошибки.</t>
  </si>
  <si>
    <t>Робот: МС группы XX отключался во время индивидуальной повторной операции.</t>
  </si>
  <si>
    <t>Робот: МС отключался во время работы.</t>
  </si>
  <si>
    <t>Робот: Неверная структура инструкции по паллетированию.</t>
  </si>
  <si>
    <t>Робот: Невозможно выполнить инструкцию во время процесса укладки на поддоны.</t>
  </si>
  <si>
    <t>Робот: Процесс укладки паллет прерван.</t>
  </si>
  <si>
    <t>Робот: Начальная настройка энкодера некорректна. (jt XX)</t>
  </si>
  <si>
    <t>Робот: Обрыв линии энкодера или неправильная настройка скорости передачи данных энкодера. (jt XX)</t>
  </si>
  <si>
    <t>Робот: Программа предназначена для других роботов.</t>
  </si>
  <si>
    <t>Робот: Переменная «поза» предназначена для другого робота.</t>
  </si>
  <si>
    <t>Робот: В исходном положении происходит взаимодействие между рукой и полом.</t>
  </si>
  <si>
    <t>Робот: В конечном положении происходит взаимодействие между рукой и полом.</t>
  </si>
  <si>
    <t>Робот: Команда вызывает помехи между манипулятором и полом.</t>
  </si>
  <si>
    <t>Робот: JTXX Превышение скорости в режиме высокой нагрузки.</t>
  </si>
  <si>
    <t>Робот: JTXX: Выход за пределы диапазона движения в режиме большой нагрузки.</t>
  </si>
  <si>
    <t>Робот: Начальная точка JTXX находится за пределами диапазона движения в режиме большой нагрузки.</t>
  </si>
  <si>
    <t>Робот: В режиме большой нагрузки конечная точка JTXX находится за пределами диапазона движения.</t>
  </si>
  <si>
    <t>Робот: Больше нельзя наклонять запястье.</t>
  </si>
  <si>
    <t>Робот: В исходном положении запястье не направлено вертикально вниз.</t>
  </si>
  <si>
    <t>Робот: Запястье в конечной точке не направлено вертикально вниз.</t>
  </si>
  <si>
    <t>Робот: Команда на JT4 превысила допустимый предел.</t>
  </si>
  <si>
    <t>Робот: Невозможно выполнить операцию, поскольку один из микроконтроллеров группы XX (JTXX) выключен.</t>
  </si>
  <si>
    <t>Робот: (анализ) Ошибка E1035 возникает часто.JTXX</t>
  </si>
  <si>
    <t>Робот: (анализ) Ошибки E1035 и E1029 возникают одновременно.JTXX</t>
  </si>
  <si>
    <t>Робот: (анализ) Ошибки E1035 и E1036 возникают одновременно.JTXX</t>
  </si>
  <si>
    <t>Робот: (анализ) Ошибки E1035 и E1032 возникают одновременно.JTXX</t>
  </si>
  <si>
    <t>Робот: Ошибка модуля питания JtXX (ВЕРХУШНАЯ).</t>
  </si>
  <si>
    <t>Робот: Ошибка модуля питания JtXX (нижний уровень).</t>
  </si>
  <si>
    <t>Робот: [Плата сервоприводаXX] Синхронная ошибка. (FPGA сервопривода)</t>
  </si>
  <si>
    <t>Робот: Напряжение датчика тока превысило верхний предел.</t>
  </si>
  <si>
    <t>Робот: Датчик тока JtXX отключен или неисправен. (U)</t>
  </si>
  <si>
    <t>Робот: [СервоплатаXX] Ненормальный входной сигнал от MCXX.</t>
  </si>
  <si>
    <t>Робот: [Плата сервоприводаXX] Коэффициент обратной связи по току ненормальный.</t>
  </si>
  <si>
    <t>Робот: [Плата сервоприводаXX] Вход/выход 24 В имеет низкое напряжение.</t>
  </si>
  <si>
    <t>Робот: [Плата сервоприводаXX] Низкое напряжение 24 В для внутреннего клапана.</t>
  </si>
  <si>
    <t>Робот: [СервоплатаXX] Несоответствие условий цепи безопасности LS.</t>
  </si>
  <si>
    <t>Робот: [Плата сервоприводаXX] Несоответствие в перемычках, используемых для определения внутреннего давления.</t>
  </si>
  <si>
    <t>Робот: [СервоплатаXX] Несоответствие в состоянии контактов переключателей LS.</t>
  </si>
  <si>
    <t>Робот: [Плата сервоприводаXX] Перемычка для определения внутреннего давления отсоединена.</t>
  </si>
  <si>
    <t>Робот: [Плата сервоприводаXX] Напряжение 24 В постоянного тока ненормальное.</t>
  </si>
  <si>
    <t>Робот: [Плата сервоприводаXX] Несоответствие типа энкодера между программным обеспечением и платой сервопривода.</t>
  </si>
  <si>
    <t>Робот: [MCXX] Проверка OFF неисправна. (СервоплатаXX)</t>
  </si>
  <si>
    <t>Робот: [MCXX] Проверка защитного реле показывает неисправность. (СервоплатаXX)</t>
  </si>
  <si>
    <t>Робот: [MCXX]Неправильная работа K1.(СервоплатаXX)</t>
  </si>
  <si>
    <t>Робот: [MCXX]Неправильная работа K2.(СервоплатаXX)</t>
  </si>
  <si>
    <t>Робот: [MCXX] Неправильная работа реле управления пусковым током. (СервоплатаXX)</t>
  </si>
  <si>
    <t>Робот: [MCXX]Неправильная работа защитного реле КС1.(СервоплатаXX)</t>
  </si>
  <si>
    <t>Робот: [MCXX]Неправильная работа защитного реле КС2. (СервоплатаXX)</t>
  </si>
  <si>
    <t>Робот: [MCXX]Неправильная работа защитного реле КС3. (СервоплатаXX)</t>
  </si>
  <si>
    <t>Робот: [MCXX] Неправильная работа реле включения двигателя. (СервоплатаXX)</t>
  </si>
  <si>
    <t>Робот: [MCXX] Неправильная работа реле отключения цепи безопасности двигателя. (СервоплатаXX)</t>
  </si>
  <si>
    <t>Робот: [MCXX] Несоответствие состояния реле цепи безопасности двигателя ВЫКЛ. (СервоплатаXX)</t>
  </si>
  <si>
    <t>Робот: [MCXX]Несоответствие состояния контактов отключения защитных цепей.(SrvB'dXX)</t>
  </si>
  <si>
    <t>Робот: [MCXX] Перегрев тиристора. (СервоплатаXX)</t>
  </si>
  <si>
    <t>Робот: Ошибка сторожевого таймера на плате ввода-вывода NoXX.</t>
  </si>
  <si>
    <t>Робот: [Плата ввода/вывода (№ XX)] Ошибка доступа. [Адрес: XX][код: XX]</t>
  </si>
  <si>
    <t>Робот: [Сервоплата (NoXX)] Ответ монитора ненормальный.[код:XX]</t>
  </si>
  <si>
    <t>Робот: [MCXX] Напряжение 20 В постоянного тока ненормальное. (Плата сервоприводаXX)</t>
  </si>
  <si>
    <t>Робот: Внутренний клапан, датчик и плата интерфейса сброса ошибок №2 не установлены.</t>
  </si>
  <si>
    <t>Робот: [Основная плата ЦП] Ошибка связи с платой сервопривода (XX). (код XX)</t>
  </si>
  <si>
    <t>Робот: Количество защитных цепей, заданное в настройках powerseq.b'd, различается для MCXX (Servob'dXX).</t>
  </si>
  <si>
    <t>Робот: Количество защитных цепей, устанавливаемых в зависимости от модели сервопривода, различается для сервоприводов b'dXX и MCXX.</t>
  </si>
  <si>
    <t>Робот: Между платой управления питанием и платой сервопривода XX отключена защитная цепь.</t>
  </si>
  <si>
    <t>Робот: Между платой сервопривода XX и MCXX отключена защитная цепь.</t>
  </si>
  <si>
    <t>Робот: Защитное ограждение открыто.</t>
  </si>
  <si>
    <t>Робот: [Плата управления последовательностью питания] Несоответствие состояния реле отключения двигателя в цепи безопасности.</t>
  </si>
  <si>
    <t>Робот: [Плата управления последовательностью питания] Ошибка реле отключения двигателя в цепи безопасности.</t>
  </si>
  <si>
    <t>Робот: [Плата управления последовательностью питания] Ошибка в переключателе TEACH/REPEAT в цепи безопасности.</t>
  </si>
  <si>
    <t>Робот: [Плата управления питанием] Низкий уровень напряжения IO 24V.</t>
  </si>
  <si>
    <t>Робот: [Плата управления питанием] Тепловая ошибка.</t>
  </si>
  <si>
    <t>Робот: [Плата управления последовательностью питания] Сигнал ошибки питания поступил с сервоплаты XX.</t>
  </si>
  <si>
    <t>Робот: Сигнал включения питания двигателя выключен. (Плата сервоприводаXX)(MCXX)</t>
  </si>
  <si>
    <t>Робот: Переключатель TEACH/REPEAT работает некорректно. (Режим работы различается в зависимости от цепи безопасности и монитора.)</t>
  </si>
  <si>
    <t>Робот: Неожиданное отключение питания двигателя. (Плата сервоприводаXX)(MCXX)(код XX)</t>
  </si>
  <si>
    <t>Робот: [Плата сервоприводаXX]Ошибка связи с основной платой ЦП.</t>
  </si>
  <si>
    <t>Робот: [MCXX] Ненормальное питание тормозов. (СервоплатаXX)</t>
  </si>
  <si>
    <t>Робот: [MCXX] Низковольтная плата P-N (СервоплатаXX)</t>
  </si>
  <si>
    <t>Робот: [MCXX]P-N высоковольтный.(СервоплатаXX)</t>
  </si>
  <si>
    <t>Робот: [MCXX] Время регенерации превышено. (СервоплатаXX)</t>
  </si>
  <si>
    <t>Робот: [MCXX] Перегрев регенеративного резистора. (СервоплатаXX)</t>
  </si>
  <si>
    <t>Робот: Отсоединился жгут проводов двигателя или температура робота превысила допустимый предел. (MCXX)</t>
  </si>
  <si>
    <t>Робот: Несоответствие между местом подключения жгута проводов тормозной системы и настройками программного обеспечения. (JtXX)</t>
  </si>
  <si>
    <t>Робот: Датчик тока JtXX отключен или неисправен. (V)</t>
  </si>
  <si>
    <t>Робот: [Плата сервоприводаXX] Линия сигнала концевого выключателя отключена.</t>
  </si>
  <si>
    <t>Робот: JtXX Не удалось получить полные данные кодировщика.</t>
  </si>
  <si>
    <t>Робот: [MCXX]Неверная модель блока MC (плата сервопривода XX)</t>
  </si>
  <si>
    <t>Робот: [MCXX]Неверная спецификация модели для управления манипулятором/отдельным управлением. (СервоплатаXX)</t>
  </si>
  <si>
    <t>Робот: [MCXX]Несоответствие техническим характеристикам при наличии/отсутствии взрывозащищенного покрытия. (СервоплатаXX)</t>
  </si>
  <si>
    <t>Робот: [MCXX]Ошибка спецификации MC.[код XX](СервоплатаXX)</t>
  </si>
  <si>
    <t>Робот: [MCXX] Спецификация задержки выключения MC неверна. (СервоплатаXX)</t>
  </si>
  <si>
    <t>Робот: Коды JtXX, установленные в программном обеспечении и блоке питания, не совпадают.</t>
  </si>
  <si>
    <t>Робот: [Основная плата ЦП] Температура ЦП ненормальная.</t>
  </si>
  <si>
    <t>Робот: [Основная плата ЦП] Температура на плате ЦП превысила допустимый предел (XX 1/1000 °C)</t>
  </si>
  <si>
    <t>Робот: Ошибка в передаче команд через интерфейс сервопривода (код: XX).</t>
  </si>
  <si>
    <t>Робот: Форма инструмента не задана.</t>
  </si>
  <si>
    <t>Робот: Не удалось загрузить данные параметров внешней оси (Jt-C).</t>
  </si>
  <si>
    <t>Робот: Номер оси не присвоен указанному каналу. (Jt-C)</t>
  </si>
  <si>
    <t>Робот: Ось U JTXX, фазная защита от перегрузки по току.</t>
  </si>
  <si>
    <t>Робот: Ось V JTXX, фазная защита от перегрузки по току.</t>
  </si>
  <si>
    <t>Робот: Ось JTXX W, фазная защита от перегрузки по току.</t>
  </si>
  <si>
    <t>Робот: [СервоплатаXX] Скорость в центральной точке инструмента превысила безопасную скорость.</t>
  </si>
  <si>
    <t>Робот: [Плата сервоприводаXX] Скорость в центральной точке фланца превысила безопасную скорость.</t>
  </si>
  <si>
    <t>Робот: [ПЛАТА УПРАВЛЕНИЯ ARM] Нарушение синхронизации команд между IF и SV.</t>
  </si>
  <si>
    <t>Робот: Переключатель TEACH KEY SWITCH включен в двух или более местах.</t>
  </si>
  <si>
    <t>Робот: Ошибка сторожевого таймера на интерфейсной плате NoXX ANYBUS.</t>
  </si>
  <si>
    <t>Робот: Некорректное значение параметра для KI481.</t>
  </si>
  <si>
    <t>Робот: В процессе работы робота режим был переключен с «Обучение» на «Быстрая проверка».</t>
  </si>
  <si>
    <t>Робот: Ошибка инициализации на аналоговой плате. Нет XX</t>
  </si>
  <si>
    <t>Робот: В качестве текущего входа (канал XX) на аналоговой плате установлен номер XX.</t>
  </si>
  <si>
    <t>Робот: Аналоговая плата не установлена.</t>
  </si>
  <si>
    <t>Робот: Ошибка инициализации цифрового выхода на плате АЦП/ЦАП. Нет XX</t>
  </si>
  <si>
    <t>Робот: Выход DA на плате AD/DA не установлен.</t>
  </si>
  <si>
    <t>Робот: Ошибка канала AD.</t>
  </si>
  <si>
    <t>Робот: В процессе работы робота режим был переключен с FastCheck на Teach.</t>
  </si>
  <si>
    <t>Робот: [Основная плата ЦП] Скорость перемещения центральной точки инструмента превысила безопасную скорость.</t>
  </si>
  <si>
    <t>Робот: [Основная плата ЦП] Скорость в центральной точке фланца превысила безопасную скорость.</t>
  </si>
  <si>
    <t>Робот: [Основная плата ЦП] Ошибка отклонения Jt XX.</t>
  </si>
  <si>
    <t>Робот: Главный выключатель не выключен.</t>
  </si>
  <si>
    <t>Робот: МС был выключен при включенном питании двигателя.</t>
  </si>
  <si>
    <t>Робот: [Плата сервоприводаXX] Отсутствует плата интерфейса ввода-вывода клапана и датчика.</t>
  </si>
  <si>
    <t>Робот: [СервоплатаXX] Несоответствие настроек связи ArmID между программным и аппаратным обеспечением.</t>
  </si>
  <si>
    <t>Робот: Общее энергопотребление превысило допустимый предел.</t>
  </si>
  <si>
    <t>Робот: Концевой выключатель (JT XX) включен или обнаружена ошибка RSC.</t>
  </si>
  <si>
    <t>Робот: Линия сигнала концевого выключателя оборвана или обнаружена ошибка RSC.</t>
  </si>
  <si>
    <t>Робот: (SSCNET) Обнаружен неверный адрес доступа. (вызов:XX) (адрес:XX)</t>
  </si>
  <si>
    <t>Робот: Ошибка обнуления JtXX. Пожалуйста, установите значение заново.</t>
  </si>
  <si>
    <t>Робот: [СервоплатаXX]Отдельная плата управления не установлена.</t>
  </si>
  <si>
    <t>Робот: [Плата сервоприводаXX] Низкое напряжение 24 В для отдельной платы управления.</t>
  </si>
  <si>
    <t>Робот: МС группы XX отключался во время работы.</t>
  </si>
  <si>
    <t>Робот: Программное обеспечение сервопривода не поддерживает функцию оповещения об отклонении.</t>
  </si>
  <si>
    <t>Робот: Значение команды оценки для JtXX внезапно изменилось.</t>
  </si>
  <si>
    <t>Робот: Невозможно сбросить значение конвейера в режиме синхронизации движения конвейера (заготовкаXX).(JTXX)</t>
  </si>
  <si>
    <t>Робот: Невозможно использовать выделенный сигнал/домашний сигнал.</t>
  </si>
  <si>
    <t>Робот: ПЛК остановился.</t>
  </si>
  <si>
    <t>Робот: ПЛК не запущен.</t>
  </si>
  <si>
    <t>Робот: Сигнал активации функции обучения погас.</t>
  </si>
  <si>
    <t>Робот: Технические характеристики платы управления последовательностью питания различаются.</t>
  </si>
  <si>
    <t>Робот: Технические характеристики Cubic-S различаются.</t>
  </si>
  <si>
    <t>Робот: [Плата управления последовательностью питания] Состояние блока безопасности и реле (линия XX) несогласованное. (код: XX)</t>
  </si>
  <si>
    <t>Робот: [Плата управления последовательностью питания] Защитная цепь (линия XX) платы управления последовательностью питания отключено.</t>
  </si>
  <si>
    <t>Робот: [Плата управления питанием] Низковольтный интерфейс 24 В.</t>
  </si>
  <si>
    <t>Робот: [Плата управления последовательностью питания] Состояние блока безопасности и реле аварийной остановки инструментов несогласовано. (код: XX)</t>
  </si>
  <si>
    <t>Робот: [Плата управления последовательностью питания] Состояние блока безопасности и главного реле включения инструментов несовместимо. (код: XX)</t>
  </si>
  <si>
    <t>Робот: [Плата управления последовательностью питания] Состояние блока безопасности и выходного реле источника питания инструментов несовместимо. (код: XX)</t>
  </si>
  <si>
    <t>Робот: В качестве входного напряжения (канал XX) на аналоговой плате установлен номер XX.</t>
  </si>
  <si>
    <t>Робот: [Функция отдельного управления] Ошибка последовательности подключения/отключения EXT.AXIS.</t>
  </si>
  <si>
    <t>Робот: [MCXX]Ошибка выходного напряжения на плате управления MC [Диагностический импульс](Плата сервопривода XX)(КодXX)</t>
  </si>
  <si>
    <t>Робот: [MCXX]Ошибка выходного напряжения на плате управления MC [несоответствие выходных сигналов](Плата сервопривода XX)(Код XX)</t>
  </si>
  <si>
    <t>Робот: [MCXX]Ошибка выходной мощности затвора на плате управления MC [несоответствие между выходом и обратной связью](Плата сервопривода XX)(Код XX)</t>
  </si>
  <si>
    <t>Робот: [MCXX]Ошибка выходной мощности тормоза на плате управления MC [Диагностический импульс](Плата сервопривода XX)(Код XX)</t>
  </si>
  <si>
    <t>Робот: [MCXX]Ошибка выходной мощности тормоза на плате управления MC [несоответствие выходов](Плата сервопривода XX)(Код XX)</t>
  </si>
  <si>
    <t>Робот: [MCXX] Во время включения питания двигателя был нажат переключатель разблокировки тормоза, или произошла ошибка выходного сигнала тормоза (плата сервопривода XX) (Код XX)</t>
  </si>
  <si>
    <t>Робот: [MCXX]Ошибка выходного сигнала включения двигателя на плате управления MC [Диагностический импульс](Плата сервопривода XX)(КодXX)</t>
  </si>
  <si>
    <t>Робот: [MCXX]Ошибка выхода включения двигателя на плате управления MC [несоответствие выходов](Плата сервопривода XX)(Код XX)</t>
  </si>
  <si>
    <t>Робот: [MCXX]Ошибка выходного сигнала включения двигателя на плате управления MC [несоответствие между выходным сигналом и обратной связью](Плата сервопривода XX)(Код XX)</t>
  </si>
  <si>
    <t>Робот: [MCXX]Ошибка выходного сигнала отключения MC на плате управления MC[Диагностический импульс](Плата сервопривода XX)(КодXX)</t>
  </si>
  <si>
    <t>Робот: [MCXX]Ошибка выходного сигнала отключения MC на плате управления MC[несоответствие выходных сигналов](Плата сервопривода XX)(КодXX)</t>
  </si>
  <si>
    <t>Робот: [MCXX]Ошибка выходного сигнала отключения MC на плате управления MC [несоответствие между выходным сигналом и обратной связью](Плата сервопривода XX)(Код XX)</t>
  </si>
  <si>
    <t>Робот: [MCXX]Несоответствие входных сигналов цепи безопасности (плата сервопривода XX)(КодXX)</t>
  </si>
  <si>
    <t>Робот: [MCXX]Короткое замыкание на входах цепи безопасности или падение напряжения 24 В (плата сервоприводаXX)(КодXX)</t>
  </si>
  <si>
    <t>Робот: [MCXX]Ошибка платы управления MC[Диагностический импульс входа цепи безопасности](Сервоплата XX)(Код XX)</t>
  </si>
  <si>
    <t>Робот: [MCXX]Несоответствие входных сигналов отключения MC (плата сервопривода XX)(CodeXX)</t>
  </si>
  <si>
    <t>Робот: [MCXX]Короткое замыкание на входах отключения MC или падение напряжения 12 В (плата сервоприводаXX)(КодXX)</t>
  </si>
  <si>
    <t>Робот: [MCXX]Ошибка платы управления MC[Диагностический импульс входа отключения MC](Сервоплата XX)(Код XX)</t>
  </si>
  <si>
    <t>Робот: [MCXX]Реле, подключенное к выходу ON двигателя, запаяно или произошла ошибка в цепи диагностики сварки (плата сервопривода XX) (Код XX)</t>
  </si>
  <si>
    <t>Робот: [MCXX]MC, подключенный к выходу отключения MC, запаяно или произошла ошибка в цепи диагностики сварки (плата сервопривода XX) (Код XX)</t>
  </si>
  <si>
    <t>Робот: [MCXX]Сбой МК в блоке МК (плата сервопривода XX) (Код XX)</t>
  </si>
  <si>
    <t>Робот: [MCXX]Ошибка платы PFC (плата сервопривода XX)</t>
  </si>
  <si>
    <t>Робот: [MCXX] Падение напряжения питания модуля питания на плате питания MC (Servoboard XX)</t>
  </si>
  <si>
    <t>Робот: [MCXX]Ошибка связи для датчика напряжения PN (плата сервопривода XX)</t>
  </si>
  <si>
    <t>Робот: [MCXX] Несоответствие между настройками программного обеспечения и настройками DIP-переключателя задержки выключения на плате управления MC (плата сервопривода XX)</t>
  </si>
  <si>
    <t>Робот: [MCXX]Плата питания MC неисправна (плата сервопривода XX)</t>
  </si>
  <si>
    <t>Робот: Неверные настройки параметров, перемещение невозможно.[XX][XX]</t>
  </si>
  <si>
    <t>Робот: [MCXX] Низковольтная плата P-N. (СервоплатаXX)(КодXX)</t>
  </si>
  <si>
    <t>Робот: [MCXX]Несоответствие состояния индикаторных контактов отключения защитных цепей.(SrvB'dXX)(CodeXX)</t>
  </si>
  <si>
    <t>Робот: [MCXX] Плата PFC не работает. (Плата сервопривода XX) (Напряжение PN = XXV)</t>
  </si>
  <si>
    <t>Робот: Программное обеспечение сервопривода не поддерживает функцию задержки отключения сервопривода при аварийной остановке.</t>
  </si>
  <si>
    <t>Робот: Невозможно выполнить инструкцию проверки тормозов во время изменения параметров сервопривода.</t>
  </si>
  <si>
    <t>Робот: Невозможно установить значение конвейера в режиме синхронизации движения конвейера (заготовкаXX).(JTXX)</t>
  </si>
  <si>
    <t>Робот: Параметр сервопривода внешней оси не загружен.(jt XX)</t>
  </si>
  <si>
    <t>Робот: [Функция отдельного управления.] Невозможно выполнить отдельные операции повтора/ручного управления, поскольку сейчас происходит обнуление.</t>
  </si>
  <si>
    <t>Робот: Обнаружен дублирующийся IP-адрес (XX.XX.XX.XX).</t>
  </si>
  <si>
    <t>Робот: Обнаружено чрезмерное отклонение скорости в точке JTXX.</t>
  </si>
  <si>
    <t>Робот: Не удалось перезапустить пульт управления (код XX).</t>
  </si>
  <si>
    <t>Робот: (SSCNET)Jt XX находится вне допустимого диапазона позиционирования.</t>
  </si>
  <si>
    <t>Робот: (SSCNET) Не удалось установить исходное положение точки Jt XX.</t>
  </si>
  <si>
    <t>Робот: (SSCNET) Ошибка доступа к интерфейсной плате. (адрес +XXh)</t>
  </si>
  <si>
    <t>Робот: (SSCNET) Слишком много задач обращаются к интерфейсной плате.</t>
  </si>
  <si>
    <t>Робот: Неверные характеристики. Усилитель сервопривода для управления тормозами (плата сервопривода XX).</t>
  </si>
  <si>
    <t>Робот: Неверные характеристики. AV-ресивер установлен в стойке для карт.</t>
  </si>
  <si>
    <t>Робот: [Плата управления тормозами] Ненормальное питание тормозов. (СервоплатаXX)</t>
  </si>
  <si>
    <t>Робот: [Плата управления тормозами] Отсоединен жгут проводов двигателя или превышен предельный уровень температуры робота. (Плата сервоприводаXX)</t>
  </si>
  <si>
    <t>Робот: [Плата управления тормозами] Низковольтная плата P-N (Сервоплата XX)</t>
  </si>
  <si>
    <t>Робот: [Плата сервоприводаXX]Плата управления тормозами неисправна.</t>
  </si>
  <si>
    <t>Робот: [Плата управления тормозами] Низкое напряжение 24 В для отпускания тормоза. (СервоплатаXX)</t>
  </si>
  <si>
    <t>Робот: Программное обеспечение сервопривода не поддерживает обнаружение чрезмерного отклонения скорости.</t>
  </si>
  <si>
    <t>Робот: [Плата управления питанием] Ошибка связи с платой расширенного мониторинга.</t>
  </si>
  <si>
    <t>Робот: [Плата управления последовательностью питания] Состояние блока безопасности и реле дополнительной платы (линия XX) несовместимо. (код: XX)</t>
  </si>
  <si>
    <t>Робот: Установите одинаковые значения усреднения для суставов/положения/позы для улучшения сглаживания фильтра при наложении.</t>
  </si>
  <si>
    <t>Робот: Помехи от инструмента.</t>
  </si>
  <si>
    <t>Робот: Не подходит для использования на кольцевых конвейерах.</t>
  </si>
  <si>
    <t>Робот: Невозможно изменить номер заготовки в режиме синхронизации конвейера (заготовка XX). (JTXX)</t>
  </si>
  <si>
    <t>Робот: Неправильная работа отдельного реле отключения. (Сервоплата: XX)</t>
  </si>
  <si>
    <t>Робот: Несоответствие в каждом отдельном реле отключения. (Сервоплата: XX) (Код: XX)</t>
  </si>
  <si>
    <t>Робот: [Сервоплата XX] Ошибка связи с платой управления регенеративным приводом (№ XX).</t>
  </si>
  <si>
    <t>Робот: [Сервоплата XX] Ошибка связи с платой регенеративного управления (№ XX).</t>
  </si>
  <si>
    <t>Робот: [Сервоплата XX] (Регенеративный усилитель (№ XX)) Ошибка верхнего силового модуля.</t>
  </si>
  <si>
    <t>Робот: [Сервоплата XX] (Регенеративный усилитель (№ XX)) Ошибка модуля пониженной мощности.</t>
  </si>
  <si>
    <t>Робот: [Сервоплата XX] (Регенеративный усилитель (№ XX)) Напряжение датчика тока превысило верхний предел.</t>
  </si>
  <si>
    <t>Робот: [Сервоплата XX] (Регенеративный усилитель (№ XX)) Датчик тока отключен или неисправен. (U)</t>
  </si>
  <si>
    <t>Робот: [Сервоплата XX] (Регенеративный усилитель (№ XX)) Датчик тока отключен или неисправен. (В)</t>
  </si>
  <si>
    <t>Робот: [Сервоплата XX] (Плата регенеративного управления (№ XX)) Напряжение постоянного тока 5 В ненормальное.</t>
  </si>
  <si>
    <t>Робот: [Сервоплата XX] (Плата регенеративного управления (№ XX)) Напряжение постоянного тока 15 В ненормальное.</t>
  </si>
  <si>
    <t>Робот: [Сервоплата XX] (Плата регенеративного управления (№ XX)) Связь АЦП ошибка.</t>
  </si>
  <si>
    <t>Робот: [Сервоплата (XX)] (Плата регенеративного управления (№ XX)) Ошибка связи с платой сервоприводов.</t>
  </si>
  <si>
    <t>Робот: [Сервоплата XX] (Плата регенеративного управления (№ XX)) Ошибка ФАПЧ или питание В цепях поставок наблюдаются неполадки.</t>
  </si>
  <si>
    <t>Робот: [Сервоплата XX] (Плата регенеративного управления (№ XX)) Основной источник питания слишком высокий.</t>
  </si>
  <si>
    <t>Робот: [Сервоплата XX] (Плата регенеративного управления (№ XX)) Основной источник питания слишком низкий.</t>
  </si>
  <si>
    <t>Робот: [Сервоплата XX] (Плата регенеративного управления (№ XX)) Высокое P-N напряжение.</t>
  </si>
  <si>
    <t>Робот: [Сервоплата XX] (Плата регенеративного управления (№ XX)) Низкое P-N напряжение.</t>
  </si>
  <si>
    <t>Робот: [Сервоплата XX] Плата регенеративного управления (№ XX) неисправна или Линии рекуперативного торможения отключены.</t>
  </si>
  <si>
    <t>Робот: [Сервоплата XX] Неисправность проводки в регенеративном фильтре (№ XX).</t>
  </si>
  <si>
    <t>Робот: [Сервоплата XX] Регенеративный реактор (№ XX) перегружен.</t>
  </si>
  <si>
    <t>Робот: [Сервоплата XX] (Регенеративный усилитель (№ XX)) Коды, заданные в программном обеспечении и блок питания не подходит.</t>
  </si>
  <si>
    <t>Робот: [Сервоплата XX] (Регенеративный усилитель (№ XX)) Настройки программного обеспечения: аномальный.</t>
  </si>
  <si>
    <t>Робот: Данные параметров сервопривода внешней оси JtXX не поддерживают подключенный блок питания.</t>
  </si>
  <si>
    <t>Робот: [Сервоплата XX] (Регенеративный усилитель (№ XX)) Параметры сервопривода внешней оси Данные не поддерживают подключенный блок питания.</t>
  </si>
  <si>
    <t>Робот: Коды JtXX, заданные в параметрах сервопривода внешней оси и блоке питания, не совпадают.</t>
  </si>
  <si>
    <t>Робот: [Сервоплата XX] (Регенеративный усилитель (№ XX)) Коды установлены в сервоприводе внешней оси Параметры и данные блока питания не совпадают.</t>
  </si>
  <si>
    <t>Робот: [Сервоплата XX] Программное обеспечение сервопривода не поддерживает подключенный блок питания.</t>
  </si>
  <si>
    <t>Робот: Программный код JtXX не поддерживает программные блоки питания или сервоприводы.</t>
  </si>
  <si>
    <t>Робот: [Сервоплата XX] (Регенеративный усилитель (№ XX)) Код, установленный в программном обеспечении, не поддерживает программное обеспечение блока питания или сервопривода.</t>
  </si>
  <si>
    <t>Робот: Основной переменный ток превысил допустимый предел. (XXA)</t>
  </si>
  <si>
    <t>Робот: Начальное положение функции ожидания конвейера превышает максимальное значение конвейера.</t>
  </si>
  <si>
    <t>Робот: Текущая ошибка калибровочного значения jt XX.</t>
  </si>
  <si>
    <t>Робот: Выполнение невозможно, поскольку к инструменту подключена другая ось.</t>
  </si>
  <si>
    <t>Робот: Выполнение невозможно, поскольку другая ось отключает инструмент.</t>
  </si>
  <si>
    <t>Робот: Выполнение невозможно, поскольку калибруется инструмент для другой оси.</t>
  </si>
  <si>
    <t>Робот: Выполнение невозможно, поскольку другая ось используется для обнуления инструмента.</t>
  </si>
  <si>
    <t>Робот: [MCXX]Термопровод двигателя оборван или температура первичного силового трансформатора вышла за пределы допустимого диапазона. (СервоплатаXX)</t>
  </si>
  <si>
    <t>Робот: Неправильно заданы параметры фильтра улучшенного сглаживания при наложении.</t>
  </si>
  <si>
    <t>Робот: Данные по осям инструмента не заданы в указанном буфере.</t>
  </si>
  <si>
    <t>Робот: Ошибка при автоматическом сохранении данных в хранилище. (код: XX)</t>
  </si>
  <si>
    <t>Робот: [HiCyc] Время обработки истекло. (NoXX , Cnt XX)</t>
  </si>
  <si>
    <t>Робот: Истекло время ожидания для автоматического сохранения данных.</t>
  </si>
  <si>
    <t>Робот: Не удалось записать данные в память кодировщика. (Код JTXX: XX)</t>
  </si>
  <si>
    <t>Робот: Не удалось установить данные робота. (Код: XX)</t>
  </si>
  <si>
    <t>Робот: Не удалось установить данные робота. (Код JTXX: XX)</t>
  </si>
  <si>
    <t>Робот: RTC)KRNX устанавливает ошибку RTC.</t>
  </si>
  <si>
    <t>Робот: (RTC) Невозможно выполнить эту инструкцию во время работы RTC.</t>
  </si>
  <si>
    <t>Робот: Внешний сигнал остановки ошибки XX отключен.</t>
  </si>
  <si>
    <t>Робот: Обнаружено отсоединение рычага. (сигнал XX)</t>
  </si>
  <si>
    <t>Робот: Программное обеспечение сервопривода не поддерживает спецификацию рекуперации энергии RD080N.</t>
  </si>
  <si>
    <t>Робот: Установите одинаковое количество значений усреднения для суставов/положения/позы в Fastmotion с независимым ускорением и уменьшением.</t>
  </si>
  <si>
    <t>Робот: Невозможно выполнить быстрое движение с независимым ускорением и спуском.</t>
  </si>
  <si>
    <t>Робот: Недостаток крутящего момента в начальной точке при текущей нагрузке.(JtXX)</t>
  </si>
  <si>
    <t>Робот: Недостаток крутящего момента в конечной точке при текущей нагрузке.(JtXX)</t>
  </si>
  <si>
    <t>Робот: Значение команды JtXX превысило диапазон движения текущей нагрузки.</t>
  </si>
  <si>
    <t>Робот: PC10P) Время обработки превысило лимит.</t>
  </si>
  <si>
    <t>Робот: Ошибка при расчете ускорения/замедления для планирования движения.</t>
  </si>
  <si>
    <t>Робот: Неправильная настройка направления движения по осям XYZ.</t>
  </si>
  <si>
    <t>Робот: [Основная плата ЦП] Произошла ошибка во время мониторинга замедления. (JtXX)</t>
  </si>
  <si>
    <t>Робот: Ознакомьтесь с настройками компактного контроллера T в зависимости от типа робота.</t>
  </si>
  <si>
    <t>Робот: При синдроме JTXX наблюдается аномальная пульсация.</t>
  </si>
  <si>
    <t>Робот: Угловая ошибка передачи в JTXX.</t>
  </si>
  <si>
    <t>Робот: Программное обеспечение сервопривода не поддерживает функцию идентификации пульсаций.</t>
  </si>
  <si>
    <t>Робот: В режиме обучения при отключении оси движение невозможно, за исключением перемещения суставов.</t>
  </si>
  <si>
    <t>Робот: [Сервоплата XX] Произошла ошибка во время мониторинга замедления. (JtXX)</t>
  </si>
  <si>
    <t>Робот: [Сервоплата XX] Значение команды для JtXX внезапно изменилось.</t>
  </si>
  <si>
    <t>Робот: Конечное значение команды для JTXX внезапно изменилось.</t>
  </si>
  <si>
    <t>Робот: Ошибка ABS-трека энкодера (jt XX). Пожалуйста, устраните ошибку с помощью вспомогательной функции 822.</t>
  </si>
  <si>
    <t>Робот: Ошибка импульса включения энкодера (jt XX). Пожалуйста, устраните ошибку с помощью вспомогательной функции 822.</t>
  </si>
  <si>
    <t>Робот: Несоответствие команды торможения и обратной связи. (jtXX)(codeXX)</t>
  </si>
  <si>
    <t>Робот: Потребляемый ток источника постоянного тока (24 В) превысил пороговое значение. (Сервоплата XX) Текущее значение:</t>
  </si>
  <si>
    <t>Робот: [Сервоплата XX] Синхронная ошибка между ЦП (ядро 0/1). (код XX)</t>
  </si>
  <si>
    <t>Робот: [Сервоплата XX] Программное обеспечение обнаружило ошибку при приеме данных от FPGA. (код XX)</t>
  </si>
  <si>
    <t>Робот: [Плата сервоприводаXX] Схема ограничения пускового тока перегружена. Пожалуйста, уменьшите частоту вращения сервопривода.</t>
  </si>
  <si>
    <t>Робот: [Плата сервопривода XX] Температура контроллера выходит за пределы допустимого диапазона. (XX 1/10°C)</t>
  </si>
  <si>
    <t>Робот: [Плата сервопривода XX] Температура контроллера упала. (XX 1/10°C)</t>
  </si>
  <si>
    <t>Робот: [Сервоплата XX] Ошибка связи с датчиком температуры.</t>
  </si>
  <si>
    <t>Робот: [Плата сервопривода XX] Температура процессора превысила допустимый предел. (XX 1/10°C)</t>
  </si>
  <si>
    <t>Робот: Неожиданное отключение питания двигателя. (Сервоплата XX) (код XX)</t>
  </si>
  <si>
    <t>Робот: Сигнал включения двигателя выключен. (Сервоплата XX)</t>
  </si>
  <si>
    <t>Робот: [Плата управления питанием] Низковольтная плата P-N (Сервоплата XX) (Код XX)</t>
  </si>
  <si>
    <t>Робот: Защитное ограждение №2 открыто.</t>
  </si>
  <si>
    <t>Робот: Несоответствие в состоянии резервирования входа аварийной остановки на панели управления цепью безопасности. (Код XX)</t>
  </si>
  <si>
    <t>Робот: Несоответствие в состоянии резервирования входа TEACH/REPEAT цепи безопасности. (Код XX)</t>
  </si>
  <si>
    <t>Робот: Несоответствие в состоянии резервирования защитного ограждения в цепях безопасности. (Код XX)</t>
  </si>
  <si>
    <t>Робот: Несоответствие в условиях избыточности входного сигнала защитного ограждения 2 на защитных цепях. (Код XX)</t>
  </si>
  <si>
    <t>Робот: Несоответствие в состоянии резервирования входного сигнала запуска пульта управления на цепях безопасности. (Код XX)</t>
  </si>
  <si>
    <t>Робот: Несоответствие в состоянии резервирования внешнего разрешающего входа на защитных цепях. (Код XX)</t>
  </si>
  <si>
    <t>Робот: Несоответствие в двойной цепи безопасности в отношении состояния аварийного выключателя на пульте управления (код XX)</t>
  </si>
  <si>
    <t>Робот: Несоответствие в состоянии резервирования внешнего входа аварийной остановки в цепях безопасности. (Код XX)</t>
  </si>
  <si>
    <t>Робот: Несоответствие в состоянии резервирования входа режима быстрой проверки в цепях безопасности. (Код XX)</t>
  </si>
  <si>
    <t>Робот: Не удается обнаружить отключение диагностического импульса в цепи безопасности, связанной с пультом управления Teach.аварийная остановка (Код XX)</t>
  </si>
  <si>
    <t>Робот: Не удается обнаружить состояние отключения диагностического импульса в цепи безопасности, связанной с триггером Teachpendanttrigger (код XX).</t>
  </si>
  <si>
    <t>Робот: Не удается обнаружить состояние отключения диагностического импульса в цепи безопасности, связанной с переключением режима обучения (код XX).</t>
  </si>
  <si>
    <t>Робот: Не удается обнаружить состояние отключения диагностического импульса в цепи безопасности, связанной с переключением режимов быстрого доступа (код XX).</t>
  </si>
  <si>
    <t>Робот: Не удается обнаружить отключение диагностического импульса в цепи безопасности, связанной с аварийной остановкой панели управления (код XX).</t>
  </si>
  <si>
    <t>Робот: Не удается обнаружить состояние отключения диагностического импульса в цепи безопасности, связанное с внешней аварийной остановкой (код XX).</t>
  </si>
  <si>
    <t>Робот: Не удается обнаружить состояние отключения диагностического импульса в цепи безопасности, связанной с защитным ограждением (код XX).</t>
  </si>
  <si>
    <t>Робот: Не удается обнаружить отключение диагностического импульса в цепи безопасности, касающееся 2-го защитного ограждения (код XX).</t>
  </si>
  <si>
    <t>Робот: Не удается обнаружить состояние отключения диагностического импульса в цепи безопасности, связанной с переключателем внешнего включения (код XX).</t>
  </si>
  <si>
    <t>Робот: Ошибка тормозной магистрали оси JtXX (обнаружено обрыв).</t>
  </si>
  <si>
    <t>Робот: Ошибка в тормозной магистрали оси JtXX (обнаружено короткое замыкание).</t>
  </si>
  <si>
    <t>Робот: Ошибка бутстрапа U-фазы оси JtXX</t>
  </si>
  <si>
    <t>Робот: Ошибка бутстрапа V-фазы оси JtXX</t>
  </si>
  <si>
    <t>Робот: Ошибка бутстрапа W-фазы оси JtXX</t>
  </si>
  <si>
    <t>Робот: [Сервоплата XX] От платы питания нет ответа. (Код XX)</t>
  </si>
  <si>
    <t>Робот: [Сервоплата XX] Ошибка связи по SPI с платой питания. (Код XX)</t>
  </si>
  <si>
    <t>Робот: [Сервоплата XX]P-N высоковольтная.</t>
  </si>
  <si>
    <t>Робот: Ошибка диагностического импульса в цепи безопасности (код XX).</t>
  </si>
  <si>
    <t>Робот: [Плата сервопривода XX] От платы управления питанием нет ответа. (Код XX)</t>
  </si>
  <si>
    <t>Робот: [Сервоплата XX] Ошибка связи SPI с платой управления питанием. (Код XX)</t>
  </si>
  <si>
    <t>Робот: (Плата управления питанием) От платы сервопривода нет ответа. (Код XX)</t>
  </si>
  <si>
    <t>Робот: (Плата управления питанием) Ошибка связи SPI с платой ServoboardXX.(КодXX)</t>
  </si>
  <si>
    <t>Робот: [Сервоплата XX](Плата управления питанием) Низковольтная схема P-N.(Код XX)</t>
  </si>
  <si>
    <t>Робот: [Плата сервопривода XX](Плата управления питанием) Ошибка низкого напряжения 3,3 В. (Код XX)</t>
  </si>
  <si>
    <t>Робот: [Основная плата ЦП] Ошибка 32-битной шины FPGA.</t>
  </si>
  <si>
    <t>Робот: [Основная плата ЦП] Ошибка 16-битной шины FPGA.</t>
  </si>
  <si>
    <t>Робот: [Основная плата ЦП] Ошибка локального DMA FPGA.</t>
  </si>
  <si>
    <t>Робот: [Сервоплата XX](Плата управления последовательностью питания) Ошибка выходного сигнала отключения ШИМ-затвора (диагностический импульс) (код XX)</t>
  </si>
  <si>
    <t>Робот: [Плата сервопривода XX] (Плата управления последовательностью питания) Ошибка в части выходного сигнала отключения ШИМ-затвора (несоответствие между выходом и обратной связью) (Код XX)</t>
  </si>
  <si>
    <t>Робот: [Сервоплата XX](Плата управления питанием) При включении двигателя был нажат переключатель разблокировки тормоза или произошла ошибка в выходном сигнале питания тормоза. (Диагностический импульс) (Код XX)</t>
  </si>
  <si>
    <t>Робот: [Плата сервопривода XX](Плата управления последовательностью питания) Ошибка отключения питания тормоза (несоответствие между выходным сигналом и обратной связью)(Код XX)</t>
  </si>
  <si>
    <t>Робот: [Сервоплата XX] Переключатель отпускания тормоза не выключается. (Код XX)</t>
  </si>
  <si>
    <t>Робот: [Плата сервопривода XX](Плата управления питанием) Ошибка выходного сигнала состояния включения питания двигателя. (Диагностический импульс) (Код XX)</t>
  </si>
  <si>
    <t>Робот: [Плата сервопривода XX](Плата управления питанием) Ошибка выходного сигнала состояния включения питания двигателя. (Несоответствие между выходным сигналом и обратной связью) (Код XX)</t>
  </si>
  <si>
    <t>Робот: [Плата сервопривода XX](Плата управления последовательностью питания) Ошибка выходного сигнала состояния триггера.(Диагностический импульс) (Код XX)</t>
  </si>
  <si>
    <t>Робот: [Плата сервопривода XX] (Плата управления последовательностью питания) Ошибка выходного сигнала состояния запуска (несоответствие между выходом и обратной связью) (Код XX)</t>
  </si>
  <si>
    <t>Робот: [Сервоплата XX] Несоответствие в режиме резервирования входа отключения питания в защитных цепях. (Код XX)</t>
  </si>
  <si>
    <t>Робот: [Сервоплата XX] На входе отключения питания в цепи безопасности не обнаружен диагностический импульс OFF. (Код XX)</t>
  </si>
  <si>
    <t>Робот: [Плата сервопривода XX](Плата управления питанием) Реле, подключенное к выходу состояния триггера, находится в режиме сварки или выдает ошибку в цепи диагностики сварки. (Код XX)</t>
  </si>
  <si>
    <t>Робот: [Сервоплата XX] Ошибка таймаута шины в FPGA контура тока</t>
  </si>
  <si>
    <t>Робот: [Плата сервопривода XX] Ошибка напряжения питания управления IPM.</t>
  </si>
  <si>
    <t>Робот: [Сервоплата XX](Плата управления питанием) Ошибка выхода аварийной остановки.(Диагностический импульс)(Код XX)</t>
  </si>
  <si>
    <t>Робот: [Сервоплата XX](Плата управления последовательностью питания) Ошибка выхода аварийной остановки (несоответствие между выходом и обратной связью) (Код XX)</t>
  </si>
  <si>
    <t>Робот: [Плата сервопривода XX](Плата управления последовательностью питания) Ошибка выходного сигнала монитора скорости обучения.(Диагностический импульс)(Код XX)</t>
  </si>
  <si>
    <t>Робот: [Плата сервопривода XX](Плата управления последовательностью питания) Ошибка выходного сигнала монитора скорости обучения (несоответствие между выходным сигналом и обратной связью) (Код XX)</t>
  </si>
  <si>
    <t>Робот: [Сервоплата XX](Плата управления питанием) Ошибка выходного сигнала состояния обучения.(Диагностический импульс)(Код XX)</t>
  </si>
  <si>
    <t>Робот: [Сервоплата XX](Плата управления последовательностью питания) Ошибка выходного сигнала состояния обучения. (несоответствие) (между выходом и обратной связью)(CodeXX)</t>
  </si>
  <si>
    <t>Робот: [Плата сервопривода XX](Плата управления последовательностью питания) Ошибка связи с первой платой управления последовательностью питания. (Код XX)</t>
  </si>
  <si>
    <t>Робот: [Плата сервопривода XX](Плата управления питанием) От первой платы управления питанием нет ответа. (Код XX)</t>
  </si>
  <si>
    <t>Робот: [Сервоплата XX] Время регенерации истекло.</t>
  </si>
  <si>
    <t>Робот: [Сервоплата XX] Перегрев регенеративного резистора.</t>
  </si>
  <si>
    <t>Робот: [Плата сервопривода XX] Отсоединен жгут проводов двигателя или повышается температура робота.</t>
  </si>
  <si>
    <t>Робот: [Сервоплата XX] Ошибка связи ввода/вывода. (код XX)</t>
  </si>
  <si>
    <t>Робот: [Основная плата ЦП] Температура платы повышается. (XX 1/1000°C)</t>
  </si>
  <si>
    <t>Робот: [Основная плата ЦП] Ошибка доступа к SPI-интерфейсу ввода-вывода. (CHXX)</t>
  </si>
  <si>
    <t>Робот: [Основная плата ЦП] Ошибка связи SPI с АЦП.</t>
  </si>
  <si>
    <t>Робот: [Плата сервопривода XX](Плата управления питанием) Реле, подключенное к выходу ON двигателя, запаяно или произошла ошибка в цепи диагностики сварки. (Код XX)</t>
  </si>
  <si>
    <t>Робот: [Основная плата ЦП] Ошибка API в обмене данными DMA/SPI. (Тип XX, Код XX)</t>
  </si>
  <si>
    <t>Робот: Ошибка тормозной магистрали для JtXX.</t>
  </si>
  <si>
    <t>Робот: JTXX усилитель оси, усилитель сервопривода, нагрев</t>
  </si>
  <si>
    <t>Робот: Снижение напряжения питания основной цепи усилителя оси JTXX</t>
  </si>
  <si>
    <t>Робот: Жгут проводов энкодера отсоединен jtXX</t>
  </si>
  <si>
    <t>Робот: Ошибка управления скоростью привода оси JTXX</t>
  </si>
  <si>
    <t>Робот: Ошибка обратной связи по скорости и амплитуде оси JTXX</t>
  </si>
  <si>
    <t>Робот: ошибка огибающей положения амплитуды оси jtXX</t>
  </si>
  <si>
    <t>Робот: Индикатор готовности сервопривода JTXX axis amp не включается.</t>
  </si>
  <si>
    <t>Робот: Усилитель JTXX axis amp IPM перегрелся.</t>
  </si>
  <si>
    <t>Робот: Питание двигателя отключено (EXT_EMG).</t>
  </si>
  <si>
    <t>Робот: Ошибка сигнала отпускания тормоза</t>
  </si>
  <si>
    <t>Робот: Последовательность включения питания отключена</t>
  </si>
  <si>
    <t>Робот: Значение команды усиления оси JTXX внезапно изменилось.</t>
  </si>
  <si>
    <t>Робот: Усилитель оси JTXX, блок питания основной цепи находится в состоянии перенапряжения.</t>
  </si>
  <si>
    <t>Робот: Усилитель оси JTXX и блок питания управления IPM работают некорректно.</t>
  </si>
  <si>
    <t>Робот: Несоответствие данных о перемещении инструмента и данных о выбранном инструменте.</t>
  </si>
  <si>
    <t>Робот: Ошибка передачи данных.</t>
  </si>
  <si>
    <t>Робот: Ошибка при чтении данных.</t>
  </si>
  <si>
    <t>Робот: Ошибка записи данных.</t>
  </si>
  <si>
    <t>Робот: Непредвиденная ошибка при доступе к файлу.</t>
  </si>
  <si>
    <t>Робот: Ошибка повторной попытки связи.</t>
  </si>
  <si>
    <t>Робот: Процесс связи был прерван.</t>
  </si>
  <si>
    <t>Робот: После запроса данные не получены.</t>
  </si>
  <si>
    <t>Робот: Длина получаемых данных слишком велика (максимум 255 символов).</t>
  </si>
  <si>
    <t>Робот: Получены аномальные данные (EOT) в процессе связи.</t>
  </si>
  <si>
    <t>Робот: Ошибка таймаута связи.</t>
  </si>
  <si>
    <t>Робот: Терминал уже используется.</t>
  </si>
  <si>
    <t>Робот: Коммуникационный порт уже используется.</t>
  </si>
  <si>
    <t>Робот: Ожидание ввода команды PROMPT. Подключите устройство ввода.</t>
  </si>
  <si>
    <t>Робот: TELNET) Ошибка отправки.CODE=XX</t>
  </si>
  <si>
    <t>Робот: Ошибка приема (TELNET). Код ошибки = XX</t>
  </si>
  <si>
    <t>Робот: Ошибка приема IAC (TELNET). КОД=XX</t>
  </si>
  <si>
    <t>Робот: (TELNET) Сбой закрытия. КОД=XX</t>
  </si>
  <si>
    <t>Робот: (TELNET) Ошибка закрытия основного сокета. КОД=XX</t>
  </si>
  <si>
    <t>Робот: Ошибка системы (TELNET). Код=XX</t>
  </si>
  <si>
    <t>Робот: TCPIP) Сбой открытия сокета. КОД=XX Назначенный IP-адрес=XX.XX.XX.XX</t>
  </si>
  <si>
    <t>Робот: TCPIP) Ошибка закрытия сокета. КОД=XX Назначенный IP-адрес=XX.XX.XX.XX</t>
  </si>
  <si>
    <t>Робот: Ошибка связи TCP/IP. КОД=XX Назначенный IP-адрес=XX.XX.XX.XX</t>
  </si>
  <si>
    <t>Робот: Сообщение слишком длинное (TCPIP).</t>
  </si>
  <si>
    <t>Робот: TCPIP) Не удается связаться с хостом.</t>
  </si>
  <si>
    <t>Робот: TCP/IP) Тайм-аут связи. Dst.IP=XX.XX.XX.XX</t>
  </si>
  <si>
    <t>Робот: Соединение прервано (TCPIP).</t>
  </si>
  <si>
    <t>Робот: TCP/IP) Нет буферного пространства.</t>
  </si>
  <si>
    <t>Робот: TCPIP) Неверный сокет.</t>
  </si>
  <si>
    <t>Робот: Ошибка приема данных по протоколу FTP (код=XX).</t>
  </si>
  <si>
    <t>Робот: Ошибка отправки данных по FTP (код=XX).</t>
  </si>
  <si>
    <t>Робот: FTP-сервер не распознает команду (код = XX).</t>
  </si>
  <si>
    <t>Робот: FTP) Не удалось отключиться от FTP-сервера. (код=XX)</t>
  </si>
  <si>
    <t>Робот: (FTP) Обнаружена незарегистрированная ОС.</t>
  </si>
  <si>
    <t>Робот: FTP) Не удалось подключиться к серверу. (код=XX)</t>
  </si>
  <si>
    <t>Робот: FTP) Не удалось получить информацию об ОС хоста. (код=XX)</t>
  </si>
  <si>
    <t>Робот: FTP)TCP/IP не инициализирован.</t>
  </si>
  <si>
    <t>Робот: FTP) FTP-сервис занят.</t>
  </si>
  <si>
    <t>Робот: (FTP) Сбой автосохранения.</t>
  </si>
  <si>
    <t>Робот: От платы драйвера FDD/PC_CARD нет ответа.</t>
  </si>
  <si>
    <t>Робот: Отсутствует связь с платой драйвера FDD/PC_CARD.</t>
  </si>
  <si>
    <t>Робот: [FDD/PC_CARD]Не удалось установить функцию проверки. Пожалуйста, установите ее снова.</t>
  </si>
  <si>
    <t>Робот: Ошибка канала.</t>
  </si>
  <si>
    <t>Робот: TCPIP) Невозможно выполнить, поскольку плата Ethernet не установлена.</t>
  </si>
  <si>
    <t>Робот: TCP) Невозможно создать сокет.</t>
  </si>
  <si>
    <t>Робот: TCP) Этот порт не находится в режиме прослушивания (сокет).</t>
  </si>
  <si>
    <t>Робот: TCP) Недопустимый идентификатор сокета.</t>
  </si>
  <si>
    <t>Робот: Не удалось загрузить драйверы на плату FDD/PC_CARD.</t>
  </si>
  <si>
    <t>Робот: Ошибка приема данных ASCYCLE (КОД: XX)</t>
  </si>
  <si>
    <t>Робот: [ПЛАТА УПРАВЛЕНИЯ ARM] Ошибка приема данных ASCYCLE (КОД: XX)</t>
  </si>
  <si>
    <t>Робот: Полученные данные об отверстии для измерения превышают допустимый диапазон.</t>
  </si>
  <si>
    <t>Робот: Данные "ведущий/ведомый" не зарегистрированы.</t>
  </si>
  <si>
    <t>Робот: Данные опорной точки не зарегистрированы.</t>
  </si>
  <si>
    <t>Робот: Оба режима 3D-калибровки/измерения включены.</t>
  </si>
  <si>
    <t>Робот: Незарегистрированная переменная, предназначенная для приема данных.</t>
  </si>
  <si>
    <t>Робот: Переменная, указанная для приема данных, неисправна.</t>
  </si>
  <si>
    <t>Робот: Полученные данные некорректны.</t>
  </si>
  <si>
    <t>Робот: Начальный код неверен.</t>
  </si>
  <si>
    <t>Робот: Конечный код неверен.</t>
  </si>
  <si>
    <t>Робот: Номер группы 3D-камер не указан.</t>
  </si>
  <si>
    <t>Робот: Неверный номер группы 3D-камер.</t>
  </si>
  <si>
    <t>Робот: Ошибка, связанная с истечением времени ожидания начала связи.</t>
  </si>
  <si>
    <t>Робот: Отсутствует сигнал отключения сервопривода на плате ARM I/F.</t>
  </si>
  <si>
    <t>Робот: [СервоплатаXX]От MCXX нет ответа.(код:XX)</t>
  </si>
  <si>
    <t>Робот: [СервоплатаXX]Ошибка связи с MCXX.(код:XX)</t>
  </si>
  <si>
    <t>Робот: [MCXX]Ошибка связи с платой сервоприводаXX (код:XX)</t>
  </si>
  <si>
    <t>Робот: [Сервоплата XX] Ошибка проверки связи с основной платой ЦП. (код: XX)</t>
  </si>
  <si>
    <t>Робот: [Сервоплата XX] Ошибка проверки связи команды с основной платой ЦП. (код: XX)</t>
  </si>
  <si>
    <t>Робот: Ошибка приема данных по протоколу FTP.</t>
  </si>
  <si>
    <t>Робот: Ошибка отправки данных по FTP.</t>
  </si>
  <si>
    <t>Робот: От сервоусилителя нет ответа.</t>
  </si>
  <si>
    <t>Робот: [СервоплатаXX] Ошибка связи с Cubic-S.(код:XX)</t>
  </si>
  <si>
    <t>Робот: [Плата сервоприводаXX] Связь между платами сервоприводов нарушена. (код:XX)</t>
  </si>
  <si>
    <t>Робот: [СервоплатаXX] Произошла ошибка связи между сервоплатами. (код:XX)</t>
  </si>
  <si>
    <t>Робот: (LEONI) От контроллера датчика нет ответа. (режим XX)</t>
  </si>
  <si>
    <t>Робот: (LEONI) Ошибка контроллера датчика. (код XX)</t>
  </si>
  <si>
    <t>Робот: Ошибка связи.(XX)</t>
  </si>
  <si>
    <t>Робот: Связь с контроллером прервана.</t>
  </si>
  <si>
    <t>Робот: Расхождение параметров робота в параметрах безопасности и связанных с ними параметрах.</t>
  </si>
  <si>
    <t>Робот: (Тайм-аут запроса в зоне действия Anybus)XX</t>
  </si>
  <si>
    <t>Робот: ANYBUS)OUT/ FB.CTRL release timeout.XX</t>
  </si>
  <si>
    <t>Робот: DN) Основной статус.XX</t>
  </si>
  <si>
    <t>Робот: DN) Статус узла.XX</t>
  </si>
  <si>
    <t>Робот: Ошибка почтового ящика (ABM-DN).</t>
  </si>
  <si>
    <t>Робот: Статус ABMA-PDP: STOP.XX</t>
  </si>
  <si>
    <t>Робот: Статус ABMA-PDP: ОФЛАЙН. XX</t>
  </si>
  <si>
    <t>Робот: Ошибка передачи данных ввода/вывода ABMA-PDP.XX</t>
  </si>
  <si>
    <t>Робот: ABMA-PDP) Отправка данных ввода-вывода, истекших по таймауту.XX</t>
  </si>
  <si>
    <t>Робот: ABMA-PDP)Тайм-аут приема данных ввода-вывода.XX</t>
  </si>
  <si>
    <t>Робот: ABMA-PDP)Тайм-аут отправки сообщения.XX</t>
  </si>
  <si>
    <t>Робот: ABMA-PDP)Тайм-аут приема сообщения.XX</t>
  </si>
  <si>
    <t>Робот: ABMA-PDP) Проверьте данные конфигурации.XX</t>
  </si>
  <si>
    <t>Робот: PROFIBUS) Обнаружена ошибка диагностики ведомого устройства.XX</t>
  </si>
  <si>
    <t>Робот: PROFIBUS) Обнаружен ответ об ошибке счетчика статистики.XX</t>
  </si>
  <si>
    <t>Робот: Кабель DN)DeviceNet отсоединен.</t>
  </si>
  <si>
    <t>Робот: (CC-LINK) Связь прервана. XX</t>
  </si>
  <si>
    <t>Робот: (CC-LINK) Начальные условия заданы неверно.</t>
  </si>
  <si>
    <t>Робот: CC-LINK) Ошибка тайм-аута сторожевого таймера.</t>
  </si>
  <si>
    <t>Робот: CC-LINK) Ошибка настройки параметров. XX</t>
  </si>
  <si>
    <t>Робот: CC-LINK) Истекло время ожидания при настройке параметра.</t>
  </si>
  <si>
    <t>Робот: (CC-LINK) Главная плата неисправна. XX</t>
  </si>
  <si>
    <t>Робот: CC-LINK) Ошибка инициализации на главной плате. XX</t>
  </si>
  <si>
    <t>Робот: Сеть (CANopen) отключена.</t>
  </si>
  <si>
    <t>Робот: INTERBUS) Ошибка таймаута сторожевого таймера.</t>
  </si>
  <si>
    <t>Робот: PROFINET(CP16)) Обнаружен сигнал тревоги. XX</t>
  </si>
  <si>
    <t>Робот: Система PROFINET (CP16) находится в автономном режиме.</t>
  </si>
  <si>
    <t>Робот: PROFINET(CP16)) Произошла ошибка доступа. XX</t>
  </si>
  <si>
    <t>Робот: PROFINET(CP16))Обнаружена ошибка сторожевого таймера.</t>
  </si>
  <si>
    <t>Робот: Безопасность EtherNet/IP) Cubic-S не поддерживает.</t>
  </si>
  <si>
    <t>Робот: Программное обеспечение Servo Software не поддерживает безопасность EtherNet/IP.</t>
  </si>
  <si>
    <t>Робот: (Удаленный ввод/вывод) Обнаружена ошибка связи.</t>
  </si>
  <si>
    <t>Робот: Удаленный ввод/вывод) Истекло время ожидания при настройке параметра.</t>
  </si>
  <si>
    <t>Робот: Плата INTERBUS не готова. Порт: XX</t>
  </si>
  <si>
    <t>Робот: INTERBUS) Ошибка таймаута сторожевого таймера. Порт: XX</t>
  </si>
  <si>
    <t>Робот: Размер модуля PROFINET (устройство CP16) превышает максимально допустимое значение.</t>
  </si>
  <si>
    <t>Робот: PROFINET (устройство CP16) Произошла ошибка доступа. XX</t>
  </si>
  <si>
    <t>Робот: PROFINET (устройство CP16) — Истекло время ожидания ответа при инициализации.</t>
  </si>
  <si>
    <t>Робот: (FIELD-BUS) Время обработки превысило лимит.</t>
  </si>
  <si>
    <t>Робот: Сигнал разрешения на подключение не включен.</t>
  </si>
  <si>
    <t>Робот: Тип RWC не является типом управления технологическим процессом.</t>
  </si>
  <si>
    <t>Робот: Плата 1GS не относится к типу управления технологическими процессами.</t>
  </si>
  <si>
    <t>Робот: Недопустимое удлинение (укорачивание) выходного сигнала.</t>
  </si>
  <si>
    <t>Робот: Сигнал о завершении сварки уже получен.</t>
  </si>
  <si>
    <t>Робот: (Точечная сварка) Данные настройки графика сварки не соответствуют действительности.</t>
  </si>
  <si>
    <t>Робот: CLAMP SPEC не установлен в режим PULSE.</t>
  </si>
  <si>
    <t>Робот: Сервопривод сварочного пистолета не подключен или подключен неправильный пистолет.</t>
  </si>
  <si>
    <t>Робот: Измерение износа наконечника (ЭТАП 1) не проводилось.</t>
  </si>
  <si>
    <t>Робот: Сигнал датчика заготовки (сигнал касания наконечника пистолета) не установлен.</t>
  </si>
  <si>
    <t>Робот: Механические параметры сервопривода сварочного аппарата не заданы.</t>
  </si>
  <si>
    <t>Робот: Номер зажима уже установлен для оси сервосварочного пистолета.</t>
  </si>
  <si>
    <t>Робот: Невозможно изменить параметры пистолета, поскольку данные смещения не соответствуют действительности.</t>
  </si>
  <si>
    <t>Робот: Нельзя менять несколько видов оружия одновременно.</t>
  </si>
  <si>
    <t>Робот: Выполнение невозможно, пистолет подключен к другому соединению.</t>
  </si>
  <si>
    <t>Робот: Данные о состоянии пистолета не соответствуют состоянию зажима.</t>
  </si>
  <si>
    <t>Робот: Данные SRVPRESS неверны.</t>
  </si>
  <si>
    <t>Робот: Базовые данные об износе не зарегистрированы.</t>
  </si>
  <si>
    <t>Робот: Сигнал о завершении сварки не обнаружен.</t>
  </si>
  <si>
    <t>Робот: Обнаружен сигнал неисправности сварки.</t>
  </si>
  <si>
    <t>Робот: Ошибка монитора позиции "Retract".</t>
  </si>
  <si>
    <t>Робот: Расширение ошибки монитора позиции.</t>
  </si>
  <si>
    <t>Робот: Текущее положение механизма складывания орудия отличается от положения в пункте назначения.</t>
  </si>
  <si>
    <t>Робот: Износ ненормальный, измерение невозможно.</t>
  </si>
  <si>
    <t>Робот: Сигнал от компрессора герметизации не обнаружен.</t>
  </si>
  <si>
    <t>Робот: Сигнал о срабатывании компенсатора открытия оружия не обнаружен.</t>
  </si>
  <si>
    <t>Робот: (Точечная сварка) Ошибка RWC. (сварщик XX)</t>
  </si>
  <si>
    <t>Робот: Робот остановился во время сварки.</t>
  </si>
  <si>
    <t>Робот: Наконечник пистолета застрял.</t>
  </si>
  <si>
    <t>Робот: Износ медной пластины превышает допустимый предел. шаг = XX</t>
  </si>
  <si>
    <t>Робот: Сигнал о завершении сварки не выключен.</t>
  </si>
  <si>
    <t>Робот: Калибровка не завершилась в обычном режиме.</t>
  </si>
  <si>
    <t>Робот: Невозможно выполнить сварку из-за ненормальной толщины.</t>
  </si>
  <si>
    <t>Робот: Неверные данные о состоянии оружия.</t>
  </si>
  <si>
    <t>Робот: Износ наконечника превышает допустимый предел. XX:</t>
  </si>
  <si>
    <t>Робот: Сигнал обнаружения дуги не отключился.</t>
  </si>
  <si>
    <t>Робот: От коммуникационной панели RWC ответа не получено.</t>
  </si>
  <si>
    <t>Робот: Невозможно подключить пистолет, так как он уже подключен.</t>
  </si>
  <si>
    <t>Робот: Невозможно отсоединить пистолет, потому что он уже отсоединен.</t>
  </si>
  <si>
    <t>Робот: Номер пушки не определен или тип пушки не является сервоприводной.</t>
  </si>
  <si>
    <t>Робот: Ошибка связи в сварочном аппарате. (код XX)</t>
  </si>
  <si>
    <t>Робот: Не удалось получить данные о сварке. (таймер XX)</t>
  </si>
  <si>
    <t>Робот: Не удалось изменить данные сварки. (таймер XX)</t>
  </si>
  <si>
    <t>Робот: Произошла ошибка сварки.</t>
  </si>
  <si>
    <t>Робот: Сейчас получаем сварочные материалы, ждём завершения работ.</t>
  </si>
  <si>
    <t>Робот: Контроллер сварки не подключен или сварочные материалы не получены (таймер XX).</t>
  </si>
  <si>
    <t>Робот: Ошибка сигнала серийного номера.</t>
  </si>
  <si>
    <t>Робот: Данный сварочный аппарат не подлежит отслеживанию происхождения.</t>
  </si>
  <si>
    <t>Робот: Невозможно выполнить калибровку, поскольку ось смены инструмента отключена.</t>
  </si>
  <si>
    <t>Робот: Значение показателя мощности давления, измеренное в приборе, является ненормальным.</t>
  </si>
  <si>
    <t>Робот: Датчик мощности создания давления отсоединился или вышел из строя.</t>
  </si>
  <si>
    <t>Робот: Переключатель режимов на TP установлен в ручное положение.</t>
  </si>
  <si>
    <t>Робот: Переключатель режимов на TP установлен в автоматический режим.</t>
  </si>
  <si>
    <t>Робот: Плата Weld не инициализируется.</t>
  </si>
  <si>
    <t>Робот: Ошибка инициализации на плате Initialization Weld.</t>
  </si>
  <si>
    <t>Робот: Сварщик (компания DENGEN) не подключен. (сварщик XX)</t>
  </si>
  <si>
    <t>Робот: Ошибка ответа сварщика (компания DENGEN). (сварщик XX)</t>
  </si>
  <si>
    <t>Робот: Инициализация. Плата сварки защищена. (сварочный аппарат XX)</t>
  </si>
  <si>
    <t>Робот: Обработка данных сварщика (компания DENGEN) не выполняется. (сварщик XX)</t>
  </si>
  <si>
    <t>Робот: Ошибка обработки данных сварщика (компания DENGEN). (сварщик XX)</t>
  </si>
  <si>
    <t>Робот: Произошла ошибка сварки. (coed XX)</t>
  </si>
  <si>
    <t>Робот: Сварка, выполненная сварщиком (компания DENGEN), была прервана. (сварщик XX)</t>
  </si>
  <si>
    <t>Робот: Произошла ошибка сварщика (компания DENGEN). (сварщик XX)</t>
  </si>
  <si>
    <t>Робот: Ожидание истечения времени завершения сварки. (Сварщик XX)</t>
  </si>
  <si>
    <t>Робот: Управление магнитом неисправно. (сварщик XX)</t>
  </si>
  <si>
    <t>Робот: Сигнал от датчика заготовки (сигнал касания наконечника пистолета) уже поступил.</t>
  </si>
  <si>
    <t>Робот: Неправильная установка износостойкой базы.</t>
  </si>
  <si>
    <t>Робот: Невозможно выполнить инструкцию, поскольку синхронный поиск действителен.</t>
  </si>
  <si>
    <t>Робот: Одежда, которую носят в компании Servo, не соответствует норме.</t>
  </si>
  <si>
    <t>Робот: Сила тока в повязке превышает верхний предел.</t>
  </si>
  <si>
    <t>Робот: Текущий ток в повязке превышает нижний предел.</t>
  </si>
  <si>
    <t>Робот: Невозможно выполнить синхронный поиск.</t>
  </si>
  <si>
    <t>Робот: Ось сервопривода для повязки отсутствует.</t>
  </si>
  <si>
    <t>Робот: Давление в сервоприводе сварочного пистолета имеет погрешность.</t>
  </si>
  <si>
    <t>Робот: Связь с платой инициализации Weld.</t>
  </si>
  <si>
    <t>Робот: Сообщение, переданное между 1NP и 1NB, содержит ошибку.</t>
  </si>
  <si>
    <t>Робот: (Точечная сварка) Ошибка RWC. (сварщик XX) Код детализации=XX</t>
  </si>
  <si>
    <t>Робот: (Точечная сварка) Ошибка RWC. (сварщик XX) Простой код = XX</t>
  </si>
  <si>
    <t>Робот: Ошибка при извлечении микросхемы.</t>
  </si>
  <si>
    <t>Робот: Давление сервосварочного пистолета имеет погрешность (XX%).</t>
  </si>
  <si>
    <t>Робот: Погрешность управляющего давления сервосварочного пистолета составляет (XX%).</t>
  </si>
  <si>
    <t>Робот: Визуальная панель не установлена.</t>
  </si>
  <si>
    <t>Робот: (Видео) Камера не подключена.</t>
  </si>
  <si>
    <t>Робот: (Vision) Неверный параметр.</t>
  </si>
  <si>
    <t>Робот: (Зрение) Неверный символ.</t>
  </si>
  <si>
    <t>Робот: (Видение) Неверное имя.</t>
  </si>
  <si>
    <t>Робот: (Зрение) Неправильная память на изображение.</t>
  </si>
  <si>
    <t>Робот: (Vision) Некорректные данные гистограммы.</t>
  </si>
  <si>
    <t>Робот: (Vision) Неправильный режим.</t>
  </si>
  <si>
    <t>Робот: (Зрение) Неправильная плотность (цвет).</t>
  </si>
  <si>
    <t>Робот: (Vision) Неправильное назначение входного сигнала камеры.</t>
  </si>
  <si>
    <t>Робот: (Видение) Неверный номер канала камеры.</t>
  </si>
  <si>
    <t>Робот: (Vision) Неверный номер окна.</t>
  </si>
  <si>
    <t>Робот: (Видение) Неверные данные координат.</t>
  </si>
  <si>
    <t>Робот: (Видение) Неверное число.</t>
  </si>
  <si>
    <t>Робот: (Vision) Неправильный код изображения (двоичный/многокодовый).</t>
  </si>
  <si>
    <t>Робот: (Зрение) Неправильный пороговый уровень.</t>
  </si>
  <si>
    <t>Робот: (Vision)PROTO(/TEMPLATE) не зарегистрирован или уже существует.</t>
  </si>
  <si>
    <t>Робот: (Vision) Данные из Калифорнии не зарегистрированы.</t>
  </si>
  <si>
    <t>Робот: (Vision) Графический курсор не инициализирован.</t>
  </si>
  <si>
    <t>Робот: (Видение) Слишком много сэмплов из объекта PROTO.</t>
  </si>
  <si>
    <t>Робот: (Видение) Обнаружено слишком много целей.</t>
  </si>
  <si>
    <t>Робот: (Vision)Команда Vision не запущена.</t>
  </si>
  <si>
    <t>Робот: Система (визуального восприятия) зарегистрировала аномальные данные.</t>
  </si>
  <si>
    <t>Робот: (Vision) Ошибка при обработке изображения(й).</t>
  </si>
  <si>
    <t>Робот: (Визуальное) Звуковому порту назначена другая функция.</t>
  </si>
  <si>
    <t>Робот: (Видение) Нехватка места для хранения данных.</t>
  </si>
  <si>
    <t>Робот: (Vision) Неправильный режим синхронизации.</t>
  </si>
  <si>
    <t>Робот: (Визуализация) Сейчас выполняется обработка визуализации.</t>
  </si>
  <si>
    <t>Робот: (Vision) Ошибка захвата изображения.</t>
  </si>
  <si>
    <t>Робот: (Визуализация) Истекло время ожидания или переполнение буфера.</t>
  </si>
  <si>
    <t>Робот: (Vision) Не удалось записать данные во флэш-память.</t>
  </si>
  <si>
    <t>Робот: (Vision) Протоданные не соответствуют действительности, поэтому выполнена инициализация.</t>
  </si>
  <si>
    <t>Робот: (Визуализация) Сбой обнаружения заготовки.</t>
  </si>
  <si>
    <t>Робот: (Vision) Ошибка инициализации. Код = XX</t>
  </si>
  <si>
    <t>Робот: (Vision) Ошибка системы Vision.</t>
  </si>
  <si>
    <t>Робот: (Vision) Указанный режим движения неверен.</t>
  </si>
  <si>
    <t>Робот: (Видение) Неправильные параметры камеры/проектора.</t>
  </si>
  <si>
    <t>Робот: (Vision) Неправильное назначение переключателя камеры.</t>
  </si>
  <si>
    <t>Робот: (Визуальное изображение) Этот самолет назначен для съемки другой камерой.</t>
  </si>
  <si>
    <t>Робот: (Vision) Edge не найден.</t>
  </si>
  <si>
    <t>Робот: (Видение) Некорректные данные HSI.</t>
  </si>
  <si>
    <t>Робот: (Vision) Ширина диапазона данных H превышает 128.</t>
  </si>
  <si>
    <t>Робот: (Vision) Для камеры не установлен блок ввода изображения на расстоянии.</t>
  </si>
  <si>
    <t>Робот: (Vision) Не удается рассчитать заданные точки ребер.</t>
  </si>
  <si>
    <t>Робот: (Vision) Проверьте тип таблицы преобразования цвета в настройках.</t>
  </si>
  <si>
    <t>Робот: (Зрение) Неправильный размер области.</t>
  </si>
  <si>
    <t>Робот: (Видение) Щелевое изображение не существует.</t>
  </si>
  <si>
    <t>Робот: (Визуализация) Неверное количество корреляционных векторов.</t>
  </si>
  <si>
    <t>Робот: (Видение) Некорректные векторные данные.</t>
  </si>
  <si>
    <t>Робот: (Vision) Настройки среды X-Fit не были заданы.</t>
  </si>
  <si>
    <t>Робот: (Vision) Мышь не инициализирована.</t>
  </si>
  <si>
    <t>Робот: Плата управления камерой (Vision) не установлена.</t>
  </si>
  <si>
    <t>Робот: Взрывозащищенный пульт управления не подключен.</t>
  </si>
  <si>
    <t>Робот: Шаг после XD(2)START должен быть LMOVE или HMOVE.</t>
  </si>
  <si>
    <t>Робот: Условие сигнала уже введено.</t>
  </si>
  <si>
    <t>Робот: Сигнал обнаружения открытия двери не является выделенным.</t>
  </si>
  <si>
    <t>Робот: Данные о местоположении не обнаружены.</t>
  </si>
  <si>
    <t>Робот: Неправильная настройка барьерного блока.</t>
  </si>
  <si>
    <t>Робот: Сигнал не обнаружен.</t>
  </si>
  <si>
    <t>Робот: Запястье больше нельзя выпрямить (единственная точка 1).</t>
  </si>
  <si>
    <t>Робот: Запястье больше нельзя согнуть (единственная точка 2).</t>
  </si>
  <si>
    <t>Робот: Поток продувочного воздуха недостаточен.</t>
  </si>
  <si>
    <t>Робот: Выход за пределы зоны движения XYZ.</t>
  </si>
  <si>
    <t>Робот: Внутри замкнутого пространства давление низкое.</t>
  </si>
  <si>
    <t>Робот: Относительное расстояние между орудиями слишком мало (ID:XX).</t>
  </si>
  <si>
    <t>Робот: В очереди программы нет свободной памяти.</t>
  </si>
  <si>
    <t>Робот: В очереди отложенного запуска отсутствует свободная память.</t>
  </si>
  <si>
    <t>Робот: Специальный сигнал не является специализированным.</t>
  </si>
  <si>
    <t>Робот: Рука робота вытягивается (сингулярная точка 3).</t>
  </si>
  <si>
    <t>Робот: Выход за пределы допустимых механических перемещений по осям XYZ.</t>
  </si>
  <si>
    <t>Робот: Ошибка на плате управления покрасочным оборудованием. (код XX)</t>
  </si>
  <si>
    <t>Робот: Панель управления покрасочным оборудованием не установлена.</t>
  </si>
  <si>
    <t>Робот: Идентификатор робота, отслеживаемого в системе, дублируется.</t>
  </si>
  <si>
    <t>Робот: (Взаимное ожидание) От робота другой стороны ответа нет.</t>
  </si>
  <si>
    <t>Робот: Дублирующиеся идентификаторы взаимного ожидания.</t>
  </si>
  <si>
    <t>Робот: (Mutual-Wait) Ошибка связи в Mutual-Wait.(ID:XX)</t>
  </si>
  <si>
    <t>Робот: Запястье не может согнуться дальше влево/вправо (Единственная точка 1).</t>
  </si>
  <si>
    <t>Робот: (Связь синхронизации конвейера) Это ошибка приема данных о положении конвейера.</t>
  </si>
  <si>
    <t>Робот: Оружие находится слишком близко в направлении X (ID:XX).</t>
  </si>
  <si>
    <t>Робот: Оружие находится слишком близко в направлении оси Y (ID:XX).</t>
  </si>
  <si>
    <t>Робот: Орудия расположены слишком близко друг к другу в направлении оси Z (ID:XX).</t>
  </si>
  <si>
    <t>Робот: [СервоплатаXX] Несоответствие внутреннего давления в цепи безопасности.</t>
  </si>
  <si>
    <t>Робот: [СервоплатаXX] Внутри корпуса низкое давление.</t>
  </si>
  <si>
    <t>Робот: Идентификатор робота, отслеживаемого мониторингом, недействителен.</t>
  </si>
  <si>
    <t>Робот: [Плата управления продувкой] Давление внутри корпуса низкое (во время продувки).</t>
  </si>
  <si>
    <t>Робот: Ошибка в работе покрасочного оборудования. (код XX)</t>
  </si>
  <si>
    <t>Робот: Команда поворота стола картриджа выдает ошибку.</t>
  </si>
  <si>
    <t>Робот: Невозможно изменить программу таблицы картриджей. (КОД: XX)</t>
  </si>
  <si>
    <t>Робот: (Ценность ревизии commu) Невозможно разделить движение, потому что невозможно создать фрейм.</t>
  </si>
  <si>
    <t>Робот: Неравномерность значения пересмотра превышает допустимый уровень.</t>
  </si>
  <si>
    <t>Робот: Значение Rvision (commu) Невозможно изменить программу, поскольку сейчас выполняется операция перемещения rivisionsection.</t>
  </si>
  <si>
    <t>Робот: Текущее предельное состояние оси насоса превысило разрешенное время.(JTXX)</t>
  </si>
  <si>
    <t>Робот: Одновременно с этим роботы вторглись в зону помех.</t>
  </si>
  <si>
    <t>Робот: Соответствующего кода FN616 до FN617 не существует.</t>
  </si>
  <si>
    <t>Робот: После FN616 нет соответствующего FN617.</t>
  </si>
  <si>
    <t>Робот: Невозможно изменить режим синхронизации в системе синхронизации конвейера.</t>
  </si>
  <si>
    <t>Робот: Количество выполнений Mutual-Wait отличается от ID=XX (CODE:XX)</t>
  </si>
  <si>
    <t>Робот: Отсутствует плата интерфейса для пайки.</t>
  </si>
  <si>
    <t>Робот: Интерфейсная плата сварки №2 не обнаружена.</t>
  </si>
  <si>
    <t>Робот: Отключение электрической дуги.</t>
  </si>
  <si>
    <t>Робот: Провод застрял.</t>
  </si>
  <si>
    <t>Робот: Сбой запуска дуги.</t>
  </si>
  <si>
    <t>Робот: Дефект изоляции при дуговой сварке.</t>
  </si>
  <si>
    <t>Робот: Помехи от факела.</t>
  </si>
  <si>
    <t>Робот: Незаконная интерполяция данных.</t>
  </si>
  <si>
    <t>Робот: Отсутствует плата ЦАП для управления соотношением полярностей.</t>
  </si>
  <si>
    <t>Робот: Направление считывания не определено.</t>
  </si>
  <si>
    <t>Робот: Недостаточное количество точек измерения.</t>
  </si>
  <si>
    <t>Робот: Неопределенная материнская или дочерняя заготовка.</t>
  </si>
  <si>
    <t>Робот: Слишком много точек измерения.</t>
  </si>
  <si>
    <t>Робот: Неверные технические характеристики заготовки.</t>
  </si>
  <si>
    <t>Робот: Указана неверная точка измерения.</t>
  </si>
  <si>
    <t>Робот: Сбой проверки проводки.</t>
  </si>
  <si>
    <t>Робот: Неверный номер состояния сварного шва.</t>
  </si>
  <si>
    <t>Робот: Данные о состоянии сварного шва отсутствуют.</t>
  </si>
  <si>
    <t>Робот: Данные о состоянии сварного шва выходят за пределы допустимого диапазона.</t>
  </si>
  <si>
    <t>Робот: Значение, зафиксированное лазерным датчиком, превышено.</t>
  </si>
  <si>
    <t>Робот: Помимо возможностей отслеживания с помощью лазерного датчика.</t>
  </si>
  <si>
    <t>Робот: Лазерный датчик не может обнаружить сварочный шов.</t>
  </si>
  <si>
    <t>Робот: Данные калибровки между фонариком и камерой пока недоступны.</t>
  </si>
  <si>
    <t>Робот: Ошибка в данных, рассчитанных с помощью лазерного датчика.</t>
  </si>
  <si>
    <t>Робот: Не удается обнаружить сварной шов, отслеживание лазерным датчиком уже настроено.</t>
  </si>
  <si>
    <t>Робот: От контроллера лазерного датчика ответа нет.</t>
  </si>
  <si>
    <t>Робот: Ошибка связи с лазерным датчиком. Код ошибки: XX.</t>
  </si>
  <si>
    <t>Робот: Лазерный датчик не обнаружил начальную точку.</t>
  </si>
  <si>
    <t>Робот: Лазерный датчик не обнаружил конечную точку.</t>
  </si>
  <si>
    <t>Робот: Невозможно использовать круговую интерпретацию с функцией лазерного датчика.</t>
  </si>
  <si>
    <t>Робот: Не удается включить лазер, так как питание двигателя выключено.</t>
  </si>
  <si>
    <t>Робот: Отсутствует плата связи с лазерным датчиком.</t>
  </si>
  <si>
    <t>Робот: Плата RTPM отсутствует.</t>
  </si>
  <si>
    <t>Робот: Слишком много тем для обучения в режиме реального времени.</t>
  </si>
  <si>
    <t>Робот: Ошибка датчика дуги RTPM.</t>
  </si>
  <si>
    <t>Робот: Ошибка отклонения тока RTPM.</t>
  </si>
  <si>
    <t>Робот: Значение параметра отслеживания RTPM выходит за пределы допустимого диапазона.</t>
  </si>
  <si>
    <t>Робот: Помимо возможностей отслеживания RTPM.</t>
  </si>
  <si>
    <t>Робот: Значение параметра отслеживания AVC выходит за пределы допустимого диапазона.</t>
  </si>
  <si>
    <t>Робот: Помимо возможностей отслеживания AVC.</t>
  </si>
  <si>
    <t>Робот: Плата AVC отсутствует.</t>
  </si>
  <si>
    <t>Робот: Ошибка отклонения напряжения AVC.</t>
  </si>
  <si>
    <t>Робот: Слишком много тем для изучения в рамках AVC.</t>
  </si>
  <si>
    <t>Робот: Значение отслеживания Hyper Arc выходит за пределы допустимого диапазона.</t>
  </si>
  <si>
    <t>Робот: Возможности отслеживания, превосходящие возможности Hyper Arc.</t>
  </si>
  <si>
    <t>Робот: Конец бусины не найден.</t>
  </si>
  <si>
    <t>Робот: Конечная точка не найдена.</t>
  </si>
  <si>
    <t>Робот: Революция Hyper Arc, выходящая за рамки обычного отклонения.</t>
  </si>
  <si>
    <t>Робот: Ошибка калибровки горелки Hyper Arc.</t>
  </si>
  <si>
    <t>Робот: Ошибка фазового индекса Hyper Arc Z.</t>
  </si>
  <si>
    <t>Робот: Плата Hyper Arc отсутствует.</t>
  </si>
  <si>
    <t>Робот: Ошибка платы Hyper Arc. Код ошибки: XX.</t>
  </si>
  <si>
    <t>Робот: Ошибка датчика тока Hyper Arc.</t>
  </si>
  <si>
    <t>Робот: Ошибка датчика напряжения Hyper Arc.</t>
  </si>
  <si>
    <t>Робот: Ошибка отклонения тока Hyper Arc.</t>
  </si>
  <si>
    <t>Робот: Ошибка усилителя Hyper Arc. Код ошибки XX.</t>
  </si>
  <si>
    <t>Робот: Отсутствует плата управления подачей проводов.</t>
  </si>
  <si>
    <t>Робот: Ошибка управления подачей провода, код ошибки XX.</t>
  </si>
  <si>
    <t>Робот: Ошибка отклонения скорости подачи проволоки.</t>
  </si>
  <si>
    <t>Робот: Не удается повторно откалибровать сварку в процессе.</t>
  </si>
  <si>
    <t>Робот: Сварка невозможна, выполняется повторная калибровка.</t>
  </si>
  <si>
    <t>Робот: Электрический столб застрял.</t>
  </si>
  <si>
    <t>Робот: Ошибка системы отслеживания KHITS. (код = XX)</t>
  </si>
  <si>
    <t>Робот: Последовательность инструкций по дуговой сварке неверна.</t>
  </si>
  <si>
    <t>Робот: Интерфейсная плата для дуговой сварки (1LN) не установлена ​​(робот XX).</t>
  </si>
  <si>
    <t>Робот: Инструкции FN выполняются не в правильном порядке.</t>
  </si>
  <si>
    <t>Робот: Ошибка системы отслеживания KLS (код=XX)</t>
  </si>
  <si>
    <t>Робот: Не удалось выполнить команду для системы слежения. (cmd=XX)</t>
  </si>
  <si>
    <t>Робот: Обученные данные превышают предельный уровень склонности для компенсации.</t>
  </si>
  <si>
    <t>Робот: Невозможно выполнить, так как сейчас идет сварка.</t>
  </si>
  <si>
    <t>Робот: Выполнение невозможно, так как провод медленно втягивается/сматывается.</t>
  </si>
  <si>
    <t>Робот: Отсутствует точка обучения для кругового движения.</t>
  </si>
  <si>
    <t>Робот: Сварочный аппарат неисправен (код = XX).</t>
  </si>
  <si>
    <t>Робот: Обнаружение канавки: край не обнаружен.</t>
  </si>
  <si>
    <t>Робот: Обнаружение канавки: ошибка зазора.</t>
  </si>
  <si>
    <t>Робот: Сварочный аппарат не готов к работе. (код=XX)</t>
  </si>
  <si>
    <t>Робот: Отклонение слишком велико. Сброс позволяет выполнять движение без коррекции.</t>
  </si>
  <si>
    <t>Робот: Процесс измерения был прерван из-за отключения питания. Восстановите шаг и повторите попытку.</t>
  </si>
  <si>
    <t>Робот: Инструкции KI запрограммированы не в правильном порядке.</t>
  </si>
  <si>
    <t>Робот: Ошибка отклонения скорости оси инструмента.</t>
  </si>
  <si>
    <t>Робот: Неверный номер состояния оси инструмента.</t>
  </si>
  <si>
    <t>Робот: Данные о состоянии осей инструмента отсутствуют.</t>
  </si>
  <si>
    <t>Робот: Данные о состоянии осей инструмента выходят за пределы допустимого диапазона.</t>
  </si>
  <si>
    <t>Робот: Плетение невозможно без задания воображаемого направления движения.</t>
  </si>
  <si>
    <t>Робот: Невозможно выполнить, поскольку дуга включена.</t>
  </si>
  <si>
    <t>Робот: Сервопривод сварочного пистолета отключен.</t>
  </si>
  <si>
    <t>Робот: Данные о местоположении включают информацию о статусе выпущенного оружия.</t>
  </si>
  <si>
    <t>Робот: Пункт назначения находится далеко от целевой точки.</t>
  </si>
  <si>
    <t>Робот: Расстояние зазора у пистолета GunXX установлено на 0 мм.</t>
  </si>
  <si>
    <t>Робот: Изменение износа наконечника пистолета превышает допустимый предел. (ДВИЖУЩАЯСЯ СТОРОНА)</t>
  </si>
  <si>
    <t>Робот: Изменение износа наконечника пистолета превышает допустимый предел. (ФИКСИРОВАННАЯ СТОРОНА)</t>
  </si>
  <si>
    <t>Робот: Номер зажима или номер пистолета не соответствуют сервоприводному сварочному пистолету.</t>
  </si>
  <si>
    <t>Робот: В первом этапе изменить данные основания наконечника невозможно, поскольку скорость износа наконечника не задана.</t>
  </si>
  <si>
    <t>Робот: Независимый контроль за оборотом оружия не завершен.</t>
  </si>
  <si>
    <t>Робот: Ограничение по току для сервоприводного сварочного пистолета является ненормальным.</t>
  </si>
  <si>
    <t>Робот: Не удалось изменить текущий лимит JtXX.</t>
  </si>
  <si>
    <t>Робот: Исправление невозможно из-за превышения предельного значения изменения толщины.</t>
  </si>
  <si>
    <t>Робот: Невозможно выполнить коррекцию на этапе фиксированного движения.</t>
  </si>
  <si>
    <t>Робот: Исправление невозможно, так как толщина выходит за пределы допустимого диапазона.</t>
  </si>
  <si>
    <t>Робот: Невозможно исправить, поскольку величина корректировки выходит за пределы допустимого диапазона.</t>
  </si>
  <si>
    <t>Робот: Не удаётся достичь положения зажима.</t>
  </si>
  <si>
    <t>Робот: Возможно, заряд батареи энкодера пистолета уменьшился.</t>
  </si>
  <si>
    <t>Робот: Нельзя одновременно использовать управление обратной связью по усилию и кнопку Stage Dec Press.</t>
  </si>
  <si>
    <t>Робот: Значение обратной связи по усилию во время сварки является аномальным.</t>
  </si>
  <si>
    <t>Робот: Невозможно выполнить сброс программы, поскольку она находится не в исходном положении XX.</t>
  </si>
  <si>
    <t>Робот: JtXX Обнаружен неожиданный шок.</t>
  </si>
  <si>
    <t>Робот: Ошибка процесса AC Fail = XX</t>
  </si>
  <si>
    <t>Робот: Неверные данные настройки последовательности питания.</t>
  </si>
  <si>
    <t>Робот: Угол между JTXX выходит за пределы допустимого диапазона в начальной точке.</t>
  </si>
  <si>
    <t>Робот: Угол между JTXX выходит за пределы допустимого диапазона в конечной точке.</t>
  </si>
  <si>
    <t>Робот: Угол между JTXX выходит за пределы допустимого диапазона.</t>
  </si>
  <si>
    <t>Робот: После SC1MOVE требуется инструкция SC1MOVE или SC2MOVE.</t>
  </si>
  <si>
    <t>Робот: Инструкция SC1MOVE необходима перед инструкцией SC2MOVE.</t>
  </si>
  <si>
    <t>Робот: Выполнение невозможно, условия интерполяции не выполнены.</t>
  </si>
  <si>
    <t>Робот: Не могу двигаться в текущей позе.</t>
  </si>
  <si>
    <t>Робот: Номер бита управления тормозами дублируется.</t>
  </si>
  <si>
    <t>Робот: После команды L3C1MOVE требуется инструкция L3C1MOVE или L3C2MOVE.</t>
  </si>
  <si>
    <t>Робот: Инструкция L3C1MOVE необходима перед инструкцией L3C2MOVE.</t>
  </si>
  <si>
    <t>Робот: Указанный параметр не является согласованным.</t>
  </si>
  <si>
    <t>Робот: Данные о положении для эвакуации не заданы.</t>
  </si>
  <si>
    <t>Робот: [Основная плата ЦП] Связь по протоколу UDP не поддерживается.</t>
  </si>
  <si>
    <t>Робот: Ошибка UDP-связи (КОД: XX)</t>
  </si>
  <si>
    <t>Робот: [Cubic-S]Системная ошибка.(код:XX XX)</t>
  </si>
  <si>
    <t>Робот: [Cubic-S]Ошибка связи с Cubic-S.(код:XX)</t>
  </si>
  <si>
    <t>Робот: [Cubic-S]Cubic-S не установлен.</t>
  </si>
  <si>
    <t>Робот: [Cubic-S]Ошибка инициализации.</t>
  </si>
  <si>
    <t>Робот: [Cubic-S] Несоответствие параметров между контроллером робота и Cubic-S. (Cubic-S)</t>
  </si>
  <si>
    <t>Робот: [Cubic-S] Несоответствие параметров между контроллером робота и Cubic-S.(AS)</t>
  </si>
  <si>
    <t>Робот: [Cubic-S]Робот вышел за пределы всегда разрешенного пространства. (код: XX XX)</t>
  </si>
  <si>
    <t>Робот: [Cubic-S]Робот вышел за пределы выделенного пространства.(код:XX XX)</t>
  </si>
  <si>
    <t>Робот: [Cubic-S]Робот находится в постоянно запрещенном пространстве. (код: XX XX)</t>
  </si>
  <si>
    <t>Робот: [Cubic-S]Робот находится в избирательно запрещенном пространстве. (код: XX XX)</t>
  </si>
  <si>
    <t>Робот: [Cubic-S]Робот вышел за пределы контролируемого диапазона осей. (код: XX XX)</t>
  </si>
  <si>
    <t>Робот: Скорость робота [Cubic-S] превысила 250 мм/с. (код: XX XX)</t>
  </si>
  <si>
    <t>Робот: [Cubic-S]Робот превысил заданную скорость. (код: XX XX)</t>
  </si>
  <si>
    <t>Робот: Ошибка кубического отклонения (код: XX XX)</t>
  </si>
  <si>
    <t>Робот: [Cubic-S] Ошибка значения кодировщика.(код:XX XX)</t>
  </si>
  <si>
    <t>Робот: [Cubic-S]Ошибка команды.(код:XX XX)</t>
  </si>
  <si>
    <t>Робот: [Cubic-S]Внезапное изменение значения enc. (код: XX XX)</t>
  </si>
  <si>
    <t>Робот: [Cubic-S]Ошибка блока безопасности. (код: XX XX)</t>
  </si>
  <si>
    <t>Робот: Номера инструментов [Cubic-S] не совпадают. (код: XX XX)</t>
  </si>
  <si>
    <t>Робот: [Cubic-S] Внешнее защитное реле приварено. (код: XX XX)</t>
  </si>
  <si>
    <t>Робот: [Cubic-S]Сбой в проводке защитных входов/выходов. (код: XX XX)</t>
  </si>
  <si>
    <t>Робот: [Cubic-S]Мощность упала.(код:XX XX)</t>
  </si>
  <si>
    <t>Робот: [Cubic-S]Ошибка связи с основной платой ЦП.(код:XX XX)</t>
  </si>
  <si>
    <t>Робот: [Cubic-S] Ошибка связи кодировщика. (код: XX XX)</t>
  </si>
  <si>
    <t>Робот: [Cubic-S]Сбой энкодера.(код:XX XX)</t>
  </si>
  <si>
    <t>Робот: Значения параметров в кубической системе перезаписываются (код: XX XX).</t>
  </si>
  <si>
    <t>Робот: Данные инструмента [Cubic-S]Tool отличаются от данных, определяющих номер формы инструмента.</t>
  </si>
  <si>
    <t>Робот: [Cubic-S]Ошибка совпадения состояния защитных входов.(код:XX XX)</t>
  </si>
  <si>
    <t>Робот: [Cubic-S] Параметр выходит за пределы допустимого диапазона. (код: XX XX)</t>
  </si>
  <si>
    <t>Робот: Статическая сила [Cubic-S] превысила пороговое значение. (код XX XX)</t>
  </si>
  <si>
    <t>Робот: [Кубическая сила удара превысила пороговое значение. (код XX XX)</t>
  </si>
  <si>
    <t>Робот: [Cubic-S] Текущее отклонение является ненормальным. (код XX XX)</t>
  </si>
  <si>
    <t>Робот: [Cubic-S] Ошибка настройки функции мониторинга принуждения. (код XX XX)</t>
  </si>
  <si>
    <t>Робот: Cubic-S не поддерживает функцию принудительного мониторинга.</t>
  </si>
  <si>
    <t>Робот: [Cubic-S]Разница между фазными токами U и V является ненормальной. (код XX XX)</t>
  </si>
  <si>
    <t>Робот: Контроллер робота [Cubic-S] обнаружил превышение статической силы.</t>
  </si>
  <si>
    <t>Робот: Контроллер робота [Cubic-S] обнаружил превышение силы удара.</t>
  </si>
  <si>
    <t>Робот: Не в кооперативном режиме.</t>
  </si>
  <si>
    <t>Робот: Не сопоставляйте общее количество инструкций по выполнению движений в кооперативном режиме.</t>
  </si>
  <si>
    <t>Робот: Отключите пошаговые инструкции по выполнению движений в кооперативном режиме.</t>
  </si>
  <si>
    <t>Робот: Данная инструкция не может быть использована в кооперативном режиме.</t>
  </si>
  <si>
    <t>Робот: Номер недействительной кооперативной группы.</t>
  </si>
  <si>
    <t>Робот: Робота JMASTER нет.</t>
  </si>
  <si>
    <t>Робот: Сенсорное управление в кооперативном режиме не поддерживается.</t>
  </si>
  <si>
    <t>Робот: Робот JMASTER уже существует.</t>
  </si>
  <si>
    <t>Робот: Робот WSLAVE уже существует.</t>
  </si>
  <si>
    <t>Робот: В кооперативном режиме перемещение с фиксированной точкой не поддерживается.</t>
  </si>
  <si>
    <t>Робот: Робота WSLAVE нет.</t>
  </si>
  <si>
    <t>Робот: Не синхронизировано.</t>
  </si>
  <si>
    <t>Робот: Невозможно продолжить несовместное обучение в режиме совместного обучения.</t>
  </si>
  <si>
    <t>Робот: Нет главного робота.</t>
  </si>
  <si>
    <t>Робот: Нет робота-раба.</t>
  </si>
  <si>
    <t>Робот: Сервопривод открыт на этапе включения зажима (CLAMP=XX).</t>
  </si>
  <si>
    <t>Робот: Положение зажима сервопривода стрелы является ошибочным (CLAMP=XX).</t>
  </si>
  <si>
    <t>Робот: Сигнал блокировки шарниров NC не выключен.</t>
  </si>
  <si>
    <t>Робот: Интерполяция, за исключением совместной интерполяции, недоступна.</t>
  </si>
  <si>
    <t>Робот: Программа пытается переместить ось Матехана, не снимая её с оси.</t>
  </si>
  <si>
    <t>Робот: Номер Матехана указан неверно.</t>
  </si>
  <si>
    <t>Робот: (FSJ)Ошибка условия обработки.</t>
  </si>
  <si>
    <t>Робот: Разница превышала нижний предел положительного значения.</t>
  </si>
  <si>
    <t>Робот: Глубина проникновения достигнута за минимальное время обработки.</t>
  </si>
  <si>
    <t>Робот: Не удалось достичь заданной глубины проникновения в установленный срок.</t>
  </si>
  <si>
    <t>Робот: Напорный трос отсоединен.</t>
  </si>
  <si>
    <t>Робот: Пожалуйста, введите два или более заданных значения давления.</t>
  </si>
  <si>
    <t>Робот: Пожалуйста, введите данные в порядке возрастания.</t>
  </si>
  <si>
    <t>Робот: FSJ COUNTER ALARM.XX</t>
  </si>
  <si>
    <t>Робот: (FSJ) Данные настройки расписания FSJ неверны.</t>
  </si>
  <si>
    <t>Робот: Установленное усилие на кончике превышает допустимый предел.</t>
  </si>
  <si>
    <t>Робот: Установленная скорость вращения превышает допустимый предел.</t>
  </si>
  <si>
    <t>Робот: Буфер логирования FSW заполнен.</t>
  </si>
  <si>
    <t>Робот: Штифт или плечо не могут быть доставлены в пункт назначения в назначенное время. (код XX)</t>
  </si>
  <si>
    <t>Робот: Не удаётся подключить пистолет, потому что значение энкодера отличается.</t>
  </si>
  <si>
    <t>Робот: (FSW)Ошибка условий обработки. XX</t>
  </si>
  <si>
    <t>Робот: Зазор превышал нижний допустимый предел (XX мм).</t>
  </si>
  <si>
    <t>Робот: Глубина проникновения достигнута за минимальное время обработки. (XX мм)</t>
  </si>
  <si>
    <t>Робот: Не удалось достичь заданной глубины проникновения в установленный срок (XX мм).</t>
  </si>
  <si>
    <t>Робот: Счетчик срабатывания сигнализации FSW. (Инструмент XX)</t>
  </si>
  <si>
    <t>Робот: Сигнализация FSW COUNTER ALARM. (Подсказка)</t>
  </si>
  <si>
    <t>Робот: (FSW) Данные о настройке расписания FSW являются ненормальными.</t>
  </si>
  <si>
    <t>Робот: Тайм-аут трения.</t>
  </si>
  <si>
    <t>Робот: Таймаут подачи тепла.</t>
  </si>
  <si>
    <t>Робот: Пин Хед не смог добраться до места назначения в назначенное время. (STAGEXX)</t>
  </si>
  <si>
    <t>Робот: Текущее значение превысило виртуальный защитный барьер. (SphereXX, LineXX)</t>
  </si>
  <si>
    <t>Робот: Текущее значение превысило виртуальный защитный барьер. (SphereXX, ZUpper)</t>
  </si>
  <si>
    <t>Робот: Текущее значение превысило виртуальный защитный барьер. (SphereXX, ZLower)</t>
  </si>
  <si>
    <t>Робот: Текущее значение вторглось в ограниченное пространство. (SphereXX, Part.XX LineXX)</t>
  </si>
  <si>
    <t>Робот: Текущее значение вторглось в ограниченное пространство. (SphereXX, Part.XX ZUpper)</t>
  </si>
  <si>
    <t>Робот: Текущее значение вторглось в ограниченное пространство. (SphereXX, Part.XX ZLower)</t>
  </si>
  <si>
    <t>Робот: Текущая стоимость превысила виртуальный защитный барьер. (ToolBox, LineXX)</t>
  </si>
  <si>
    <t>Робот: Текущее значение превысило виртуальный защитный барьер. (ToolBox, ZUpper)</t>
  </si>
  <si>
    <t>Робот: Текущее значение превысило виртуальный защитный барьер. (ToolBox, ZLower)</t>
  </si>
  <si>
    <t>Робот: Текущее значение вышло за пределы допустимого пространства. (Инструментарий, Часть XX)</t>
  </si>
  <si>
    <t>Робот: Текущая стоимость превысила виртуальный защитный барьер. (LinkXX, LineXX)</t>
  </si>
  <si>
    <t>Робот: Текущая стоимость превысила виртуальный защитный барьер. (LinkXX, ZUpper)</t>
  </si>
  <si>
    <t>Робот: Текущая стоимость превысила виртуальный защитный барьер. (LinkXX, ZLower)</t>
  </si>
  <si>
    <t>Робот: Текущее значение вторглось в ограниченное пространство. (СсылкаXX, Часть XX, СтрокаXX)</t>
  </si>
  <si>
    <t>Робот: Текущее значение вторглось в ограниченное пространство. (LinkXX, Part.XX ZUpper)</t>
  </si>
  <si>
    <t>Робот: Текущее значение вторглось в ограниченное пространство. (LinkXX, Part.XX ZLower)</t>
  </si>
  <si>
    <t>Робот: Рука проникла в точку XX VSF.</t>
  </si>
  <si>
    <t>Робот: Движение робота отключено.</t>
  </si>
  <si>
    <t>Робот: Не удалось предсказать траекторию.</t>
  </si>
  <si>
    <t>Робот: Обнаружено промах мимо цели.(XXXX, XX XXXX)</t>
  </si>
  <si>
    <t>Робот: От пункта проверки на наличие помех ответа не получено.</t>
  </si>
  <si>
    <t>Робот: Ошибка связи между платой проверки помех и платой управления ARM.</t>
  </si>
  <si>
    <t>Робот: Количество роботов слишком велико.</t>
  </si>
  <si>
    <t>Робот: [ПРОВЕРОЧНАЯ ПЛАТФОРМА ДЛЯ ОТСЛЕЖИВАНИЯ ПОМЕХ] Превышено время обработки.</t>
  </si>
  <si>
    <t>Робот: [ПРОВЕРКА НА ПОМЕХИ] Невозможно получить данные с платы управления ARM.</t>
  </si>
  <si>
    <t>Робот: [Плата управления ARM] Невозможно получить данные с контрольной платы помех.</t>
  </si>
  <si>
    <t>Робот: Ошибка связи между сервером IL и платой управления ARM.</t>
  </si>
  <si>
    <t>Робот: Кабель между сервером IL и платой управления ARM отсоединен.</t>
  </si>
  <si>
    <t>Робот: Разрешение на эксплуатацию от Контролера проверки помех получить невозможно.</t>
  </si>
  <si>
    <t>Робот: Обнаруженный крутящий момент при наличии нагрузки является ненормальным.</t>
  </si>
  <si>
    <t>Робот: Обнаруженный крутящий момент при отсутствии нагрузки является ненормальным.</t>
  </si>
  <si>
    <t>Робот: Остановка произошла из-за поступления сигнала ограничения движения.</t>
  </si>
  <si>
    <t>Робот: Джойстик JTXX отключен.</t>
  </si>
  <si>
    <t>Робот: Переполнение сторожевого таймера (RSC).</t>
  </si>
  <si>
    <t>Робот: Ошибка перенапряжения (3,3 В)</t>
  </si>
  <si>
    <t>Робот: Ошибка перенапряжения (5 В)</t>
  </si>
  <si>
    <t>Робот: (RSC) Время обработки данных истекло.</t>
  </si>
  <si>
    <t>Робот: Произошла ошибка RSC (код: 54).</t>
  </si>
  <si>
    <t>Робот: (RSC) Ошибка передачи номера робота, ошибка межпроцессорной связи.</t>
  </si>
  <si>
    <t>Робот: RSC) Состояние работы RSC, ошибка межпроцессорной связи.</t>
  </si>
  <si>
    <t>Робот: Ошибка межпроцессорной связи (RSC) на выходе ввода/вывода.</t>
  </si>
  <si>
    <t>Робот: Проверка ввода-вывода RSC, ошибка межпроцессорной связи.</t>
  </si>
  <si>
    <t>Робот: (RSC) Управление расписанием, ошибка синхронизации таймера.</t>
  </si>
  <si>
    <t>Робот: (RSC) Основной модуль, ошибка межпроцессорной связи.</t>
  </si>
  <si>
    <t>Робот: (RSC)Ошибка межпроцессорной связи в рабочей части.</t>
  </si>
  <si>
    <t>Робот: RSC) Ошибка ввода номера инструмента, ошибка межпроцессорной связи.</t>
  </si>
  <si>
    <t>Робот: Фильтрация портов ввода-вывода RSC, ошибка межпроцессорной связи.</t>
  </si>
  <si>
    <t>Робот: (RSC) Диагностика робота, ошибка межпроцессорной связи.</t>
  </si>
  <si>
    <t>Робот: RSC) Произошла ошибка RSC. (код: 5F)</t>
  </si>
  <si>
    <t>Робот: Ошибка записи микросхемы Ethernet (RSC).</t>
  </si>
  <si>
    <t>Робот: Система микросхем Ethernet (RSC). Обрыв цепи.</t>
  </si>
  <si>
    <t>Робот: RSC) Произошла ошибка RSC. (код: 62)</t>
  </si>
  <si>
    <t>Робот: Произошла ошибка RSC (код: 63).</t>
  </si>
  <si>
    <t>Робот: Произошла ошибка RSC (код: 64).</t>
  </si>
  <si>
    <t>Робот: RSC)Ошибка добавления записи в журнал.</t>
  </si>
  <si>
    <t>Робот: RSC)Ошибка при получении журнала.</t>
  </si>
  <si>
    <t>Робот: RSC) Ошибка записи журнала ошибок.</t>
  </si>
  <si>
    <t>Робот: Произошла ошибка RSC (код: 68).</t>
  </si>
  <si>
    <t>Робот: Произошла ошибка RSC (код: 69).</t>
  </si>
  <si>
    <t>Робот: RSC)Текущая ошибка инициализации времени.</t>
  </si>
  <si>
    <t>Робот: RSC) Ошибка получения текущего времени.</t>
  </si>
  <si>
    <t>Робот: RSC) Ошибка установки текущего значения времени.</t>
  </si>
  <si>
    <t>Робот: Произошла ошибка RSC (код: 6D).</t>
  </si>
  <si>
    <t>Робот: RSC) Произошла ошибка RSC. (код: 6E)</t>
  </si>
  <si>
    <t>Робот: RSC) Произошла ошибка RSC. (код: 6F)</t>
  </si>
  <si>
    <t>Робот: Ошибка ЦП (RSC).</t>
  </si>
  <si>
    <t>Робот: (RSC) Ошибка памяти.</t>
  </si>
  <si>
    <t>Робот: Сбой обмена данными о состоянии ЦП (RSC).</t>
  </si>
  <si>
    <t>Робот: RSC) Ошибка CRC прошивки.</t>
  </si>
  <si>
    <t>Робот: Ошибка CRC параметра RSC.</t>
  </si>
  <si>
    <t>Робот: Произошла ошибка RSC (код: 75).</t>
  </si>
  <si>
    <t>Робот: Ошибка CRC MAC-адреса (RSC).</t>
  </si>
  <si>
    <t>Робот: RSC)Сбой инициализации в режиме «резервного питания при отключении питания».</t>
  </si>
  <si>
    <t>Робот: Произошла ошибка RSC (код: 78).</t>
  </si>
  <si>
    <t>Робот: Произошла ошибка RSC (код: 79).</t>
  </si>
  <si>
    <t>Робот: Ошибка процесса мониторинга источника питания (RSC).</t>
  </si>
  <si>
    <t>Робот: Ошибка проверки импульса (RSC).</t>
  </si>
  <si>
    <t>Робот: RSC) Ошибка чтения.</t>
  </si>
  <si>
    <t>Робот: RSC) Ошибка проверки контактов реле.</t>
  </si>
  <si>
    <t>Робот: Ошибка перекрестной проверки (RSC).</t>
  </si>
  <si>
    <t>Робот: RSC) Ошибка проверки несоответствия входных данных.</t>
  </si>
  <si>
    <t>Робот: (RSC) Тайм-аут при первом приеме данных кодировщика.</t>
  </si>
  <si>
    <t>Робот: Ошибка работы RSC)FPGA.</t>
  </si>
  <si>
    <t>Робот: RSC) Произошла ошибка RSC. (код: 82)</t>
  </si>
  <si>
    <t>Робот: Произошла ошибка RSC (код: 83).</t>
  </si>
  <si>
    <t>Робот: Произошла ошибка RSC (код: 84).</t>
  </si>
  <si>
    <t>Робот: Произошла ошибка RSC (код: 85).</t>
  </si>
  <si>
    <t>Робот: Произошла ошибка RSC (код: 86).</t>
  </si>
  <si>
    <t>Робот: RSC) Ошибка в номере осей значения команды.</t>
  </si>
  <si>
    <t>Робот: Ошибка параметра RSC (номер оси / номер инструмента).</t>
  </si>
  <si>
    <t>Робот: Ошибка CRC в разделе ввода значения команды (RSC).</t>
  </si>
  <si>
    <t>Робот: (RSC)Сбой передачи номера робота.</t>
  </si>
  <si>
    <t>Робот: (RSC)Первое значение команды истекло по времени.</t>
  </si>
  <si>
    <t>Робот: Связь по протоколу RSC (USB) невозможна.</t>
  </si>
  <si>
    <t>Робот: RSC)повреждение байтового номера значения команды.</t>
  </si>
  <si>
    <t>Робот: RSC)Тайм-аут распознавания USB-устройства.</t>
  </si>
  <si>
    <t>Робот: RSC) значение команды истекло по времени.</t>
  </si>
  <si>
    <t>Робот: Произошла ошибка RSC (код: 90).</t>
  </si>
  <si>
    <t>Робот: RSC) Произошла ошибка RSC. (код: 91)</t>
  </si>
  <si>
    <t>Робот: RSC)Сбой чтения параметра RSC.</t>
  </si>
  <si>
    <t>Робот: RSC) Ошибка номера робота.</t>
  </si>
  <si>
    <t>Робот: Ошибка перемещения данных кодировщика (RSC).</t>
  </si>
  <si>
    <t>Робот: Несоответствие параметров RSC и данных обнуления RC.</t>
  </si>
  <si>
    <t>Робот: Количество повторных попыток связи по протоколу RSC (TCP) превысило допустимый предел.</t>
  </si>
  <si>
    <t>Робот: Ошибка номера поворотного переключателя (RSC).</t>
  </si>
  <si>
    <t>Робот: Произошла ошибка RSC (код: 98).</t>
  </si>
  <si>
    <t>Робот: RSC) Произошла ошибка RSC. (код: 99)</t>
  </si>
  <si>
    <t>Робот: RSC) Диапазон установки параметров превышает допустимую погрешность.</t>
  </si>
  <si>
    <t>Робот: RSC) Ошибка при настройке параметров зоны мониторинга.</t>
  </si>
  <si>
    <t>Робот: RSC) Ошибка параметра при мониторинге TOOL.</t>
  </si>
  <si>
    <t>Робот: (RSC) Внутренняя ошибка в рабочей части.</t>
  </si>
  <si>
    <t>Робот: RSC) Произошла ошибка RSC. (код: 9E)</t>
  </si>
  <si>
    <t>Робот: RSC) Произошла ошибка RSC. (код: 9F)</t>
  </si>
  <si>
    <t>Робот: (RSC) Превышена безопасная скорость. (TCP)</t>
  </si>
  <si>
    <t>Робот: RSC) Скорость превышена. (точка фланца)</t>
  </si>
  <si>
    <t>Робот: (RSC) Верхний предел оси превышен.</t>
  </si>
  <si>
    <t>Робот: (RSC) Нижний предел оси превышен.</t>
  </si>
  <si>
    <t>Робот: (RSC) За пределами зоны действия SSL (частично ограниченная зона)</t>
  </si>
  <si>
    <t>Робот: (RSC) За пределами зоны действия SSL (зоны ограничений)</t>
  </si>
  <si>
    <t>Робот: (RSC) За пределами зоны SSF.</t>
  </si>
  <si>
    <t>Робот: Ошибка обработки подтверждения позиционирования (RSC).</t>
  </si>
  <si>
    <t>Робот: Ошибка проверки RSC)TOOL.</t>
  </si>
  <si>
    <t>Робот: (RSC) Ошибка расстояния между фланцами.</t>
  </si>
  <si>
    <t>Робот: RSC) Произошла ошибка RSC. (код: EA)</t>
  </si>
  <si>
    <t>Робот: RSC) Произошла ошибка RSC. (код: EB)</t>
  </si>
  <si>
    <t>Робот: RSC) Произошла ошибка RSC. (код: EC)</t>
  </si>
  <si>
    <t>Робот: RSC) Произошла ошибка RSC. (код: EE)</t>
  </si>
  <si>
    <t>Робот: RSC) Произошла ошибка RSC. (код: EF)</t>
  </si>
  <si>
    <t>Робот: RSC) Произошла ошибка RSC. (код: F0)</t>
  </si>
  <si>
    <t>Робот: Произошла ошибка RSC (код: F1).</t>
  </si>
  <si>
    <t>Робот: RSC) Произошла ошибка RSC. (код: F2)</t>
  </si>
  <si>
    <t>Робот: Произошла ошибка RSC (код: F3).</t>
  </si>
  <si>
    <t>Робот: RSC) Произошла ошибка RSC. (код: F4)</t>
  </si>
  <si>
    <t>Робот: Произошла ошибка RSC (код: F5).</t>
  </si>
  <si>
    <t>Робот: Произошла ошибка RSC (код: F6).</t>
  </si>
  <si>
    <t>Робот: RSC) Произошла ошибка RSC. (код: F7)</t>
  </si>
  <si>
    <t>Робот: RSC) Произошла ошибка RSC. (код: F8)</t>
  </si>
  <si>
    <t>Робот: RSC) Произошла ошибка RSC. (код: F9)</t>
  </si>
  <si>
    <t>Робот: RSC) Кодировщик получает ошибку тайм-аута.</t>
  </si>
  <si>
    <t>Робот: RSC) Ошибка таймаута приема кодировщика 2.</t>
  </si>
  <si>
    <t>Робот: RSC) Ошибка состояния кодировщика.</t>
  </si>
  <si>
    <t>Робот: (RSC) Чтение данных кодировщика. Счетчик повторных попыток превышен.</t>
  </si>
  <si>
    <t>Робот: RSC) Произошла ошибка RSC. (код: FE)</t>
  </si>
  <si>
    <t>Робот: RSC) Произошла ошибка RSC. (код: FF)</t>
  </si>
  <si>
    <t>Робот: Невозможно повернуть JTXX. Из-за отсоединения оси.</t>
  </si>
  <si>
    <t>Робот: Невозможно повернуть JTXX. Из-за недопустимой оси.</t>
  </si>
  <si>
    <t>Робот: Настройка скорости вращения для JTXX некорректна.</t>
  </si>
  <si>
    <t>Робот: [Cubic-S(XX)]Cubic-S не установлен.</t>
  </si>
  <si>
    <t>Робот: [Cubic-S(XX)]Ошибка инициализации.</t>
  </si>
  <si>
    <t>Робот: [Cubic-S(XX)]Несоответствие XX между контроллером робота и Cubic-S.(XX)</t>
  </si>
  <si>
    <t>Робот: [Cubic-S(XX)]Системная ошибка.(Код:XX XX)</t>
  </si>
  <si>
    <t>Робот: Параметры [Cubic-S] можно изменить. Для проверки выключите и снова включите питание управления.</t>
  </si>
  <si>
    <t>Робот: [Cubic-S]Нельзя использовать с Cubic-S.</t>
  </si>
  <si>
    <t>Робот: [Cubic-S(XX)]XX(XX) выходит за пределы всегда допустимого пространства.(код XX XX)</t>
  </si>
  <si>
    <t>Робот: [Кубический-S(XX)]XX(XX) находится в постоянно запрещенном пространстве(XX).(код XX XX)</t>
  </si>
  <si>
    <t>Робот: [Cubic-S(XX)]XX(XX) выходит за пределы выборочно разрешенного пространства(XX). (код XX XX)</t>
  </si>
  <si>
    <t>Робот: [Кубический-S(XX)]XX(XX) находится в избирательно запрещенном пространстве(XX). (код XX XX)</t>
  </si>
  <si>
    <t>Робот: [Cubic-S(XX)] JTXX выходит за пределы постоянно контролируемого диапазона оси. (код XX)</t>
  </si>
  <si>
    <t>Робот: [Cubic-S(XX)] JTXX выходит за пределы выборочно контролируемого диапазона оси (XX).(codeXX )</t>
  </si>
  <si>
    <t>Робот: [Кубическая скорость S(XX)]XX(XX) превысила 250 мм/с.(код XX)</t>
  </si>
  <si>
    <t>Робот: [Cubic-S(XX)]XX(XX) превысил заданную скорость. (код XX)</t>
  </si>
  <si>
    <t>Робот: [Cubic-S(XX)]JTXX переместился во время мониторинга для остановки.(код XX )</t>
  </si>
  <si>
    <t>Робот: [Кубическая ориентация S(XX)]XX выходит за пределы диапазона ориентации инструмента (XX).(кодXX)</t>
  </si>
  <si>
    <t>Робот: [Cubic-S(XX)] Ошибка монитора замедления (JTXX) при защитной остановке. (код XX)</t>
  </si>
  <si>
    <t>Робот: [Cubic-S(XX)] Ошибка монитора замедления (JTXX) при аварийной остановке. (код XX)</t>
  </si>
  <si>
    <t>Робот: [Cubic-S(XX)] Ошибка отклонения в JTXX (код XX).!!!!Проверьте данные обнуления, исходное положение и т. д. в режиме обучения.!!!!</t>
  </si>
  <si>
    <t>Робот: [Cubic-S(XX)] Ошибка значения энкодера в JTXX (код XX).!!!!Проверьте данные обнуления, исходное положение и т. д. в режиме обучения.!!!!</t>
  </si>
  <si>
    <t>Робот: [Cubic-S(XX)] Ошибка команды в JTXX (код XX) при включении питания.!!!! Проверьте обнуление и исходное положение в режиме обучения.!!!!</t>
  </si>
  <si>
    <t>Робот: [Cubic-S(XX)] Внезапное изменение значения энканирования в JTXX (код XX).!!!!Проверьте обнуление, исходное положение в режиме обучения.!!!!</t>
  </si>
  <si>
    <t>Робот: [Cubic-S(XX)] Ошибка обработки программного обеспечения в блоке безопасности. (код XX XX)</t>
  </si>
  <si>
    <t>Робот: [Cubic-S(XX)] Ошибка блока безопасности (код XX XX)</t>
  </si>
  <si>
    <t>Робот: [Cubic-S(XX)]Номера инструментов не совпадают.(Команда XX ТекущийXX)?(код XX)</t>
  </si>
  <si>
    <t>Робот: [Cubic-S(XX)] Реле для внутренней аварийной остановки приварено. (код XX)</t>
  </si>
  <si>
    <t>Робот: [Cubic-S(XX)] Реле для внешней аварийной остановки приварено. (код XX)</t>
  </si>
  <si>
    <t>Робот: [Cubic-S(XX)] Сбой в цепи обнаружения сварки реле или в проводке.(код XX)</t>
  </si>
  <si>
    <t>Робот: [Cubic-S(XX)] Внешнее защитное реле (пользовательский выход XX) припаяно (код XX XX).</t>
  </si>
  <si>
    <t>Робот: [Cubic-S(XX)] Внешнее защитное реле (фиксированный выход XX) припаяно (код XX XX).</t>
  </si>
  <si>
    <t>Робот: [Cubic-S(XX)] Неисправность в цепи управления реле аварийной остановки или в проводке. (код XXXX)</t>
  </si>
  <si>
    <t>Робот: [Cubic-S(XX)] Сбой в цепи защитного выхода (пользователь XX) или в проводке. (код XX XX)</t>
  </si>
  <si>
    <t>Робот: [Cubic-S(XX)] Сбой в цепи фиксированного защитного выхода (XX) или в проводке (код XX XX)"</t>
  </si>
  <si>
    <t>Робот: [Cubic-S(XX)] Сбой в цепи защитного входа (пользователь XX) или в проводке. (код XX XX)</t>
  </si>
  <si>
    <t>Робот: [Cubic-S(XX)] Сбой в цепи фиксированного защитного входа (XX) или в проводке. (код XX XX)"</t>
  </si>
  <si>
    <t>Робот: [Кубический-S(XX)] Мощность упала. (код XX)</t>
  </si>
  <si>
    <t>Робот: [Cubic-S(XX)] Ошибка связи с платой сервопривода XX.(код XXXX)(тип:XX)</t>
  </si>
  <si>
    <t>Робот: [Cubic-S(XX)] Ошибка связи кодировщика в JTXX.(код XX XX)</t>
  </si>
  <si>
    <t>Робот: [Cubic-S(XX)]Ошибка связи с ПК при установке параметра.(код XXXX)</t>
  </si>
  <si>
    <t>Робот: [Cubic-S(XX)] Сбой кодировщика в JTXX.(код XX XX)</t>
  </si>
  <si>
    <t>Робот: [Cubic-S(XX)] Переключатель принудительного включения остается в положении ВКЛ. (код XX)</t>
  </si>
  <si>
    <t>Робот: [Cubic-S(XX)] Входной сигнал сброса остается включенным. (код XX)</t>
  </si>
  <si>
    <t>Робот: [Cubic-S(XX)] Значения параметров перезаписываются в PC для установки параметров. (код XX)</t>
  </si>
  <si>
    <t>Робот: [Кубическая ошибка S(XX)] Ошибка совпадения состояния защитных входных сигналов (входные данные пользователя XX). (код XX XX)</t>
  </si>
  <si>
    <t>Робот: [Кубическая ошибка S(XX)]Ошибка совпадения состояния фиксированного защитного входа (XX).(код XX XX)"</t>
  </si>
  <si>
    <t>Робот: [Cubic-S(XX)]Сбой в цепи ввода безопасности пользователя или замыкание на землю проводки.(кодXX XX)</t>
  </si>
  <si>
    <t>Робот: [Cubic-S(XX)]Сбой в цепи стационарного защитного входа или замыкание на землю проводки. (код XX XX)</t>
  </si>
  <si>
    <t>Робот: [Cubic-S(XX)]От Cubic-S нет ответа.</t>
  </si>
  <si>
    <t>Робот: [Cubic-S(XX)]JTXX скорость превысила 250 мм/с.(код XX)</t>
  </si>
  <si>
    <t>Робот: [Cubic-S(XX)]JTXX превысил заданную скорость. (код XX)</t>
  </si>
  <si>
    <t>Робот: [Кубическая функция S(XX)] Параметр № XX выходит за пределы допустимого диапазона. (код XX XX)</t>
  </si>
  <si>
    <t>Робот: [Cubic-S(XX)] Внешнее защитное реле (фиксированный выход режима обучения/быстрой проверки) припаяно (код XX XX).</t>
  </si>
  <si>
    <t>Робот: [Cubic-S(XX)] Внешнее защитное реле (фиксированный выход монитора скорости обучения) припаяно. (код XX XX)</t>
  </si>
  <si>
    <t>Робот: [Cubic-S(XX)] Внешнее защитное реле (фиксированный выход аварийного отключения) припаяно. (код XX XX)</t>
  </si>
  <si>
    <t>Робот: [Cubic-S(XX)] Внешнее защитное реле (фиксированный выход аварийной остановки) припаяно (код XX XX).</t>
  </si>
  <si>
    <t>Робот: [Cubic-S(XX)] Сбой в цепи фиксированного защитного выхода (режим обучения/быстрой проверки) или в проводке (код XX XX)</t>
  </si>
  <si>
    <t>Робот: [Cubic-S(XX)] Сбой в цепи фиксированного защитного выхода (контроллер скорости обучения) или в проводке. (код XX XX)</t>
  </si>
  <si>
    <t>Робот: [Cubic-S(XX)] Сбой в цепи фиксированного защитного выхода (переопределение) или в проводке. (код XX XX)</t>
  </si>
  <si>
    <t>Робот: [Cubic-S(XX)] Сбой в цепи фиксированного защитного выхода (аварийная остановка) или в проводке. (код XX XX)</t>
  </si>
  <si>
    <t>Робот: [Cubic-S(XX)] Сбой в цепи фиксированного защитного входа (режим обучения/быстрой проверки) или в проводке. (код XX XX)</t>
  </si>
  <si>
    <t>Робот: [Cubic-S(XX)] Сбой в цепи фиксированного защитного входа (контроллер скорости обучения) или в проводке. (код XX XX)</t>
  </si>
  <si>
    <t>Робот: [Cubic-S(XX)] Сбой в цепи фиксированного защитного входа (переопределение) или в проводке. (код XX XX)</t>
  </si>
  <si>
    <t>Робот: [Cubic-S(XX)] Сбой в цепи фиксированного защитного входа (аварийная остановка) или в проводке. (код XX XX)</t>
  </si>
  <si>
    <t>Робот: [Cubic-S(XX)] Ошибка совпадения состояния фиксированного защитного входа (режим обучения/быстрой проверки). (код XX XX)</t>
  </si>
  <si>
    <t>Робот: [Кубическая ошибка S(XX)] Ошибка совпадения состояния фиксированного защитного входа (контроллер скорости обучения). (код XX XX)</t>
  </si>
  <si>
    <t>Робот: [Кубическая ошибка S(XX)] Ошибка совпадения состояния фиксированного защитного входа (переопределения). (код XXXX)</t>
  </si>
  <si>
    <t>Робот: [Кубическая ошибка S(XX)] Ошибка совпадения состояния фиксированного защитного входа (аварийная остановка). (код XX XX)</t>
  </si>
  <si>
    <t>Робот: [Cubic-S(XX)] Внешнее защитное реле (фиксированный выход выключателя включения) припаяно (код XX XX).</t>
  </si>
  <si>
    <t>Робот: [Cubic-S(XX)] Сбой в цепи фиксированного защитного выхода (выключателя) или в проводке. (код XX XX)</t>
  </si>
  <si>
    <t>Робот: [Cubic-S(XX)] Сбой в цепи фиксированного защитного входа (кнопки включения) или в проводке. (код XX XX)</t>
  </si>
  <si>
    <t>Робот: [Кубическая ошибка S(XX)] Ошибка совпадения состояния фиксированного защитного входа (переключателя включения) (код XX XX)</t>
  </si>
  <si>
    <t>Робот: [Cubic-S(XX)] Внешнее защитное реле (фиксированный выход внешнего аварийного сигнала) приварено. (код XX XX)</t>
  </si>
  <si>
    <t>Робот: [Cubic-S(XX)] Сбой в цепи фиксированного защитного выхода (внешняя аварийная ситуация) или в проводке. (код XX XX)</t>
  </si>
  <si>
    <t>Робот: [Cubic-S(XX)] Сбой в цепи фиксированного защитного входа (внешняя аварийная ситуация) или в проводке. (код XX XX)</t>
  </si>
  <si>
    <t>Робот: [Кубическая ошибка S(XX)] Ошибка совпадения состояния фиксированного защитного входа (внешняя аварийная ситуация) (код XX XX)</t>
  </si>
  <si>
    <t>Робот: [Cubic-S(XX)] Внешнее защитное реле (фиксированный выход аварийного останова) припаяно. (код XX XX)</t>
  </si>
  <si>
    <t>Робот: [Cubic-S(XX)] Сбой в цепи для фиксированного защитного выхода (предохранительная остановка) или в проводка.(код XX XX)</t>
  </si>
  <si>
    <t>Робот: [Кубическая ошибка S(XX)] Ошибка совпадения состояния фиксированного защитного входа (аварийной остановки). (код XX XX)</t>
  </si>
  <si>
    <t>Робот: [Кубический-S(XX)] Значения параметров переписываются для установки параметров.(код XX)</t>
  </si>
  <si>
    <t>Робот: [Cubic-S] Данные о роботе Cubic-S отсутствуют. (робот XX)</t>
  </si>
  <si>
    <t>Робот: [Cubic-S(XX)]XX(XX) превысил заданную скорость (XX). (код XX XX)</t>
  </si>
  <si>
    <t>Робот: [Cubic-S(XX)]XX(XX) превысил заданное значение силыXX. (код XX XX)</t>
  </si>
  <si>
    <t>Робот: [Cubic-S(XX)]XX(XX) превысил заданное значение impactXX. (код XX XX)</t>
  </si>
  <si>
    <t>Робот: [Cubic-S(XX)]Отклонение тока в JTXX является ненормальным. (код XX XX)</t>
  </si>
  <si>
    <t>Робот: [Cubic-S(XX)]Ошибка настройки функции мониторинга принуждения. (код XX XX)</t>
  </si>
  <si>
    <t>Робот: Cubic-S не поддерживает функцию Force Monitor. (XX)</t>
  </si>
  <si>
    <t>Робот: [Cubic-S(XX)]Разница между фазными токами U и V в JTXX является ненормальной. (код XX XX)</t>
  </si>
  <si>
    <t>Робот: Дистанционная лазерная сварка не была завершена после XX/XX</t>
  </si>
  <si>
    <t>Робот: Условия сварки не устанавливаются.</t>
  </si>
  <si>
    <t>Робот: Дистанционная лазерная сварка не удалась XX/XX</t>
  </si>
  <si>
    <t>Робот: Несоответствие версий лестничной логики.</t>
  </si>
  <si>
    <t>Робот: Ошибка процессора.(PC=XX)</t>
  </si>
  <si>
    <t>Робот: Ошибка шины основного процессора (PC=XX).</t>
  </si>
  <si>
    <t>Робот: Ошибка шины VME (PC=XX)</t>
  </si>
  <si>
    <t>Робот: [ПЛАТА УПРАВЛЕНИЯ ARM] Ошибка ЦП.(PC=XX)</t>
  </si>
  <si>
    <t>Робот: [ПЛАТА УПРАВЛЕНИЯ ARM] Ошибка шины ЦП. (PC=XX)</t>
  </si>
  <si>
    <t>Робот: [ПЛАТА УПРАВЛЕНИЯ ARM] Ошибка программного обеспечения управления сервоприводом ЦП. (PC=XX, codeXX)</t>
  </si>
  <si>
    <t>Робот: [Плата сервоприводаXX]Ошибка ЦП. (код XX)</t>
  </si>
  <si>
    <t>Робот: [Плата сервоприводаXX] Ошибка с плавающей запятой. (код XX)</t>
  </si>
  <si>
    <t>Робот: [Плата сервоприводаXX]Ошибка ЦП. (ПК=XX)</t>
  </si>
  <si>
    <t>Робот: [Плата интерфейса ARM] Ошибка процессора. (PC=XX)</t>
  </si>
  <si>
    <t>Робот: Ошибка сторожевого таймера основного процесса (PC=XX).</t>
  </si>
  <si>
    <t>Робот: Время выполнения шага программы истекло. (PC=XX)</t>
  </si>
  <si>
    <t>Робот: Программное обеспечение управления роботом перестало работать.</t>
  </si>
  <si>
    <t>Робот: Исключение программного обеспечения AS.(PC=XX, code=XX)</t>
  </si>
  <si>
    <t>Робот: [Основная плата ЦП] Произошла аппаратная ошибка. (SIGNAL=XX) (PC=XXXXXXXX)</t>
  </si>
  <si>
    <t>Робот: [Основная плата ЦП] Произошла программная ошибка. (СИГНАЛ=XX)(ПК=XXXXXXXX)</t>
  </si>
  <si>
    <t>Робот: Данные для обучения некорректны.</t>
  </si>
  <si>
    <t>Робот: Ошибка проверки контрольной суммы флэш-памяти AS.</t>
  </si>
  <si>
    <t>Робот: Ошибка проверки контрольной суммы флэш-памяти сервопривода.</t>
  </si>
  <si>
    <t>Робот: Ошибка памяти IP-платы (XX).</t>
  </si>
  <si>
    <t>Робот: Память заблокирована из-за ошибки AC_FAIL.</t>
  </si>
  <si>
    <t>Робот: Данные пользователя повреждены.</t>
  </si>
  <si>
    <t>Робот: Резервное копирование данных на CF-накопитель завершено. Выключите питание контроллера.</t>
  </si>
  <si>
    <t>Робот: Резервное копирование данных на CF-накопитель не удалось. Выключите и снова включите питание контроллера.</t>
  </si>
  <si>
    <t>Робот: Произошло нарушение доступа к памяти. 0xXX 0xXX 0xXX</t>
  </si>
  <si>
    <t>Робот: [Основная плата ЦП] Процесс мониторинга программного обеспечения AS остановлен.</t>
  </si>
  <si>
    <t>Робот: [Основная плата ЦП] Произошло прерывание функции проверки и коррекции ошибок памяти.</t>
  </si>
  <si>
    <t>Робот: Ошибка чтения программного обеспечения управления сервоприводом.</t>
  </si>
  <si>
    <t>Робот: Ошибка загрузки программного обеспечения управления сервоприводом.</t>
  </si>
  <si>
    <t>Робот: Ошибка инициализации программного обеспечения сервопривода.</t>
  </si>
  <si>
    <t>Робот: Ошибка инициализации программного обеспечения управления сервоприводом.</t>
  </si>
  <si>
    <t>Робот: [ПЛАТА УПРАВЛЕНИЯ ARM] Ошибка сторожевого таймера в программном обеспечении управления сервоприводом.</t>
  </si>
  <si>
    <t>Робот: Ошибка команды сервоплаты. (XX)</t>
  </si>
  <si>
    <t>Робот: Ошибка сервосистемы.</t>
  </si>
  <si>
    <t>Робот: Время регенерации истекло. [XX]</t>
  </si>
  <si>
    <t>Робот: Низковольтный P-N режим. [XX]</t>
  </si>
  <si>
    <t>Робот: P-N высоковольтный. [XX]</t>
  </si>
  <si>
    <t>Робот: Перегрев регенеративного резистора. [XX]</t>
  </si>
  <si>
    <t>Робот: Программное обеспечение для управления сервоприводами несовместимо с данной моделью робота.</t>
  </si>
  <si>
    <t>Робот: Несоответствие типа сервопривода. Проверьте настройки.</t>
  </si>
  <si>
    <t>Робот: P-N конденсатор не разряжен.</t>
  </si>
  <si>
    <t>Робот: Ошибка сервосистемы (код = XX).</t>
  </si>
  <si>
    <t>Робот: Файл данных сервопривода не существует.</t>
  </si>
  <si>
    <t>Робот: Данные, относящиеся к модели робота, отсутствуют в файле данных сервопривода.</t>
  </si>
  <si>
    <t>Робот: Ошибка при загрузке данных сервопривода.</t>
  </si>
  <si>
    <t>Робот: Несоответствие версий программного обеспечения сервопривода.</t>
  </si>
  <si>
    <t>Робот: [ПЛАТА УПРАВЛЕНИЯ ARM] Ошибка сторожевого таймера во встроенном процессоре для управления сервоприводом.</t>
  </si>
  <si>
    <t>Робот: [ПЛАТА УПРАВЛЕНИЯ ARM] Синхронная ошибка между процессорами.</t>
  </si>
  <si>
    <t>Робот: Данные конфигурации сервопривода на ПЛИС не найдены.</t>
  </si>
  <si>
    <t>Робот: Ошибка конфигурации в сервоприводе FPGA (код XX).</t>
  </si>
  <si>
    <t>Робот: Текущее несоответствие между m-plexer и программным обеспечением JtXX</t>
  </si>
  <si>
    <t>Робот: [ПЛАТА УПРАВЛЕНИЯ ARM] Обнаружена ошибка сторожевого таймера в программном обеспечении ARMSCSoftware, связанная с сервоприводом FPGA.</t>
  </si>
  <si>
    <t>Робот: [Плата сервоприводаXX] Обнаружена ошибка сторожевого таймера. (FPGA сервопривода)</t>
  </si>
  <si>
    <t>Робот: [Плата сервоприводаXX] Ненормальный входной сигнал от платы управления последовательностью питания.</t>
  </si>
  <si>
    <t>Робот: [MCXX] Обнаружена ошибка сторожевого таймера.</t>
  </si>
  <si>
    <t>Робот: [Плата сервоприводаXX] Ненормальное питание постоянного тока. (FPGA сервопривода)</t>
  </si>
  <si>
    <t>Робот: [Плата сервоприводаXX] Неисправность основного питания переменного тока. (FPGA сервопривода)</t>
  </si>
  <si>
    <t>Робот: Не удается установить связь с платой сервопривода XX.</t>
  </si>
  <si>
    <t>Робот: Ошибка чтения программного обеспечения сервопривода.</t>
  </si>
  <si>
    <t>Робот: [Плата сервоприводаXX] Ошибка загрузки программного обеспечения сервопривода (код XX)</t>
  </si>
  <si>
    <t>Робот: Номер соединительного порта (XX) отличается от номера сервоплаты (XX).</t>
  </si>
  <si>
    <t>Робот: Файл данных сервопривода отсутствует или недействителен (код XX).</t>
  </si>
  <si>
    <t>Робот: [Плата сервоприводаXX] Ошибка инициализации программного обеспечения сервопривода (код XX)</t>
  </si>
  <si>
    <t>Робот: [Плата сервоприводаXX] Ошибка загрузки данных сервопривода (код XX)</t>
  </si>
  <si>
    <t>Робот: [Плата сервоприводаXX] Ошибка конфигурации в ПЛИС сервопривода (код XX)</t>
  </si>
  <si>
    <t>Робот: [Плата сервоприводаXX] Ошибка загрузки исходных данных программного обеспечения сервопривода (код XX)</t>
  </si>
  <si>
    <t>Робот: [СервоплатаXX] Ошибка проверки устройства. (код XX)</t>
  </si>
  <si>
    <t>Робот: Схема разблокировки тормоза оси JtXX неисправна.</t>
  </si>
  <si>
    <t>Робот: Данные конфигурации сервопривода FPGA2 не найдены.</t>
  </si>
  <si>
    <t>Робот: Ошибка конфигурации в сервоприводе FPGA2 (код XX).</t>
  </si>
  <si>
    <t>Робот: [MCXX] Обнаружена ошибка сторожевого таймера. (Сервоплата XX) (код XX)</t>
  </si>
  <si>
    <t>Робот: Ошибка проверки параметров сервопривода JtXX. Выключите и снова включите питание управления.</t>
  </si>
  <si>
    <t>Робот: [Плата сервоприводаXX] Обнаружена ошибка сторожевого таймера (код: XX).</t>
  </si>
  <si>
    <t>Робот: Ошибка считывания кодировщиком JtXX.</t>
  </si>
  <si>
    <t>Робот: Неисправное соединение устройства смены пистолета или ошибка связи энкодера.</t>
  </si>
  <si>
    <t>Робот: Перегрузка по току JtXX.</t>
  </si>
  <si>
    <t>Робот: Текущее несоответствие типа детектора (XX)!</t>
  </si>
  <si>
    <t>Робот: Отсоединился жгут проводов двигателя или усилитель перегрелся.(XX)</t>
  </si>
  <si>
    <t>Робот: Ошибка модуля питания JtXX.</t>
  </si>
  <si>
    <t>Робот: Основное питание от сети переменного тока отключено.</t>
  </si>
  <si>
    <t>Робот: Напряжение источника питания 24 В постоянного тока слишком низкое.</t>
  </si>
  <si>
    <t>Робот: Основная мощность источника питания слишком высока.</t>
  </si>
  <si>
    <t>Робот: Основной источник питания имеет слишком низкую мощность.</t>
  </si>
  <si>
    <t>Робот: #ERROR!</t>
  </si>
  <si>
    <t>Робот: Ошибка тормозной магистрали для jtXX.</t>
  </si>
  <si>
    <t>Робот: Тормозная система работает с перебоями.(XX)</t>
  </si>
  <si>
    <t>Робот: Предохранитель ввода/вывода 24 В перегорел.</t>
  </si>
  <si>
    <t>Робот: Несоответствие в настройке цепи безопасности (одинарная/двойная).</t>
  </si>
  <si>
    <t>Робот: Несоответствие между аппаратными и программными настройками времени резервного копирования HOLD.</t>
  </si>
  <si>
    <t>Робот: Перегорел предохранитель на линии аварийного отключения цепи безопасности.</t>
  </si>
  <si>
    <t>Робот: Несоответствие в аварийном сигнале. Состояние остановки в цепи безопасности.</t>
  </si>
  <si>
    <t>Робот: Несоответствие условий LS в цепи безопасности.</t>
  </si>
  <si>
    <t>Робот: Несоответствие в цепи безопасности в состоянии обучения/повтора.</t>
  </si>
  <si>
    <t>Робот: Несоответствие в состоянии защитной цепи и защитного ограждения.</t>
  </si>
  <si>
    <t>Робот: Несоответствие в состоянии устройства включения цепи безопасности.</t>
  </si>
  <si>
    <t>Робот: Несоответствие в состоянии устройства, обеспечивающего работу защитной цепи.</t>
  </si>
  <si>
    <t>Робот: Неправильная работа защитного реле.</t>
  </si>
  <si>
    <t>Робот: Неправильная работа MC(K1).</t>
  </si>
  <si>
    <t>Робот: Неправильная работа MC(K2).</t>
  </si>
  <si>
    <t>Робот: Неправильная работа MC(K3).</t>
  </si>
  <si>
    <t>Робот: Температура контроллера выходит за пределы допустимого диапазона.</t>
  </si>
  <si>
    <t>Робот: Отсоединился сигнальный жгут или возникла ошибка питания энкодера.</t>
  </si>
  <si>
    <t>Робот: Аномальный предельный ток JtXX.</t>
  </si>
  <si>
    <t>Робот: Радиатор на блоке питания перегрелся.</t>
  </si>
  <si>
    <t>Робот: (SSCNET) Ошибка связи кодировщика.(Jt XX)(код XX)</t>
  </si>
  <si>
    <t>Робот: (SSCNET) Абсолютное положение Jt XX стерто. (код XX)</t>
  </si>
  <si>
    <t>Робот: (SSCNET) Ошибка параметра Jt XX.(код XX)</t>
  </si>
  <si>
    <t>Робот: JtXX не двигается нормально.</t>
  </si>
  <si>
    <t>Робот: Неисправность реле выпрямителя тормозной системы.</t>
  </si>
  <si>
    <t>Робот: Напряжение постоянного тока 24 В является ненормальным.</t>
  </si>
  <si>
    <t>Робот: Неисправна цепь питания для вывода ШИМ-сигнала.</t>
  </si>
  <si>
    <t>Робот: Усилитель перегревается.(XX)</t>
  </si>
  <si>
    <t>Робот: Тип энкодера, заданный в программном обеспечении, и несоответствие платы управления Arm.</t>
  </si>
  <si>
    <t>Робот: При инициализации отсутствуют данные о вращении от многоточечного энкодера.</t>
  </si>
  <si>
    <t>Робот: [Плата сервоприводаXX] Напряжение 5 В постоянного тока ненормальное.</t>
  </si>
  <si>
    <t>Робот: [Плата сервоприводаXX] Напряжение 3,3 В постоянного тока ненормальное.</t>
  </si>
  <si>
    <t>Робот: [Плата сервоприводаXX] Напряжение 12 В постоянного тока ненормальное.</t>
  </si>
  <si>
    <t>Робот: [Плата сервоприводаXX] Напряжение 2,5 В постоянного тока ненормальное.</t>
  </si>
  <si>
    <t>Робот: [Плата сервоприводаXX] Напряжение 1,2 В постоянного тока ненормальное.</t>
  </si>
  <si>
    <t>Робот: [Плата сервоприводаXX] Напряжение постоянного тока 1,0 В ненормальное.</t>
  </si>
  <si>
    <t>Робот: [Плата сервоприводаXX] Основной источник питания имеет слишком низкую мощность.</t>
  </si>
  <si>
    <t>Робот: [Плата сервоприводаXX] Основной источник питания слишком мощный.</t>
  </si>
  <si>
    <t>Робот: [СервоплатаXX]Питание переменного тока отключено.</t>
  </si>
  <si>
    <t>Робот: [MCXX]Постоянное напряжение 3,3 В является ненормальным.</t>
  </si>
  <si>
    <t>Робот: [MCXX]DC 5V — это ненормальное напряжение.</t>
  </si>
  <si>
    <t>Робот: Мощность торможения в сервоусилителе ненормальная.</t>
  </si>
  <si>
    <t>Робот: Температура усилителя выходит за пределы допустимого диапазона или перегревается регенеративный резистор.</t>
  </si>
  <si>
    <t>Робот: Мощность управления в сервоусилителе ненормальна.</t>
  </si>
  <si>
    <t>Робот: [Плата управления питанием] Напряжение 3,3 В постоянного тока ненормальное.</t>
  </si>
  <si>
    <t>Робот: [Плата управления питанием] Напряжение 5 В постоянного тока ненормальное.</t>
  </si>
  <si>
    <t>Робот: [Плата управления питанием] Напряжение 12 В постоянного тока ненормальное.</t>
  </si>
  <si>
    <t>Робот: [Плата управления питанием] Напряжение 24 В постоянного тока ненормальное.</t>
  </si>
  <si>
    <t>Робот: [Плата управления питанием] Основное питание переменного тока отключено.</t>
  </si>
  <si>
    <t>Робот: [Плата управления питанием] Напряжение первичной сети переменного тока слишком высокое.</t>
  </si>
  <si>
    <t>Робот: [Плата управления питанием] Напряжение первичной цепи переменного тока слишком низкое.</t>
  </si>
  <si>
    <t>Робот: [Плата управления питанием] Обнаружен сигнал дистанционного отключения питания.</t>
  </si>
  <si>
    <t>Робот: Невозможно получить доступ к плате управления последовательностью питания (код XX).</t>
  </si>
  <si>
    <t>Робот: Конденсатор P-N не разряжен. (СервоплатаXX) (MCXX)</t>
  </si>
  <si>
    <t>Робот: [СервоплатаXX] Ошибка основного источника питания.</t>
  </si>
  <si>
    <t>Робот: [СервоплатаXX] Неисправна цепь питания для вывода ШИМ-сигнала.</t>
  </si>
  <si>
    <t>Робот: Сервоусилитель неисправен (DXX).</t>
  </si>
  <si>
    <t>Робот: Подача постоянного тока на сервоусилитель неисправна.</t>
  </si>
  <si>
    <t>Робот: Текущая ошибка обратной связи JtXX</t>
  </si>
  <si>
    <t>Робот: [MCXX]Ошибка платы управления MC[часы](Сервоплата XX)(КодXX)</t>
  </si>
  <si>
    <t>Робот: [MCXX]Ошибка платы управления MC [сброс микросхемы] (Сервоплата XX)(КодXX)</t>
  </si>
  <si>
    <t>Робот: [MCXX]Ошибка платы управления MC [диагностический импульс] (Плата сервопривода XX)(Код XX)</t>
  </si>
  <si>
    <t>Робот: [MCXX]Ошибка настройки DIP-переключателя для параметра задержки выключения (плата сервоприводаXX)(КодXX)</t>
  </si>
  <si>
    <t>Робот: [MCXX] Ошибка сброса для платы управления MC, если ввод произведен в течение заданного времени (Сервоплата XX) (Код XX)</t>
  </si>
  <si>
    <t>Робот: [MCXX]Ошибка выходного напряжения на плате управления MC [обнаружено включение во время выключения](Плата сервопривода XX)(Код XX)</t>
  </si>
  <si>
    <t>Робот: [MCXX]Ошибка выходной мощности тормоза на плате управления MC [обнаружено ВКЛ во время ВЫКЛ](Плата сервопривода XX)(Код XX)</t>
  </si>
  <si>
    <t>Робот: [MCXX]Конденсатор P-N не подключен. (Плата сервоприводаXX)</t>
  </si>
  <si>
    <t>Робот: [ServoBoardXX]Плата управления тормозами не установлена.</t>
  </si>
  <si>
    <t>Робот: (SSCNET) Сигнал тревоги об ошибке Jt XX (код XX)(XX)</t>
  </si>
  <si>
    <t>Робот: [Сервоплата XX] (Регенеративный усилитель (№ XX)) Обнаружение перегрузки по току.</t>
  </si>
  <si>
    <t>Робот: Несоответствие состояния аварийного выключателя.</t>
  </si>
  <si>
    <t>Робот: [Сервоплата XX] Конденсатор P-N не разряжен.</t>
  </si>
  <si>
    <t>Робот: [Плата сервопривода XX] Напряжение постоянного тока 1,8 В ненормальное.</t>
  </si>
  <si>
    <t>Робот: [Плата сервопривода XX] Слишком высокое напряжение первичного питания. (код XX)</t>
  </si>
  <si>
    <t>Робот: [Сервоплата XX] Основное напряжение питания отключено (код XX)</t>
  </si>
  <si>
    <t>Робот: [Плата управления питанием] Напряжение 1,8 В постоянного тока ненормальное.</t>
  </si>
  <si>
    <t>Робот: [Плата управления питанием] Напряжение постоянного тока 1,0 В ненормальное.</t>
  </si>
  <si>
    <t>Робот: [Плата управления питанием] Основное питание переменного тока отключено. (Код XX)</t>
  </si>
  <si>
    <t>Робот: [Плата управления питанием] Слишком высокое напряжение первичной цепи переменного тока. (Код XX)</t>
  </si>
  <si>
    <t>Робот: [Плата управления питанием] Поступает сигнал выключения внешнего управляющего питания.</t>
  </si>
  <si>
    <t>Робот: [Сервоплата XX](Плата управления питанием) Ошибка тактирования.(Код XX)</t>
  </si>
  <si>
    <t>Робот: [Плата сервопривода XX](Плата управления питанием) Ошибка сброса микросхемы.(КодXX)</t>
  </si>
  <si>
    <t>Робот: [Плата сервопривода XX](Плата управления питанием) Ошибка DIPSW. (Код XX)</t>
  </si>
  <si>
    <t>Робот: [Плата сервопривода XX](Плата управления питанием) В течение определенного периода времени поступал сигнал сброса ошибки. (Код XX)</t>
  </si>
  <si>
    <t>Робот: От платы связи нет ответа по поводу лазерного датчика.</t>
  </si>
  <si>
    <t>Робот: Ошибка инициализации платы RI/O или C-NET.</t>
  </si>
  <si>
    <t>Робот: От платы Arm ID ответа не получено.</t>
  </si>
  <si>
    <t>Робот: На плате Arm ID отсутствуют данные.</t>
  </si>
  <si>
    <t>Робот: Несоответствие данных на плате Arm ID.</t>
  </si>
  <si>
    <t>Робот: Несоответствие версий программного обеспечения CC-LINK.</t>
  </si>
  <si>
    <t>Робот: Ошибка сторожевого таймера на коммуникационной плате взрывозащищенного устройства TP.</t>
  </si>
  <si>
    <t>Робот: Встроенная плата управления последовательностью не отвечает.</t>
  </si>
  <si>
    <t>Робот: Магнит контактора группы XX заклинило.</t>
  </si>
  <si>
    <t>Робот: Датчик давления внутри корпуса неисправен.</t>
  </si>
  <si>
    <t>Робот: Ошибка синхронизации между пользовательским интерфейсом и платой управления ARM.</t>
  </si>
  <si>
    <t>Робот: Ошибка загрузки параметров между пользовательским интерфейсом и платами управления Arm.</t>
  </si>
  <si>
    <t>Робот: Ошибка мягкого амортизатора. Выключите и снова включите питание блока управления.</t>
  </si>
  <si>
    <t>Робот: Ошибка изменения усиления. Выключите и снова включите питание управления.</t>
  </si>
  <si>
    <t>Робот: Ошибка инициализации сети роботов.</t>
  </si>
  <si>
    <t>Робот: Магнит контактора группы XX (JTXX) заклинил.</t>
  </si>
  <si>
    <t>Робот: От платы управления ARM ответа нет.</t>
  </si>
  <si>
    <t>Робот: От панели пользовательского интерфейса ответа нет.</t>
  </si>
  <si>
    <t>Робот: [Плата управления ARM] Нет ответа.</t>
  </si>
  <si>
    <t>Робот: [ARM CTRL BOARD] Программное обеспечение сервопривода не отвечает.</t>
  </si>
  <si>
    <t>Робот: [ПЛАТА УПРАВЛЕНИЯ ARM] Программное обеспечение управления сервоприводом не отвечает.</t>
  </si>
  <si>
    <t>Робот: Файл данных Arm не найден.</t>
  </si>
  <si>
    <t>Робот: Данные о боевом устройстве не найдены.</t>
  </si>
  <si>
    <t>Робот: Не удалось загрузить данные о манипуляторе.</t>
  </si>
  <si>
    <t>Робот: [ПЛАТА УПРАВЛЕНИЯ ARM] Сбой при настройке типа робота.</t>
  </si>
  <si>
    <t>Робот: Коды робота, заданные в программном обеспечении и на плате управления Arm, не совпадают.</t>
  </si>
  <si>
    <t>Робот: Коды, заданные в программном обеспечении, и текущий интерфейсный вывод датчика не совпадают.</t>
  </si>
  <si>
    <t>Робот: Коды, установленные в программном обеспечении и блоке питания, не совпадают.</t>
  </si>
  <si>
    <t>Робот: (SSCNET) Ошибка инициализации. (код 0xXX)</t>
  </si>
  <si>
    <t>Робот: Коды управления двигателем в программном обеспечении и несоответствие параметров управления манипулятором (Jt-A).</t>
  </si>
  <si>
    <t>Робот: Коды, установленные в программном обеспечении, и текущее несоответствие интерфейса датчика (Jt-A).</t>
  </si>
  <si>
    <t>Робот: Коды, установленные в программном обеспечении и при несоответствии дополнительного блока питания (Jt-A).</t>
  </si>
  <si>
    <t>Робот: Коды ошибок двигателя, установленные в программном обеспечении, и несоответствие блока управления ARM (JT-B).</t>
  </si>
  <si>
    <t>Робот: Коды, установленные в программном обеспечении, и текущее несоответствие интерфейса B'd датчика (Jt-B).</t>
  </si>
  <si>
    <t>Робот: Коды, установленные в программном обеспечении и при несоответствии дополнительного блока питания (Jt-B).</t>
  </si>
  <si>
    <t>Робот: Ошибка выполнения программы.</t>
  </si>
  <si>
    <t>Робот: (SSCNET) Произошла системная ошибка на плате интерфейса. (код XX)</t>
  </si>
  <si>
    <t>Робот: Неисправна цепь блока безопасности.</t>
  </si>
  <si>
    <t>Робот: (SSCNET) Интерфейсная плата не установлена.</t>
  </si>
  <si>
    <t>Робот: (SSCNET) Ошибка связи на Jt XX при инициализации.</t>
  </si>
  <si>
    <t>Робот: (SSCNET) Ошибка инициализации Jt XX (код XX)</t>
  </si>
  <si>
    <t>Робот: Неправильное подключение сигнального жгута.</t>
  </si>
  <si>
    <t>Робот: Усилитель сервопривода и роботизированная рука несовместимы.</t>
  </si>
  <si>
    <t>Робот: Плата интерфейса Arm обнаруживает сбой питания.</t>
  </si>
  <si>
    <t>Робот: [ПЛАТА УПРАВЛЕНИЯ ARM] От программного обеспечения Servo FPGA нет ответа.</t>
  </si>
  <si>
    <t>Робот: [ПЛАТА УПРАВЛЕНИЯ ARM] Ошибка проверки устройства. (код XX)</t>
  </si>
  <si>
    <t>Робот: Ошибка реле на плате управления продувкой (реле XX).</t>
  </si>
  <si>
    <t>Робот: Ошибка установки перемычки или неисправность защитного реле на плате сервопривода.</t>
  </si>
  <si>
    <t>Робот: Ошибка источника напряжения 12 В постоянного тока на плате управления продувкой.</t>
  </si>
  <si>
    <t>Робот: Ошибка перегрузки по току в цепи управления блокировочным реле (1) платы управления продувкой.</t>
  </si>
  <si>
    <t>Робот: Ошибка перегрузки по току в цепи управления блокировочным реле (2) платы управления продувкой.</t>
  </si>
  <si>
    <t>Робот: Ошибка связи на плате управления продувкой.</t>
  </si>
  <si>
    <t>Робот: Настройки оборудования для внешнего осевого амолятора не совпадают. robot=XX</t>
  </si>
  <si>
    <t>Робот: (FANXX-XX) Ненормальная скорость вращения вентилятора. (ServoBoardXX)</t>
  </si>
  <si>
    <t>Робот: Коды, установленные в программном обеспечении и блоке питания, не совпадают. (код: XX)</t>
  </si>
  <si>
    <t>Робот: [Плата управления последовательностью питания] Обнаружена ошибка сторожевого таймера.</t>
  </si>
  <si>
    <t>Робот: [Плата ввода/вывода (№ XX)] Несколько плат имеют одинаковый идентификационный адрес.</t>
  </si>
  <si>
    <t>Робот: [Плата сервоприводаXX] От программного обеспечения FPGA сервопривода нет ответа.</t>
  </si>
  <si>
    <t>Робот: [Основная плата ЦП] Напряжение питания постоянного тока ненормальное (XX мВ).</t>
  </si>
  <si>
    <t>Робот: Плата 1SP неисправна (DXX).</t>
  </si>
  <si>
    <t>Робот: Блок безопасности неисправен.(DXX)</t>
  </si>
  <si>
    <t>Робот: Материнская плата неисправна.(DXX)</t>
  </si>
  <si>
    <t>Робот: Плата 1QL неисправна (DXX).</t>
  </si>
  <si>
    <t>Робот: Блок МК неисправен (DXX).</t>
  </si>
  <si>
    <t>Робот: [Панель управления насосом] Низкое давление внутри корпуса.</t>
  </si>
  <si>
    <t>Робот: Сработало предохранительное реле, которое отключает подачу питания на тормоза при низком внутреннем давлении.</t>
  </si>
  <si>
    <t>Робот: [Плата управления продувкой] Напряжение постоянного тока (12 В) ненормальное.</t>
  </si>
  <si>
    <t>Робот: [Основная плата ЦП] Связь с платой управления продувкой нарушена.</t>
  </si>
  <si>
    <t>Робот: [Номер платы ввода-вывода XX] Сбой проверки устройства (код XX)</t>
  </si>
  <si>
    <t>Робот: [Плата интерфейса ANYBUS (№ XX)] Несколько плат имеют одинаковый идентификационный адрес.</t>
  </si>
  <si>
    <t>Робот: Ошибка последовательности E-stop (категория-1).</t>
  </si>
  <si>
    <t>Робот: Аномальное значение RTSET оси вращения.(XX)</t>
  </si>
  <si>
    <t>Робот: Неожиданное отключение основной платы ЦП. Проверьте программу и данные в режиме обучения.</t>
  </si>
  <si>
    <t>Робот: (SSCNET) В интерфейсной плате произошла системная ошибка (код XX).</t>
  </si>
  <si>
    <t>Робот: Программа была отменена из-за неожиданного завершения. Выберите программу, устраните ошибку и сделайте так, чтобы она совпала с предыдущей.</t>
  </si>
  <si>
    <t>Робот: Сбой при перезапуске робота. Выберите программу снова.</t>
  </si>
  <si>
    <t>Робот: Если время будет достигнуто, использовать робота не будем.</t>
  </si>
  <si>
    <t>Робот: [Основная плата ЦП] Произошло сбой NMI в FPGA основной платы ЦП.</t>
  </si>
  <si>
    <t>Робот: Невозможно получить доступ к плате управления питанием (код XX).</t>
  </si>
  <si>
    <t>Робот: Программа была отменена из-за ошибки. Выберите программу, выполните сброс ошибки, а затем сопоставьте оси. (Код XX)</t>
  </si>
  <si>
    <t>Робот: [Плата сервоприводаXX] Ошибка связи с ПЛИС сервопривода. (Код XX)</t>
  </si>
  <si>
    <t>Робот: Код контроллера неверен. (XX)</t>
  </si>
  <si>
    <t>Робот: Ошибка памяти коммуникационной платы. (XX)</t>
  </si>
  <si>
    <t>Робот: Ошибка интерфейса усилителя оси JTXX 1</t>
  </si>
  <si>
    <t>Робот: Ошибка интерфейса усилителя оси JTXX 2</t>
  </si>
  <si>
    <t>Робот: Ошибка интерфейса усилителя оси JTXX 3</t>
  </si>
  <si>
    <t>Робот: Ошибка силового элемента оси JTXX</t>
  </si>
  <si>
    <t>Робот: Ошибка детектора тока по оси JTXX</t>
  </si>
  <si>
    <t>Робот: Несоответствие напряжения в основной цепи усилителя оси JTXX</t>
  </si>
  <si>
    <t>Робот: Ошибка памяти усилителя оси JTXX (ошибка EEPROM)</t>
  </si>
  <si>
    <t>Робот: Ошибка усилителя оси JTXX внутри оперативной памяти</t>
  </si>
  <si>
    <t>Робот: Ошибка процессора сервопривода оси JTXX</t>
  </si>
  <si>
    <t>Робот: Ошибка параметра амплитуды оси JTXX</t>
  </si>
  <si>
    <t>Робот: Ошибка начальной обработки оси JTXX</t>
  </si>
  <si>
    <t>Робот: Ошибка определения оси JTXX 1</t>
  </si>
  <si>
    <t>Робот: Ошибка проверки инициализации платы интерфейса связи усилителя (XXH)</t>
  </si>
  <si>
    <t>Робот: Ошибка неопределенности платы I/F связи усилителя (XXH)</t>
  </si>
  <si>
    <t>Робот: Невозможно установить связь с усилителем осей JTXX.</t>
  </si>
  <si>
    <t>Робот: Ошибка приема кадра связи JTXX axis amp</t>
  </si>
  <si>
    <t>Робот: Таймаут приема кадра связи JTXX axis amp</t>
  </si>
  <si>
    <t>Робот: Ошибка передачи данных банка связи JTXX axis amp</t>
  </si>
  <si>
    <t>Робот: Таймаут инициализации усилителя оси JTXX</t>
  </si>
  <si>
    <t>Робот: Ошибка определения связи JTXX axis amp</t>
  </si>
  <si>
    <t>Робот: Точка подключения жгута проводов двигателя неисправна.</t>
  </si>
  <si>
    <t>Робот: Параметры двигателя не соответствуют параметрам контроллера. JTXX</t>
  </si>
  <si>
    <t>Робот: Вентилятор № XX в контроллере неисправен.</t>
  </si>
  <si>
    <t>Робот: Предохранитель № XX на плате ввода-вывода № 1 перегорел.</t>
  </si>
  <si>
    <t>Робот: Предохранитель № XX на плате ввода-вывода № 2 перегорел.</t>
  </si>
  <si>
    <t>Робот: Ошибка напряжения постоянного тока робота.</t>
  </si>
  <si>
    <t>Робот: Ошибка типа контроллера.</t>
  </si>
  <si>
    <t>Робот: K1 и/или K2 работают неправильно.</t>
  </si>
  <si>
    <t>Робот: Ошибка высокого напряжения PN</t>
  </si>
  <si>
    <t>Робот: Ошибка низкого напряжения PN</t>
  </si>
  <si>
    <t>Робот: Ошибка регистрации с течением времени</t>
  </si>
  <si>
    <t>Робот: Разрядный резистор перегрелся.</t>
  </si>
  <si>
    <t>Робот: Схема переключения платы питания неисправна.</t>
  </si>
  <si>
    <t>Робот: Схема ограничения пускового тока на плате питания неисправна.</t>
  </si>
  <si>
    <t>Робот: Напряжение постоянного тока ненормальное (код XX).</t>
  </si>
  <si>
    <t>Робот: Ошибка питания усилителя оси JTXX</t>
  </si>
  <si>
    <t>Робот: Плата питания неисправна.</t>
  </si>
  <si>
    <t>Робот: Ошибка на линии управления сервоприводом.</t>
  </si>
  <si>
    <t>Робот: Вентилятор № XX на плате питания неисправен.</t>
  </si>
  <si>
    <t>Робот: Сервоусилитель RobotXX отсутствует.</t>
  </si>
  <si>
    <t>Робот: Неисправен источник питания управляющего сигнала для силового устройства.</t>
  </si>
  <si>
    <t>Робот: Настройка отпускания тормоза ненормальная.</t>
  </si>
  <si>
    <t>Робот: Ошибка приема сигнала ФАПЧ при передаче сигнала по оси JTXX</t>
  </si>
  <si>
    <t>Робот: Ошибка кода JTXX axis amp Manchester</t>
  </si>
  <si>
    <t>Робот: Вторичная программа K1 и/или K2 работает неправильно.</t>
  </si>
  <si>
    <t>Робот: Резистор вторичного разряда перегрелся.</t>
  </si>
  <si>
    <t>Робот: Вторичная плата питания неисправна.</t>
  </si>
  <si>
    <t>Робот: [ДИАГ]Обнаружена ошибка в RS232C. (Код: EXX)</t>
  </si>
  <si>
    <t>Робот: [ДИАГ]Обнаружена ошибка в сети Ethernet. (Код: EXX)</t>
  </si>
  <si>
    <t>Робот: Плата интерфейса полевой шины не обнаружена.</t>
  </si>
  <si>
    <t>Робот: Ошибка модуля интерфейса ABMA-PDP. XX XX</t>
  </si>
  <si>
    <t>Робот: FIELD-BUS-INIT)Ошибочный ответ. XX</t>
  </si>
  <si>
    <t>Робот: (FIELD-BUS-INIT)Тайм-аут ответа. XX</t>
  </si>
  <si>
    <t>Робот: ANYBUS)OUT/FB.CTRL запрос истек по таймауту. XX</t>
  </si>
  <si>
    <t>Робот: (Удаленный ввод/вывод) Обнаружена ошибка устройства.</t>
  </si>
  <si>
    <t>Робот: (Удаленный ввод/вывод) Обнаружена ошибка загрузки модуля.</t>
  </si>
  <si>
    <t>Робот: Интерфейс безопасности EtherNet/IP завершился с ошибкой при запуске.</t>
  </si>
  <si>
    <t>Робот: Ошибка, связанная с перегревом барьерного блока.</t>
  </si>
  <si>
    <t>Робот: Ошибка инициализации Muual-Wait.</t>
  </si>
  <si>
    <t>Робот: [Программное обеспечение для управления покрасочным оборудованием] Обнаружена ошибка сторожевого таймера.</t>
  </si>
  <si>
    <t>Робот: Питание сканера неисправно.</t>
  </si>
  <si>
    <t>Робот: Температура сканера в плохом состоянии.</t>
  </si>
  <si>
    <t>Робот: Сканер: Сигнализация высокого уровня (ось: XX)</t>
  </si>
  <si>
    <t>Робот: Сканер: Сигнализация низкого уровня (ось: XX)</t>
  </si>
  <si>
    <t>Робот: Сервосистема сканера не готова (ось: XX)</t>
  </si>
  <si>
    <t>Робот: Ошибка сканера (код: XX=XX)</t>
  </si>
  <si>
    <t>Робот: [Плата управления сканером] Сбой проверки устройства [код: XX]</t>
  </si>
  <si>
    <t>Робот: [Плата управления сканером] Ошибка загрузки корректирующих данных [код:XX]</t>
  </si>
  <si>
    <t xml:space="preserve">$V == 11005 </t>
  </si>
  <si>
    <t xml:space="preserve">$V == 11006 </t>
  </si>
  <si>
    <t xml:space="preserve">$V == 11007 </t>
  </si>
  <si>
    <t xml:space="preserve">$V == 11008 </t>
  </si>
  <si>
    <t xml:space="preserve">$V == 11009 </t>
  </si>
  <si>
    <t xml:space="preserve">$V == 11010 </t>
  </si>
  <si>
    <t xml:space="preserve">$V == 11011 </t>
  </si>
  <si>
    <t xml:space="preserve">$V == 11012 </t>
  </si>
  <si>
    <t xml:space="preserve">$V == 11013 </t>
  </si>
  <si>
    <t xml:space="preserve">$V == 11014 </t>
  </si>
  <si>
    <t xml:space="preserve">$V == 11015 </t>
  </si>
  <si>
    <t xml:space="preserve">$V == 11016 </t>
  </si>
  <si>
    <t xml:space="preserve">$V == 11017 </t>
  </si>
  <si>
    <t xml:space="preserve">$V == 11018 </t>
  </si>
  <si>
    <t xml:space="preserve">$V == 11019 </t>
  </si>
  <si>
    <t xml:space="preserve">$V == 11020 </t>
  </si>
  <si>
    <t xml:space="preserve">$V == 11021 </t>
  </si>
  <si>
    <t xml:space="preserve">$V == 11022 </t>
  </si>
  <si>
    <t xml:space="preserve">$V == 11023 </t>
  </si>
  <si>
    <t xml:space="preserve">$V == 11024 </t>
  </si>
  <si>
    <t xml:space="preserve">$V == 11025 </t>
  </si>
  <si>
    <t xml:space="preserve">$V == 11026 </t>
  </si>
  <si>
    <t xml:space="preserve">$V == 11027 </t>
  </si>
  <si>
    <t xml:space="preserve">$V == 11028 </t>
  </si>
  <si>
    <t xml:space="preserve">$V == 11029 </t>
  </si>
  <si>
    <t xml:space="preserve">$V == 11030 </t>
  </si>
  <si>
    <t xml:space="preserve">$V == 11031 </t>
  </si>
  <si>
    <t xml:space="preserve">$V == 11032 </t>
  </si>
  <si>
    <t xml:space="preserve">$V == 11033 </t>
  </si>
  <si>
    <t xml:space="preserve">$V == 11034 </t>
  </si>
  <si>
    <t xml:space="preserve">$V == 11035 </t>
  </si>
  <si>
    <t xml:space="preserve">$V == 11036 </t>
  </si>
  <si>
    <t xml:space="preserve">$V == 11037 </t>
  </si>
  <si>
    <t xml:space="preserve">$V == 11038 </t>
  </si>
  <si>
    <t xml:space="preserve">$V == 11039 </t>
  </si>
  <si>
    <t xml:space="preserve">$V == 11040 </t>
  </si>
  <si>
    <t xml:space="preserve">$V == 11041 </t>
  </si>
  <si>
    <t xml:space="preserve">$V == 11042 </t>
  </si>
  <si>
    <t xml:space="preserve">$V == 11043 </t>
  </si>
  <si>
    <t xml:space="preserve">$V == 11044 </t>
  </si>
  <si>
    <t xml:space="preserve">$V == 11045 </t>
  </si>
  <si>
    <t xml:space="preserve">$V == 11046 </t>
  </si>
  <si>
    <t xml:space="preserve">$V == 11047 </t>
  </si>
  <si>
    <t xml:space="preserve">$V == 11048 </t>
  </si>
  <si>
    <t xml:space="preserve">$V == 11049 </t>
  </si>
  <si>
    <t xml:space="preserve">$V == 11050 </t>
  </si>
  <si>
    <t xml:space="preserve">$V == 11051 </t>
  </si>
  <si>
    <t xml:space="preserve">$V == 11052 </t>
  </si>
  <si>
    <t xml:space="preserve">$V == 11053 </t>
  </si>
  <si>
    <t xml:space="preserve">$V == 11054 </t>
  </si>
  <si>
    <t xml:space="preserve">$V == 11055 </t>
  </si>
  <si>
    <t xml:space="preserve">$V == 11056 </t>
  </si>
  <si>
    <t xml:space="preserve">$V == 11057 </t>
  </si>
  <si>
    <t xml:space="preserve">$V == 11058 </t>
  </si>
  <si>
    <t xml:space="preserve">$V == 11059 </t>
  </si>
  <si>
    <t xml:space="preserve">$V == 11060 </t>
  </si>
  <si>
    <t xml:space="preserve">$V == 11061 </t>
  </si>
  <si>
    <t xml:space="preserve">$V == 11062 </t>
  </si>
  <si>
    <t xml:space="preserve">$V == 11063 </t>
  </si>
  <si>
    <t xml:space="preserve">$V == 11064 </t>
  </si>
  <si>
    <t xml:space="preserve">$V == 11065 </t>
  </si>
  <si>
    <t xml:space="preserve">$V == 11066 </t>
  </si>
  <si>
    <t xml:space="preserve">$V == 11067 </t>
  </si>
  <si>
    <t xml:space="preserve">$V == 11068 </t>
  </si>
  <si>
    <t xml:space="preserve">$V == 11069 </t>
  </si>
  <si>
    <t xml:space="preserve">$V == 11070 </t>
  </si>
  <si>
    <t xml:space="preserve">$V == 12000 </t>
  </si>
  <si>
    <t xml:space="preserve">$V == 12001 </t>
  </si>
  <si>
    <t xml:space="preserve">$V == 12002 </t>
  </si>
  <si>
    <t xml:space="preserve">$V == 12003 </t>
  </si>
  <si>
    <t xml:space="preserve">$V == 12004 </t>
  </si>
  <si>
    <t xml:space="preserve">$V == 12005 </t>
  </si>
  <si>
    <t xml:space="preserve">$V == 12006 </t>
  </si>
  <si>
    <t xml:space="preserve">$V == 12007 </t>
  </si>
  <si>
    <t xml:space="preserve">$V == 12008 </t>
  </si>
  <si>
    <t xml:space="preserve">$V == 12009 </t>
  </si>
  <si>
    <t xml:space="preserve">$V == 12010 </t>
  </si>
  <si>
    <t xml:space="preserve">$V == 12011 </t>
  </si>
  <si>
    <t xml:space="preserve">$V == 12012 </t>
  </si>
  <si>
    <t xml:space="preserve">$V == 12013 </t>
  </si>
  <si>
    <t xml:space="preserve">$V == 12014 </t>
  </si>
  <si>
    <t xml:space="preserve">$V == 12015 </t>
  </si>
  <si>
    <t xml:space="preserve">$V == 12016 </t>
  </si>
  <si>
    <t xml:space="preserve">$V == 12017 </t>
  </si>
  <si>
    <t xml:space="preserve">$V == 12018 </t>
  </si>
  <si>
    <t xml:space="preserve">$V == 12019 </t>
  </si>
  <si>
    <t xml:space="preserve">$V == 12020 </t>
  </si>
  <si>
    <t xml:space="preserve">$V == 12021 </t>
  </si>
  <si>
    <t xml:space="preserve">$V == 12022 </t>
  </si>
  <si>
    <t xml:space="preserve">$V == 12023 </t>
  </si>
  <si>
    <t xml:space="preserve">$V == 12024 </t>
  </si>
  <si>
    <t xml:space="preserve">$V == 12025 </t>
  </si>
  <si>
    <t xml:space="preserve">$V == 12026 </t>
  </si>
  <si>
    <t xml:space="preserve">$V == 12027 </t>
  </si>
  <si>
    <t xml:space="preserve">$V == 12028 </t>
  </si>
  <si>
    <t xml:space="preserve">$V == 12029 </t>
  </si>
  <si>
    <t xml:space="preserve">$V == 12030 </t>
  </si>
  <si>
    <t xml:space="preserve">$V == 12031 </t>
  </si>
  <si>
    <t xml:space="preserve">$V == 12032 </t>
  </si>
  <si>
    <t xml:space="preserve">$V == 12033 </t>
  </si>
  <si>
    <t xml:space="preserve">$V == 12034 </t>
  </si>
  <si>
    <t xml:space="preserve">$V == 12035 </t>
  </si>
  <si>
    <t xml:space="preserve">$V == 12036 </t>
  </si>
  <si>
    <t xml:space="preserve">$V == 12037 </t>
  </si>
  <si>
    <t xml:space="preserve">$V == 12038 </t>
  </si>
  <si>
    <t xml:space="preserve">$V == 12039 </t>
  </si>
  <si>
    <t xml:space="preserve">$V == 12040 </t>
  </si>
  <si>
    <t xml:space="preserve">$V == 12041 </t>
  </si>
  <si>
    <t xml:space="preserve">$V == 12042 </t>
  </si>
  <si>
    <t xml:space="preserve">$V == 12043 </t>
  </si>
  <si>
    <t xml:space="preserve">$V == 12044 </t>
  </si>
  <si>
    <t xml:space="preserve">$V == 12045 </t>
  </si>
  <si>
    <t xml:space="preserve">$V == 12046 </t>
  </si>
  <si>
    <t xml:space="preserve">$V == 12047 </t>
  </si>
  <si>
    <t xml:space="preserve">$V == 12048 </t>
  </si>
  <si>
    <t xml:space="preserve">$V == 12049 </t>
  </si>
  <si>
    <t xml:space="preserve">$V == 12050 </t>
  </si>
  <si>
    <t xml:space="preserve">$V == 12051 </t>
  </si>
  <si>
    <t xml:space="preserve">$V == 12052 </t>
  </si>
  <si>
    <t xml:space="preserve">$V == 12053 </t>
  </si>
  <si>
    <t xml:space="preserve">$V == 12054 </t>
  </si>
  <si>
    <t xml:space="preserve">$V == 12055 </t>
  </si>
  <si>
    <t xml:space="preserve">$V == 12056 </t>
  </si>
  <si>
    <t xml:space="preserve">$V == 12057 </t>
  </si>
  <si>
    <t xml:space="preserve">$V == 12058 </t>
  </si>
  <si>
    <t xml:space="preserve">$V == 12059 </t>
  </si>
  <si>
    <t xml:space="preserve">$V == 12060 </t>
  </si>
  <si>
    <t xml:space="preserve">$V == 12061 </t>
  </si>
  <si>
    <t xml:space="preserve">$V == 12062 </t>
  </si>
  <si>
    <t xml:space="preserve">$V == 12063 </t>
  </si>
  <si>
    <t xml:space="preserve">$V == 12064 </t>
  </si>
  <si>
    <t xml:space="preserve">$V == 12065 </t>
  </si>
  <si>
    <t xml:space="preserve">$V == 12066 </t>
  </si>
  <si>
    <t xml:space="preserve">$V == 12067 </t>
  </si>
  <si>
    <t xml:space="preserve">$V == 12068 </t>
  </si>
  <si>
    <t xml:space="preserve">$V == 12069 </t>
  </si>
  <si>
    <t xml:space="preserve">$V == 12070 </t>
  </si>
  <si>
    <t xml:space="preserve">$V == 12071 </t>
  </si>
  <si>
    <t xml:space="preserve">$V == 12072 </t>
  </si>
  <si>
    <t xml:space="preserve">$V == 12073 </t>
  </si>
  <si>
    <t xml:space="preserve">$V == 12074 </t>
  </si>
  <si>
    <t xml:space="preserve">$V == 12075 </t>
  </si>
  <si>
    <t xml:space="preserve">$V == 12076 </t>
  </si>
  <si>
    <t xml:space="preserve">$V == 12077 </t>
  </si>
  <si>
    <t xml:space="preserve">$V == 12078 </t>
  </si>
  <si>
    <t xml:space="preserve">$V == 12079 </t>
  </si>
  <si>
    <t xml:space="preserve">$V == 12080 </t>
  </si>
  <si>
    <t xml:space="preserve">$V == 12081 </t>
  </si>
  <si>
    <t xml:space="preserve">$V == 12083 </t>
  </si>
  <si>
    <t xml:space="preserve">$V == 12084 </t>
  </si>
  <si>
    <t xml:space="preserve">$V == 12085 </t>
  </si>
  <si>
    <t xml:space="preserve">$V == 12086 </t>
  </si>
  <si>
    <t xml:space="preserve">$V == 12087 </t>
  </si>
  <si>
    <t xml:space="preserve">$V == 12088 </t>
  </si>
  <si>
    <t xml:space="preserve">$V == 12090 </t>
  </si>
  <si>
    <t xml:space="preserve">$V == 12091 </t>
  </si>
  <si>
    <t xml:space="preserve">$V == 12092 </t>
  </si>
  <si>
    <t xml:space="preserve">$V == 12093 </t>
  </si>
  <si>
    <t xml:space="preserve">$V == 12094 </t>
  </si>
  <si>
    <t xml:space="preserve">$V == 12095 </t>
  </si>
  <si>
    <t xml:space="preserve">$V == 12096 </t>
  </si>
  <si>
    <t xml:space="preserve">$V == 12097 </t>
  </si>
  <si>
    <t xml:space="preserve">$V == 12098 </t>
  </si>
  <si>
    <t xml:space="preserve">$V == 12099 </t>
  </si>
  <si>
    <t xml:space="preserve">$V == 12100 </t>
  </si>
  <si>
    <t xml:space="preserve">$V == 12101 </t>
  </si>
  <si>
    <t xml:space="preserve">$V == 12102 </t>
  </si>
  <si>
    <t xml:space="preserve">$V == 12103 </t>
  </si>
  <si>
    <t xml:space="preserve">$V == 12104 </t>
  </si>
  <si>
    <t xml:space="preserve">$V == 12105 </t>
  </si>
  <si>
    <t xml:space="preserve">$V == 12106 </t>
  </si>
  <si>
    <t xml:space="preserve">$V == 12107 </t>
  </si>
  <si>
    <t xml:space="preserve">$V == 12108 </t>
  </si>
  <si>
    <t xml:space="preserve">$V == 12109 </t>
  </si>
  <si>
    <t xml:space="preserve">$V == 12110 </t>
  </si>
  <si>
    <t xml:space="preserve">$V == 12111 </t>
  </si>
  <si>
    <t xml:space="preserve">$V == 12112 </t>
  </si>
  <si>
    <t xml:space="preserve">$V == 12113 </t>
  </si>
  <si>
    <t xml:space="preserve">$V == 12114 </t>
  </si>
  <si>
    <t xml:space="preserve">$V == 12115 </t>
  </si>
  <si>
    <t xml:space="preserve">$V == 12116 </t>
  </si>
  <si>
    <t xml:space="preserve">$V == 12117 </t>
  </si>
  <si>
    <t xml:space="preserve">$V == 12118 </t>
  </si>
  <si>
    <t xml:space="preserve">$V == 12119 </t>
  </si>
  <si>
    <t xml:space="preserve">$V == 12120 </t>
  </si>
  <si>
    <t xml:space="preserve">$V == 12121 </t>
  </si>
  <si>
    <t xml:space="preserve">$V == 12122 </t>
  </si>
  <si>
    <t xml:space="preserve">$V == 12123 </t>
  </si>
  <si>
    <t xml:space="preserve">$V == 12124 </t>
  </si>
  <si>
    <t xml:space="preserve">$V == 12125 </t>
  </si>
  <si>
    <t xml:space="preserve">$V == 12126 </t>
  </si>
  <si>
    <t xml:space="preserve">$V == 12127 </t>
  </si>
  <si>
    <t xml:space="preserve">$V == 12128 </t>
  </si>
  <si>
    <t xml:space="preserve">$V == 12129 </t>
  </si>
  <si>
    <t xml:space="preserve">$V == 12130 </t>
  </si>
  <si>
    <t xml:space="preserve">$V == 12131 </t>
  </si>
  <si>
    <t xml:space="preserve">$V == 12132 </t>
  </si>
  <si>
    <t xml:space="preserve">$V == 12133 </t>
  </si>
  <si>
    <t xml:space="preserve">$V == 12134 </t>
  </si>
  <si>
    <t xml:space="preserve">$V == 12135 </t>
  </si>
  <si>
    <t xml:space="preserve">$V == 14500 </t>
  </si>
  <si>
    <t xml:space="preserve">$V == 14501 </t>
  </si>
  <si>
    <t xml:space="preserve">$V == 14502 </t>
  </si>
  <si>
    <t xml:space="preserve">$V == 14503 </t>
  </si>
  <si>
    <t xml:space="preserve">$V == 14504 </t>
  </si>
  <si>
    <t xml:space="preserve">$V == 14505 </t>
  </si>
  <si>
    <t xml:space="preserve">$V == 14506 </t>
  </si>
  <si>
    <t xml:space="preserve">$V == 14507 </t>
  </si>
  <si>
    <t xml:space="preserve">$V == 14508 </t>
  </si>
  <si>
    <t xml:space="preserve">$V == 14509 </t>
  </si>
  <si>
    <t xml:space="preserve">$V == 14510 </t>
  </si>
  <si>
    <t xml:space="preserve">$V == 14511 </t>
  </si>
  <si>
    <t xml:space="preserve">$V == 15000 </t>
  </si>
  <si>
    <t xml:space="preserve">$V == 15001 </t>
  </si>
  <si>
    <t xml:space="preserve">$V == 15002 </t>
  </si>
  <si>
    <t xml:space="preserve">$V == 15003 </t>
  </si>
  <si>
    <t xml:space="preserve">$V == 16000 </t>
  </si>
  <si>
    <t xml:space="preserve">$V == 16001 </t>
  </si>
  <si>
    <t xml:space="preserve">$V == 16002 </t>
  </si>
  <si>
    <t xml:space="preserve">$V == 16003 </t>
  </si>
  <si>
    <t xml:space="preserve">$V == 16004 </t>
  </si>
  <si>
    <t xml:space="preserve">$V == 16005 </t>
  </si>
  <si>
    <t xml:space="preserve">$V == 16006 </t>
  </si>
  <si>
    <t xml:space="preserve">$V == 16007 </t>
  </si>
  <si>
    <t xml:space="preserve">$V == 16008 </t>
  </si>
  <si>
    <t xml:space="preserve">$V == 16009 </t>
  </si>
  <si>
    <t xml:space="preserve">$V == 16010 </t>
  </si>
  <si>
    <t xml:space="preserve">$V == 16011 </t>
  </si>
  <si>
    <t xml:space="preserve">$V == 16012 </t>
  </si>
  <si>
    <t xml:space="preserve">$V == 16013 </t>
  </si>
  <si>
    <t xml:space="preserve">$V == 16500 </t>
  </si>
  <si>
    <t xml:space="preserve">$V == 16501 </t>
  </si>
  <si>
    <t xml:space="preserve">$V == 16502 </t>
  </si>
  <si>
    <t xml:space="preserve">$V == 16503 </t>
  </si>
  <si>
    <t xml:space="preserve">$V == 16504 </t>
  </si>
  <si>
    <t xml:space="preserve">$V == 16505 </t>
  </si>
  <si>
    <t xml:space="preserve">$V == 16506 </t>
  </si>
  <si>
    <t xml:space="preserve">$V == 17000 </t>
  </si>
  <si>
    <t xml:space="preserve">$V == 17001 </t>
  </si>
  <si>
    <t xml:space="preserve">$V == 17002 </t>
  </si>
  <si>
    <t xml:space="preserve">$V == 17003 </t>
  </si>
  <si>
    <t xml:space="preserve">$V == 17500 </t>
  </si>
  <si>
    <t xml:space="preserve">$V == 17501 </t>
  </si>
  <si>
    <t xml:space="preserve">$V == 17502 </t>
  </si>
  <si>
    <t xml:space="preserve">$V == 17503 </t>
  </si>
  <si>
    <t xml:space="preserve">$V == 17504 </t>
  </si>
  <si>
    <t xml:space="preserve">$V == 17505 </t>
  </si>
  <si>
    <t xml:space="preserve">$V == 17506 </t>
  </si>
  <si>
    <t xml:space="preserve">$V == 17507 </t>
  </si>
  <si>
    <t xml:space="preserve">$V == 18400 </t>
  </si>
  <si>
    <t xml:space="preserve">$V == 18800 </t>
  </si>
  <si>
    <t xml:space="preserve">$V == 18801 </t>
  </si>
  <si>
    <t xml:space="preserve">$V == 18802 </t>
  </si>
  <si>
    <t xml:space="preserve">$V == 18803 </t>
  </si>
  <si>
    <t xml:space="preserve">$V == 18804 </t>
  </si>
  <si>
    <t xml:space="preserve">$V == 18805 </t>
  </si>
  <si>
    <t xml:space="preserve">$V == 18806 </t>
  </si>
  <si>
    <t xml:space="preserve">$V == 18807 </t>
  </si>
  <si>
    <t xml:space="preserve">$V == 18808 </t>
  </si>
  <si>
    <t xml:space="preserve">$V == 18809 </t>
  </si>
  <si>
    <t xml:space="preserve">$V == 18810 </t>
  </si>
  <si>
    <t xml:space="preserve">$V == 18811 </t>
  </si>
  <si>
    <t xml:space="preserve">$V == 18812 </t>
  </si>
  <si>
    <t xml:space="preserve">$V == 18813 </t>
  </si>
  <si>
    <t xml:space="preserve">$V == 19000 </t>
  </si>
  <si>
    <t xml:space="preserve">$V == 19001 </t>
  </si>
  <si>
    <t xml:space="preserve">$V == 19002 </t>
  </si>
  <si>
    <t xml:space="preserve">$V == 19003 </t>
  </si>
  <si>
    <t xml:space="preserve">$V == 19004 </t>
  </si>
  <si>
    <t xml:space="preserve">$V == 19005 </t>
  </si>
  <si>
    <t xml:space="preserve">$V == 19100 </t>
  </si>
  <si>
    <t xml:space="preserve">$V == 19101 </t>
  </si>
  <si>
    <t xml:space="preserve">$V == 19102 </t>
  </si>
  <si>
    <t xml:space="preserve">$V == 19110 </t>
  </si>
  <si>
    <t xml:space="preserve">$V == 19111 </t>
  </si>
  <si>
    <t xml:space="preserve">$V == 21000 </t>
  </si>
  <si>
    <t xml:space="preserve">$V == 21001 </t>
  </si>
  <si>
    <t xml:space="preserve">$V == 21002 </t>
  </si>
  <si>
    <t xml:space="preserve">$V == 21003 </t>
  </si>
  <si>
    <t xml:space="preserve">$V == 21004 </t>
  </si>
  <si>
    <t xml:space="preserve">$V == 21005 </t>
  </si>
  <si>
    <t xml:space="preserve">$V == 21006 </t>
  </si>
  <si>
    <t xml:space="preserve">$V == 21007 </t>
  </si>
  <si>
    <t xml:space="preserve">$V == 21008 </t>
  </si>
  <si>
    <t xml:space="preserve">$V == 21009 </t>
  </si>
  <si>
    <t xml:space="preserve">$V == 21010 </t>
  </si>
  <si>
    <t xml:space="preserve">$V == 21011 </t>
  </si>
  <si>
    <t xml:space="preserve">$V == 21012 </t>
  </si>
  <si>
    <t xml:space="preserve">$V == 21013 </t>
  </si>
  <si>
    <t xml:space="preserve">$V == 21014 </t>
  </si>
  <si>
    <t xml:space="preserve">$V == 21015 </t>
  </si>
  <si>
    <t xml:space="preserve">$V == 21016 </t>
  </si>
  <si>
    <t xml:space="preserve">$V == 21017 </t>
  </si>
  <si>
    <t xml:space="preserve">$V == 21018 </t>
  </si>
  <si>
    <t xml:space="preserve">$V == 21019 </t>
  </si>
  <si>
    <t xml:space="preserve">$V == 21020 </t>
  </si>
  <si>
    <t xml:space="preserve">$V == 21021 </t>
  </si>
  <si>
    <t xml:space="preserve">$V == 21022 </t>
  </si>
  <si>
    <t xml:space="preserve">$V == 21023 </t>
  </si>
  <si>
    <t xml:space="preserve">$V == 21024 </t>
  </si>
  <si>
    <t xml:space="preserve">$V == 21025 </t>
  </si>
  <si>
    <t xml:space="preserve">$V == 21026 </t>
  </si>
  <si>
    <t xml:space="preserve">$V == 21027 </t>
  </si>
  <si>
    <t xml:space="preserve">$V == 21028 </t>
  </si>
  <si>
    <t xml:space="preserve">$V == 21029 </t>
  </si>
  <si>
    <t xml:space="preserve">$V == 21030 </t>
  </si>
  <si>
    <t xml:space="preserve">$V == 21031 </t>
  </si>
  <si>
    <t xml:space="preserve">$V == 21032 </t>
  </si>
  <si>
    <t xml:space="preserve">$V == 21033 </t>
  </si>
  <si>
    <t xml:space="preserve">$V == 21034 </t>
  </si>
  <si>
    <t xml:space="preserve">$V == 21035 </t>
  </si>
  <si>
    <t xml:space="preserve">$V == 21036 </t>
  </si>
  <si>
    <t xml:space="preserve">$V == 21037 </t>
  </si>
  <si>
    <t xml:space="preserve">$V == 21038 </t>
  </si>
  <si>
    <t xml:space="preserve">$V == 21039 </t>
  </si>
  <si>
    <t xml:space="preserve">$V == 21040 </t>
  </si>
  <si>
    <t xml:space="preserve">$V == 21041 </t>
  </si>
  <si>
    <t xml:space="preserve">$V == 21042 </t>
  </si>
  <si>
    <t xml:space="preserve">$V == 21043 </t>
  </si>
  <si>
    <t xml:space="preserve">$V == 21044 </t>
  </si>
  <si>
    <t xml:space="preserve">$V == 21045 </t>
  </si>
  <si>
    <t xml:space="preserve">$V == 21046 </t>
  </si>
  <si>
    <t xml:space="preserve">$V == 21047 </t>
  </si>
  <si>
    <t xml:space="preserve">$V == 21048 </t>
  </si>
  <si>
    <t xml:space="preserve">$V == 21049 </t>
  </si>
  <si>
    <t xml:space="preserve">$V == 21050 </t>
  </si>
  <si>
    <t xml:space="preserve">$V == 21051 </t>
  </si>
  <si>
    <t xml:space="preserve">$V == 21052 </t>
  </si>
  <si>
    <t xml:space="preserve">$V == 21053 </t>
  </si>
  <si>
    <t xml:space="preserve">$V == 21054 </t>
  </si>
  <si>
    <t xml:space="preserve">$V == 21055 </t>
  </si>
  <si>
    <t xml:space="preserve">$V == 21056 </t>
  </si>
  <si>
    <t xml:space="preserve">$V == 21057 </t>
  </si>
  <si>
    <t xml:space="preserve">$V == 21058 </t>
  </si>
  <si>
    <t xml:space="preserve">$V == 21059 </t>
  </si>
  <si>
    <t xml:space="preserve">$V == 21060 </t>
  </si>
  <si>
    <t xml:space="preserve">$V == 21061 </t>
  </si>
  <si>
    <t xml:space="preserve">$V == 21062 </t>
  </si>
  <si>
    <t xml:space="preserve">$V == 21063 </t>
  </si>
  <si>
    <t xml:space="preserve">$V == 21064 </t>
  </si>
  <si>
    <t xml:space="preserve">$V == 21065 </t>
  </si>
  <si>
    <t xml:space="preserve">$V == 21066 </t>
  </si>
  <si>
    <t xml:space="preserve">$V == 21067 </t>
  </si>
  <si>
    <t xml:space="preserve">$V == 21068 </t>
  </si>
  <si>
    <t xml:space="preserve">$V == 21069 </t>
  </si>
  <si>
    <t xml:space="preserve">$V == 21070 </t>
  </si>
  <si>
    <t xml:space="preserve">$V == 21071 </t>
  </si>
  <si>
    <t xml:space="preserve">$V == 21072 </t>
  </si>
  <si>
    <t xml:space="preserve">$V == 21073 </t>
  </si>
  <si>
    <t xml:space="preserve">$V == 21074 </t>
  </si>
  <si>
    <t xml:space="preserve">$V == 21075 </t>
  </si>
  <si>
    <t xml:space="preserve">$V == 21076 </t>
  </si>
  <si>
    <t xml:space="preserve">$V == 21077 </t>
  </si>
  <si>
    <t xml:space="preserve">$V == 21078 </t>
  </si>
  <si>
    <t xml:space="preserve">$V == 21079 </t>
  </si>
  <si>
    <t xml:space="preserve">$V == 21080 </t>
  </si>
  <si>
    <t xml:space="preserve">$V == 21092 </t>
  </si>
  <si>
    <t xml:space="preserve">$V == 21093 </t>
  </si>
  <si>
    <t xml:space="preserve">$V == 22901 </t>
  </si>
  <si>
    <t xml:space="preserve">$V == 22902 </t>
  </si>
  <si>
    <t xml:space="preserve">$V == 22903 </t>
  </si>
  <si>
    <t xml:space="preserve">$V == 22904 </t>
  </si>
  <si>
    <t xml:space="preserve">$V == 22905 </t>
  </si>
  <si>
    <t xml:space="preserve">$V == 22906 </t>
  </si>
  <si>
    <t xml:space="preserve">$V == 22907 </t>
  </si>
  <si>
    <t xml:space="preserve">$V == 22908 </t>
  </si>
  <si>
    <t xml:space="preserve">$V == 22909 </t>
  </si>
  <si>
    <t xml:space="preserve">$V == 22910 </t>
  </si>
  <si>
    <t xml:space="preserve">$V == 22911 </t>
  </si>
  <si>
    <t xml:space="preserve">$V == 22912 </t>
  </si>
  <si>
    <t xml:space="preserve">$V == 22913 </t>
  </si>
  <si>
    <t xml:space="preserve">$V == 22914 </t>
  </si>
  <si>
    <t xml:space="preserve">$V == 22915 </t>
  </si>
  <si>
    <t xml:space="preserve">$V == 22916 </t>
  </si>
  <si>
    <t xml:space="preserve">$V == 22917 </t>
  </si>
  <si>
    <t xml:space="preserve">$V == 22918 </t>
  </si>
  <si>
    <t xml:space="preserve">$V == 22919 </t>
  </si>
  <si>
    <t xml:space="preserve">$V == 22920 </t>
  </si>
  <si>
    <t xml:space="preserve">$V == 22921 </t>
  </si>
  <si>
    <t xml:space="preserve">$V == 22922 </t>
  </si>
  <si>
    <t xml:space="preserve">$V == 22923 </t>
  </si>
  <si>
    <t xml:space="preserve">$V == 22924 </t>
  </si>
  <si>
    <t xml:space="preserve">$V == 22925 </t>
  </si>
  <si>
    <t xml:space="preserve">$V == 22926 </t>
  </si>
  <si>
    <t xml:space="preserve">$V == 22927 </t>
  </si>
  <si>
    <t xml:space="preserve">$V == 22928 </t>
  </si>
  <si>
    <t xml:space="preserve">$V == 22929 </t>
  </si>
  <si>
    <t xml:space="preserve">$V == 22930 </t>
  </si>
  <si>
    <t xml:space="preserve">$V == 22931 </t>
  </si>
  <si>
    <t xml:space="preserve">$V == 22932 </t>
  </si>
  <si>
    <t xml:space="preserve">$V == 22933 </t>
  </si>
  <si>
    <t xml:space="preserve">$V == 22934 </t>
  </si>
  <si>
    <t xml:space="preserve">$V == 22935 </t>
  </si>
  <si>
    <t xml:space="preserve">$V == 22936 </t>
  </si>
  <si>
    <t xml:space="preserve">$V == 22937 </t>
  </si>
  <si>
    <t xml:space="preserve">$V == 22938 </t>
  </si>
  <si>
    <t xml:space="preserve">$V == 22939 </t>
  </si>
  <si>
    <t xml:space="preserve">$V == 22940 </t>
  </si>
  <si>
    <t xml:space="preserve">$V == 22941 </t>
  </si>
  <si>
    <t xml:space="preserve">$V == 22942 </t>
  </si>
  <si>
    <t xml:space="preserve">$V == 22943 </t>
  </si>
  <si>
    <t xml:space="preserve">$V == 22944 </t>
  </si>
  <si>
    <t xml:space="preserve">$V == 22945 </t>
  </si>
  <si>
    <t xml:space="preserve">$V == 22946 </t>
  </si>
  <si>
    <t xml:space="preserve">$V == 22947 </t>
  </si>
  <si>
    <t xml:space="preserve">$V == 22948 </t>
  </si>
  <si>
    <t xml:space="preserve">$V == 22949 </t>
  </si>
  <si>
    <t xml:space="preserve">$V == 22950 </t>
  </si>
  <si>
    <t xml:space="preserve">$V == 22951 </t>
  </si>
  <si>
    <t xml:space="preserve">$V == 22952 </t>
  </si>
  <si>
    <t xml:space="preserve">$V == 22953 </t>
  </si>
  <si>
    <t xml:space="preserve">$V == 22954 </t>
  </si>
  <si>
    <t xml:space="preserve">$V == 22955 </t>
  </si>
  <si>
    <t xml:space="preserve">$V == 22956 </t>
  </si>
  <si>
    <t xml:space="preserve">$V == 22957 </t>
  </si>
  <si>
    <t xml:space="preserve">$V == 22958 </t>
  </si>
  <si>
    <t xml:space="preserve">$V == 22959 </t>
  </si>
  <si>
    <t xml:space="preserve">$V == 22960 </t>
  </si>
  <si>
    <t xml:space="preserve">$V == 22961 </t>
  </si>
  <si>
    <t xml:space="preserve">$V == 22962 </t>
  </si>
  <si>
    <t xml:space="preserve">$V == 22963 </t>
  </si>
  <si>
    <t xml:space="preserve">$V == 22964 </t>
  </si>
  <si>
    <t xml:space="preserve">$V == 22965 </t>
  </si>
  <si>
    <t xml:space="preserve">$V == 22966 </t>
  </si>
  <si>
    <t xml:space="preserve">$V == 22967 </t>
  </si>
  <si>
    <t xml:space="preserve">$V == 22968 </t>
  </si>
  <si>
    <t xml:space="preserve">$V == 22969 </t>
  </si>
  <si>
    <t xml:space="preserve">$V == 22970 </t>
  </si>
  <si>
    <t xml:space="preserve">$V == 22971 </t>
  </si>
  <si>
    <t xml:space="preserve">$V == 22972 </t>
  </si>
  <si>
    <t xml:space="preserve">$V == 22973 </t>
  </si>
  <si>
    <t xml:space="preserve">$V == 22974 </t>
  </si>
  <si>
    <t xml:space="preserve">$V == 22975 </t>
  </si>
  <si>
    <t xml:space="preserve">$V == 22976 </t>
  </si>
  <si>
    <t xml:space="preserve">$V == 22977 </t>
  </si>
  <si>
    <t xml:space="preserve">$V == 22978 </t>
  </si>
  <si>
    <t xml:space="preserve">$V == 22979 </t>
  </si>
  <si>
    <t xml:space="preserve">$V == 23800 </t>
  </si>
  <si>
    <t xml:space="preserve">$V == 23801 </t>
  </si>
  <si>
    <t xml:space="preserve">$V == 23802 </t>
  </si>
  <si>
    <t xml:space="preserve">$V == 23803 </t>
  </si>
  <si>
    <t xml:space="preserve">$V == 23804 </t>
  </si>
  <si>
    <t xml:space="preserve">$V == 23805 </t>
  </si>
  <si>
    <t xml:space="preserve">$V == 23806 </t>
  </si>
  <si>
    <t xml:space="preserve">$V == 23807 </t>
  </si>
  <si>
    <t xml:space="preserve">$V == 23808 </t>
  </si>
  <si>
    <t xml:space="preserve">$V == 23809 </t>
  </si>
  <si>
    <t xml:space="preserve">$V == 23810 </t>
  </si>
  <si>
    <t xml:space="preserve">$V == 23811 </t>
  </si>
  <si>
    <t xml:space="preserve">$V == 23812 </t>
  </si>
  <si>
    <t xml:space="preserve">$V == 23813 </t>
  </si>
  <si>
    <t xml:space="preserve">$V == 23814 </t>
  </si>
  <si>
    <t xml:space="preserve">$V == 23815 </t>
  </si>
  <si>
    <t xml:space="preserve">$V == 23816 </t>
  </si>
  <si>
    <t xml:space="preserve">$V == 24000 </t>
  </si>
  <si>
    <t xml:space="preserve">$V == 24001 </t>
  </si>
  <si>
    <t xml:space="preserve">$V == 24002 </t>
  </si>
  <si>
    <t xml:space="preserve">$V == 24500 </t>
  </si>
  <si>
    <t xml:space="preserve">$V == 24501 </t>
  </si>
  <si>
    <t xml:space="preserve">$V == 24502 </t>
  </si>
  <si>
    <t xml:space="preserve">$V == 24503 </t>
  </si>
  <si>
    <t xml:space="preserve">$V == 24504 </t>
  </si>
  <si>
    <t xml:space="preserve">$V == 25000 </t>
  </si>
  <si>
    <t xml:space="preserve">$V == 25001 </t>
  </si>
  <si>
    <t xml:space="preserve">$V == 25002 </t>
  </si>
  <si>
    <t xml:space="preserve">$V == 25003 </t>
  </si>
  <si>
    <t xml:space="preserve">$V == 25004 </t>
  </si>
  <si>
    <t xml:space="preserve">$V == 25005 </t>
  </si>
  <si>
    <t xml:space="preserve">$V == 25006 </t>
  </si>
  <si>
    <t xml:space="preserve">$V == 25007 </t>
  </si>
  <si>
    <t xml:space="preserve">$V == 25008 </t>
  </si>
  <si>
    <t xml:space="preserve">$V == 25009 </t>
  </si>
  <si>
    <t xml:space="preserve">$V == 25010 </t>
  </si>
  <si>
    <t xml:space="preserve">$V == 25011 </t>
  </si>
  <si>
    <t xml:space="preserve">$V == 25012 </t>
  </si>
  <si>
    <t xml:space="preserve">$V == 25013 </t>
  </si>
  <si>
    <t xml:space="preserve">$V == 25014 </t>
  </si>
  <si>
    <t xml:space="preserve">$V == 25015 </t>
  </si>
  <si>
    <t xml:space="preserve">$V == 25016 </t>
  </si>
  <si>
    <t xml:space="preserve">$V == 25017 </t>
  </si>
  <si>
    <t xml:space="preserve">$V == 25018 </t>
  </si>
  <si>
    <t xml:space="preserve">$V == 25019 </t>
  </si>
  <si>
    <t xml:space="preserve">$V == 25020 </t>
  </si>
  <si>
    <t xml:space="preserve">$V == 25021 </t>
  </si>
  <si>
    <t xml:space="preserve">$V == 25022 </t>
  </si>
  <si>
    <t xml:space="preserve">$V == 25023 </t>
  </si>
  <si>
    <t xml:space="preserve">$V == 25024 </t>
  </si>
  <si>
    <t xml:space="preserve">$V == 25025 </t>
  </si>
  <si>
    <t xml:space="preserve">$V == 26000 </t>
  </si>
  <si>
    <t xml:space="preserve">$V == 26001 </t>
  </si>
  <si>
    <t xml:space="preserve">$V == 26002 </t>
  </si>
  <si>
    <t xml:space="preserve">$V == 26003 </t>
  </si>
  <si>
    <t xml:space="preserve">$V == 26004 </t>
  </si>
  <si>
    <t xml:space="preserve">$V == 26005 </t>
  </si>
  <si>
    <t xml:space="preserve">$V == 26006 </t>
  </si>
  <si>
    <t xml:space="preserve">$V == 26007 </t>
  </si>
  <si>
    <t xml:space="preserve">$V == 26008 </t>
  </si>
  <si>
    <t xml:space="preserve">$V == 26009 </t>
  </si>
  <si>
    <t xml:space="preserve">$V == 26010 </t>
  </si>
  <si>
    <t xml:space="preserve">$V == 26011 </t>
  </si>
  <si>
    <t xml:space="preserve">$V == 26012 </t>
  </si>
  <si>
    <t xml:space="preserve">$V == 26013 </t>
  </si>
  <si>
    <t xml:space="preserve">$V == 26014 </t>
  </si>
  <si>
    <t xml:space="preserve">$V == 26015 </t>
  </si>
  <si>
    <t xml:space="preserve">$V == 26016 </t>
  </si>
  <si>
    <t xml:space="preserve">$V == 26017 </t>
  </si>
  <si>
    <t xml:space="preserve">$V == 26018 </t>
  </si>
  <si>
    <t xml:space="preserve">$V == 26019 </t>
  </si>
  <si>
    <t xml:space="preserve">$V == 26020 </t>
  </si>
  <si>
    <t xml:space="preserve">$V == 26021 </t>
  </si>
  <si>
    <t xml:space="preserve">$V == 26022 </t>
  </si>
  <si>
    <t xml:space="preserve">$V == 26023 </t>
  </si>
  <si>
    <t xml:space="preserve">$V == 26024 </t>
  </si>
  <si>
    <t xml:space="preserve">$V == 26025 </t>
  </si>
  <si>
    <t xml:space="preserve">$V == 26026 </t>
  </si>
  <si>
    <t xml:space="preserve">$V == 26027 </t>
  </si>
  <si>
    <t xml:space="preserve">$V == 26028 </t>
  </si>
  <si>
    <t xml:space="preserve">$V == 26500 </t>
  </si>
  <si>
    <t xml:space="preserve">$V == 26584 </t>
  </si>
  <si>
    <t xml:space="preserve">$V == 27000 </t>
  </si>
  <si>
    <t xml:space="preserve">$V == 27001 </t>
  </si>
  <si>
    <t xml:space="preserve">$V == 27002 </t>
  </si>
  <si>
    <t xml:space="preserve">$V == 27003 </t>
  </si>
  <si>
    <t xml:space="preserve">$V == 27004 </t>
  </si>
  <si>
    <t xml:space="preserve">$V == 27005 </t>
  </si>
  <si>
    <t xml:space="preserve">$V == 27006 </t>
  </si>
  <si>
    <t xml:space="preserve">$V == 27007 </t>
  </si>
  <si>
    <t xml:space="preserve">$V == 27008 </t>
  </si>
  <si>
    <t xml:space="preserve">$V == 27009 </t>
  </si>
  <si>
    <t xml:space="preserve">$V == 27010 </t>
  </si>
  <si>
    <t xml:space="preserve">$V == 27011 </t>
  </si>
  <si>
    <t xml:space="preserve">$V == 27012 </t>
  </si>
  <si>
    <t xml:space="preserve">$V == 27013 </t>
  </si>
  <si>
    <t xml:space="preserve">$V == 27014 </t>
  </si>
  <si>
    <t xml:space="preserve">$V == 27015 </t>
  </si>
  <si>
    <t xml:space="preserve">$V == 27016 </t>
  </si>
  <si>
    <t xml:space="preserve">$V == 27017 </t>
  </si>
  <si>
    <t xml:space="preserve">$V == 27018 </t>
  </si>
  <si>
    <t xml:space="preserve">$V == 27019 </t>
  </si>
  <si>
    <t xml:space="preserve">$V == 27020 </t>
  </si>
  <si>
    <t xml:space="preserve">$V == 27021 </t>
  </si>
  <si>
    <t xml:space="preserve">$V == 27022 </t>
  </si>
  <si>
    <t xml:space="preserve">$V == 27023 </t>
  </si>
  <si>
    <t xml:space="preserve">$V == 27024 </t>
  </si>
  <si>
    <t xml:space="preserve">$V == 27025 </t>
  </si>
  <si>
    <t xml:space="preserve">$V == 27026 </t>
  </si>
  <si>
    <t xml:space="preserve">$V == 27027 </t>
  </si>
  <si>
    <t xml:space="preserve">$V == 27028 </t>
  </si>
  <si>
    <t xml:space="preserve">$V == 27029 </t>
  </si>
  <si>
    <t xml:space="preserve">$V == 27030 </t>
  </si>
  <si>
    <t xml:space="preserve">$V == 27031 </t>
  </si>
  <si>
    <t xml:space="preserve">$V == 27032 </t>
  </si>
  <si>
    <t xml:space="preserve">$V == 27033 </t>
  </si>
  <si>
    <t xml:space="preserve">$V == 27500 </t>
  </si>
  <si>
    <t xml:space="preserve">$V == 27501 </t>
  </si>
  <si>
    <t xml:space="preserve">$V == 27502 </t>
  </si>
  <si>
    <t xml:space="preserve">$V == 27503 </t>
  </si>
  <si>
    <t xml:space="preserve">$V == 28400 </t>
  </si>
  <si>
    <t xml:space="preserve">$V == 28800 </t>
  </si>
  <si>
    <t xml:space="preserve">$V == 28801 </t>
  </si>
  <si>
    <t xml:space="preserve">$V == 28802 </t>
  </si>
  <si>
    <t xml:space="preserve">$V == 28803 </t>
  </si>
  <si>
    <t xml:space="preserve">$V == 28804 </t>
  </si>
  <si>
    <t xml:space="preserve">$V == 28805 </t>
  </si>
  <si>
    <t xml:space="preserve">$V == 28806 </t>
  </si>
  <si>
    <t xml:space="preserve">$V == 28807 </t>
  </si>
  <si>
    <t xml:space="preserve">$V == 28808 </t>
  </si>
  <si>
    <t xml:space="preserve">$V == 28809 </t>
  </si>
  <si>
    <t xml:space="preserve">$V == 28810 </t>
  </si>
  <si>
    <t xml:space="preserve">$V == 28811 </t>
  </si>
  <si>
    <t xml:space="preserve">$V == 28812 </t>
  </si>
  <si>
    <t xml:space="preserve">$V == 28813 </t>
  </si>
  <si>
    <t xml:space="preserve">$V == 28814 </t>
  </si>
  <si>
    <t xml:space="preserve">$V == 28815 </t>
  </si>
  <si>
    <t xml:space="preserve">$V == 28840 </t>
  </si>
  <si>
    <t xml:space="preserve">$V == 28851 </t>
  </si>
  <si>
    <t xml:space="preserve">$V == 28852 </t>
  </si>
  <si>
    <t xml:space="preserve">$V == 28853 </t>
  </si>
  <si>
    <t xml:space="preserve">$V == 28854 </t>
  </si>
  <si>
    <t xml:space="preserve">$V == 28855 </t>
  </si>
  <si>
    <t xml:space="preserve">$V == 28856 </t>
  </si>
  <si>
    <t xml:space="preserve">$V == 28857 </t>
  </si>
  <si>
    <t xml:space="preserve">$V == 28858 </t>
  </si>
  <si>
    <t xml:space="preserve">$V == 28859 </t>
  </si>
  <si>
    <t xml:space="preserve">$V == 28860 </t>
  </si>
  <si>
    <t xml:space="preserve">$V == 28900 </t>
  </si>
  <si>
    <t xml:space="preserve">$V == 29100 </t>
  </si>
  <si>
    <t xml:space="preserve">$V == 29998 </t>
  </si>
  <si>
    <t xml:space="preserve">$V == 30001 </t>
  </si>
  <si>
    <t xml:space="preserve">$V == 30002 </t>
  </si>
  <si>
    <t xml:space="preserve">$V == 30100 </t>
  </si>
  <si>
    <t xml:space="preserve">$V == 30101 </t>
  </si>
  <si>
    <t xml:space="preserve">$V == 30102 </t>
  </si>
  <si>
    <t xml:space="preserve">$V == 30103 </t>
  </si>
  <si>
    <t xml:space="preserve">$V == 30104 </t>
  </si>
  <si>
    <t xml:space="preserve">$V == 30105 </t>
  </si>
  <si>
    <t xml:space="preserve">$V == 30106 </t>
  </si>
  <si>
    <t xml:space="preserve">$V == 30107 </t>
  </si>
  <si>
    <t xml:space="preserve">$V == 30108 </t>
  </si>
  <si>
    <t xml:space="preserve">$V == 30109 </t>
  </si>
  <si>
    <t xml:space="preserve">$V == 30110 </t>
  </si>
  <si>
    <t xml:space="preserve">$V == 30111 </t>
  </si>
  <si>
    <t xml:space="preserve">$V == 30112 </t>
  </si>
  <si>
    <t xml:space="preserve">$V == 30113 </t>
  </si>
  <si>
    <t xml:space="preserve">$V == 30114 </t>
  </si>
  <si>
    <t xml:space="preserve">$V == 30115 </t>
  </si>
  <si>
    <t xml:space="preserve">$V == 30116 </t>
  </si>
  <si>
    <t xml:space="preserve">$V == 30117 </t>
  </si>
  <si>
    <t xml:space="preserve">$V == 30118 </t>
  </si>
  <si>
    <t xml:space="preserve">$V == 30119 </t>
  </si>
  <si>
    <t xml:space="preserve">$V == 30120 </t>
  </si>
  <si>
    <t xml:space="preserve">$V == 30121 </t>
  </si>
  <si>
    <t xml:space="preserve">$V == 30122 </t>
  </si>
  <si>
    <t xml:space="preserve">$V == 30900 </t>
  </si>
  <si>
    <t xml:space="preserve">$V == 30901 </t>
  </si>
  <si>
    <t xml:space="preserve">$V == 30902 </t>
  </si>
  <si>
    <t xml:space="preserve">$V == 30903 </t>
  </si>
  <si>
    <t xml:space="preserve">$V == 30904 </t>
  </si>
  <si>
    <t xml:space="preserve">$V == 30905 </t>
  </si>
  <si>
    <t xml:space="preserve">$V == 30906 </t>
  </si>
  <si>
    <t xml:space="preserve">$V == 30907 </t>
  </si>
  <si>
    <t xml:space="preserve">$V == 30908 </t>
  </si>
  <si>
    <t xml:space="preserve">$V == 30909 </t>
  </si>
  <si>
    <t xml:space="preserve">$V == 31000 </t>
  </si>
  <si>
    <t xml:space="preserve">$V == 31001 </t>
  </si>
  <si>
    <t xml:space="preserve">$V == 31002 </t>
  </si>
  <si>
    <t xml:space="preserve">$V == 31003 </t>
  </si>
  <si>
    <t xml:space="preserve">$V == 31004 </t>
  </si>
  <si>
    <t xml:space="preserve">$V == 31005 </t>
  </si>
  <si>
    <t xml:space="preserve">$V == 31006 </t>
  </si>
  <si>
    <t xml:space="preserve">$V == 31007 </t>
  </si>
  <si>
    <t xml:space="preserve">$V == 31008 </t>
  </si>
  <si>
    <t xml:space="preserve">$V == 31009 </t>
  </si>
  <si>
    <t xml:space="preserve">$V == 31010 </t>
  </si>
  <si>
    <t xml:space="preserve">$V == 31011 </t>
  </si>
  <si>
    <t xml:space="preserve">$V == 31012 </t>
  </si>
  <si>
    <t xml:space="preserve">$V == 31013 </t>
  </si>
  <si>
    <t xml:space="preserve">$V == 31014 </t>
  </si>
  <si>
    <t xml:space="preserve">$V == 31015 </t>
  </si>
  <si>
    <t xml:space="preserve">$V == 31016 </t>
  </si>
  <si>
    <t xml:space="preserve">$V == 31017 </t>
  </si>
  <si>
    <t xml:space="preserve">$V == 31018 </t>
  </si>
  <si>
    <t xml:space="preserve">$V == 31019 </t>
  </si>
  <si>
    <t xml:space="preserve">$V == 31020 </t>
  </si>
  <si>
    <t xml:space="preserve">$V == 31021 </t>
  </si>
  <si>
    <t xml:space="preserve">$V == 31022 </t>
  </si>
  <si>
    <t xml:space="preserve">$V == 31023 </t>
  </si>
  <si>
    <t xml:space="preserve">$V == 31024 </t>
  </si>
  <si>
    <t xml:space="preserve">$V == 31025 </t>
  </si>
  <si>
    <t xml:space="preserve">$V == 31026 </t>
  </si>
  <si>
    <t xml:space="preserve">$V == 31027 </t>
  </si>
  <si>
    <t xml:space="preserve">$V == 31028 </t>
  </si>
  <si>
    <t xml:space="preserve">$V == 31029 </t>
  </si>
  <si>
    <t xml:space="preserve">$V == 31030 </t>
  </si>
  <si>
    <t xml:space="preserve">$V == 31031 </t>
  </si>
  <si>
    <t xml:space="preserve">$V == 31032 </t>
  </si>
  <si>
    <t xml:space="preserve">$V == 31033 </t>
  </si>
  <si>
    <t xml:space="preserve">$V == 31034 </t>
  </si>
  <si>
    <t xml:space="preserve">$V == 31035 </t>
  </si>
  <si>
    <t xml:space="preserve">$V == 31036 </t>
  </si>
  <si>
    <t xml:space="preserve">$V == 31037 </t>
  </si>
  <si>
    <t xml:space="preserve">$V == 31038 </t>
  </si>
  <si>
    <t xml:space="preserve">$V == 31039 </t>
  </si>
  <si>
    <t xml:space="preserve">$V == 31040 </t>
  </si>
  <si>
    <t xml:space="preserve">$V == 31041 </t>
  </si>
  <si>
    <t xml:space="preserve">$V == 31042 </t>
  </si>
  <si>
    <t xml:space="preserve">$V == 31043 </t>
  </si>
  <si>
    <t xml:space="preserve">$V == 31044 </t>
  </si>
  <si>
    <t xml:space="preserve">$V == 31045 </t>
  </si>
  <si>
    <t xml:space="preserve">$V == 31046 </t>
  </si>
  <si>
    <t xml:space="preserve">$V == 31047 </t>
  </si>
  <si>
    <t xml:space="preserve">$V == 31048 </t>
  </si>
  <si>
    <t xml:space="preserve">$V == 31049 </t>
  </si>
  <si>
    <t xml:space="preserve">$V == 31050 </t>
  </si>
  <si>
    <t xml:space="preserve">$V == 31051 </t>
  </si>
  <si>
    <t xml:space="preserve">$V == 31052 </t>
  </si>
  <si>
    <t xml:space="preserve">$V == 31053 </t>
  </si>
  <si>
    <t xml:space="preserve">$V == 31054 </t>
  </si>
  <si>
    <t xml:space="preserve">$V == 31055 </t>
  </si>
  <si>
    <t xml:space="preserve">$V == 31056 </t>
  </si>
  <si>
    <t xml:space="preserve">$V == 31057 </t>
  </si>
  <si>
    <t xml:space="preserve">$V == 31058 </t>
  </si>
  <si>
    <t xml:space="preserve">$V == 31059 </t>
  </si>
  <si>
    <t xml:space="preserve">$V == 31060 </t>
  </si>
  <si>
    <t xml:space="preserve">$V == 31061 </t>
  </si>
  <si>
    <t xml:space="preserve">$V == 31062 </t>
  </si>
  <si>
    <t xml:space="preserve">$V == 31063 </t>
  </si>
  <si>
    <t xml:space="preserve">$V == 31064 </t>
  </si>
  <si>
    <t xml:space="preserve">$V == 31065 </t>
  </si>
  <si>
    <t xml:space="preserve">$V == 31066 </t>
  </si>
  <si>
    <t xml:space="preserve">$V == 31067 </t>
  </si>
  <si>
    <t xml:space="preserve">$V == 31068 </t>
  </si>
  <si>
    <t xml:space="preserve">$V == 31069 </t>
  </si>
  <si>
    <t xml:space="preserve">$V == 31070 </t>
  </si>
  <si>
    <t xml:space="preserve">$V == 31071 </t>
  </si>
  <si>
    <t xml:space="preserve">$V == 31072 </t>
  </si>
  <si>
    <t xml:space="preserve">$V == 31073 </t>
  </si>
  <si>
    <t xml:space="preserve">$V == 31074 </t>
  </si>
  <si>
    <t xml:space="preserve">$V == 31075 </t>
  </si>
  <si>
    <t xml:space="preserve">$V == 31076 </t>
  </si>
  <si>
    <t xml:space="preserve">$V == 31077 </t>
  </si>
  <si>
    <t xml:space="preserve">$V == 31078 </t>
  </si>
  <si>
    <t xml:space="preserve">$V == 31079 </t>
  </si>
  <si>
    <t xml:space="preserve">$V == 31080 </t>
  </si>
  <si>
    <t xml:space="preserve">$V == 31081 </t>
  </si>
  <si>
    <t xml:space="preserve">$V == 31082 </t>
  </si>
  <si>
    <t xml:space="preserve">$V == 31083 </t>
  </si>
  <si>
    <t xml:space="preserve">$V == 31084 </t>
  </si>
  <si>
    <t xml:space="preserve">$V == 31085 </t>
  </si>
  <si>
    <t xml:space="preserve">$V == 31086 </t>
  </si>
  <si>
    <t xml:space="preserve">$V == 31087 </t>
  </si>
  <si>
    <t xml:space="preserve">$V == 31088 </t>
  </si>
  <si>
    <t xml:space="preserve">$V == 31089 </t>
  </si>
  <si>
    <t xml:space="preserve">$V == 31090 </t>
  </si>
  <si>
    <t xml:space="preserve">$V == 31091 </t>
  </si>
  <si>
    <t xml:space="preserve">$V == 31092 </t>
  </si>
  <si>
    <t xml:space="preserve">$V == 31093 </t>
  </si>
  <si>
    <t xml:space="preserve">$V == 31094 </t>
  </si>
  <si>
    <t xml:space="preserve">$V == 31095 </t>
  </si>
  <si>
    <t xml:space="preserve">$V == 31096 </t>
  </si>
  <si>
    <t xml:space="preserve">$V == 31097 </t>
  </si>
  <si>
    <t xml:space="preserve">$V == 31098 </t>
  </si>
  <si>
    <t xml:space="preserve">$V == 31099 </t>
  </si>
  <si>
    <t xml:space="preserve">$V == 31100 </t>
  </si>
  <si>
    <t xml:space="preserve">$V == 31101 </t>
  </si>
  <si>
    <t xml:space="preserve">$V == 31102 </t>
  </si>
  <si>
    <t xml:space="preserve">$V == 31103 </t>
  </si>
  <si>
    <t xml:space="preserve">$V == 31104 </t>
  </si>
  <si>
    <t xml:space="preserve">$V == 31105 </t>
  </si>
  <si>
    <t xml:space="preserve">$V == 31106 </t>
  </si>
  <si>
    <t xml:space="preserve">$V == 31107 </t>
  </si>
  <si>
    <t xml:space="preserve">$V == 31108 </t>
  </si>
  <si>
    <t xml:space="preserve">$V == 31109 </t>
  </si>
  <si>
    <t xml:space="preserve">$V == 31110 </t>
  </si>
  <si>
    <t xml:space="preserve">$V == 31111 </t>
  </si>
  <si>
    <t xml:space="preserve">$V == 31113 </t>
  </si>
  <si>
    <t xml:space="preserve">$V == 31114 </t>
  </si>
  <si>
    <t xml:space="preserve">$V == 31115 </t>
  </si>
  <si>
    <t xml:space="preserve">$V == 31116 </t>
  </si>
  <si>
    <t xml:space="preserve">$V == 31117 </t>
  </si>
  <si>
    <t xml:space="preserve">$V == 31118 </t>
  </si>
  <si>
    <t xml:space="preserve">$V == 31119 </t>
  </si>
  <si>
    <t xml:space="preserve">$V == 31120 </t>
  </si>
  <si>
    <t xml:space="preserve">$V == 31121 </t>
  </si>
  <si>
    <t xml:space="preserve">$V == 31122 </t>
  </si>
  <si>
    <t xml:space="preserve">$V == 31123 </t>
  </si>
  <si>
    <t xml:space="preserve">$V == 31124 </t>
  </si>
  <si>
    <t xml:space="preserve">$V == 31125 </t>
  </si>
  <si>
    <t xml:space="preserve">$V == 31126 </t>
  </si>
  <si>
    <t xml:space="preserve">$V == 31127 </t>
  </si>
  <si>
    <t xml:space="preserve">$V == 31128 </t>
  </si>
  <si>
    <t xml:space="preserve">$V == 31129 </t>
  </si>
  <si>
    <t xml:space="preserve">$V == 31130 </t>
  </si>
  <si>
    <t xml:space="preserve">$V == 31131 </t>
  </si>
  <si>
    <t xml:space="preserve">$V == 31132 </t>
  </si>
  <si>
    <t xml:space="preserve">$V == 31133 </t>
  </si>
  <si>
    <t xml:space="preserve">$V == 31134 </t>
  </si>
  <si>
    <t xml:space="preserve">$V == 31135 </t>
  </si>
  <si>
    <t xml:space="preserve">$V == 31136 </t>
  </si>
  <si>
    <t xml:space="preserve">$V == 31137 </t>
  </si>
  <si>
    <t xml:space="preserve">$V == 31138 </t>
  </si>
  <si>
    <t xml:space="preserve">$V == 31139 </t>
  </si>
  <si>
    <t xml:space="preserve">$V == 31140 </t>
  </si>
  <si>
    <t xml:space="preserve">$V == 31141 </t>
  </si>
  <si>
    <t xml:space="preserve">$V == 31142 </t>
  </si>
  <si>
    <t xml:space="preserve">$V == 31143 </t>
  </si>
  <si>
    <t xml:space="preserve">$V == 31144 </t>
  </si>
  <si>
    <t xml:space="preserve">$V == 31145 </t>
  </si>
  <si>
    <t xml:space="preserve">$V == 31146 </t>
  </si>
  <si>
    <t xml:space="preserve">$V == 31147 </t>
  </si>
  <si>
    <t xml:space="preserve">$V == 31148 </t>
  </si>
  <si>
    <t xml:space="preserve">$V == 31149 </t>
  </si>
  <si>
    <t xml:space="preserve">$V == 31150 </t>
  </si>
  <si>
    <t xml:space="preserve">$V == 31151 </t>
  </si>
  <si>
    <t xml:space="preserve">$V == 31152 </t>
  </si>
  <si>
    <t xml:space="preserve">$V == 31153 </t>
  </si>
  <si>
    <t xml:space="preserve">$V == 31154 </t>
  </si>
  <si>
    <t xml:space="preserve">$V == 31155 </t>
  </si>
  <si>
    <t xml:space="preserve">$V == 31156 </t>
  </si>
  <si>
    <t xml:space="preserve">$V == 31157 </t>
  </si>
  <si>
    <t xml:space="preserve">$V == 31158 </t>
  </si>
  <si>
    <t xml:space="preserve">$V == 31159 </t>
  </si>
  <si>
    <t xml:space="preserve">$V == 31160 </t>
  </si>
  <si>
    <t xml:space="preserve">$V == 31161 </t>
  </si>
  <si>
    <t xml:space="preserve">$V == 31162 </t>
  </si>
  <si>
    <t xml:space="preserve">$V == 31163 </t>
  </si>
  <si>
    <t xml:space="preserve">$V == 31164 </t>
  </si>
  <si>
    <t xml:space="preserve">$V == 31165 </t>
  </si>
  <si>
    <t xml:space="preserve">$V == 31166 </t>
  </si>
  <si>
    <t xml:space="preserve">$V == 31167 </t>
  </si>
  <si>
    <t xml:space="preserve">$V == 31168 </t>
  </si>
  <si>
    <t xml:space="preserve">$V == 31169 </t>
  </si>
  <si>
    <t xml:space="preserve">$V == 31170 </t>
  </si>
  <si>
    <t xml:space="preserve">$V == 31171 </t>
  </si>
  <si>
    <t xml:space="preserve">$V == 31172 </t>
  </si>
  <si>
    <t xml:space="preserve">$V == 31173 </t>
  </si>
  <si>
    <t xml:space="preserve">$V == 31174 </t>
  </si>
  <si>
    <t xml:space="preserve">$V == 31175 </t>
  </si>
  <si>
    <t xml:space="preserve">$V == 31176 </t>
  </si>
  <si>
    <t xml:space="preserve">$V == 31177 </t>
  </si>
  <si>
    <t xml:space="preserve">$V == 31178 </t>
  </si>
  <si>
    <t xml:space="preserve">$V == 31179 </t>
  </si>
  <si>
    <t xml:space="preserve">$V == 31180 </t>
  </si>
  <si>
    <t xml:space="preserve">$V == 31181 </t>
  </si>
  <si>
    <t xml:space="preserve">$V == 31182 </t>
  </si>
  <si>
    <t xml:space="preserve">$V == 31183 </t>
  </si>
  <si>
    <t xml:space="preserve">$V == 31184 </t>
  </si>
  <si>
    <t xml:space="preserve">$V == 31185 </t>
  </si>
  <si>
    <t xml:space="preserve">$V == 31186 </t>
  </si>
  <si>
    <t xml:space="preserve">$V == 31187 </t>
  </si>
  <si>
    <t xml:space="preserve">$V == 31188 </t>
  </si>
  <si>
    <t xml:space="preserve">$V == 31189 </t>
  </si>
  <si>
    <t xml:space="preserve">$V == 31190 </t>
  </si>
  <si>
    <t xml:space="preserve">$V == 31191 </t>
  </si>
  <si>
    <t xml:space="preserve">$V == 31192 </t>
  </si>
  <si>
    <t xml:space="preserve">$V == 31193 </t>
  </si>
  <si>
    <t xml:space="preserve">$V == 31194 </t>
  </si>
  <si>
    <t xml:space="preserve">$V == 31195 </t>
  </si>
  <si>
    <t xml:space="preserve">$V == 31196 </t>
  </si>
  <si>
    <t xml:space="preserve">$V == 31197 </t>
  </si>
  <si>
    <t xml:space="preserve">$V == 31198 </t>
  </si>
  <si>
    <t xml:space="preserve">$V == 31199 </t>
  </si>
  <si>
    <t xml:space="preserve">$V == 31200 </t>
  </si>
  <si>
    <t xml:space="preserve">$V == 31201 </t>
  </si>
  <si>
    <t xml:space="preserve">$V == 31202 </t>
  </si>
  <si>
    <t xml:space="preserve">$V == 31203 </t>
  </si>
  <si>
    <t xml:space="preserve">$V == 31204 </t>
  </si>
  <si>
    <t xml:space="preserve">$V == 31205 </t>
  </si>
  <si>
    <t xml:space="preserve">$V == 31207 </t>
  </si>
  <si>
    <t xml:space="preserve">$V == 31208 </t>
  </si>
  <si>
    <t xml:space="preserve">$V == 31209 </t>
  </si>
  <si>
    <t xml:space="preserve">$V == 31210 </t>
  </si>
  <si>
    <t xml:space="preserve">$V == 31211 </t>
  </si>
  <si>
    <t xml:space="preserve">$V == 31212 </t>
  </si>
  <si>
    <t xml:space="preserve">$V == 31213 </t>
  </si>
  <si>
    <t xml:space="preserve">$V == 31214 </t>
  </si>
  <si>
    <t xml:space="preserve">$V == 31215 </t>
  </si>
  <si>
    <t xml:space="preserve">$V == 31216 </t>
  </si>
  <si>
    <t xml:space="preserve">$V == 31217 </t>
  </si>
  <si>
    <t xml:space="preserve">$V == 31218 </t>
  </si>
  <si>
    <t xml:space="preserve">$V == 31219 </t>
  </si>
  <si>
    <t xml:space="preserve">$V == 31220 </t>
  </si>
  <si>
    <t xml:space="preserve">$V == 31221 </t>
  </si>
  <si>
    <t xml:space="preserve">$V == 31222 </t>
  </si>
  <si>
    <t xml:space="preserve">$V == 31223 </t>
  </si>
  <si>
    <t xml:space="preserve">$V == 31224 </t>
  </si>
  <si>
    <t xml:space="preserve">$V == 31225 </t>
  </si>
  <si>
    <t xml:space="preserve">$V == 31228 </t>
  </si>
  <si>
    <t xml:space="preserve">$V == 31229 </t>
  </si>
  <si>
    <t xml:space="preserve">$V == 31230 </t>
  </si>
  <si>
    <t xml:space="preserve">$V == 31231 </t>
  </si>
  <si>
    <t xml:space="preserve">$V == 31232 </t>
  </si>
  <si>
    <t xml:space="preserve">$V == 31233 </t>
  </si>
  <si>
    <t xml:space="preserve">$V == 31234 </t>
  </si>
  <si>
    <t xml:space="preserve">$V == 31235 </t>
  </si>
  <si>
    <t xml:space="preserve">$V == 31236 </t>
  </si>
  <si>
    <t xml:space="preserve">$V == 31237 </t>
  </si>
  <si>
    <t xml:space="preserve">$V == 31238 </t>
  </si>
  <si>
    <t xml:space="preserve">$V == 31239 </t>
  </si>
  <si>
    <t xml:space="preserve">$V == 31240 </t>
  </si>
  <si>
    <t xml:space="preserve">$V == 31241 </t>
  </si>
  <si>
    <t xml:space="preserve">$V == 31242 </t>
  </si>
  <si>
    <t xml:space="preserve">$V == 31243 </t>
  </si>
  <si>
    <t xml:space="preserve">$V == 31244 </t>
  </si>
  <si>
    <t xml:space="preserve">$V == 31245 </t>
  </si>
  <si>
    <t xml:space="preserve">$V == 31246 </t>
  </si>
  <si>
    <t xml:space="preserve">$V == 31247 </t>
  </si>
  <si>
    <t xml:space="preserve">$V == 31248 </t>
  </si>
  <si>
    <t xml:space="preserve">$V == 31249 </t>
  </si>
  <si>
    <t xml:space="preserve">$V == 31250 </t>
  </si>
  <si>
    <t xml:space="preserve">$V == 31251 </t>
  </si>
  <si>
    <t xml:space="preserve">$V == 31252 </t>
  </si>
  <si>
    <t xml:space="preserve">$V == 31253 </t>
  </si>
  <si>
    <t xml:space="preserve">$V == 31254 </t>
  </si>
  <si>
    <t xml:space="preserve">$V == 31255 </t>
  </si>
  <si>
    <t xml:space="preserve">$V == 31256 </t>
  </si>
  <si>
    <t xml:space="preserve">$V == 31257 </t>
  </si>
  <si>
    <t xml:space="preserve">$V == 31258 </t>
  </si>
  <si>
    <t xml:space="preserve">$V == 31259 </t>
  </si>
  <si>
    <t xml:space="preserve">$V == 31260 </t>
  </si>
  <si>
    <t xml:space="preserve">$V == 31261 </t>
  </si>
  <si>
    <t xml:space="preserve">$V == 31262 </t>
  </si>
  <si>
    <t xml:space="preserve">$V == 31263 </t>
  </si>
  <si>
    <t xml:space="preserve">$V == 31264 </t>
  </si>
  <si>
    <t xml:space="preserve">$V == 31267 </t>
  </si>
  <si>
    <t xml:space="preserve">$V == 31268 </t>
  </si>
  <si>
    <t xml:space="preserve">$V == 31269 </t>
  </si>
  <si>
    <t xml:space="preserve">$V == 31270 </t>
  </si>
  <si>
    <t xml:space="preserve">$V == 31271 </t>
  </si>
  <si>
    <t xml:space="preserve">$V == 31272 </t>
  </si>
  <si>
    <t xml:space="preserve">$V == 31273 </t>
  </si>
  <si>
    <t xml:space="preserve">$V == 31274 </t>
  </si>
  <si>
    <t xml:space="preserve">$V == 31275 </t>
  </si>
  <si>
    <t xml:space="preserve">$V == 31276 </t>
  </si>
  <si>
    <t xml:space="preserve">$V == 31277 </t>
  </si>
  <si>
    <t xml:space="preserve">$V == 31278 </t>
  </si>
  <si>
    <t xml:space="preserve">$V == 31279 </t>
  </si>
  <si>
    <t xml:space="preserve">$V == 31280 </t>
  </si>
  <si>
    <t xml:space="preserve">$V == 31281 </t>
  </si>
  <si>
    <t xml:space="preserve">$V == 31282 </t>
  </si>
  <si>
    <t xml:space="preserve">$V == 31283 </t>
  </si>
  <si>
    <t xml:space="preserve">$V == 31284 </t>
  </si>
  <si>
    <t xml:space="preserve">$V == 31285 </t>
  </si>
  <si>
    <t xml:space="preserve">$V == 31286 </t>
  </si>
  <si>
    <t xml:space="preserve">$V == 31287 </t>
  </si>
  <si>
    <t xml:space="preserve">$V == 31288 </t>
  </si>
  <si>
    <t xml:space="preserve">$V == 31289 </t>
  </si>
  <si>
    <t xml:space="preserve">$V == 31290 </t>
  </si>
  <si>
    <t xml:space="preserve">$V == 31291 </t>
  </si>
  <si>
    <t xml:space="preserve">$V == 31292 </t>
  </si>
  <si>
    <t xml:space="preserve">$V == 31293 </t>
  </si>
  <si>
    <t xml:space="preserve">$V == 31294 </t>
  </si>
  <si>
    <t xml:space="preserve">$V == 31295 </t>
  </si>
  <si>
    <t xml:space="preserve">$V == 31296 </t>
  </si>
  <si>
    <t xml:space="preserve">$V == 31297 </t>
  </si>
  <si>
    <t xml:space="preserve">$V == 31298 </t>
  </si>
  <si>
    <t xml:space="preserve">$V == 31299 </t>
  </si>
  <si>
    <t xml:space="preserve">$V == 31300 </t>
  </si>
  <si>
    <t xml:space="preserve">$V == 31301 </t>
  </si>
  <si>
    <t xml:space="preserve">$V == 31302 </t>
  </si>
  <si>
    <t xml:space="preserve">$V == 31303 </t>
  </si>
  <si>
    <t xml:space="preserve">$V == 31304 </t>
  </si>
  <si>
    <t xml:space="preserve">$V == 31305 </t>
  </si>
  <si>
    <t xml:space="preserve">$V == 31306 </t>
  </si>
  <si>
    <t xml:space="preserve">$V == 31307 </t>
  </si>
  <si>
    <t xml:space="preserve">$V == 31308 </t>
  </si>
  <si>
    <t xml:space="preserve">$V == 31309 </t>
  </si>
  <si>
    <t xml:space="preserve">$V == 31310 </t>
  </si>
  <si>
    <t xml:space="preserve">$V == 31311 </t>
  </si>
  <si>
    <t xml:space="preserve">$V == 31312 </t>
  </si>
  <si>
    <t xml:space="preserve">$V == 31313 </t>
  </si>
  <si>
    <t xml:space="preserve">$V == 31314 </t>
  </si>
  <si>
    <t xml:space="preserve">$V == 31315 </t>
  </si>
  <si>
    <t xml:space="preserve">$V == 31316 </t>
  </si>
  <si>
    <t xml:space="preserve">$V == 31317 </t>
  </si>
  <si>
    <t xml:space="preserve">$V == 31318 </t>
  </si>
  <si>
    <t xml:space="preserve">$V == 31319 </t>
  </si>
  <si>
    <t xml:space="preserve">$V == 31321 </t>
  </si>
  <si>
    <t xml:space="preserve">$V == 31322 </t>
  </si>
  <si>
    <t xml:space="preserve">$V == 31323 </t>
  </si>
  <si>
    <t xml:space="preserve">$V == 31324 </t>
  </si>
  <si>
    <t xml:space="preserve">$V == 31325 </t>
  </si>
  <si>
    <t xml:space="preserve">$V == 31326 </t>
  </si>
  <si>
    <t xml:space="preserve">$V == 31327 </t>
  </si>
  <si>
    <t xml:space="preserve">$V == 31328 </t>
  </si>
  <si>
    <t xml:space="preserve">$V == 31329 </t>
  </si>
  <si>
    <t xml:space="preserve">$V == 31330 </t>
  </si>
  <si>
    <t xml:space="preserve">$V == 31331 </t>
  </si>
  <si>
    <t xml:space="preserve">$V == 31332 </t>
  </si>
  <si>
    <t xml:space="preserve">$V == 31333 </t>
  </si>
  <si>
    <t xml:space="preserve">$V == 31334 </t>
  </si>
  <si>
    <t xml:space="preserve">$V == 31335 </t>
  </si>
  <si>
    <t xml:space="preserve">$V == 31336 </t>
  </si>
  <si>
    <t xml:space="preserve">$V == 31337 </t>
  </si>
  <si>
    <t xml:space="preserve">$V == 31338 </t>
  </si>
  <si>
    <t xml:space="preserve">$V == 31339 </t>
  </si>
  <si>
    <t xml:space="preserve">$V == 31340 </t>
  </si>
  <si>
    <t xml:space="preserve">$V == 31341 </t>
  </si>
  <si>
    <t xml:space="preserve">$V == 31342 </t>
  </si>
  <si>
    <t xml:space="preserve">$V == 31343 </t>
  </si>
  <si>
    <t xml:space="preserve">$V == 31344 </t>
  </si>
  <si>
    <t xml:space="preserve">$V == 31345 </t>
  </si>
  <si>
    <t xml:space="preserve">$V == 31346 </t>
  </si>
  <si>
    <t xml:space="preserve">$V == 31347 </t>
  </si>
  <si>
    <t xml:space="preserve">$V == 31348 </t>
  </si>
  <si>
    <t xml:space="preserve">$V == 31349 </t>
  </si>
  <si>
    <t xml:space="preserve">$V == 31350 </t>
  </si>
  <si>
    <t xml:space="preserve">$V == 31351 </t>
  </si>
  <si>
    <t xml:space="preserve">$V == 31352 </t>
  </si>
  <si>
    <t xml:space="preserve">$V == 31353 </t>
  </si>
  <si>
    <t xml:space="preserve">$V == 31354 </t>
  </si>
  <si>
    <t xml:space="preserve">$V == 31355 </t>
  </si>
  <si>
    <t xml:space="preserve">$V == 31356 </t>
  </si>
  <si>
    <t xml:space="preserve">$V == 31357 </t>
  </si>
  <si>
    <t xml:space="preserve">$V == 31358 </t>
  </si>
  <si>
    <t xml:space="preserve">$V == 31359 </t>
  </si>
  <si>
    <t xml:space="preserve">$V == 31360 </t>
  </si>
  <si>
    <t xml:space="preserve">$V == 31361 </t>
  </si>
  <si>
    <t xml:space="preserve">$V == 31362 </t>
  </si>
  <si>
    <t xml:space="preserve">$V == 31363 </t>
  </si>
  <si>
    <t xml:space="preserve">$V == 31364 </t>
  </si>
  <si>
    <t xml:space="preserve">$V == 31365 </t>
  </si>
  <si>
    <t xml:space="preserve">$V == 31366 </t>
  </si>
  <si>
    <t xml:space="preserve">$V == 31367 </t>
  </si>
  <si>
    <t xml:space="preserve">$V == 31368 </t>
  </si>
  <si>
    <t xml:space="preserve">$V == 31369 </t>
  </si>
  <si>
    <t xml:space="preserve">$V == 31370 </t>
  </si>
  <si>
    <t xml:space="preserve">$V == 31371 </t>
  </si>
  <si>
    <t xml:space="preserve">$V == 31372 </t>
  </si>
  <si>
    <t xml:space="preserve">$V == 31373 </t>
  </si>
  <si>
    <t xml:space="preserve">$V == 31374 </t>
  </si>
  <si>
    <t xml:space="preserve">$V == 31375 </t>
  </si>
  <si>
    <t xml:space="preserve">$V == 31376 </t>
  </si>
  <si>
    <t xml:space="preserve">$V == 31377 </t>
  </si>
  <si>
    <t xml:space="preserve">$V == 31378 </t>
  </si>
  <si>
    <t xml:space="preserve">$V == 31379 </t>
  </si>
  <si>
    <t xml:space="preserve">$V == 31380 </t>
  </si>
  <si>
    <t xml:space="preserve">$V == 31381 </t>
  </si>
  <si>
    <t xml:space="preserve">$V == 31382 </t>
  </si>
  <si>
    <t xml:space="preserve">$V == 31383 </t>
  </si>
  <si>
    <t xml:space="preserve">$V == 31384 </t>
  </si>
  <si>
    <t xml:space="preserve">$V == 31385 </t>
  </si>
  <si>
    <t xml:space="preserve">$V == 31386 </t>
  </si>
  <si>
    <t xml:space="preserve">$V == 31387 </t>
  </si>
  <si>
    <t xml:space="preserve">$V == 31388 </t>
  </si>
  <si>
    <t xml:space="preserve">$V == 31389 </t>
  </si>
  <si>
    <t xml:space="preserve">$V == 31390 </t>
  </si>
  <si>
    <t xml:space="preserve">$V == 31391 </t>
  </si>
  <si>
    <t xml:space="preserve">$V == 31392 </t>
  </si>
  <si>
    <t xml:space="preserve">$V == 31393 </t>
  </si>
  <si>
    <t xml:space="preserve">$V == 31394 </t>
  </si>
  <si>
    <t xml:space="preserve">$V == 31395 </t>
  </si>
  <si>
    <t xml:space="preserve">$V == 31396 </t>
  </si>
  <si>
    <t xml:space="preserve">$V == 31397 </t>
  </si>
  <si>
    <t xml:space="preserve">$V == 31398 </t>
  </si>
  <si>
    <t xml:space="preserve">$V == 31399 </t>
  </si>
  <si>
    <t xml:space="preserve">$V == 31400 </t>
  </si>
  <si>
    <t xml:space="preserve">$V == 31401 </t>
  </si>
  <si>
    <t xml:space="preserve">$V == 31402 </t>
  </si>
  <si>
    <t xml:space="preserve">$V == 31403 </t>
  </si>
  <si>
    <t xml:space="preserve">$V == 31404 </t>
  </si>
  <si>
    <t xml:space="preserve">$V == 31405 </t>
  </si>
  <si>
    <t xml:space="preserve">$V == 31406 </t>
  </si>
  <si>
    <t xml:space="preserve">$V == 31407 </t>
  </si>
  <si>
    <t xml:space="preserve">$V == 31408 </t>
  </si>
  <si>
    <t xml:space="preserve">$V == 31409 </t>
  </si>
  <si>
    <t xml:space="preserve">$V == 31410 </t>
  </si>
  <si>
    <t xml:space="preserve">$V == 31411 </t>
  </si>
  <si>
    <t xml:space="preserve">$V == 31412 </t>
  </si>
  <si>
    <t xml:space="preserve">$V == 31413 </t>
  </si>
  <si>
    <t xml:space="preserve">$V == 31414 </t>
  </si>
  <si>
    <t xml:space="preserve">$V == 31415 </t>
  </si>
  <si>
    <t xml:space="preserve">$V == 31416 </t>
  </si>
  <si>
    <t xml:space="preserve">$V == 31417 </t>
  </si>
  <si>
    <t xml:space="preserve">$V == 31418 </t>
  </si>
  <si>
    <t xml:space="preserve">$V == 31419 </t>
  </si>
  <si>
    <t xml:space="preserve">$V == 31420 </t>
  </si>
  <si>
    <t xml:space="preserve">$V == 31421 </t>
  </si>
  <si>
    <t xml:space="preserve">$V == 31422 </t>
  </si>
  <si>
    <t xml:space="preserve">$V == 31423 </t>
  </si>
  <si>
    <t xml:space="preserve">$V == 31424 </t>
  </si>
  <si>
    <t xml:space="preserve">$V == 31425 </t>
  </si>
  <si>
    <t xml:space="preserve">$V == 31426 </t>
  </si>
  <si>
    <t xml:space="preserve">$V == 31427 </t>
  </si>
  <si>
    <t xml:space="preserve">$V == 31428 </t>
  </si>
  <si>
    <t xml:space="preserve">$V == 31429 </t>
  </si>
  <si>
    <t xml:space="preserve">$V == 31430 </t>
  </si>
  <si>
    <t xml:space="preserve">$V == 31431 </t>
  </si>
  <si>
    <t xml:space="preserve">$V == 31432 </t>
  </si>
  <si>
    <t xml:space="preserve">$V == 31433 </t>
  </si>
  <si>
    <t xml:space="preserve">$V == 31434 </t>
  </si>
  <si>
    <t xml:space="preserve">$V == 31435 </t>
  </si>
  <si>
    <t xml:space="preserve">$V == 31436 </t>
  </si>
  <si>
    <t xml:space="preserve">$V == 31437 </t>
  </si>
  <si>
    <t xml:space="preserve">$V == 31438 </t>
  </si>
  <si>
    <t xml:space="preserve">$V == 31439 </t>
  </si>
  <si>
    <t xml:space="preserve">$V == 31440 </t>
  </si>
  <si>
    <t xml:space="preserve">$V == 31441 </t>
  </si>
  <si>
    <t xml:space="preserve">$V == 31442 </t>
  </si>
  <si>
    <t xml:space="preserve">$V == 31443 </t>
  </si>
  <si>
    <t xml:space="preserve">$V == 31444 </t>
  </si>
  <si>
    <t xml:space="preserve">$V == 31445 </t>
  </si>
  <si>
    <t xml:space="preserve">$V == 31446 </t>
  </si>
  <si>
    <t xml:space="preserve">$V == 31452 </t>
  </si>
  <si>
    <t xml:space="preserve">$V == 31453 </t>
  </si>
  <si>
    <t xml:space="preserve">$V == 31454 </t>
  </si>
  <si>
    <t xml:space="preserve">$V == 31455 </t>
  </si>
  <si>
    <t xml:space="preserve">$V == 31459 </t>
  </si>
  <si>
    <t xml:space="preserve">$V == 31460 </t>
  </si>
  <si>
    <t xml:space="preserve">$V == 31461 </t>
  </si>
  <si>
    <t xml:space="preserve">$V == 31462 </t>
  </si>
  <si>
    <t xml:space="preserve">$V == 31463 </t>
  </si>
  <si>
    <t xml:space="preserve">$V == 31464 </t>
  </si>
  <si>
    <t xml:space="preserve">$V == 31465 </t>
  </si>
  <si>
    <t xml:space="preserve">$V == 31466 </t>
  </si>
  <si>
    <t xml:space="preserve">$V == 31467 </t>
  </si>
  <si>
    <t xml:space="preserve">$V == 31468 </t>
  </si>
  <si>
    <t xml:space="preserve">$V == 31469 </t>
  </si>
  <si>
    <t xml:space="preserve">$V == 31470 </t>
  </si>
  <si>
    <t xml:space="preserve">$V == 31471 </t>
  </si>
  <si>
    <t xml:space="preserve">$V == 31472 </t>
  </si>
  <si>
    <t xml:space="preserve">$V == 31473 </t>
  </si>
  <si>
    <t xml:space="preserve">$V == 31474 </t>
  </si>
  <si>
    <t xml:space="preserve">$V == 31475 </t>
  </si>
  <si>
    <t xml:space="preserve">$V == 31476 </t>
  </si>
  <si>
    <t xml:space="preserve">$V == 31477 </t>
  </si>
  <si>
    <t xml:space="preserve">$V == 31478 </t>
  </si>
  <si>
    <t xml:space="preserve">$V == 31479 </t>
  </si>
  <si>
    <t xml:space="preserve">$V == 31480 </t>
  </si>
  <si>
    <t xml:space="preserve">$V == 31481 </t>
  </si>
  <si>
    <t xml:space="preserve">$V == 31482 </t>
  </si>
  <si>
    <t xml:space="preserve">$V == 31483 </t>
  </si>
  <si>
    <t xml:space="preserve">$V == 31484 </t>
  </si>
  <si>
    <t xml:space="preserve">$V == 31485 </t>
  </si>
  <si>
    <t xml:space="preserve">$V == 31486 </t>
  </si>
  <si>
    <t xml:space="preserve">$V == 31487 </t>
  </si>
  <si>
    <t xml:space="preserve">$V == 31488 </t>
  </si>
  <si>
    <t xml:space="preserve">$V == 31489 </t>
  </si>
  <si>
    <t xml:space="preserve">$V == 31490 </t>
  </si>
  <si>
    <t xml:space="preserve">$V == 31491 </t>
  </si>
  <si>
    <t xml:space="preserve">$V == 31492 </t>
  </si>
  <si>
    <t xml:space="preserve">$V == 31493 </t>
  </si>
  <si>
    <t xml:space="preserve">$V == 31494 </t>
  </si>
  <si>
    <t xml:space="preserve">$V == 31495 </t>
  </si>
  <si>
    <t xml:space="preserve">$V == 31496 </t>
  </si>
  <si>
    <t xml:space="preserve">$V == 31497 </t>
  </si>
  <si>
    <t xml:space="preserve">$V == 31498 </t>
  </si>
  <si>
    <t xml:space="preserve">$V == 31499 </t>
  </si>
  <si>
    <t xml:space="preserve">$V == 31500 </t>
  </si>
  <si>
    <t xml:space="preserve">$V == 31501 </t>
  </si>
  <si>
    <t xml:space="preserve">$V == 31502 </t>
  </si>
  <si>
    <t xml:space="preserve">$V == 31503 </t>
  </si>
  <si>
    <t xml:space="preserve">$V == 31504 </t>
  </si>
  <si>
    <t xml:space="preserve">$V == 31505 </t>
  </si>
  <si>
    <t xml:space="preserve">$V == 31506 </t>
  </si>
  <si>
    <t xml:space="preserve">$V == 31507 </t>
  </si>
  <si>
    <t xml:space="preserve">$V == 31508 </t>
  </si>
  <si>
    <t xml:space="preserve">$V == 31509 </t>
  </si>
  <si>
    <t xml:space="preserve">$V == 31510 </t>
  </si>
  <si>
    <t xml:space="preserve">$V == 31511 </t>
  </si>
  <si>
    <t xml:space="preserve">$V == 31512 </t>
  </si>
  <si>
    <t xml:space="preserve">$V == 31513 </t>
  </si>
  <si>
    <t xml:space="preserve">$V == 31514 </t>
  </si>
  <si>
    <t xml:space="preserve">$V == 31515 </t>
  </si>
  <si>
    <t xml:space="preserve">$V == 31516 </t>
  </si>
  <si>
    <t xml:space="preserve">$V == 31517 </t>
  </si>
  <si>
    <t xml:space="preserve">$V == 31518 </t>
  </si>
  <si>
    <t xml:space="preserve">$V == 31519 </t>
  </si>
  <si>
    <t xml:space="preserve">$V == 31520 </t>
  </si>
  <si>
    <t xml:space="preserve">$V == 31521 </t>
  </si>
  <si>
    <t xml:space="preserve">$V == 31522 </t>
  </si>
  <si>
    <t xml:space="preserve">$V == 31523 </t>
  </si>
  <si>
    <t xml:space="preserve">$V == 31524 </t>
  </si>
  <si>
    <t xml:space="preserve">$V == 31525 </t>
  </si>
  <si>
    <t xml:space="preserve">$V == 31526 </t>
  </si>
  <si>
    <t xml:space="preserve">$V == 31527 </t>
  </si>
  <si>
    <t xml:space="preserve">$V == 31528 </t>
  </si>
  <si>
    <t xml:space="preserve">$V == 31529 </t>
  </si>
  <si>
    <t xml:space="preserve">$V == 31530 </t>
  </si>
  <si>
    <t xml:space="preserve">$V == 31531 </t>
  </si>
  <si>
    <t xml:space="preserve">$V == 31532 </t>
  </si>
  <si>
    <t xml:space="preserve">$V == 31533 </t>
  </si>
  <si>
    <t xml:space="preserve">$V == 31534 </t>
  </si>
  <si>
    <t xml:space="preserve">$V == 31535 </t>
  </si>
  <si>
    <t xml:space="preserve">$V == 31536 </t>
  </si>
  <si>
    <t xml:space="preserve">$V == 31537 </t>
  </si>
  <si>
    <t xml:space="preserve">$V == 31538 </t>
  </si>
  <si>
    <t xml:space="preserve">$V == 31540 </t>
  </si>
  <si>
    <t xml:space="preserve">$V == 31541 </t>
  </si>
  <si>
    <t xml:space="preserve">$V == 31542 </t>
  </si>
  <si>
    <t xml:space="preserve">$V == 31556 </t>
  </si>
  <si>
    <t xml:space="preserve">$V == 31578 </t>
  </si>
  <si>
    <t xml:space="preserve">$V == 31579 </t>
  </si>
  <si>
    <t xml:space="preserve">$V == 31612 </t>
  </si>
  <si>
    <t xml:space="preserve">$V == 31620 </t>
  </si>
  <si>
    <t xml:space="preserve">$V == 31623 </t>
  </si>
  <si>
    <t xml:space="preserve">$V == 31624 </t>
  </si>
  <si>
    <t xml:space="preserve">$V == 31653 </t>
  </si>
  <si>
    <t xml:space="preserve">$V == 32000 </t>
  </si>
  <si>
    <t xml:space="preserve">$V == 32001 </t>
  </si>
  <si>
    <t xml:space="preserve">$V == 32002 </t>
  </si>
  <si>
    <t xml:space="preserve">$V == 32003 </t>
  </si>
  <si>
    <t xml:space="preserve">$V == 32004 </t>
  </si>
  <si>
    <t xml:space="preserve">$V == 32005 </t>
  </si>
  <si>
    <t xml:space="preserve">$V == 32006 </t>
  </si>
  <si>
    <t xml:space="preserve">$V == 32007 </t>
  </si>
  <si>
    <t xml:space="preserve">$V == 32008 </t>
  </si>
  <si>
    <t xml:space="preserve">$V == 32009 </t>
  </si>
  <si>
    <t xml:space="preserve">$V == 32010 </t>
  </si>
  <si>
    <t xml:space="preserve">$V == 32011 </t>
  </si>
  <si>
    <t xml:space="preserve">$V == 32012 </t>
  </si>
  <si>
    <t xml:space="preserve">$V == 32013 </t>
  </si>
  <si>
    <t xml:space="preserve">$V == 32014 </t>
  </si>
  <si>
    <t xml:space="preserve">$V == 32015 </t>
  </si>
  <si>
    <t xml:space="preserve">$V == 32016 </t>
  </si>
  <si>
    <t xml:space="preserve">$V == 32017 </t>
  </si>
  <si>
    <t xml:space="preserve">$V == 32018 </t>
  </si>
  <si>
    <t xml:space="preserve">$V == 32019 </t>
  </si>
  <si>
    <t xml:space="preserve">$V == 32020 </t>
  </si>
  <si>
    <t xml:space="preserve">$V == 32021 </t>
  </si>
  <si>
    <t xml:space="preserve">$V == 32022 </t>
  </si>
  <si>
    <t xml:space="preserve">$V == 32023 </t>
  </si>
  <si>
    <t xml:space="preserve">$V == 32024 </t>
  </si>
  <si>
    <t xml:space="preserve">$V == 32025 </t>
  </si>
  <si>
    <t xml:space="preserve">$V == 32026 </t>
  </si>
  <si>
    <t xml:space="preserve">$V == 32027 </t>
  </si>
  <si>
    <t xml:space="preserve">$V == 32028 </t>
  </si>
  <si>
    <t xml:space="preserve">$V == 32029 </t>
  </si>
  <si>
    <t xml:space="preserve">$V == 32030 </t>
  </si>
  <si>
    <t xml:space="preserve">$V == 32031 </t>
  </si>
  <si>
    <t xml:space="preserve">$V == 32032 </t>
  </si>
  <si>
    <t xml:space="preserve">$V == 32033 </t>
  </si>
  <si>
    <t xml:space="preserve">$V == 32034 </t>
  </si>
  <si>
    <t xml:space="preserve">$V == 32036 </t>
  </si>
  <si>
    <t xml:space="preserve">$V == 32037 </t>
  </si>
  <si>
    <t xml:space="preserve">$V == 32038 </t>
  </si>
  <si>
    <t xml:space="preserve">$V == 32039 </t>
  </si>
  <si>
    <t xml:space="preserve">$V == 32040 </t>
  </si>
  <si>
    <t xml:space="preserve">$V == 32041 </t>
  </si>
  <si>
    <t xml:space="preserve">$V == 32042 </t>
  </si>
  <si>
    <t xml:space="preserve">$V == 32043 </t>
  </si>
  <si>
    <t xml:space="preserve">$V == 32044 </t>
  </si>
  <si>
    <t xml:space="preserve">$V == 32045 </t>
  </si>
  <si>
    <t xml:space="preserve">$V == 32046 </t>
  </si>
  <si>
    <t xml:space="preserve">$V == 32047 </t>
  </si>
  <si>
    <t xml:space="preserve">$V == 32048 </t>
  </si>
  <si>
    <t xml:space="preserve">$V == 32049 </t>
  </si>
  <si>
    <t xml:space="preserve">$V == 32050 </t>
  </si>
  <si>
    <t xml:space="preserve">$V == 32051 </t>
  </si>
  <si>
    <t xml:space="preserve">$V == 32052 </t>
  </si>
  <si>
    <t xml:space="preserve">$V == 32053 </t>
  </si>
  <si>
    <t xml:space="preserve">$V == 32054 </t>
  </si>
  <si>
    <t xml:space="preserve">$V == 32055 </t>
  </si>
  <si>
    <t xml:space="preserve">$V == 32056 </t>
  </si>
  <si>
    <t xml:space="preserve">$V == 32057 </t>
  </si>
  <si>
    <t xml:space="preserve">$V == 32058 </t>
  </si>
  <si>
    <t xml:space="preserve">$V == 32059 </t>
  </si>
  <si>
    <t xml:space="preserve">$V == 32060 </t>
  </si>
  <si>
    <t xml:space="preserve">$V == 32061 </t>
  </si>
  <si>
    <t xml:space="preserve">$V == 32062 </t>
  </si>
  <si>
    <t xml:space="preserve">$V == 32063 </t>
  </si>
  <si>
    <t xml:space="preserve">$V == 32064 </t>
  </si>
  <si>
    <t xml:space="preserve">$V == 32065 </t>
  </si>
  <si>
    <t xml:space="preserve">$V == 32066 </t>
  </si>
  <si>
    <t xml:space="preserve">$V == 32068 </t>
  </si>
  <si>
    <t xml:space="preserve">$V == 32069 </t>
  </si>
  <si>
    <t xml:space="preserve">$V == 32070 </t>
  </si>
  <si>
    <t xml:space="preserve">$V == 32071 </t>
  </si>
  <si>
    <t xml:space="preserve">$V == 32072 </t>
  </si>
  <si>
    <t xml:space="preserve">$V == 32073 </t>
  </si>
  <si>
    <t xml:space="preserve">$V == 32074 </t>
  </si>
  <si>
    <t xml:space="preserve">$V == 32075 </t>
  </si>
  <si>
    <t xml:space="preserve">$V == 32076 </t>
  </si>
  <si>
    <t xml:space="preserve">$V == 32085 </t>
  </si>
  <si>
    <t xml:space="preserve">$V == 33800 </t>
  </si>
  <si>
    <t xml:space="preserve">$V == 33801 </t>
  </si>
  <si>
    <t xml:space="preserve">$V == 33802 </t>
  </si>
  <si>
    <t xml:space="preserve">$V == 33803 </t>
  </si>
  <si>
    <t xml:space="preserve">$V == 33804 </t>
  </si>
  <si>
    <t xml:space="preserve">$V == 33805 </t>
  </si>
  <si>
    <t xml:space="preserve">$V == 33806 </t>
  </si>
  <si>
    <t xml:space="preserve">$V == 33807 </t>
  </si>
  <si>
    <t xml:space="preserve">$V == 33808 </t>
  </si>
  <si>
    <t xml:space="preserve">$V == 33809 </t>
  </si>
  <si>
    <t xml:space="preserve">$V == 33810 </t>
  </si>
  <si>
    <t xml:space="preserve">$V == 33811 </t>
  </si>
  <si>
    <t xml:space="preserve">$V == 33812 </t>
  </si>
  <si>
    <t xml:space="preserve">$V == 33813 </t>
  </si>
  <si>
    <t xml:space="preserve">$V == 33900 </t>
  </si>
  <si>
    <t xml:space="preserve">$V == 34000 </t>
  </si>
  <si>
    <t xml:space="preserve">$V == 34001 </t>
  </si>
  <si>
    <t xml:space="preserve">$V == 34002 </t>
  </si>
  <si>
    <t xml:space="preserve">$V == 34003 </t>
  </si>
  <si>
    <t xml:space="preserve">$V == 34004 </t>
  </si>
  <si>
    <t xml:space="preserve">$V == 34005 </t>
  </si>
  <si>
    <t xml:space="preserve">$V == 34006 </t>
  </si>
  <si>
    <t xml:space="preserve">$V == 34007 </t>
  </si>
  <si>
    <t xml:space="preserve">$V == 34008 </t>
  </si>
  <si>
    <t xml:space="preserve">$V == 34009 </t>
  </si>
  <si>
    <t xml:space="preserve">$V == 34010 </t>
  </si>
  <si>
    <t xml:space="preserve">$V == 34011 </t>
  </si>
  <si>
    <t xml:space="preserve">$V == 34012 </t>
  </si>
  <si>
    <t xml:space="preserve">$V == 34013 </t>
  </si>
  <si>
    <t xml:space="preserve">$V == 34014 </t>
  </si>
  <si>
    <t xml:space="preserve">$V == 34015 </t>
  </si>
  <si>
    <t xml:space="preserve">$V == 34016 </t>
  </si>
  <si>
    <t xml:space="preserve">$V == 34017 </t>
  </si>
  <si>
    <t xml:space="preserve">$V == 34018 </t>
  </si>
  <si>
    <t xml:space="preserve">$V == 34019 </t>
  </si>
  <si>
    <t xml:space="preserve">$V == 34020 </t>
  </si>
  <si>
    <t xml:space="preserve">$V == 34021 </t>
  </si>
  <si>
    <t xml:space="preserve">$V == 34022 </t>
  </si>
  <si>
    <t xml:space="preserve">$V == 34023 </t>
  </si>
  <si>
    <t xml:space="preserve">$V == 34024 </t>
  </si>
  <si>
    <t xml:space="preserve">$V == 34025 </t>
  </si>
  <si>
    <t xml:space="preserve">$V == 34026 </t>
  </si>
  <si>
    <t xml:space="preserve">$V == 34027 </t>
  </si>
  <si>
    <t xml:space="preserve">$V == 34028 </t>
  </si>
  <si>
    <t xml:space="preserve">$V == 34029 </t>
  </si>
  <si>
    <t xml:space="preserve">$V == 34030 </t>
  </si>
  <si>
    <t xml:space="preserve">$V == 34031 </t>
  </si>
  <si>
    <t xml:space="preserve">$V == 34032 </t>
  </si>
  <si>
    <t xml:space="preserve">$V == 34033 </t>
  </si>
  <si>
    <t xml:space="preserve">$V == 34034 </t>
  </si>
  <si>
    <t xml:space="preserve">$V == 34035 </t>
  </si>
  <si>
    <t xml:space="preserve">$V == 34036 </t>
  </si>
  <si>
    <t xml:space="preserve">$V == 34037 </t>
  </si>
  <si>
    <t xml:space="preserve">$V == 34050 </t>
  </si>
  <si>
    <t xml:space="preserve">$V == 34051 </t>
  </si>
  <si>
    <t xml:space="preserve">$V == 34052 </t>
  </si>
  <si>
    <t xml:space="preserve">$V == 34053 </t>
  </si>
  <si>
    <t xml:space="preserve">$V == 34054 </t>
  </si>
  <si>
    <t xml:space="preserve">$V == 34055 </t>
  </si>
  <si>
    <t xml:space="preserve">$V == 34056 </t>
  </si>
  <si>
    <t xml:space="preserve">$V == 34057 </t>
  </si>
  <si>
    <t xml:space="preserve">$V == 34058 </t>
  </si>
  <si>
    <t xml:space="preserve">$V == 34059 </t>
  </si>
  <si>
    <t xml:space="preserve">$V == 34060 </t>
  </si>
  <si>
    <t xml:space="preserve">$V == 34061 </t>
  </si>
  <si>
    <t xml:space="preserve">$V == 34062 </t>
  </si>
  <si>
    <t xml:space="preserve">$V == 34063 </t>
  </si>
  <si>
    <t xml:space="preserve">$V == 34064 </t>
  </si>
  <si>
    <t xml:space="preserve">$V == 34065 </t>
  </si>
  <si>
    <t xml:space="preserve">$V == 34066 </t>
  </si>
  <si>
    <t xml:space="preserve">$V == 34067 </t>
  </si>
  <si>
    <t xml:space="preserve">$V == 34068 </t>
  </si>
  <si>
    <t xml:space="preserve">$V == 34069 </t>
  </si>
  <si>
    <t xml:space="preserve">$V == 34070 </t>
  </si>
  <si>
    <t xml:space="preserve">$V == 34071 </t>
  </si>
  <si>
    <t xml:space="preserve">$V == 34072 </t>
  </si>
  <si>
    <t xml:space="preserve">$V == 34073 </t>
  </si>
  <si>
    <t xml:space="preserve">$V == 34074 </t>
  </si>
  <si>
    <t xml:space="preserve">$V == 34075 </t>
  </si>
  <si>
    <t xml:space="preserve">$V == 34076 </t>
  </si>
  <si>
    <t xml:space="preserve">$V == 34077 </t>
  </si>
  <si>
    <t xml:space="preserve">$V == 34078 </t>
  </si>
  <si>
    <t xml:space="preserve">$V == 34079 </t>
  </si>
  <si>
    <t xml:space="preserve">$V == 34080 </t>
  </si>
  <si>
    <t xml:space="preserve">$V == 34081 </t>
  </si>
  <si>
    <t xml:space="preserve">$V == 34082 </t>
  </si>
  <si>
    <t xml:space="preserve">$V == 34083 </t>
  </si>
  <si>
    <t xml:space="preserve">$V == 34084 </t>
  </si>
  <si>
    <t xml:space="preserve">$V == 34085 </t>
  </si>
  <si>
    <t xml:space="preserve">$V == 34086 </t>
  </si>
  <si>
    <t xml:space="preserve">$V == 34087 </t>
  </si>
  <si>
    <t xml:space="preserve">$V == 34099 </t>
  </si>
  <si>
    <t xml:space="preserve">$V == 34353 </t>
  </si>
  <si>
    <t xml:space="preserve">$V == 34500 </t>
  </si>
  <si>
    <t xml:space="preserve">$V == 34501 </t>
  </si>
  <si>
    <t xml:space="preserve">$V == 34510 </t>
  </si>
  <si>
    <t xml:space="preserve">$V == 34511 </t>
  </si>
  <si>
    <t xml:space="preserve">$V == 34512 </t>
  </si>
  <si>
    <t xml:space="preserve">$V == 34520 </t>
  </si>
  <si>
    <t xml:space="preserve">$V == 34521 </t>
  </si>
  <si>
    <t xml:space="preserve">$V == 34522 </t>
  </si>
  <si>
    <t xml:space="preserve">$V == 34523 </t>
  </si>
  <si>
    <t xml:space="preserve">$V == 34524 </t>
  </si>
  <si>
    <t xml:space="preserve">$V == 34525 </t>
  </si>
  <si>
    <t xml:space="preserve">$V == 34526 </t>
  </si>
  <si>
    <t xml:space="preserve">$V == 34527 </t>
  </si>
  <si>
    <t xml:space="preserve">$V == 34528 </t>
  </si>
  <si>
    <t xml:space="preserve">$V == 34529 </t>
  </si>
  <si>
    <t xml:space="preserve">$V == 34530 </t>
  </si>
  <si>
    <t xml:space="preserve">$V == 34531 </t>
  </si>
  <si>
    <t xml:space="preserve">$V == 34532 </t>
  </si>
  <si>
    <t xml:space="preserve">$V == 34533 </t>
  </si>
  <si>
    <t xml:space="preserve">$V == 34534 </t>
  </si>
  <si>
    <t xml:space="preserve">$V == 34535 </t>
  </si>
  <si>
    <t xml:space="preserve">$V == 34536 </t>
  </si>
  <si>
    <t xml:space="preserve">$V == 34537 </t>
  </si>
  <si>
    <t xml:space="preserve">$V == 34538 </t>
  </si>
  <si>
    <t xml:space="preserve">$V == 34539 </t>
  </si>
  <si>
    <t xml:space="preserve">$V == 34540 </t>
  </si>
  <si>
    <t xml:space="preserve">$V == 34541 </t>
  </si>
  <si>
    <t xml:space="preserve">$V == 34542 </t>
  </si>
  <si>
    <t xml:space="preserve">$V == 34543 </t>
  </si>
  <si>
    <t xml:space="preserve">$V == 34544 </t>
  </si>
  <si>
    <t xml:space="preserve">$V == 34545 </t>
  </si>
  <si>
    <t xml:space="preserve">$V == 34546 </t>
  </si>
  <si>
    <t xml:space="preserve">$V == 34547 </t>
  </si>
  <si>
    <t xml:space="preserve">$V == 34548 </t>
  </si>
  <si>
    <t xml:space="preserve">$V == 34549 </t>
  </si>
  <si>
    <t xml:space="preserve">$V == 34550 </t>
  </si>
  <si>
    <t xml:space="preserve">$V == 34551 </t>
  </si>
  <si>
    <t xml:space="preserve">$V == 34552 </t>
  </si>
  <si>
    <t xml:space="preserve">$V == 34553 </t>
  </si>
  <si>
    <t xml:space="preserve">$V == 35000 </t>
  </si>
  <si>
    <t xml:space="preserve">$V == 35001 </t>
  </si>
  <si>
    <t xml:space="preserve">$V == 35002 </t>
  </si>
  <si>
    <t xml:space="preserve">$V == 35003 </t>
  </si>
  <si>
    <t xml:space="preserve">$V == 35004 </t>
  </si>
  <si>
    <t xml:space="preserve">$V == 35005 </t>
  </si>
  <si>
    <t xml:space="preserve">$V == 35006 </t>
  </si>
  <si>
    <t xml:space="preserve">$V == 35007 </t>
  </si>
  <si>
    <t xml:space="preserve">$V == 35008 </t>
  </si>
  <si>
    <t xml:space="preserve">$V == 35009 </t>
  </si>
  <si>
    <t xml:space="preserve">$V == 35010 </t>
  </si>
  <si>
    <t xml:space="preserve">$V == 35011 </t>
  </si>
  <si>
    <t xml:space="preserve">$V == 35012 </t>
  </si>
  <si>
    <t xml:space="preserve">$V == 35013 </t>
  </si>
  <si>
    <t xml:space="preserve">$V == 35014 </t>
  </si>
  <si>
    <t xml:space="preserve">$V == 35015 </t>
  </si>
  <si>
    <t xml:space="preserve">$V == 35016 </t>
  </si>
  <si>
    <t xml:space="preserve">$V == 35017 </t>
  </si>
  <si>
    <t xml:space="preserve">$V == 35018 </t>
  </si>
  <si>
    <t xml:space="preserve">$V == 35019 </t>
  </si>
  <si>
    <t xml:space="preserve">$V == 35020 </t>
  </si>
  <si>
    <t xml:space="preserve">$V == 35021 </t>
  </si>
  <si>
    <t xml:space="preserve">$V == 35022 </t>
  </si>
  <si>
    <t xml:space="preserve">$V == 35023 </t>
  </si>
  <si>
    <t xml:space="preserve">$V == 35024 </t>
  </si>
  <si>
    <t xml:space="preserve">$V == 35025 </t>
  </si>
  <si>
    <t xml:space="preserve">$V == 35026 </t>
  </si>
  <si>
    <t xml:space="preserve">$V == 35027 </t>
  </si>
  <si>
    <t xml:space="preserve">$V == 35028 </t>
  </si>
  <si>
    <t xml:space="preserve">$V == 35029 </t>
  </si>
  <si>
    <t xml:space="preserve">$V == 35030 </t>
  </si>
  <si>
    <t xml:space="preserve">$V == 35031 </t>
  </si>
  <si>
    <t xml:space="preserve">$V == 35032 </t>
  </si>
  <si>
    <t xml:space="preserve">$V == 35033 </t>
  </si>
  <si>
    <t xml:space="preserve">$V == 35034 </t>
  </si>
  <si>
    <t xml:space="preserve">$V == 35035 </t>
  </si>
  <si>
    <t xml:space="preserve">$V == 35036 </t>
  </si>
  <si>
    <t xml:space="preserve">$V == 35037 </t>
  </si>
  <si>
    <t xml:space="preserve">$V == 35038 </t>
  </si>
  <si>
    <t xml:space="preserve">$V == 35039 </t>
  </si>
  <si>
    <t xml:space="preserve">$V == 35040 </t>
  </si>
  <si>
    <t xml:space="preserve">$V == 35041 </t>
  </si>
  <si>
    <t xml:space="preserve">$V == 35042 </t>
  </si>
  <si>
    <t xml:space="preserve">$V == 35043 </t>
  </si>
  <si>
    <t xml:space="preserve">$V == 35044 </t>
  </si>
  <si>
    <t xml:space="preserve">$V == 35045 </t>
  </si>
  <si>
    <t xml:space="preserve">$V == 35046 </t>
  </si>
  <si>
    <t xml:space="preserve">$V == 35047 </t>
  </si>
  <si>
    <t xml:space="preserve">$V == 35048 </t>
  </si>
  <si>
    <t xml:space="preserve">$V == 35049 </t>
  </si>
  <si>
    <t xml:space="preserve">$V == 35050 </t>
  </si>
  <si>
    <t xml:space="preserve">$V == 35051 </t>
  </si>
  <si>
    <t xml:space="preserve">$V == 35052 </t>
  </si>
  <si>
    <t xml:space="preserve">$V == 35053 </t>
  </si>
  <si>
    <t xml:space="preserve">$V == 35054 </t>
  </si>
  <si>
    <t xml:space="preserve">$V == 35055 </t>
  </si>
  <si>
    <t xml:space="preserve">$V == 35056 </t>
  </si>
  <si>
    <t xml:space="preserve">$V == 35057 </t>
  </si>
  <si>
    <t xml:space="preserve">$V == 35058 </t>
  </si>
  <si>
    <t xml:space="preserve">$V == 35059 </t>
  </si>
  <si>
    <t xml:space="preserve">$V == 35060 </t>
  </si>
  <si>
    <t xml:space="preserve">$V == 35061 </t>
  </si>
  <si>
    <t xml:space="preserve">$V == 35062 </t>
  </si>
  <si>
    <t xml:space="preserve">$V == 35063 </t>
  </si>
  <si>
    <t xml:space="preserve">$V == 35064 </t>
  </si>
  <si>
    <t xml:space="preserve">$V == 35065 </t>
  </si>
  <si>
    <t xml:space="preserve">$V == 35066 </t>
  </si>
  <si>
    <t xml:space="preserve">$V == 35067 </t>
  </si>
  <si>
    <t xml:space="preserve">$V == 35068 </t>
  </si>
  <si>
    <t xml:space="preserve">$V == 35069 </t>
  </si>
  <si>
    <t xml:space="preserve">$V == 35070 </t>
  </si>
  <si>
    <t xml:space="preserve">$V == 35071 </t>
  </si>
  <si>
    <t xml:space="preserve">$V == 35072 </t>
  </si>
  <si>
    <t xml:space="preserve">$V == 35073 </t>
  </si>
  <si>
    <t xml:space="preserve">$V == 35074 </t>
  </si>
  <si>
    <t xml:space="preserve">$V == 35075 </t>
  </si>
  <si>
    <t xml:space="preserve">$V == 35076 </t>
  </si>
  <si>
    <t xml:space="preserve">$V == 35077 </t>
  </si>
  <si>
    <t xml:space="preserve">$V == 35078 </t>
  </si>
  <si>
    <t xml:space="preserve">$V == 35079 </t>
  </si>
  <si>
    <t xml:space="preserve">$V == 35080 </t>
  </si>
  <si>
    <t xml:space="preserve">$V == 35081 </t>
  </si>
  <si>
    <t xml:space="preserve">$V == 35082 </t>
  </si>
  <si>
    <t xml:space="preserve">$V == 35083 </t>
  </si>
  <si>
    <t xml:space="preserve">$V == 35084 </t>
  </si>
  <si>
    <t xml:space="preserve">$V == 35085 </t>
  </si>
  <si>
    <t xml:space="preserve">$V == 35086 </t>
  </si>
  <si>
    <t xml:space="preserve">$V == 35087 </t>
  </si>
  <si>
    <t xml:space="preserve">$V == 35088 </t>
  </si>
  <si>
    <t xml:space="preserve">$V == 35500 </t>
  </si>
  <si>
    <t xml:space="preserve">$V == 35501 </t>
  </si>
  <si>
    <t xml:space="preserve">$V == 35502 </t>
  </si>
  <si>
    <t xml:space="preserve">$V == 35503 </t>
  </si>
  <si>
    <t xml:space="preserve">$V == 35504 </t>
  </si>
  <si>
    <t xml:space="preserve">$V == 35505 </t>
  </si>
  <si>
    <t xml:space="preserve">$V == 35506 </t>
  </si>
  <si>
    <t xml:space="preserve">$V == 35507 </t>
  </si>
  <si>
    <t xml:space="preserve">$V == 35508 </t>
  </si>
  <si>
    <t xml:space="preserve">$V == 35509 </t>
  </si>
  <si>
    <t xml:space="preserve">$V == 35510 </t>
  </si>
  <si>
    <t xml:space="preserve">$V == 35511 </t>
  </si>
  <si>
    <t xml:space="preserve">$V == 35512 </t>
  </si>
  <si>
    <t xml:space="preserve">$V == 35513 </t>
  </si>
  <si>
    <t xml:space="preserve">$V == 35514 </t>
  </si>
  <si>
    <t xml:space="preserve">$V == 35515 </t>
  </si>
  <si>
    <t xml:space="preserve">$V == 35516 </t>
  </si>
  <si>
    <t xml:space="preserve">$V == 35517 </t>
  </si>
  <si>
    <t xml:space="preserve">$V == 35518 </t>
  </si>
  <si>
    <t xml:space="preserve">$V == 35519 </t>
  </si>
  <si>
    <t xml:space="preserve">$V == 35520 </t>
  </si>
  <si>
    <t xml:space="preserve">$V == 35521 </t>
  </si>
  <si>
    <t xml:space="preserve">$V == 35522 </t>
  </si>
  <si>
    <t xml:space="preserve">$V == 35523 </t>
  </si>
  <si>
    <t xml:space="preserve">$V == 35524 </t>
  </si>
  <si>
    <t xml:space="preserve">$V == 35525 </t>
  </si>
  <si>
    <t xml:space="preserve">$V == 35526 </t>
  </si>
  <si>
    <t xml:space="preserve">$V == 35527 </t>
  </si>
  <si>
    <t xml:space="preserve">$V == 35528 </t>
  </si>
  <si>
    <t xml:space="preserve">$V == 35529 </t>
  </si>
  <si>
    <t xml:space="preserve">$V == 35530 </t>
  </si>
  <si>
    <t xml:space="preserve">$V == 35531 </t>
  </si>
  <si>
    <t xml:space="preserve">$V == 35532 </t>
  </si>
  <si>
    <t xml:space="preserve">$V == 35533 </t>
  </si>
  <si>
    <t xml:space="preserve">$V == 35534 </t>
  </si>
  <si>
    <t xml:space="preserve">$V == 35535 </t>
  </si>
  <si>
    <t xml:space="preserve">$V == 35536 </t>
  </si>
  <si>
    <t xml:space="preserve">$V == 35537 </t>
  </si>
  <si>
    <t xml:space="preserve">$V == 35538 </t>
  </si>
  <si>
    <t xml:space="preserve">$V == 35539 </t>
  </si>
  <si>
    <t xml:space="preserve">$V == 35540 </t>
  </si>
  <si>
    <t xml:space="preserve">$V == 35541 </t>
  </si>
  <si>
    <t xml:space="preserve">$V == 35542 </t>
  </si>
  <si>
    <t xml:space="preserve">$V == 35543 </t>
  </si>
  <si>
    <t xml:space="preserve">$V == 35544 </t>
  </si>
  <si>
    <t xml:space="preserve">$V == 35545 </t>
  </si>
  <si>
    <t xml:space="preserve">$V == 35546 </t>
  </si>
  <si>
    <t xml:space="preserve">$V == 35547 </t>
  </si>
  <si>
    <t xml:space="preserve">$V == 35548 </t>
  </si>
  <si>
    <t xml:space="preserve">$V == 35549 </t>
  </si>
  <si>
    <t xml:space="preserve">$V == 35550 </t>
  </si>
  <si>
    <t xml:space="preserve">$V == 35551 </t>
  </si>
  <si>
    <t xml:space="preserve">$V == 36000 </t>
  </si>
  <si>
    <t xml:space="preserve">$V == 36001 </t>
  </si>
  <si>
    <t xml:space="preserve">$V == 36002 </t>
  </si>
  <si>
    <t xml:space="preserve">$V == 36003 </t>
  </si>
  <si>
    <t xml:space="preserve">$V == 36004 </t>
  </si>
  <si>
    <t xml:space="preserve">$V == 36005 </t>
  </si>
  <si>
    <t xml:space="preserve">$V == 36006 </t>
  </si>
  <si>
    <t xml:space="preserve">$V == 36007 </t>
  </si>
  <si>
    <t xml:space="preserve">$V == 36008 </t>
  </si>
  <si>
    <t xml:space="preserve">$V == 36009 </t>
  </si>
  <si>
    <t xml:space="preserve">$V == 36010 </t>
  </si>
  <si>
    <t xml:space="preserve">$V == 36011 </t>
  </si>
  <si>
    <t xml:space="preserve">$V == 36012 </t>
  </si>
  <si>
    <t xml:space="preserve">$V == 36013 </t>
  </si>
  <si>
    <t xml:space="preserve">$V == 36014 </t>
  </si>
  <si>
    <t xml:space="preserve">$V == 36015 </t>
  </si>
  <si>
    <t xml:space="preserve">$V == 36016 </t>
  </si>
  <si>
    <t xml:space="preserve">$V == 36017 </t>
  </si>
  <si>
    <t xml:space="preserve">$V == 36018 </t>
  </si>
  <si>
    <t xml:space="preserve">$V == 36019 </t>
  </si>
  <si>
    <t xml:space="preserve">$V == 36020 </t>
  </si>
  <si>
    <t xml:space="preserve">$V == 36021 </t>
  </si>
  <si>
    <t xml:space="preserve">$V == 36022 </t>
  </si>
  <si>
    <t xml:space="preserve">$V == 36023 </t>
  </si>
  <si>
    <t xml:space="preserve">$V == 36024 </t>
  </si>
  <si>
    <t xml:space="preserve">$V == 36025 </t>
  </si>
  <si>
    <t xml:space="preserve">$V == 36026 </t>
  </si>
  <si>
    <t xml:space="preserve">$V == 36027 </t>
  </si>
  <si>
    <t xml:space="preserve">$V == 36028 </t>
  </si>
  <si>
    <t xml:space="preserve">$V == 36029 </t>
  </si>
  <si>
    <t xml:space="preserve">$V == 36030 </t>
  </si>
  <si>
    <t xml:space="preserve">$V == 36031 </t>
  </si>
  <si>
    <t xml:space="preserve">$V == 36032 </t>
  </si>
  <si>
    <t xml:space="preserve">$V == 36033 </t>
  </si>
  <si>
    <t xml:space="preserve">$V == 36034 </t>
  </si>
  <si>
    <t xml:space="preserve">$V == 36035 </t>
  </si>
  <si>
    <t xml:space="preserve">$V == 36036 </t>
  </si>
  <si>
    <t xml:space="preserve">$V == 36037 </t>
  </si>
  <si>
    <t xml:space="preserve">$V == 36038 </t>
  </si>
  <si>
    <t xml:space="preserve">$V == 36039 </t>
  </si>
  <si>
    <t xml:space="preserve">$V == 36040 </t>
  </si>
  <si>
    <t xml:space="preserve">$V == 36041 </t>
  </si>
  <si>
    <t xml:space="preserve">$V == 36042 </t>
  </si>
  <si>
    <t xml:space="preserve">$V == 36043 </t>
  </si>
  <si>
    <t xml:space="preserve">$V == 36044 </t>
  </si>
  <si>
    <t xml:space="preserve">$V == 36500 </t>
  </si>
  <si>
    <t xml:space="preserve">$V == 36501 </t>
  </si>
  <si>
    <t xml:space="preserve">$V == 36502 </t>
  </si>
  <si>
    <t xml:space="preserve">$V == 36503 </t>
  </si>
  <si>
    <t xml:space="preserve">$V == 36504 </t>
  </si>
  <si>
    <t xml:space="preserve">$V == 36505 </t>
  </si>
  <si>
    <t xml:space="preserve">$V == 36506 </t>
  </si>
  <si>
    <t xml:space="preserve">$V == 36507 </t>
  </si>
  <si>
    <t xml:space="preserve">$V == 36508 </t>
  </si>
  <si>
    <t xml:space="preserve">$V == 36509 </t>
  </si>
  <si>
    <t xml:space="preserve">$V == 36510 </t>
  </si>
  <si>
    <t xml:space="preserve">$V == 36511 </t>
  </si>
  <si>
    <t xml:space="preserve">$V == 36512 </t>
  </si>
  <si>
    <t xml:space="preserve">$V == 36513 </t>
  </si>
  <si>
    <t xml:space="preserve">$V == 36514 </t>
  </si>
  <si>
    <t xml:space="preserve">$V == 36515 </t>
  </si>
  <si>
    <t xml:space="preserve">$V == 36516 </t>
  </si>
  <si>
    <t xml:space="preserve">$V == 36517 </t>
  </si>
  <si>
    <t xml:space="preserve">$V == 36518 </t>
  </si>
  <si>
    <t xml:space="preserve">$V == 36519 </t>
  </si>
  <si>
    <t xml:space="preserve">$V == 36520 </t>
  </si>
  <si>
    <t xml:space="preserve">$V == 36521 </t>
  </si>
  <si>
    <t xml:space="preserve">$V == 36522 </t>
  </si>
  <si>
    <t xml:space="preserve">$V == 36523 </t>
  </si>
  <si>
    <t xml:space="preserve">$V == 36524 </t>
  </si>
  <si>
    <t xml:space="preserve">$V == 36525 </t>
  </si>
  <si>
    <t xml:space="preserve">$V == 36526 </t>
  </si>
  <si>
    <t xml:space="preserve">$V == 36527 </t>
  </si>
  <si>
    <t xml:space="preserve">$V == 36528 </t>
  </si>
  <si>
    <t xml:space="preserve">$V == 36529 </t>
  </si>
  <si>
    <t xml:space="preserve">$V == 36530 </t>
  </si>
  <si>
    <t xml:space="preserve">$V == 36531 </t>
  </si>
  <si>
    <t xml:space="preserve">$V == 36532 </t>
  </si>
  <si>
    <t xml:space="preserve">$V == 36533 </t>
  </si>
  <si>
    <t xml:space="preserve">$V == 36534 </t>
  </si>
  <si>
    <t xml:space="preserve">$V == 36535 </t>
  </si>
  <si>
    <t xml:space="preserve">$V == 36536 </t>
  </si>
  <si>
    <t xml:space="preserve">$V == 36537 </t>
  </si>
  <si>
    <t xml:space="preserve">$V == 36538 </t>
  </si>
  <si>
    <t xml:space="preserve">$V == 36539 </t>
  </si>
  <si>
    <t xml:space="preserve">$V == 36540 </t>
  </si>
  <si>
    <t xml:space="preserve">$V == 36541 </t>
  </si>
  <si>
    <t xml:space="preserve">$V == 36542 </t>
  </si>
  <si>
    <t xml:space="preserve">$V == 36543 </t>
  </si>
  <si>
    <t xml:space="preserve">$V == 36544 </t>
  </si>
  <si>
    <t xml:space="preserve">$V == 36545 </t>
  </si>
  <si>
    <t xml:space="preserve">$V == 36546 </t>
  </si>
  <si>
    <t xml:space="preserve">$V == 36547 </t>
  </si>
  <si>
    <t xml:space="preserve">$V == 36548 </t>
  </si>
  <si>
    <t xml:space="preserve">$V == 36549 </t>
  </si>
  <si>
    <t xml:space="preserve">$V == 36550 </t>
  </si>
  <si>
    <t xml:space="preserve">$V == 36551 </t>
  </si>
  <si>
    <t xml:space="preserve">$V == 36552 </t>
  </si>
  <si>
    <t xml:space="preserve">$V == 36553 </t>
  </si>
  <si>
    <t xml:space="preserve">$V == 36554 </t>
  </si>
  <si>
    <t xml:space="preserve">$V == 36555 </t>
  </si>
  <si>
    <t xml:space="preserve">$V == 36556 </t>
  </si>
  <si>
    <t xml:space="preserve">$V == 36557 </t>
  </si>
  <si>
    <t xml:space="preserve">$V == 36558 </t>
  </si>
  <si>
    <t xml:space="preserve">$V == 36559 </t>
  </si>
  <si>
    <t xml:space="preserve">$V == 36560 </t>
  </si>
  <si>
    <t xml:space="preserve">$V == 36561 </t>
  </si>
  <si>
    <t xml:space="preserve">$V == 36562 </t>
  </si>
  <si>
    <t xml:space="preserve">$V == 36563 </t>
  </si>
  <si>
    <t xml:space="preserve">$V == 36564 </t>
  </si>
  <si>
    <t xml:space="preserve">$V == 36565 </t>
  </si>
  <si>
    <t xml:space="preserve">$V == 36566 </t>
  </si>
  <si>
    <t xml:space="preserve">$V == 36567 </t>
  </si>
  <si>
    <t xml:space="preserve">$V == 36568 </t>
  </si>
  <si>
    <t xml:space="preserve">$V == 36569 </t>
  </si>
  <si>
    <t xml:space="preserve">$V == 36570 </t>
  </si>
  <si>
    <t xml:space="preserve">$V == 36571 </t>
  </si>
  <si>
    <t xml:space="preserve">$V == 36572 </t>
  </si>
  <si>
    <t xml:space="preserve">$V == 36573 </t>
  </si>
  <si>
    <t xml:space="preserve">$V == 36574 </t>
  </si>
  <si>
    <t xml:space="preserve">$V == 36575 </t>
  </si>
  <si>
    <t xml:space="preserve">$V == 36576 </t>
  </si>
  <si>
    <t xml:space="preserve">$V == 36577 </t>
  </si>
  <si>
    <t xml:space="preserve">$V == 36578 </t>
  </si>
  <si>
    <t xml:space="preserve">$V == 36579 </t>
  </si>
  <si>
    <t xml:space="preserve">$V == 36580 </t>
  </si>
  <si>
    <t xml:space="preserve">$V == 36581 </t>
  </si>
  <si>
    <t xml:space="preserve">$V == 36582 </t>
  </si>
  <si>
    <t xml:space="preserve">$V == 36583 </t>
  </si>
  <si>
    <t xml:space="preserve">$V == 36584 </t>
  </si>
  <si>
    <t xml:space="preserve">$V == 36585 </t>
  </si>
  <si>
    <t xml:space="preserve">$V == 36586 </t>
  </si>
  <si>
    <t xml:space="preserve">$V == 36587 </t>
  </si>
  <si>
    <t xml:space="preserve">$V == 37000 </t>
  </si>
  <si>
    <t xml:space="preserve">$V == 37001 </t>
  </si>
  <si>
    <t xml:space="preserve">$V == 37002 </t>
  </si>
  <si>
    <t xml:space="preserve">$V == 37003 </t>
  </si>
  <si>
    <t xml:space="preserve">$V == 37004 </t>
  </si>
  <si>
    <t xml:space="preserve">$V == 37005 </t>
  </si>
  <si>
    <t xml:space="preserve">$V == 37006 </t>
  </si>
  <si>
    <t xml:space="preserve">$V == 37007 </t>
  </si>
  <si>
    <t xml:space="preserve">$V == 37008 </t>
  </si>
  <si>
    <t xml:space="preserve">$V == 37009 </t>
  </si>
  <si>
    <t xml:space="preserve">$V == 37010 </t>
  </si>
  <si>
    <t xml:space="preserve">$V == 37011 </t>
  </si>
  <si>
    <t xml:space="preserve">$V == 37012 </t>
  </si>
  <si>
    <t xml:space="preserve">$V == 37013 </t>
  </si>
  <si>
    <t xml:space="preserve">$V == 37014 </t>
  </si>
  <si>
    <t xml:space="preserve">$V == 37015 </t>
  </si>
  <si>
    <t xml:space="preserve">$V == 37016 </t>
  </si>
  <si>
    <t xml:space="preserve">$V == 37017 </t>
  </si>
  <si>
    <t xml:space="preserve">$V == 37018 </t>
  </si>
  <si>
    <t xml:space="preserve">$V == 37019 </t>
  </si>
  <si>
    <t xml:space="preserve">$V == 37500 </t>
  </si>
  <si>
    <t xml:space="preserve">$V == 37501 </t>
  </si>
  <si>
    <t xml:space="preserve">$V == 37502 </t>
  </si>
  <si>
    <t xml:space="preserve">$V == 37503 </t>
  </si>
  <si>
    <t xml:space="preserve">$V == 37504 </t>
  </si>
  <si>
    <t xml:space="preserve">$V == 37505 </t>
  </si>
  <si>
    <t xml:space="preserve">$V == 37506 </t>
  </si>
  <si>
    <t xml:space="preserve">$V == 37507 </t>
  </si>
  <si>
    <t xml:space="preserve">$V == 37508 </t>
  </si>
  <si>
    <t xml:space="preserve">$V == 37509 </t>
  </si>
  <si>
    <t xml:space="preserve">$V == 37510 </t>
  </si>
  <si>
    <t xml:space="preserve">$V == 37511 </t>
  </si>
  <si>
    <t xml:space="preserve">$V == 37512 </t>
  </si>
  <si>
    <t xml:space="preserve">$V == 37513 </t>
  </si>
  <si>
    <t xml:space="preserve">$V == 37514 </t>
  </si>
  <si>
    <t xml:space="preserve">$V == 37515 </t>
  </si>
  <si>
    <t xml:space="preserve">$V == 37516 </t>
  </si>
  <si>
    <t xml:space="preserve">$V == 37517 </t>
  </si>
  <si>
    <t xml:space="preserve">$V == 38100 </t>
  </si>
  <si>
    <t xml:space="preserve">$V == 38101 </t>
  </si>
  <si>
    <t xml:space="preserve">$V == 38102 </t>
  </si>
  <si>
    <t xml:space="preserve">$V == 38103 </t>
  </si>
  <si>
    <t xml:space="preserve">$V == 38104 </t>
  </si>
  <si>
    <t xml:space="preserve">$V == 38105 </t>
  </si>
  <si>
    <t xml:space="preserve">$V == 38106 </t>
  </si>
  <si>
    <t xml:space="preserve">$V == 38107 </t>
  </si>
  <si>
    <t xml:space="preserve">$V == 38108 </t>
  </si>
  <si>
    <t xml:space="preserve">$V == 38109 </t>
  </si>
  <si>
    <t xml:space="preserve">$V == 38110 </t>
  </si>
  <si>
    <t xml:space="preserve">$V == 38111 </t>
  </si>
  <si>
    <t xml:space="preserve">$V == 38112 </t>
  </si>
  <si>
    <t xml:space="preserve">$V == 38113 </t>
  </si>
  <si>
    <t xml:space="preserve">$V == 38114 </t>
  </si>
  <si>
    <t xml:space="preserve">$V == 38115 </t>
  </si>
  <si>
    <t xml:space="preserve">$V == 38116 </t>
  </si>
  <si>
    <t xml:space="preserve">$V == 38117 </t>
  </si>
  <si>
    <t xml:space="preserve">$V == 38118 </t>
  </si>
  <si>
    <t xml:space="preserve">$V == 38119 </t>
  </si>
  <si>
    <t xml:space="preserve">$V == 38120 </t>
  </si>
  <si>
    <t xml:space="preserve">$V == 38121 </t>
  </si>
  <si>
    <t xml:space="preserve">$V == 38122 </t>
  </si>
  <si>
    <t xml:space="preserve">$V == 38123 </t>
  </si>
  <si>
    <t xml:space="preserve">$V == 38124 </t>
  </si>
  <si>
    <t xml:space="preserve">$V == 38125 </t>
  </si>
  <si>
    <t xml:space="preserve">$V == 38126 </t>
  </si>
  <si>
    <t xml:space="preserve">$V == 38127 </t>
  </si>
  <si>
    <t xml:space="preserve">$V == 38128 </t>
  </si>
  <si>
    <t xml:space="preserve">$V == 38129 </t>
  </si>
  <si>
    <t xml:space="preserve">$V == 38130 </t>
  </si>
  <si>
    <t xml:space="preserve">$V == 38131 </t>
  </si>
  <si>
    <t xml:space="preserve">$V == 38132 </t>
  </si>
  <si>
    <t xml:space="preserve">$V == 38133 </t>
  </si>
  <si>
    <t xml:space="preserve">$V == 38134 </t>
  </si>
  <si>
    <t xml:space="preserve">$V == 38135 </t>
  </si>
  <si>
    <t xml:space="preserve">$V == 38136 </t>
  </si>
  <si>
    <t xml:space="preserve">$V == 38200 </t>
  </si>
  <si>
    <t xml:space="preserve">$V == 38201 </t>
  </si>
  <si>
    <t xml:space="preserve">$V == 38202 </t>
  </si>
  <si>
    <t xml:space="preserve">$V == 38203 </t>
  </si>
  <si>
    <t xml:space="preserve">$V == 38204 </t>
  </si>
  <si>
    <t xml:space="preserve">$V == 38205 </t>
  </si>
  <si>
    <t xml:space="preserve">$V == 38206 </t>
  </si>
  <si>
    <t xml:space="preserve">$V == 38207 </t>
  </si>
  <si>
    <t xml:space="preserve">$V == 38208 </t>
  </si>
  <si>
    <t xml:space="preserve">$V == 38209 </t>
  </si>
  <si>
    <t xml:space="preserve">$V == 38210 </t>
  </si>
  <si>
    <t xml:space="preserve">$V == 38211 </t>
  </si>
  <si>
    <t xml:space="preserve">$V == 38212 </t>
  </si>
  <si>
    <t xml:space="preserve">$V == 38213 </t>
  </si>
  <si>
    <t xml:space="preserve">$V == 38214 </t>
  </si>
  <si>
    <t xml:space="preserve">$V == 38400 </t>
  </si>
  <si>
    <t xml:space="preserve">$V == 38401 </t>
  </si>
  <si>
    <t xml:space="preserve">$V == 38402 </t>
  </si>
  <si>
    <t xml:space="preserve">$V == 38403 </t>
  </si>
  <si>
    <t xml:space="preserve">$V == 38404 </t>
  </si>
  <si>
    <t xml:space="preserve">$V == 38405 </t>
  </si>
  <si>
    <t xml:space="preserve">$V == 38406 </t>
  </si>
  <si>
    <t xml:space="preserve">$V == 38600 </t>
  </si>
  <si>
    <t xml:space="preserve">$V == 38601 </t>
  </si>
  <si>
    <t xml:space="preserve">$V == 38602 </t>
  </si>
  <si>
    <t xml:space="preserve">$V == 38603 </t>
  </si>
  <si>
    <t xml:space="preserve">$V == 38604 </t>
  </si>
  <si>
    <t xml:space="preserve">$V == 38605 </t>
  </si>
  <si>
    <t xml:space="preserve">$V == 38606 </t>
  </si>
  <si>
    <t xml:space="preserve">$V == 38607 </t>
  </si>
  <si>
    <t xml:space="preserve">$V == 38608 </t>
  </si>
  <si>
    <t xml:space="preserve">$V == 38609 </t>
  </si>
  <si>
    <t xml:space="preserve">$V == 38610 </t>
  </si>
  <si>
    <t xml:space="preserve">$V == 38611 </t>
  </si>
  <si>
    <t xml:space="preserve">$V == 38612 </t>
  </si>
  <si>
    <t xml:space="preserve">$V == 38613 </t>
  </si>
  <si>
    <t xml:space="preserve">$V == 38614 </t>
  </si>
  <si>
    <t xml:space="preserve">$V == 38615 </t>
  </si>
  <si>
    <t xml:space="preserve">$V == 38616 </t>
  </si>
  <si>
    <t xml:space="preserve">$V == 38617 </t>
  </si>
  <si>
    <t xml:space="preserve">$V == 38618 </t>
  </si>
  <si>
    <t xml:space="preserve">$V == 38619 </t>
  </si>
  <si>
    <t xml:space="preserve">$V == 38620 </t>
  </si>
  <si>
    <t xml:space="preserve">$V == 38621 </t>
  </si>
  <si>
    <t xml:space="preserve">$V == 38622 </t>
  </si>
  <si>
    <t xml:space="preserve">$V == 38623 </t>
  </si>
  <si>
    <t xml:space="preserve">$V == 38800 </t>
  </si>
  <si>
    <t xml:space="preserve">$V == 38801 </t>
  </si>
  <si>
    <t xml:space="preserve">$V == 38802 </t>
  </si>
  <si>
    <t xml:space="preserve">$V == 38803 </t>
  </si>
  <si>
    <t xml:space="preserve">$V == 38804 </t>
  </si>
  <si>
    <t xml:space="preserve">$V == 38805 </t>
  </si>
  <si>
    <t xml:space="preserve">$V == 38806 </t>
  </si>
  <si>
    <t xml:space="preserve">$V == 38807 </t>
  </si>
  <si>
    <t xml:space="preserve">$V == 38808 </t>
  </si>
  <si>
    <t xml:space="preserve">$V == 38809 </t>
  </si>
  <si>
    <t xml:space="preserve">$V == 38810 </t>
  </si>
  <si>
    <t xml:space="preserve">$V == 38811 </t>
  </si>
  <si>
    <t xml:space="preserve">$V == 38812 </t>
  </si>
  <si>
    <t xml:space="preserve">$V == 38813 </t>
  </si>
  <si>
    <t xml:space="preserve">$V == 38814 </t>
  </si>
  <si>
    <t xml:space="preserve">$V == 38815 </t>
  </si>
  <si>
    <t xml:space="preserve">$V == 38820 </t>
  </si>
  <si>
    <t xml:space="preserve">$V == 38821 </t>
  </si>
  <si>
    <t xml:space="preserve">$V == 38822 </t>
  </si>
  <si>
    <t xml:space="preserve">$V == 38823 </t>
  </si>
  <si>
    <t xml:space="preserve">$V == 38824 </t>
  </si>
  <si>
    <t xml:space="preserve">$V == 38825 </t>
  </si>
  <si>
    <t xml:space="preserve">$V == 38826 </t>
  </si>
  <si>
    <t xml:space="preserve">$V == 38827 </t>
  </si>
  <si>
    <t xml:space="preserve">$V == 38828 </t>
  </si>
  <si>
    <t xml:space="preserve">$V == 38829 </t>
  </si>
  <si>
    <t xml:space="preserve">$V == 38830 </t>
  </si>
  <si>
    <t xml:space="preserve">$V == 38831 </t>
  </si>
  <si>
    <t xml:space="preserve">$V == 38832 </t>
  </si>
  <si>
    <t xml:space="preserve">$V == 38833 </t>
  </si>
  <si>
    <t xml:space="preserve">$V == 38834 </t>
  </si>
  <si>
    <t xml:space="preserve">$V == 38835 </t>
  </si>
  <si>
    <t xml:space="preserve">$V == 38840 </t>
  </si>
  <si>
    <t xml:space="preserve">$V == 38850 </t>
  </si>
  <si>
    <t xml:space="preserve">$V == 38851 </t>
  </si>
  <si>
    <t xml:space="preserve">$V == 38852 </t>
  </si>
  <si>
    <t xml:space="preserve">$V == 38853 </t>
  </si>
  <si>
    <t xml:space="preserve">$V == 38854 </t>
  </si>
  <si>
    <t xml:space="preserve">$V == 38855 </t>
  </si>
  <si>
    <t xml:space="preserve">$V == 38856 </t>
  </si>
  <si>
    <t xml:space="preserve">$V == 38857 </t>
  </si>
  <si>
    <t xml:space="preserve">$V == 38858 </t>
  </si>
  <si>
    <t xml:space="preserve">$V == 38859 </t>
  </si>
  <si>
    <t xml:space="preserve">$V == 38860 </t>
  </si>
  <si>
    <t xml:space="preserve">$V == 38861 </t>
  </si>
  <si>
    <t xml:space="preserve">$V == 38862 </t>
  </si>
  <si>
    <t xml:space="preserve">$V == 38863 </t>
  </si>
  <si>
    <t xml:space="preserve">$V == 38900 </t>
  </si>
  <si>
    <t xml:space="preserve">$V == 38901 </t>
  </si>
  <si>
    <t xml:space="preserve">$V == 38902 </t>
  </si>
  <si>
    <t xml:space="preserve">$V == 39000 </t>
  </si>
  <si>
    <t xml:space="preserve">$V == 39100 </t>
  </si>
  <si>
    <t xml:space="preserve">$V == 39101 </t>
  </si>
  <si>
    <t xml:space="preserve">$V == 39102 </t>
  </si>
  <si>
    <t xml:space="preserve">$V == 39103 </t>
  </si>
  <si>
    <t xml:space="preserve">$V == 39104 </t>
  </si>
  <si>
    <t xml:space="preserve">$V == 39105 </t>
  </si>
  <si>
    <t xml:space="preserve">$V == 39106 </t>
  </si>
  <si>
    <t xml:space="preserve">$V == 39107 </t>
  </si>
  <si>
    <t xml:space="preserve">$V == 39108 </t>
  </si>
  <si>
    <t xml:space="preserve">$V == 39109 </t>
  </si>
  <si>
    <t xml:space="preserve">$V == 39110 </t>
  </si>
  <si>
    <t xml:space="preserve">$V == 39111 </t>
  </si>
  <si>
    <t xml:space="preserve">$V == 39112 </t>
  </si>
  <si>
    <t xml:space="preserve">$V == 39113 </t>
  </si>
  <si>
    <t xml:space="preserve">$V == 39114 </t>
  </si>
  <si>
    <t xml:space="preserve">$V == 39115 </t>
  </si>
  <si>
    <t xml:space="preserve">$V == 39116 </t>
  </si>
  <si>
    <t xml:space="preserve">$V == 39117 </t>
  </si>
  <si>
    <t xml:space="preserve">$V == 39118 </t>
  </si>
  <si>
    <t xml:space="preserve">$V == 39119 </t>
  </si>
  <si>
    <t xml:space="preserve">$V == 39120 </t>
  </si>
  <si>
    <t xml:space="preserve">$V == 39121 </t>
  </si>
  <si>
    <t xml:space="preserve">$V == 39122 </t>
  </si>
  <si>
    <t xml:space="preserve">$V == 39123 </t>
  </si>
  <si>
    <t xml:space="preserve">$V == 39124 </t>
  </si>
  <si>
    <t xml:space="preserve">$V == 39125 </t>
  </si>
  <si>
    <t xml:space="preserve">$V == 39126 </t>
  </si>
  <si>
    <t xml:space="preserve">$V == 39127 </t>
  </si>
  <si>
    <t xml:space="preserve">$V == 39128 </t>
  </si>
  <si>
    <t xml:space="preserve">$V == 39129 </t>
  </si>
  <si>
    <t xml:space="preserve">$V == 39130 </t>
  </si>
  <si>
    <t xml:space="preserve">$V == 39131 </t>
  </si>
  <si>
    <t xml:space="preserve">$V == 39132 </t>
  </si>
  <si>
    <t xml:space="preserve">$V == 39133 </t>
  </si>
  <si>
    <t xml:space="preserve">$V == 39134 </t>
  </si>
  <si>
    <t xml:space="preserve">$V == 39135 </t>
  </si>
  <si>
    <t xml:space="preserve">$V == 39136 </t>
  </si>
  <si>
    <t xml:space="preserve">$V == 39137 </t>
  </si>
  <si>
    <t xml:space="preserve">$V == 39138 </t>
  </si>
  <si>
    <t xml:space="preserve">$V == 39139 </t>
  </si>
  <si>
    <t xml:space="preserve">$V == 39140 </t>
  </si>
  <si>
    <t xml:space="preserve">$V == 39141 </t>
  </si>
  <si>
    <t xml:space="preserve">$V == 39142 </t>
  </si>
  <si>
    <t xml:space="preserve">$V == 39143 </t>
  </si>
  <si>
    <t xml:space="preserve">$V == 39144 </t>
  </si>
  <si>
    <t xml:space="preserve">$V == 39145 </t>
  </si>
  <si>
    <t xml:space="preserve">$V == 39146 </t>
  </si>
  <si>
    <t xml:space="preserve">$V == 39147 </t>
  </si>
  <si>
    <t xml:space="preserve">$V == 39148 </t>
  </si>
  <si>
    <t xml:space="preserve">$V == 39149 </t>
  </si>
  <si>
    <t xml:space="preserve">$V == 39150 </t>
  </si>
  <si>
    <t xml:space="preserve">$V == 39151 </t>
  </si>
  <si>
    <t xml:space="preserve">$V == 39152 </t>
  </si>
  <si>
    <t xml:space="preserve">$V == 39153 </t>
  </si>
  <si>
    <t xml:space="preserve">$V == 39154 </t>
  </si>
  <si>
    <t xml:space="preserve">$V == 39155 </t>
  </si>
  <si>
    <t xml:space="preserve">$V == 39156 </t>
  </si>
  <si>
    <t xml:space="preserve">$V == 39157 </t>
  </si>
  <si>
    <t xml:space="preserve">$V == 39158 </t>
  </si>
  <si>
    <t xml:space="preserve">$V == 39159 </t>
  </si>
  <si>
    <t xml:space="preserve">$V == 39160 </t>
  </si>
  <si>
    <t xml:space="preserve">$V == 39161 </t>
  </si>
  <si>
    <t xml:space="preserve">$V == 39162 </t>
  </si>
  <si>
    <t xml:space="preserve">$V == 39163 </t>
  </si>
  <si>
    <t xml:space="preserve">$V == 39164 </t>
  </si>
  <si>
    <t xml:space="preserve">$V == 39165 </t>
  </si>
  <si>
    <t xml:space="preserve">$V == 39166 </t>
  </si>
  <si>
    <t xml:space="preserve">$V == 39167 </t>
  </si>
  <si>
    <t xml:space="preserve">$V == 39168 </t>
  </si>
  <si>
    <t xml:space="preserve">$V == 39169 </t>
  </si>
  <si>
    <t xml:space="preserve">$V == 39170 </t>
  </si>
  <si>
    <t xml:space="preserve">$V == 39171 </t>
  </si>
  <si>
    <t xml:space="preserve">$V == 39172 </t>
  </si>
  <si>
    <t xml:space="preserve">$V == 39173 </t>
  </si>
  <si>
    <t xml:space="preserve">$V == 39174 </t>
  </si>
  <si>
    <t xml:space="preserve">$V == 39175 </t>
  </si>
  <si>
    <t xml:space="preserve">$V == 39176 </t>
  </si>
  <si>
    <t xml:space="preserve">$V == 39177 </t>
  </si>
  <si>
    <t xml:space="preserve">$V == 39178 </t>
  </si>
  <si>
    <t xml:space="preserve">$V == 39179 </t>
  </si>
  <si>
    <t xml:space="preserve">$V == 39180 </t>
  </si>
  <si>
    <t xml:space="preserve">$V == 39181 </t>
  </si>
  <si>
    <t xml:space="preserve">$V == 39182 </t>
  </si>
  <si>
    <t xml:space="preserve">$V == 39183 </t>
  </si>
  <si>
    <t xml:space="preserve">$V == 39184 </t>
  </si>
  <si>
    <t xml:space="preserve">$V == 39185 </t>
  </si>
  <si>
    <t xml:space="preserve">$V == 39186 </t>
  </si>
  <si>
    <t xml:space="preserve">$V == 39187 </t>
  </si>
  <si>
    <t xml:space="preserve">$V == 39188 </t>
  </si>
  <si>
    <t xml:space="preserve">$V == 39189 </t>
  </si>
  <si>
    <t xml:space="preserve">$V == 39190 </t>
  </si>
  <si>
    <t xml:space="preserve">$V == 39191 </t>
  </si>
  <si>
    <t xml:space="preserve">$V == 39192 </t>
  </si>
  <si>
    <t xml:space="preserve">$V == 39193 </t>
  </si>
  <si>
    <t xml:space="preserve">$V == 39194 </t>
  </si>
  <si>
    <t xml:space="preserve">$V == 39195 </t>
  </si>
  <si>
    <t xml:space="preserve">$V == 39196 </t>
  </si>
  <si>
    <t xml:space="preserve">$V == 39197 </t>
  </si>
  <si>
    <t xml:space="preserve">$V == 39198 </t>
  </si>
  <si>
    <t xml:space="preserve">$V == 39199 </t>
  </si>
  <si>
    <t xml:space="preserve">$V == 39200 </t>
  </si>
  <si>
    <t xml:space="preserve">$V == 39201 </t>
  </si>
  <si>
    <t xml:space="preserve">$V == 39202 </t>
  </si>
  <si>
    <t xml:space="preserve">$V == 39203 </t>
  </si>
  <si>
    <t xml:space="preserve">$V == 39204 </t>
  </si>
  <si>
    <t xml:space="preserve">$V == 39205 </t>
  </si>
  <si>
    <t xml:space="preserve">$V == 39206 </t>
  </si>
  <si>
    <t xml:space="preserve">$V == 39207 </t>
  </si>
  <si>
    <t xml:space="preserve">$V == 39208 </t>
  </si>
  <si>
    <t xml:space="preserve">$V == 39209 </t>
  </si>
  <si>
    <t xml:space="preserve">$V == 39210 </t>
  </si>
  <si>
    <t xml:space="preserve">$V == 39211 </t>
  </si>
  <si>
    <t xml:space="preserve">$V == 39300 </t>
  </si>
  <si>
    <t xml:space="preserve">$V == 39301 </t>
  </si>
  <si>
    <t xml:space="preserve">$V == 39302 </t>
  </si>
  <si>
    <t xml:space="preserve">$V == 39400 </t>
  </si>
  <si>
    <t xml:space="preserve">$V == 39401 </t>
  </si>
  <si>
    <t xml:space="preserve">$V == 39402 </t>
  </si>
  <si>
    <t xml:space="preserve">$V == 39403 </t>
  </si>
  <si>
    <t xml:space="preserve">$V == 39404 </t>
  </si>
  <si>
    <t xml:space="preserve">$V == 39405 </t>
  </si>
  <si>
    <t xml:space="preserve">$V == 39406 </t>
  </si>
  <si>
    <t xml:space="preserve">$V == 39407 </t>
  </si>
  <si>
    <t xml:space="preserve">$V == 39408 </t>
  </si>
  <si>
    <t xml:space="preserve">$V == 39409 </t>
  </si>
  <si>
    <t xml:space="preserve">$V == 39410 </t>
  </si>
  <si>
    <t xml:space="preserve">$V == 39411 </t>
  </si>
  <si>
    <t xml:space="preserve">$V == 39412 </t>
  </si>
  <si>
    <t xml:space="preserve">$V == 39413 </t>
  </si>
  <si>
    <t xml:space="preserve">$V == 39414 </t>
  </si>
  <si>
    <t xml:space="preserve">$V == 39415 </t>
  </si>
  <si>
    <t xml:space="preserve">$V == 39416 </t>
  </si>
  <si>
    <t xml:space="preserve">$V == 39417 </t>
  </si>
  <si>
    <t xml:space="preserve">$V == 39418 </t>
  </si>
  <si>
    <t xml:space="preserve">$V == 39419 </t>
  </si>
  <si>
    <t xml:space="preserve">$V == 39420 </t>
  </si>
  <si>
    <t xml:space="preserve">$V == 39421 </t>
  </si>
  <si>
    <t xml:space="preserve">$V == 39422 </t>
  </si>
  <si>
    <t xml:space="preserve">$V == 39423 </t>
  </si>
  <si>
    <t xml:space="preserve">$V == 39424 </t>
  </si>
  <si>
    <t xml:space="preserve">$V == 39425 </t>
  </si>
  <si>
    <t xml:space="preserve">$V == 39426 </t>
  </si>
  <si>
    <t xml:space="preserve">$V == 39427 </t>
  </si>
  <si>
    <t xml:space="preserve">$V == 39428 </t>
  </si>
  <si>
    <t xml:space="preserve">$V == 39429 </t>
  </si>
  <si>
    <t xml:space="preserve">$V == 39430 </t>
  </si>
  <si>
    <t xml:space="preserve">$V == 39431 </t>
  </si>
  <si>
    <t xml:space="preserve">$V == 39432 </t>
  </si>
  <si>
    <t xml:space="preserve">$V == 39433 </t>
  </si>
  <si>
    <t xml:space="preserve">$V == 39434 </t>
  </si>
  <si>
    <t xml:space="preserve">$V == 39435 </t>
  </si>
  <si>
    <t xml:space="preserve">$V == 39436 </t>
  </si>
  <si>
    <t xml:space="preserve">$V == 39437 </t>
  </si>
  <si>
    <t xml:space="preserve">$V == 39438 </t>
  </si>
  <si>
    <t xml:space="preserve">$V == 39439 </t>
  </si>
  <si>
    <t xml:space="preserve">$V == 39440 </t>
  </si>
  <si>
    <t xml:space="preserve">$V == 39441 </t>
  </si>
  <si>
    <t xml:space="preserve">$V == 39442 </t>
  </si>
  <si>
    <t xml:space="preserve">$V == 39443 </t>
  </si>
  <si>
    <t xml:space="preserve">$V == 39444 </t>
  </si>
  <si>
    <t xml:space="preserve">$V == 39445 </t>
  </si>
  <si>
    <t xml:space="preserve">$V == 39446 </t>
  </si>
  <si>
    <t xml:space="preserve">$V == 39447 </t>
  </si>
  <si>
    <t xml:space="preserve">$V == 39448 </t>
  </si>
  <si>
    <t xml:space="preserve">$V == 39449 </t>
  </si>
  <si>
    <t xml:space="preserve">$V == 39450 </t>
  </si>
  <si>
    <t xml:space="preserve">$V == 39451 </t>
  </si>
  <si>
    <t xml:space="preserve">$V == 39452 </t>
  </si>
  <si>
    <t xml:space="preserve">$V == 39453 </t>
  </si>
  <si>
    <t xml:space="preserve">$V == 39454 </t>
  </si>
  <si>
    <t xml:space="preserve">$V == 39455 </t>
  </si>
  <si>
    <t xml:space="preserve">$V == 39456 </t>
  </si>
  <si>
    <t xml:space="preserve">$V == 39457 </t>
  </si>
  <si>
    <t xml:space="preserve">$V == 39458 </t>
  </si>
  <si>
    <t xml:space="preserve">$V == 39459 </t>
  </si>
  <si>
    <t xml:space="preserve">$V == 39460 </t>
  </si>
  <si>
    <t xml:space="preserve">$V == 39461 </t>
  </si>
  <si>
    <t xml:space="preserve">$V == 39462 </t>
  </si>
  <si>
    <t xml:space="preserve">$V == 39463 </t>
  </si>
  <si>
    <t xml:space="preserve">$V == 39464 </t>
  </si>
  <si>
    <t xml:space="preserve">$V == 39465 </t>
  </si>
  <si>
    <t xml:space="preserve">$V == 39466 </t>
  </si>
  <si>
    <t xml:space="preserve">$V == 39467 </t>
  </si>
  <si>
    <t xml:space="preserve">$V == 39468 </t>
  </si>
  <si>
    <t xml:space="preserve">$V == 39469 </t>
  </si>
  <si>
    <t xml:space="preserve">$V == 39470 </t>
  </si>
  <si>
    <t xml:space="preserve">$V == 39471 </t>
  </si>
  <si>
    <t xml:space="preserve">$V == 39472 </t>
  </si>
  <si>
    <t xml:space="preserve">$V == 39473 </t>
  </si>
  <si>
    <t xml:space="preserve">$V == 39474 </t>
  </si>
  <si>
    <t xml:space="preserve">$V == 39475 </t>
  </si>
  <si>
    <t xml:space="preserve">$V == 39476 </t>
  </si>
  <si>
    <t xml:space="preserve">$V == 39477 </t>
  </si>
  <si>
    <t xml:space="preserve">$V == 39478 </t>
  </si>
  <si>
    <t xml:space="preserve">$V == 39479 </t>
  </si>
  <si>
    <t xml:space="preserve">$V == 39480 </t>
  </si>
  <si>
    <t xml:space="preserve">$V == 39481 </t>
  </si>
  <si>
    <t xml:space="preserve">$V == 39482 </t>
  </si>
  <si>
    <t xml:space="preserve">$V == 39483 </t>
  </si>
  <si>
    <t xml:space="preserve">$V == 39484 </t>
  </si>
  <si>
    <t xml:space="preserve">$V == 39485 </t>
  </si>
  <si>
    <t xml:space="preserve">$V == 39486 </t>
  </si>
  <si>
    <t xml:space="preserve">$V == 39487 </t>
  </si>
  <si>
    <t xml:space="preserve">$V == 39488 </t>
  </si>
  <si>
    <t xml:space="preserve">$V == 39500 </t>
  </si>
  <si>
    <t xml:space="preserve">$V == 39501 </t>
  </si>
  <si>
    <t xml:space="preserve">$V == 39502 </t>
  </si>
  <si>
    <t xml:space="preserve">$V == 39503 </t>
  </si>
  <si>
    <t xml:space="preserve">$V == 39504 </t>
  </si>
  <si>
    <t xml:space="preserve">$V == 40001 </t>
  </si>
  <si>
    <t xml:space="preserve">$V == 40002 </t>
  </si>
  <si>
    <t xml:space="preserve">$V == 40003 </t>
  </si>
  <si>
    <t xml:space="preserve">$V == 40004 </t>
  </si>
  <si>
    <t xml:space="preserve">$V == 40005 </t>
  </si>
  <si>
    <t xml:space="preserve">$V == 40006 </t>
  </si>
  <si>
    <t xml:space="preserve">$V == 40007 </t>
  </si>
  <si>
    <t xml:space="preserve">$V == 40008 </t>
  </si>
  <si>
    <t xml:space="preserve">$V == 40009 </t>
  </si>
  <si>
    <t xml:space="preserve">$V == 40010 </t>
  </si>
  <si>
    <t xml:space="preserve">$V == 40011 </t>
  </si>
  <si>
    <t xml:space="preserve">$V == 40012 </t>
  </si>
  <si>
    <t xml:space="preserve">$V == 40013 </t>
  </si>
  <si>
    <t xml:space="preserve">$V == 40014 </t>
  </si>
  <si>
    <t xml:space="preserve">$V == 40015 </t>
  </si>
  <si>
    <t xml:space="preserve">$V == 40016 </t>
  </si>
  <si>
    <t xml:space="preserve">$V == 40900 </t>
  </si>
  <si>
    <t xml:space="preserve">$V == 40901 </t>
  </si>
  <si>
    <t xml:space="preserve">$V == 40902 </t>
  </si>
  <si>
    <t xml:space="preserve">$V == 40903 </t>
  </si>
  <si>
    <t xml:space="preserve">$V == 40904 </t>
  </si>
  <si>
    <t xml:space="preserve">$V == 40905 </t>
  </si>
  <si>
    <t xml:space="preserve">$V == 40906 </t>
  </si>
  <si>
    <t xml:space="preserve">$V == 40907 </t>
  </si>
  <si>
    <t xml:space="preserve">$V == 40908 </t>
  </si>
  <si>
    <t xml:space="preserve">$V == 40909 </t>
  </si>
  <si>
    <t xml:space="preserve">$V == 40910 </t>
  </si>
  <si>
    <t xml:space="preserve">$V == 41000 </t>
  </si>
  <si>
    <t xml:space="preserve">$V == 41001 </t>
  </si>
  <si>
    <t xml:space="preserve">$V == 41002 </t>
  </si>
  <si>
    <t xml:space="preserve">$V == 41003 </t>
  </si>
  <si>
    <t xml:space="preserve">$V == 41004 </t>
  </si>
  <si>
    <t xml:space="preserve">$V == 41005 </t>
  </si>
  <si>
    <t xml:space="preserve">$V == 41006 </t>
  </si>
  <si>
    <t xml:space="preserve">$V == 41007 </t>
  </si>
  <si>
    <t xml:space="preserve">$V == 41008 </t>
  </si>
  <si>
    <t xml:space="preserve">$V == 41009 </t>
  </si>
  <si>
    <t xml:space="preserve">$V == 41010 </t>
  </si>
  <si>
    <t xml:space="preserve">$V == 41011 </t>
  </si>
  <si>
    <t xml:space="preserve">$V == 41012 </t>
  </si>
  <si>
    <t xml:space="preserve">$V == 41013 </t>
  </si>
  <si>
    <t xml:space="preserve">$V == 41014 </t>
  </si>
  <si>
    <t xml:space="preserve">$V == 41015 </t>
  </si>
  <si>
    <t xml:space="preserve">$V == 41016 </t>
  </si>
  <si>
    <t xml:space="preserve">$V == 41017 </t>
  </si>
  <si>
    <t xml:space="preserve">$V == 41018 </t>
  </si>
  <si>
    <t xml:space="preserve">$V == 41019 </t>
  </si>
  <si>
    <t xml:space="preserve">$V == 41020 </t>
  </si>
  <si>
    <t xml:space="preserve">$V == 41021 </t>
  </si>
  <si>
    <t xml:space="preserve">$V == 41022 </t>
  </si>
  <si>
    <t xml:space="preserve">$V == 41023 </t>
  </si>
  <si>
    <t xml:space="preserve">$V == 41024 </t>
  </si>
  <si>
    <t xml:space="preserve">$V == 41025 </t>
  </si>
  <si>
    <t xml:space="preserve">$V == 41026 </t>
  </si>
  <si>
    <t xml:space="preserve">$V == 41027 </t>
  </si>
  <si>
    <t xml:space="preserve">$V == 41028 </t>
  </si>
  <si>
    <t xml:space="preserve">$V == 41029 </t>
  </si>
  <si>
    <t xml:space="preserve">$V == 41030 </t>
  </si>
  <si>
    <t xml:space="preserve">$V == 41031 </t>
  </si>
  <si>
    <t xml:space="preserve">$V == 41032 </t>
  </si>
  <si>
    <t xml:space="preserve">$V == 41033 </t>
  </si>
  <si>
    <t xml:space="preserve">$V == 41034 </t>
  </si>
  <si>
    <t xml:space="preserve">$V == 41035 </t>
  </si>
  <si>
    <t xml:space="preserve">$V == 41036 </t>
  </si>
  <si>
    <t xml:space="preserve">$V == 41037 </t>
  </si>
  <si>
    <t xml:space="preserve">$V == 41038 </t>
  </si>
  <si>
    <t xml:space="preserve">$V == 41039 </t>
  </si>
  <si>
    <t xml:space="preserve">$V == 41040 </t>
  </si>
  <si>
    <t xml:space="preserve">$V == 41041 </t>
  </si>
  <si>
    <t xml:space="preserve">$V == 41042 </t>
  </si>
  <si>
    <t xml:space="preserve">$V == 41043 </t>
  </si>
  <si>
    <t xml:space="preserve">$V == 41044 </t>
  </si>
  <si>
    <t xml:space="preserve">$V == 41045 </t>
  </si>
  <si>
    <t xml:space="preserve">$V == 41048 </t>
  </si>
  <si>
    <t xml:space="preserve">$V == 41500 </t>
  </si>
  <si>
    <t xml:space="preserve">$V == 41501 </t>
  </si>
  <si>
    <t xml:space="preserve">$V == 41502 </t>
  </si>
  <si>
    <t xml:space="preserve">$V == 41503 </t>
  </si>
  <si>
    <t xml:space="preserve">$V == 41504 </t>
  </si>
  <si>
    <t xml:space="preserve">$V == 41505 </t>
  </si>
  <si>
    <t xml:space="preserve">$V == 41506 </t>
  </si>
  <si>
    <t xml:space="preserve">$V == 41507 </t>
  </si>
  <si>
    <t xml:space="preserve">$V == 41508 </t>
  </si>
  <si>
    <t xml:space="preserve">$V == 41509 </t>
  </si>
  <si>
    <t xml:space="preserve">$V == 41510 </t>
  </si>
  <si>
    <t xml:space="preserve">$V == 41511 </t>
  </si>
  <si>
    <t xml:space="preserve">$V == 41512 </t>
  </si>
  <si>
    <t xml:space="preserve">$V == 41513 </t>
  </si>
  <si>
    <t xml:space="preserve">$V == 41514 </t>
  </si>
  <si>
    <t xml:space="preserve">$V == 41515 </t>
  </si>
  <si>
    <t xml:space="preserve">$V == 41516 </t>
  </si>
  <si>
    <t xml:space="preserve">$V == 41517 </t>
  </si>
  <si>
    <t xml:space="preserve">$V == 41518 </t>
  </si>
  <si>
    <t xml:space="preserve">$V == 41519 </t>
  </si>
  <si>
    <t xml:space="preserve">$V == 41520 </t>
  </si>
  <si>
    <t xml:space="preserve">$V == 41521 </t>
  </si>
  <si>
    <t xml:space="preserve">$V == 41522 </t>
  </si>
  <si>
    <t xml:space="preserve">$V == 41523 </t>
  </si>
  <si>
    <t xml:space="preserve">$V == 41524 </t>
  </si>
  <si>
    <t xml:space="preserve">$V == 41525 </t>
  </si>
  <si>
    <t xml:space="preserve">$V == 41526 </t>
  </si>
  <si>
    <t xml:space="preserve">$V == 41527 </t>
  </si>
  <si>
    <t xml:space="preserve">$V == 41528 </t>
  </si>
  <si>
    <t xml:space="preserve">$V == 41529 </t>
  </si>
  <si>
    <t xml:space="preserve">$V == 41530 </t>
  </si>
  <si>
    <t xml:space="preserve">$V == 41531 </t>
  </si>
  <si>
    <t xml:space="preserve">$V == 41532 </t>
  </si>
  <si>
    <t xml:space="preserve">$V == 41533 </t>
  </si>
  <si>
    <t xml:space="preserve">$V == 41534 </t>
  </si>
  <si>
    <t xml:space="preserve">$V == 41535 </t>
  </si>
  <si>
    <t xml:space="preserve">$V == 41536 </t>
  </si>
  <si>
    <t xml:space="preserve">$V == 41537 </t>
  </si>
  <si>
    <t xml:space="preserve">$V == 41538 </t>
  </si>
  <si>
    <t xml:space="preserve">$V == 41539 </t>
  </si>
  <si>
    <t xml:space="preserve">$V == 41540 </t>
  </si>
  <si>
    <t xml:space="preserve">$V == 41541 </t>
  </si>
  <si>
    <t xml:space="preserve">$V == 41542 </t>
  </si>
  <si>
    <t xml:space="preserve">$V == 41543 </t>
  </si>
  <si>
    <t xml:space="preserve">$V == 41544 </t>
  </si>
  <si>
    <t xml:space="preserve">$V == 41545 </t>
  </si>
  <si>
    <t xml:space="preserve">$V == 41546 </t>
  </si>
  <si>
    <t xml:space="preserve">$V == 41547 </t>
  </si>
  <si>
    <t xml:space="preserve">$V == 41548 </t>
  </si>
  <si>
    <t xml:space="preserve">$V == 41549 </t>
  </si>
  <si>
    <t xml:space="preserve">$V == 41550 </t>
  </si>
  <si>
    <t xml:space="preserve">$V == 41551 </t>
  </si>
  <si>
    <t xml:space="preserve">$V == 41552 </t>
  </si>
  <si>
    <t xml:space="preserve">$V == 41553 </t>
  </si>
  <si>
    <t xml:space="preserve">$V == 41554 </t>
  </si>
  <si>
    <t xml:space="preserve">$V == 41555 </t>
  </si>
  <si>
    <t xml:space="preserve">$V == 41556 </t>
  </si>
  <si>
    <t xml:space="preserve">$V == 41557 </t>
  </si>
  <si>
    <t xml:space="preserve">$V == 41558 </t>
  </si>
  <si>
    <t xml:space="preserve">$V == 41559 </t>
  </si>
  <si>
    <t xml:space="preserve">$V == 41560 </t>
  </si>
  <si>
    <t xml:space="preserve">$V == 41561 </t>
  </si>
  <si>
    <t xml:space="preserve">$V == 41562 </t>
  </si>
  <si>
    <t xml:space="preserve">$V == 41563 </t>
  </si>
  <si>
    <t xml:space="preserve">$V == 41564 </t>
  </si>
  <si>
    <t xml:space="preserve">$V == 41565 </t>
  </si>
  <si>
    <t xml:space="preserve">$V == 41566 </t>
  </si>
  <si>
    <t xml:space="preserve">$V == 41567 </t>
  </si>
  <si>
    <t xml:space="preserve">$V == 41568 </t>
  </si>
  <si>
    <t xml:space="preserve">$V == 41569 </t>
  </si>
  <si>
    <t xml:space="preserve">$V == 41570 </t>
  </si>
  <si>
    <t xml:space="preserve">$V == 41571 </t>
  </si>
  <si>
    <t xml:space="preserve">$V == 41572 </t>
  </si>
  <si>
    <t xml:space="preserve">$V == 41573 </t>
  </si>
  <si>
    <t xml:space="preserve">$V == 41574 </t>
  </si>
  <si>
    <t xml:space="preserve">$V == 41575 </t>
  </si>
  <si>
    <t xml:space="preserve">$V == 41576 </t>
  </si>
  <si>
    <t xml:space="preserve">$V == 41577 </t>
  </si>
  <si>
    <t xml:space="preserve">$V == 41578 </t>
  </si>
  <si>
    <t xml:space="preserve">$V == 41579 </t>
  </si>
  <si>
    <t xml:space="preserve">$V == 41580 </t>
  </si>
  <si>
    <t xml:space="preserve">$V == 41581 </t>
  </si>
  <si>
    <t xml:space="preserve">$V == 41582 </t>
  </si>
  <si>
    <t xml:space="preserve">$V == 41583 </t>
  </si>
  <si>
    <t xml:space="preserve">$V == 41584 </t>
  </si>
  <si>
    <t xml:space="preserve">$V == 41585 </t>
  </si>
  <si>
    <t xml:space="preserve">$V == 41586 </t>
  </si>
  <si>
    <t xml:space="preserve">$V == 41587 </t>
  </si>
  <si>
    <t xml:space="preserve">$V == 41588 </t>
  </si>
  <si>
    <t xml:space="preserve">$V == 41589 </t>
  </si>
  <si>
    <t xml:space="preserve">$V == 41590 </t>
  </si>
  <si>
    <t xml:space="preserve">$V == 41591 </t>
  </si>
  <si>
    <t xml:space="preserve">$V == 41592 </t>
  </si>
  <si>
    <t xml:space="preserve">$V == 41593 </t>
  </si>
  <si>
    <t xml:space="preserve">$V == 41594 </t>
  </si>
  <si>
    <t xml:space="preserve">$V == 41595 </t>
  </si>
  <si>
    <t xml:space="preserve">$V == 41596 </t>
  </si>
  <si>
    <t xml:space="preserve">$V == 42000 </t>
  </si>
  <si>
    <t xml:space="preserve">$V == 42001 </t>
  </si>
  <si>
    <t xml:space="preserve">$V == 42002 </t>
  </si>
  <si>
    <t xml:space="preserve">$V == 42003 </t>
  </si>
  <si>
    <t xml:space="preserve">$V == 42004 </t>
  </si>
  <si>
    <t xml:space="preserve">$V == 42005 </t>
  </si>
  <si>
    <t xml:space="preserve">$V == 42006 </t>
  </si>
  <si>
    <t xml:space="preserve">$V == 42007 </t>
  </si>
  <si>
    <t xml:space="preserve">$V == 42008 </t>
  </si>
  <si>
    <t xml:space="preserve">$V == 42009 </t>
  </si>
  <si>
    <t xml:space="preserve">$V == 42010 </t>
  </si>
  <si>
    <t xml:space="preserve">$V == 42011 </t>
  </si>
  <si>
    <t xml:space="preserve">$V == 42012 </t>
  </si>
  <si>
    <t xml:space="preserve">$V == 42013 </t>
  </si>
  <si>
    <t xml:space="preserve">$V == 42014 </t>
  </si>
  <si>
    <t xml:space="preserve">$V == 42015 </t>
  </si>
  <si>
    <t xml:space="preserve">$V == 42016 </t>
  </si>
  <si>
    <t xml:space="preserve">$V == 42017 </t>
  </si>
  <si>
    <t xml:space="preserve">$V == 42018 </t>
  </si>
  <si>
    <t xml:space="preserve">$V == 42019 </t>
  </si>
  <si>
    <t xml:space="preserve">$V == 42020 </t>
  </si>
  <si>
    <t xml:space="preserve">$V == 42021 </t>
  </si>
  <si>
    <t xml:space="preserve">$V == 42022 </t>
  </si>
  <si>
    <t xml:space="preserve">$V == 42023 </t>
  </si>
  <si>
    <t xml:space="preserve">$V == 42024 </t>
  </si>
  <si>
    <t xml:space="preserve">$V == 42025 </t>
  </si>
  <si>
    <t xml:space="preserve">$V == 42026 </t>
  </si>
  <si>
    <t xml:space="preserve">$V == 42027 </t>
  </si>
  <si>
    <t xml:space="preserve">$V == 42028 </t>
  </si>
  <si>
    <t xml:space="preserve">$V == 42029 </t>
  </si>
  <si>
    <t xml:space="preserve">$V == 42030 </t>
  </si>
  <si>
    <t xml:space="preserve">$V == 42031 </t>
  </si>
  <si>
    <t xml:space="preserve">$V == 42032 </t>
  </si>
  <si>
    <t xml:space="preserve">$V == 42033 </t>
  </si>
  <si>
    <t xml:space="preserve">$V == 42034 </t>
  </si>
  <si>
    <t xml:space="preserve">$V == 42035 </t>
  </si>
  <si>
    <t xml:space="preserve">$V == 42036 </t>
  </si>
  <si>
    <t xml:space="preserve">$V == 42037 </t>
  </si>
  <si>
    <t xml:space="preserve">$V == 42038 </t>
  </si>
  <si>
    <t xml:space="preserve">$V == 42039 </t>
  </si>
  <si>
    <t xml:space="preserve">$V == 42040 </t>
  </si>
  <si>
    <t xml:space="preserve">$V == 42041 </t>
  </si>
  <si>
    <t xml:space="preserve">$V == 42042 </t>
  </si>
  <si>
    <t xml:space="preserve">$V == 42043 </t>
  </si>
  <si>
    <t xml:space="preserve">$V == 42044 </t>
  </si>
  <si>
    <t xml:space="preserve">$V == 42045 </t>
  </si>
  <si>
    <t xml:space="preserve">$V == 42046 </t>
  </si>
  <si>
    <t xml:space="preserve">$V == 42047 </t>
  </si>
  <si>
    <t xml:space="preserve">$V == 42048 </t>
  </si>
  <si>
    <t xml:space="preserve">$V == 42049 </t>
  </si>
  <si>
    <t xml:space="preserve">$V == 42050 </t>
  </si>
  <si>
    <t xml:space="preserve">$V == 42051 </t>
  </si>
  <si>
    <t xml:space="preserve">$V == 42052 </t>
  </si>
  <si>
    <t xml:space="preserve">$V == 42053 </t>
  </si>
  <si>
    <t xml:space="preserve">$V == 42054 </t>
  </si>
  <si>
    <t xml:space="preserve">$V == 42055 </t>
  </si>
  <si>
    <t xml:space="preserve">$V == 42056 </t>
  </si>
  <si>
    <t xml:space="preserve">$V == 42057 </t>
  </si>
  <si>
    <t xml:space="preserve">$V == 42058 </t>
  </si>
  <si>
    <t xml:space="preserve">$V == 42059 </t>
  </si>
  <si>
    <t xml:space="preserve">$V == 42060 </t>
  </si>
  <si>
    <t xml:space="preserve">$V == 42061 </t>
  </si>
  <si>
    <t xml:space="preserve">$V == 42062 </t>
  </si>
  <si>
    <t xml:space="preserve">$V == 42063 </t>
  </si>
  <si>
    <t xml:space="preserve">$V == 42064 </t>
  </si>
  <si>
    <t xml:space="preserve">$V == 42065 </t>
  </si>
  <si>
    <t xml:space="preserve">$V == 42066 </t>
  </si>
  <si>
    <t xml:space="preserve">$V == 42067 </t>
  </si>
  <si>
    <t xml:space="preserve">$V == 42068 </t>
  </si>
  <si>
    <t xml:space="preserve">$V == 42069 </t>
  </si>
  <si>
    <t xml:space="preserve">$V == 42070 </t>
  </si>
  <si>
    <t xml:space="preserve">$V == 42071 </t>
  </si>
  <si>
    <t xml:space="preserve">$V == 42072 </t>
  </si>
  <si>
    <t xml:space="preserve">$V == 42073 </t>
  </si>
  <si>
    <t xml:space="preserve">$V == 42074 </t>
  </si>
  <si>
    <t xml:space="preserve">$V == 42075 </t>
  </si>
  <si>
    <t xml:space="preserve">$V == 42076 </t>
  </si>
  <si>
    <t xml:space="preserve">$V == 42077 </t>
  </si>
  <si>
    <t xml:space="preserve">$V == 42079 </t>
  </si>
  <si>
    <t xml:space="preserve">$V == 42080 </t>
  </si>
  <si>
    <t xml:space="preserve">$V == 42081 </t>
  </si>
  <si>
    <t xml:space="preserve">$V == 42096 </t>
  </si>
  <si>
    <t xml:space="preserve">$V == 42105 </t>
  </si>
  <si>
    <t xml:space="preserve">$V == 43800 </t>
  </si>
  <si>
    <t xml:space="preserve">$V == 43801 </t>
  </si>
  <si>
    <t xml:space="preserve">$V == 43802 </t>
  </si>
  <si>
    <t xml:space="preserve">$V == 43803 </t>
  </si>
  <si>
    <t xml:space="preserve">$V == 43804 </t>
  </si>
  <si>
    <t xml:space="preserve">$V == 43805 </t>
  </si>
  <si>
    <t xml:space="preserve">$V == 43806 </t>
  </si>
  <si>
    <t xml:space="preserve">$V == 43807 </t>
  </si>
  <si>
    <t xml:space="preserve">$V == 43808 </t>
  </si>
  <si>
    <t xml:space="preserve">$V == 43809 </t>
  </si>
  <si>
    <t xml:space="preserve">$V == 43810 </t>
  </si>
  <si>
    <t xml:space="preserve">$V == 43811 </t>
  </si>
  <si>
    <t xml:space="preserve">$V == 43812 </t>
  </si>
  <si>
    <t xml:space="preserve">$V == 43813 </t>
  </si>
  <si>
    <t xml:space="preserve">$V == 43814 </t>
  </si>
  <si>
    <t xml:space="preserve">$V == 43815 </t>
  </si>
  <si>
    <t xml:space="preserve">$V == 43816 </t>
  </si>
  <si>
    <t xml:space="preserve">$V == 43817 </t>
  </si>
  <si>
    <t xml:space="preserve">$V == 43818 </t>
  </si>
  <si>
    <t xml:space="preserve">$V == 43819 </t>
  </si>
  <si>
    <t xml:space="preserve">$V == 43820 </t>
  </si>
  <si>
    <t xml:space="preserve">$V == 43821 </t>
  </si>
  <si>
    <t xml:space="preserve">$V == 43822 </t>
  </si>
  <si>
    <t xml:space="preserve">$V == 43823 </t>
  </si>
  <si>
    <t xml:space="preserve">$V == 43824 </t>
  </si>
  <si>
    <t xml:space="preserve">$V == 43825 </t>
  </si>
  <si>
    <t xml:space="preserve">$V == 43826 </t>
  </si>
  <si>
    <t xml:space="preserve">$V == 43828 </t>
  </si>
  <si>
    <t xml:space="preserve">$V == 43829 </t>
  </si>
  <si>
    <t xml:space="preserve">$V == 43830 </t>
  </si>
  <si>
    <t xml:space="preserve">$V == 43831 </t>
  </si>
  <si>
    <t xml:space="preserve">$V == 43832 </t>
  </si>
  <si>
    <t xml:space="preserve">$V == 43833 </t>
  </si>
  <si>
    <t xml:space="preserve">$V == 43834 </t>
  </si>
  <si>
    <t xml:space="preserve">$V == 43835 </t>
  </si>
  <si>
    <t xml:space="preserve">$V == 43836 </t>
  </si>
  <si>
    <t xml:space="preserve">$V == 43837 </t>
  </si>
  <si>
    <t xml:space="preserve">$V == 43838 </t>
  </si>
  <si>
    <t xml:space="preserve">$V == 43839 </t>
  </si>
  <si>
    <t xml:space="preserve">$V == 43840 </t>
  </si>
  <si>
    <t xml:space="preserve">$V == 43841 </t>
  </si>
  <si>
    <t xml:space="preserve">$V == 43842 </t>
  </si>
  <si>
    <t xml:space="preserve">$V == 43843 </t>
  </si>
  <si>
    <t xml:space="preserve">$V == 43844 </t>
  </si>
  <si>
    <t xml:space="preserve">$V == 43845 </t>
  </si>
  <si>
    <t xml:space="preserve">$V == 43846 </t>
  </si>
  <si>
    <t xml:space="preserve">$V == 43847 </t>
  </si>
  <si>
    <t xml:space="preserve">$V == 43848 </t>
  </si>
  <si>
    <t xml:space="preserve">$V == 44000 </t>
  </si>
  <si>
    <t xml:space="preserve">$V == 44001 </t>
  </si>
  <si>
    <t xml:space="preserve">$V == 44500 </t>
  </si>
  <si>
    <t xml:space="preserve">$V == 44501 </t>
  </si>
  <si>
    <t xml:space="preserve">$V == 44502 </t>
  </si>
  <si>
    <t xml:space="preserve">$V == 44503 </t>
  </si>
  <si>
    <t xml:space="preserve">$V == 44504 </t>
  </si>
  <si>
    <t xml:space="preserve">$V == 44505 </t>
  </si>
  <si>
    <t xml:space="preserve">$V == 44506 </t>
  </si>
  <si>
    <t xml:space="preserve">$V == 44507 </t>
  </si>
  <si>
    <t xml:space="preserve">$V == 46000 </t>
  </si>
  <si>
    <t xml:space="preserve">$V == 46001 </t>
  </si>
  <si>
    <t xml:space="preserve">$V == 46002 </t>
  </si>
  <si>
    <t xml:space="preserve">$V == 46003 </t>
  </si>
  <si>
    <t xml:space="preserve">$V == 46004 </t>
  </si>
  <si>
    <t xml:space="preserve">$V == 46006 </t>
  </si>
  <si>
    <t xml:space="preserve">$V == 46007 </t>
  </si>
  <si>
    <t xml:space="preserve">$V == 46008 </t>
  </si>
  <si>
    <t xml:space="preserve">$V == 46584 </t>
  </si>
  <si>
    <t xml:space="preserve">$V == 47000 </t>
  </si>
  <si>
    <t xml:space="preserve">$V == 47001 </t>
  </si>
  <si>
    <t xml:space="preserve">$V == 47002 </t>
  </si>
  <si>
    <t>-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</si>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</sst>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Consolas"/>
      <family val="3"/>
      <charset val="204"/>
    </font>
    <font>
      <sz val="11"/>
      <color theme="1"/>
      <name val="Consolas"/>
      <family val="3"/>
      <charset val="204"/>
    </font>
    <font>
      <sz val="11"/>
      <color rgb="FFFF0000"/>
      <name val="Consolas"/>
      <family val="3"/>
      <charset val="204"/>
    </font>
    <font>
      <sz val="8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quotePrefix="1" applyNumberFormat="1" applyFont="1" applyFill="1" applyAlignment="1">
      <alignment horizontal="left"/>
    </xf>
    <xf numFmtId="164" fontId="2" fillId="0" borderId="0" xfId="0" quotePrefix="1" applyNumberFormat="1" applyFont="1" applyAlignment="1">
      <alignment horizontal="left"/>
    </xf>
    <xf numFmtId="0" fontId="0" fillId="0" borderId="4" xfId="0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1" fontId="2" fillId="3" borderId="0" xfId="0" quotePrefix="1" applyNumberFormat="1" applyFont="1" applyFill="1" applyAlignment="1">
      <alignment horizontal="left"/>
    </xf>
    <xf numFmtId="1" fontId="2" fillId="0" borderId="0" xfId="0" quotePrefix="1" applyNumberFormat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50"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1"/>
          <bgColor theme="1"/>
        </patternFill>
      </fill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charset val="204"/>
        <scheme val="none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charset val="204"/>
        <scheme val="none"/>
      </font>
      <numFmt numFmtId="164" formatCode="0.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charset val="20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charset val="20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charset val="204"/>
        <scheme val="none"/>
      </font>
      <fill>
        <patternFill patternType="solid">
          <fgColor theme="7"/>
          <bgColor theme="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99795-03B0-4E22-9C96-6842392B5901}" name="Таблица1" displayName="Таблица1" ref="A2:D18" totalsRowShown="0" headerRowDxfId="42" dataDxfId="41">
  <autoFilter ref="A2:D18" xr:uid="{4FB99795-03B0-4E22-9C96-6842392B5901}"/>
  <tableColumns count="4">
    <tableColumn id="1" xr3:uid="{7C2C7D8A-BD32-4120-BC88-EB134B0B60DA}" name="Физический адрес" dataDxfId="40"/>
    <tableColumn id="2" xr3:uid="{58BE04DE-C552-4F0B-8C7F-718DD4C443F7}" name="FORCE-адрес" dataDxfId="39"/>
    <tableColumn id="3" xr3:uid="{C505C174-C638-47F1-BB97-D9759397B15D}" name="Программный адрес" dataDxfId="38"/>
    <tableColumn id="4" xr3:uid="{ED8AA96B-A477-464A-A575-B0EC13A66BB1}" name="Комментарий" dataDxfId="37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992103-97BB-4814-9335-4CEC99149701}" name="Таблица13" displayName="Таблица13" ref="F2:I18" totalsRowShown="0" headerRowDxfId="36" dataDxfId="35">
  <autoFilter ref="F2:I18" xr:uid="{FA992103-97BB-4814-9335-4CEC99149701}"/>
  <tableColumns count="4">
    <tableColumn id="1" xr3:uid="{15E45CAB-51EB-4A75-90C9-CC44510A3E87}" name="Физический адрес" dataDxfId="34"/>
    <tableColumn id="2" xr3:uid="{84700D99-E881-4E94-9044-61BD4F52065D}" name="FORCE-адрес" dataDxfId="33"/>
    <tableColumn id="3" xr3:uid="{29C8761B-51E9-4932-B7ED-5626F8D910F1}" name="Программный адрес" dataDxfId="32"/>
    <tableColumn id="4" xr3:uid="{07C2B09C-9E2B-4C86-8326-BFEBEDA30C7D}" name="Комментарий" dataDxfId="31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EB932C-F543-45DC-9FB9-1947721EC368}" name="Таблица14" displayName="Таблица14" ref="A21:D37" totalsRowShown="0" headerRowDxfId="30" dataDxfId="29">
  <autoFilter ref="A21:D37" xr:uid="{3DEB932C-F543-45DC-9FB9-1947721EC368}"/>
  <tableColumns count="4">
    <tableColumn id="1" xr3:uid="{A7DD1111-3E4E-43E7-B963-E5371285786B}" name="Физический адрес" dataDxfId="28"/>
    <tableColumn id="2" xr3:uid="{4E5A1EC3-7FCE-49BB-9C77-73886071420D}" name="FORCE-адрес" dataDxfId="27"/>
    <tableColumn id="3" xr3:uid="{0D714DBB-8CDC-4AF9-A4A1-3CF9A9D9BE08}" name="Программный адрес" dataDxfId="26"/>
    <tableColumn id="4" xr3:uid="{69F5BC8C-DEF4-48C0-9AF3-231A7A2B3763}" name="Комментарий" dataDxfId="25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5E88CC-063D-49C3-8C65-22A673E95F21}" name="Таблица135" displayName="Таблица135" ref="F21:I37" totalsRowShown="0" headerRowDxfId="24" dataDxfId="23">
  <autoFilter ref="F21:I37" xr:uid="{C15E88CC-063D-49C3-8C65-22A673E95F21}"/>
  <tableColumns count="4">
    <tableColumn id="1" xr3:uid="{483490CB-F942-4B0F-9510-D82A61FB223D}" name="Физический адрес" dataDxfId="22"/>
    <tableColumn id="2" xr3:uid="{0833CB7B-98AE-4D50-8F9A-95DE7CC11908}" name="FORCE-адрес" dataDxfId="21"/>
    <tableColumn id="3" xr3:uid="{F23EFFBB-C4FA-4365-9FD2-75CD68D445D2}" name="Программный адрес" dataDxfId="20"/>
    <tableColumn id="4" xr3:uid="{D1260B24-8F02-4295-A6CD-15B2B2283D2F}" name="Комментарий" dataDxfId="19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80E88C-685C-4063-856D-D2C15B34153F}" name="Таблица5" displayName="Таблица5" ref="A2:D898" totalsRowShown="0" headerRowDxfId="18" dataDxfId="17" tableBorderDxfId="16">
  <autoFilter ref="A2:D898" xr:uid="{6D80E88C-685C-4063-856D-D2C15B34153F}"/>
  <tableColumns count="4">
    <tableColumn id="1" xr3:uid="{700DE593-4D2C-44F1-B1EB-946AFEAC5FA2}" name="Адрес на роботе" dataDxfId="15"/>
    <tableColumn id="2" xr3:uid="{DFA6459F-0E72-4E10-AD20-6BA8A0B25186}" name="Программный адрес" dataDxfId="14">
      <calculatedColumnFormula>"P"&amp;DEC2HEX(A3+65536-$A$3 +2*96, 5)</calculatedColumnFormula>
    </tableColumn>
    <tableColumn id="3" xr3:uid="{4C1A065F-0479-4484-9301-8C183F79A8CD}" name="Адрес слова" dataDxfId="13">
      <calculatedColumnFormula>IF(RIGHT(B3,1)="0",LEFT(B3,5)," ")</calculatedColumnFormula>
    </tableColumn>
    <tableColumn id="4" xr3:uid="{108B0066-3F14-4989-BED3-000B9011FB9C}" name="Комментарий" dataDxfId="12"/>
  </tableColumns>
  <tableStyleInfo name="TableStyleMedium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0DBADD-92EF-41AA-9EBD-54C39D77A466}" name="Таблица6" displayName="Таблица6" ref="F2:I898" totalsRowShown="0" headerRowDxfId="11" dataDxfId="10" tableBorderDxfId="9">
  <autoFilter ref="F2:I898" xr:uid="{B20DBADD-92EF-41AA-9EBD-54C39D77A466}"/>
  <tableColumns count="4">
    <tableColumn id="1" xr3:uid="{A7F05EEE-147F-4EA1-86E9-D1D9D500A3C3}" name="Адрес на роботе" dataDxfId="8"/>
    <tableColumn id="2" xr3:uid="{85BDCAFE-BAAB-49B6-9CBC-620DBED5D1CF}" name="Программный адрес" dataDxfId="7">
      <calculatedColumnFormula>"P"&amp;DEC2HEX(F3+65536+4096 +2* 96-$F$3, 5)</calculatedColumnFormula>
    </tableColumn>
    <tableColumn id="3" xr3:uid="{96B88C9C-25F3-47C9-B997-43B1C9FB4ECE}" name="Адрес слова" dataDxfId="6">
      <calculatedColumnFormula>IF(RIGHT(G3,1)="0",LEFT(G3,5)," ")</calculatedColumnFormula>
    </tableColumn>
    <tableColumn id="4" xr3:uid="{BB12B359-19DD-48D3-A11C-9EA26D87A7D4}" name="Комментарий" dataDxfId="5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F7F2FE-3778-4B21-B2A7-F4BB20827850}" name="Таблица911" displayName="Таблица911" ref="A1:G49" totalsRowShown="0" headerRowDxfId="49" headerRowBorderDxfId="48" tableBorderDxfId="47">
  <autoFilter ref="A1:G49" xr:uid="{95F7F2FE-3778-4B21-B2A7-F4BB20827850}"/>
  <tableColumns count="7">
    <tableColumn id="1" xr3:uid="{1F8433A9-AA51-44F2-8F3B-F38AC6505DE6}" name="Физический адрес" dataDxfId="46"/>
    <tableColumn id="2" xr3:uid="{779BE33D-319E-4FA9-B51F-05FEA2697F03}" name="Назначение" dataDxfId="45"/>
    <tableColumn id="4" xr3:uid="{CBB9DDDE-53E0-4B03-912E-F4580C72E074}" name="Нижний лимит" dataDxfId="44"/>
    <tableColumn id="3" xr3:uid="{7904D4F1-5659-4B01-8623-E1D7908E0845}" name="Верхний лимит" dataDxfId="43"/>
    <tableColumn id="5" xr3:uid="{E7C90A70-ED0A-4190-B577-05048CCF7290}" name="Адрес на роботе"/>
    <tableColumn id="6" xr3:uid="{BFCB1B88-EFB3-4BF5-8018-9D597A8B2282}" name="Кол-во бит на роботе"/>
    <tableColumn id="7" xr3:uid="{20CD6A74-E4A1-406A-BE0B-2260E8CC892C}" name="Преобразование"/>
  </tableColumns>
  <tableStyleInfo name="TableStyleMedium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59BBDF-EDC8-4FB4-B4BF-395B49B8C0C0}" name="Таблица8" displayName="Таблица8" ref="A1:A15" totalsRowShown="0">
  <autoFilter ref="A1:A15" xr:uid="{A659BBDF-EDC8-4FB4-B4BF-395B49B8C0C0}"/>
  <tableColumns count="1">
    <tableColumn id="1" xr3:uid="{8D9F9855-5B5C-4DA3-A68A-BBAD5804E830}" name="Text tabl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8EAD5D-8154-47B0-96B5-B700D00D2ADA}" name="Таблица9" displayName="Таблица9" ref="C1:H15" totalsRowShown="0">
  <autoFilter ref="C1:H15" xr:uid="{1E8EAD5D-8154-47B0-96B5-B700D00D2ADA}"/>
  <tableColumns count="6">
    <tableColumn id="1" xr3:uid="{07CE84A5-EA89-4EF6-ADF7-C10A1BD6041E}" name="Device"/>
    <tableColumn id="2" xr3:uid="{7FAE7897-F83E-4CAA-AD76-0A2874B832EA}" name="Alarm Condition"/>
    <tableColumn id="3" xr3:uid="{6C95FDDC-65FC-4354-AEFB-498B575B6174}" name="Window. No"/>
    <tableColumn id="4" xr3:uid="{2BA9009B-65C0-404B-83B7-6EEA530AC10D}" name="Text Index"/>
    <tableColumn id="5" xr3:uid="{809D99DF-47F8-494F-AE3B-03D94BF094DB}" name="Alarm count device"/>
    <tableColumn id="6" xr3:uid="{43DE8822-C995-4D55-966A-8D5331C91B6C}" name="Preview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9EDDA5-BD16-4233-8A62-2C246C7B68E6}" name="Таблица11" displayName="Таблица11" ref="A1:A2346" totalsRowShown="0" headerRowDxfId="4" tableBorderDxfId="3">
  <autoFilter ref="A1:A2346" xr:uid="{B39EDDA5-BD16-4233-8A62-2C246C7B68E6}"/>
  <tableColumns count="1">
    <tableColumn id="1" xr3:uid="{45A3359A-675D-4711-A008-F0D543E22E6C}" name="Text table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2D30CC-BD3C-4527-82EF-0173616A8B98}" name="Таблица12" displayName="Таблица12" ref="C1:H2346" totalsRowShown="0" headerRowDxfId="2" headerRowBorderDxfId="1" tableBorderDxfId="0">
  <autoFilter ref="C1:H2346" xr:uid="{862D30CC-BD3C-4527-82EF-0173616A8B98}"/>
  <tableColumns count="6">
    <tableColumn id="1" xr3:uid="{59675DE2-9B31-4B56-84CD-F84596BF6919}" name="Device"/>
    <tableColumn id="2" xr3:uid="{ED8497C7-8569-4EBA-BA4F-BE1608C0FE09}" name="Alarm Condition"/>
    <tableColumn id="3" xr3:uid="{9B225E33-3FDD-409E-8876-B1FB9F097FAE}" name="Window. No"/>
    <tableColumn id="4" xr3:uid="{AE6C079E-575F-444D-B50B-7DC715EE1CA3}" name="Text Index"/>
    <tableColumn id="5" xr3:uid="{28264FBB-6237-4507-8355-4F3315E86018}" name="Alarm count device"/>
    <tableColumn id="6" xr3:uid="{0C092700-1342-4E5E-8EAA-8DAEA2154FC7}" name="Preview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F38DD4-1C48-4A96-8714-4BCFCC037487}" name="Таблица7" displayName="Таблица7" ref="A1:F2699" totalsRowShown="0">
  <autoFilter ref="A1:F2699" xr:uid="{2CF38DD4-1C48-4A96-8714-4BCFCC037487}"/>
  <tableColumns count="6">
    <tableColumn id="1" xr3:uid="{3F8F069C-881B-4628-9078-CAF2F17D302A}" name="1"/>
    <tableColumn id="2" xr3:uid="{42593056-D851-4B6C-8154-5200D9190AD0}" name="2"/>
    <tableColumn id="3" xr3:uid="{04FB345D-47D9-4EAF-80E5-A7B9AE831594}" name="3"/>
    <tableColumn id="4" xr3:uid="{BE397ECE-A6B8-426D-B99C-06C5C7BD385C}" name="4"/>
    <tableColumn id="5" xr3:uid="{248188E0-8B22-477E-A73E-914BCB4557AA}" name="5"/>
    <tableColumn id="6" xr3:uid="{D2E07DC2-E752-4880-BDEB-73F9EFA521D9}" name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363D-E002-455D-AEBF-103AC5B10E47}">
  <dimension ref="A1:I37"/>
  <sheetViews>
    <sheetView topLeftCell="A21" workbookViewId="0">
      <selection activeCell="E11" sqref="E11"/>
    </sheetView>
  </sheetViews>
  <sheetFormatPr defaultColWidth="9.109375" defaultRowHeight="14.4" x14ac:dyDescent="0.3"/>
  <cols>
    <col min="1" max="1" width="21.88671875" style="2" bestFit="1" customWidth="1"/>
    <col min="2" max="2" width="16" style="2" bestFit="1" customWidth="1"/>
    <col min="3" max="3" width="23" style="2" bestFit="1" customWidth="1"/>
    <col min="4" max="4" width="42.109375" style="2" bestFit="1" customWidth="1"/>
    <col min="5" max="5" width="9.109375" style="2"/>
    <col min="6" max="6" width="21.88671875" style="2" bestFit="1" customWidth="1"/>
    <col min="7" max="7" width="16" style="2" bestFit="1" customWidth="1"/>
    <col min="8" max="8" width="23" style="2" bestFit="1" customWidth="1"/>
    <col min="9" max="9" width="49.109375" style="2" bestFit="1" customWidth="1"/>
    <col min="10" max="16384" width="9.109375" style="2"/>
  </cols>
  <sheetData>
    <row r="1" spans="1:9" ht="15" thickBot="1" x14ac:dyDescent="0.35">
      <c r="A1" s="19" t="s">
        <v>102</v>
      </c>
      <c r="B1" s="19"/>
      <c r="C1" s="19"/>
      <c r="D1" s="19"/>
      <c r="F1" s="19" t="s">
        <v>103</v>
      </c>
      <c r="G1" s="19"/>
      <c r="H1" s="19"/>
      <c r="I1" s="19"/>
    </row>
    <row r="2" spans="1:9" x14ac:dyDescent="0.3">
      <c r="A2" s="2" t="s">
        <v>10</v>
      </c>
      <c r="B2" s="2" t="s">
        <v>11</v>
      </c>
      <c r="C2" s="2" t="s">
        <v>45</v>
      </c>
      <c r="D2" s="2" t="s">
        <v>0</v>
      </c>
      <c r="F2" s="2" t="s">
        <v>10</v>
      </c>
      <c r="G2" s="2" t="s">
        <v>11</v>
      </c>
      <c r="H2" s="2" t="s">
        <v>45</v>
      </c>
      <c r="I2" s="2" t="s">
        <v>0</v>
      </c>
    </row>
    <row r="3" spans="1:9" x14ac:dyDescent="0.3">
      <c r="A3" s="2" t="s">
        <v>4311</v>
      </c>
      <c r="B3" s="2" t="s">
        <v>12</v>
      </c>
      <c r="C3" s="2" t="s">
        <v>46</v>
      </c>
      <c r="D3" s="2" t="s">
        <v>35</v>
      </c>
      <c r="F3" s="2" t="s">
        <v>1</v>
      </c>
      <c r="G3" s="2" t="s">
        <v>86</v>
      </c>
      <c r="H3" s="2" t="s">
        <v>62</v>
      </c>
      <c r="I3" s="2" t="s">
        <v>78</v>
      </c>
    </row>
    <row r="4" spans="1:9" x14ac:dyDescent="0.3">
      <c r="A4" s="2" t="s">
        <v>4313</v>
      </c>
      <c r="B4" s="2" t="s">
        <v>13</v>
      </c>
      <c r="C4" s="2" t="s">
        <v>47</v>
      </c>
      <c r="D4" s="2" t="s">
        <v>36</v>
      </c>
      <c r="F4" s="2" t="s">
        <v>2</v>
      </c>
      <c r="G4" s="2" t="s">
        <v>87</v>
      </c>
      <c r="H4" s="2" t="s">
        <v>63</v>
      </c>
      <c r="I4" s="2" t="s">
        <v>79</v>
      </c>
    </row>
    <row r="5" spans="1:9" x14ac:dyDescent="0.3">
      <c r="A5" s="2" t="s">
        <v>4315</v>
      </c>
      <c r="B5" s="2" t="s">
        <v>14</v>
      </c>
      <c r="C5" s="2" t="s">
        <v>48</v>
      </c>
      <c r="D5" s="2" t="s">
        <v>37</v>
      </c>
      <c r="F5" s="2" t="s">
        <v>3</v>
      </c>
      <c r="G5" s="2" t="s">
        <v>88</v>
      </c>
      <c r="H5" s="2" t="s">
        <v>64</v>
      </c>
      <c r="I5" s="2" t="s">
        <v>80</v>
      </c>
    </row>
    <row r="6" spans="1:9" x14ac:dyDescent="0.3">
      <c r="A6" s="2" t="s">
        <v>4317</v>
      </c>
      <c r="B6" s="2" t="s">
        <v>15</v>
      </c>
      <c r="C6" s="2" t="s">
        <v>49</v>
      </c>
      <c r="D6" s="2" t="s">
        <v>38</v>
      </c>
      <c r="F6" s="2" t="s">
        <v>4</v>
      </c>
      <c r="G6" s="2" t="s">
        <v>89</v>
      </c>
      <c r="H6" s="2" t="s">
        <v>65</v>
      </c>
      <c r="I6" s="2" t="s">
        <v>81</v>
      </c>
    </row>
    <row r="7" spans="1:9" x14ac:dyDescent="0.3">
      <c r="A7" s="2" t="s">
        <v>4319</v>
      </c>
      <c r="B7" s="2" t="s">
        <v>16</v>
      </c>
      <c r="C7" s="2" t="s">
        <v>50</v>
      </c>
      <c r="D7" s="2" t="s">
        <v>39</v>
      </c>
      <c r="F7" s="2" t="s">
        <v>5</v>
      </c>
      <c r="G7" s="2" t="s">
        <v>90</v>
      </c>
      <c r="H7" s="2" t="s">
        <v>66</v>
      </c>
      <c r="I7" s="2" t="s">
        <v>82</v>
      </c>
    </row>
    <row r="8" spans="1:9" x14ac:dyDescent="0.3">
      <c r="A8" s="2" t="s">
        <v>4321</v>
      </c>
      <c r="B8" s="2" t="s">
        <v>17</v>
      </c>
      <c r="C8" s="2" t="s">
        <v>51</v>
      </c>
      <c r="D8" s="2" t="s">
        <v>40</v>
      </c>
      <c r="F8" s="2" t="s">
        <v>6</v>
      </c>
      <c r="G8" s="2" t="s">
        <v>91</v>
      </c>
      <c r="H8" s="2" t="s">
        <v>67</v>
      </c>
      <c r="I8" s="2" t="s">
        <v>44</v>
      </c>
    </row>
    <row r="9" spans="1:9" x14ac:dyDescent="0.3">
      <c r="A9" s="2" t="s">
        <v>4323</v>
      </c>
      <c r="B9" s="2" t="s">
        <v>18</v>
      </c>
      <c r="C9" s="2" t="s">
        <v>52</v>
      </c>
      <c r="D9" s="2" t="s">
        <v>41</v>
      </c>
      <c r="F9" s="2" t="s">
        <v>7</v>
      </c>
      <c r="G9" s="2" t="s">
        <v>92</v>
      </c>
      <c r="H9" s="2" t="s">
        <v>68</v>
      </c>
      <c r="I9" s="2" t="s">
        <v>83</v>
      </c>
    </row>
    <row r="10" spans="1:9" x14ac:dyDescent="0.3">
      <c r="A10" s="2" t="s">
        <v>4325</v>
      </c>
      <c r="B10" s="2" t="s">
        <v>19</v>
      </c>
      <c r="C10" s="2" t="s">
        <v>53</v>
      </c>
      <c r="D10" s="2" t="s">
        <v>42</v>
      </c>
      <c r="F10" s="2" t="s">
        <v>8</v>
      </c>
      <c r="G10" s="2" t="s">
        <v>93</v>
      </c>
      <c r="H10" s="2" t="s">
        <v>69</v>
      </c>
      <c r="I10" s="2" t="s">
        <v>84</v>
      </c>
    </row>
    <row r="11" spans="1:9" x14ac:dyDescent="0.3">
      <c r="A11" s="2" t="s">
        <v>4327</v>
      </c>
      <c r="B11" s="2" t="s">
        <v>20</v>
      </c>
      <c r="C11" s="2" t="s">
        <v>54</v>
      </c>
      <c r="D11" s="2" t="s">
        <v>43</v>
      </c>
      <c r="F11" s="2" t="s">
        <v>9</v>
      </c>
      <c r="G11" s="2" t="s">
        <v>94</v>
      </c>
      <c r="H11" s="2" t="s">
        <v>70</v>
      </c>
      <c r="I11" s="2" t="s">
        <v>85</v>
      </c>
    </row>
    <row r="12" spans="1:9" x14ac:dyDescent="0.3">
      <c r="A12" s="2" t="s">
        <v>4329</v>
      </c>
      <c r="B12" s="2" t="s">
        <v>21</v>
      </c>
      <c r="C12" s="2" t="s">
        <v>55</v>
      </c>
      <c r="D12" s="2" t="s">
        <v>5913</v>
      </c>
      <c r="F12" s="2" t="s">
        <v>28</v>
      </c>
      <c r="G12" s="2" t="s">
        <v>95</v>
      </c>
      <c r="H12" s="2" t="s">
        <v>71</v>
      </c>
      <c r="I12" s="2" t="s">
        <v>44</v>
      </c>
    </row>
    <row r="13" spans="1:9" x14ac:dyDescent="0.3">
      <c r="A13" s="2" t="s">
        <v>4331</v>
      </c>
      <c r="B13" s="2" t="s">
        <v>22</v>
      </c>
      <c r="C13" s="2" t="s">
        <v>56</v>
      </c>
      <c r="D13" s="2" t="s">
        <v>44</v>
      </c>
      <c r="F13" s="2" t="s">
        <v>29</v>
      </c>
      <c r="G13" s="2" t="s">
        <v>96</v>
      </c>
      <c r="H13" s="2" t="s">
        <v>72</v>
      </c>
      <c r="I13" s="2" t="s">
        <v>44</v>
      </c>
    </row>
    <row r="14" spans="1:9" x14ac:dyDescent="0.3">
      <c r="A14" s="2" t="s">
        <v>4333</v>
      </c>
      <c r="B14" s="2" t="s">
        <v>23</v>
      </c>
      <c r="C14" s="2" t="s">
        <v>57</v>
      </c>
      <c r="D14" s="2" t="s">
        <v>44</v>
      </c>
      <c r="F14" s="2" t="s">
        <v>30</v>
      </c>
      <c r="G14" s="2" t="s">
        <v>97</v>
      </c>
      <c r="H14" s="2" t="s">
        <v>73</v>
      </c>
      <c r="I14" s="2" t="s">
        <v>44</v>
      </c>
    </row>
    <row r="15" spans="1:9" x14ac:dyDescent="0.3">
      <c r="A15" s="2" t="s">
        <v>4334</v>
      </c>
      <c r="B15" s="2" t="s">
        <v>24</v>
      </c>
      <c r="C15" s="2" t="s">
        <v>58</v>
      </c>
      <c r="D15" s="2" t="s">
        <v>44</v>
      </c>
      <c r="F15" s="2" t="s">
        <v>31</v>
      </c>
      <c r="G15" s="2" t="s">
        <v>98</v>
      </c>
      <c r="H15" s="2" t="s">
        <v>74</v>
      </c>
      <c r="I15" s="2" t="s">
        <v>44</v>
      </c>
    </row>
    <row r="16" spans="1:9" x14ac:dyDescent="0.3">
      <c r="A16" s="2" t="s">
        <v>4335</v>
      </c>
      <c r="B16" s="2" t="s">
        <v>25</v>
      </c>
      <c r="C16" s="2" t="s">
        <v>59</v>
      </c>
      <c r="D16" s="2" t="s">
        <v>44</v>
      </c>
      <c r="F16" s="2" t="s">
        <v>32</v>
      </c>
      <c r="G16" s="2" t="s">
        <v>99</v>
      </c>
      <c r="H16" s="2" t="s">
        <v>75</v>
      </c>
      <c r="I16" s="2" t="s">
        <v>44</v>
      </c>
    </row>
    <row r="17" spans="1:9" x14ac:dyDescent="0.3">
      <c r="A17" s="2" t="s">
        <v>4336</v>
      </c>
      <c r="B17" s="2" t="s">
        <v>26</v>
      </c>
      <c r="C17" s="2" t="s">
        <v>60</v>
      </c>
      <c r="D17" s="2" t="s">
        <v>44</v>
      </c>
      <c r="F17" s="2" t="s">
        <v>33</v>
      </c>
      <c r="G17" s="2" t="s">
        <v>100</v>
      </c>
      <c r="H17" s="2" t="s">
        <v>76</v>
      </c>
      <c r="I17" s="2" t="s">
        <v>44</v>
      </c>
    </row>
    <row r="18" spans="1:9" x14ac:dyDescent="0.3">
      <c r="A18" s="2" t="s">
        <v>4337</v>
      </c>
      <c r="B18" s="2" t="s">
        <v>27</v>
      </c>
      <c r="C18" s="2" t="s">
        <v>61</v>
      </c>
      <c r="D18" s="2" t="s">
        <v>44</v>
      </c>
      <c r="F18" s="2" t="s">
        <v>34</v>
      </c>
      <c r="G18" s="2" t="s">
        <v>101</v>
      </c>
      <c r="H18" s="2" t="s">
        <v>77</v>
      </c>
      <c r="I18" s="2" t="s">
        <v>44</v>
      </c>
    </row>
    <row r="19" spans="1:9" ht="15" thickBot="1" x14ac:dyDescent="0.35"/>
    <row r="20" spans="1:9" ht="15" thickBot="1" x14ac:dyDescent="0.35">
      <c r="A20" s="19" t="s">
        <v>105</v>
      </c>
      <c r="B20" s="19"/>
      <c r="C20" s="19"/>
      <c r="D20" s="19"/>
      <c r="F20" s="19" t="s">
        <v>104</v>
      </c>
      <c r="G20" s="19"/>
      <c r="H20" s="19"/>
      <c r="I20" s="19"/>
    </row>
    <row r="21" spans="1:9" x14ac:dyDescent="0.3">
      <c r="A21" s="2" t="s">
        <v>10</v>
      </c>
      <c r="B21" s="2" t="s">
        <v>11</v>
      </c>
      <c r="C21" s="2" t="s">
        <v>45</v>
      </c>
      <c r="D21" s="2" t="s">
        <v>0</v>
      </c>
      <c r="F21" s="2" t="s">
        <v>10</v>
      </c>
      <c r="G21" s="2" t="s">
        <v>11</v>
      </c>
      <c r="H21" s="2" t="s">
        <v>45</v>
      </c>
      <c r="I21" s="2" t="s">
        <v>0</v>
      </c>
    </row>
    <row r="22" spans="1:9" x14ac:dyDescent="0.3">
      <c r="A22" s="2" t="s">
        <v>311</v>
      </c>
      <c r="B22" s="2" t="s">
        <v>130</v>
      </c>
      <c r="C22" s="2" t="s">
        <v>106</v>
      </c>
      <c r="D22" s="2" t="s">
        <v>122</v>
      </c>
      <c r="F22" s="4" t="s">
        <v>327</v>
      </c>
      <c r="G22" s="2" t="s">
        <v>146</v>
      </c>
      <c r="H22" s="2" t="s">
        <v>162</v>
      </c>
      <c r="I22" s="2" t="s">
        <v>178</v>
      </c>
    </row>
    <row r="23" spans="1:9" x14ac:dyDescent="0.3">
      <c r="A23" s="2" t="s">
        <v>312</v>
      </c>
      <c r="B23" s="2" t="s">
        <v>131</v>
      </c>
      <c r="C23" s="2" t="s">
        <v>107</v>
      </c>
      <c r="D23" s="2" t="s">
        <v>123</v>
      </c>
      <c r="F23" s="2" t="s">
        <v>328</v>
      </c>
      <c r="G23" s="2" t="s">
        <v>147</v>
      </c>
      <c r="H23" s="2" t="s">
        <v>163</v>
      </c>
      <c r="I23" s="2" t="s">
        <v>179</v>
      </c>
    </row>
    <row r="24" spans="1:9" x14ac:dyDescent="0.3">
      <c r="A24" s="2" t="s">
        <v>313</v>
      </c>
      <c r="B24" s="2" t="s">
        <v>132</v>
      </c>
      <c r="C24" s="2" t="s">
        <v>108</v>
      </c>
      <c r="D24" s="2" t="s">
        <v>124</v>
      </c>
      <c r="F24" s="4" t="s">
        <v>329</v>
      </c>
      <c r="G24" s="2" t="s">
        <v>148</v>
      </c>
      <c r="H24" s="2" t="s">
        <v>164</v>
      </c>
      <c r="I24" s="2" t="s">
        <v>180</v>
      </c>
    </row>
    <row r="25" spans="1:9" x14ac:dyDescent="0.3">
      <c r="A25" s="2" t="s">
        <v>314</v>
      </c>
      <c r="B25" s="2" t="s">
        <v>133</v>
      </c>
      <c r="C25" s="2" t="s">
        <v>109</v>
      </c>
      <c r="D25" s="2" t="s">
        <v>125</v>
      </c>
      <c r="F25" s="2" t="s">
        <v>330</v>
      </c>
      <c r="G25" s="2" t="s">
        <v>149</v>
      </c>
      <c r="H25" s="2" t="s">
        <v>165</v>
      </c>
      <c r="I25" s="2" t="s">
        <v>181</v>
      </c>
    </row>
    <row r="26" spans="1:9" x14ac:dyDescent="0.3">
      <c r="A26" s="2" t="s">
        <v>315</v>
      </c>
      <c r="B26" s="2" t="s">
        <v>134</v>
      </c>
      <c r="C26" s="2" t="s">
        <v>110</v>
      </c>
      <c r="D26" s="2" t="s">
        <v>126</v>
      </c>
      <c r="F26" s="4" t="s">
        <v>331</v>
      </c>
      <c r="G26" s="2" t="s">
        <v>150</v>
      </c>
      <c r="H26" s="2" t="s">
        <v>166</v>
      </c>
      <c r="I26" s="2" t="s">
        <v>182</v>
      </c>
    </row>
    <row r="27" spans="1:9" x14ac:dyDescent="0.3">
      <c r="A27" s="2" t="s">
        <v>316</v>
      </c>
      <c r="B27" s="2" t="s">
        <v>135</v>
      </c>
      <c r="C27" s="2" t="s">
        <v>111</v>
      </c>
      <c r="D27" s="2" t="s">
        <v>127</v>
      </c>
      <c r="F27" s="2" t="s">
        <v>332</v>
      </c>
      <c r="G27" s="2" t="s">
        <v>151</v>
      </c>
      <c r="H27" s="2" t="s">
        <v>167</v>
      </c>
      <c r="I27" s="2" t="s">
        <v>183</v>
      </c>
    </row>
    <row r="28" spans="1:9" x14ac:dyDescent="0.3">
      <c r="A28" s="2" t="s">
        <v>317</v>
      </c>
      <c r="B28" s="2" t="s">
        <v>136</v>
      </c>
      <c r="C28" s="2" t="s">
        <v>112</v>
      </c>
      <c r="D28" s="2" t="s">
        <v>128</v>
      </c>
      <c r="F28" s="4" t="s">
        <v>333</v>
      </c>
      <c r="G28" s="2" t="s">
        <v>152</v>
      </c>
      <c r="H28" s="2" t="s">
        <v>168</v>
      </c>
      <c r="I28" s="2" t="s">
        <v>184</v>
      </c>
    </row>
    <row r="29" spans="1:9" x14ac:dyDescent="0.3">
      <c r="A29" s="2" t="s">
        <v>318</v>
      </c>
      <c r="B29" s="2" t="s">
        <v>137</v>
      </c>
      <c r="C29" s="2" t="s">
        <v>113</v>
      </c>
      <c r="D29" s="2" t="s">
        <v>129</v>
      </c>
      <c r="F29" s="2" t="s">
        <v>334</v>
      </c>
      <c r="G29" s="2" t="s">
        <v>153</v>
      </c>
      <c r="H29" s="2" t="s">
        <v>169</v>
      </c>
      <c r="I29" s="2" t="s">
        <v>193</v>
      </c>
    </row>
    <row r="30" spans="1:9" x14ac:dyDescent="0.3">
      <c r="A30" s="2" t="s">
        <v>319</v>
      </c>
      <c r="B30" s="2" t="s">
        <v>138</v>
      </c>
      <c r="C30" s="2" t="s">
        <v>114</v>
      </c>
      <c r="D30" s="2" t="s">
        <v>44</v>
      </c>
      <c r="F30" s="2" t="s">
        <v>335</v>
      </c>
      <c r="G30" s="2" t="s">
        <v>154</v>
      </c>
      <c r="H30" s="2" t="s">
        <v>170</v>
      </c>
      <c r="I30" s="2" t="s">
        <v>185</v>
      </c>
    </row>
    <row r="31" spans="1:9" x14ac:dyDescent="0.3">
      <c r="A31" s="2" t="s">
        <v>320</v>
      </c>
      <c r="B31" s="2" t="s">
        <v>139</v>
      </c>
      <c r="C31" s="2" t="s">
        <v>115</v>
      </c>
      <c r="D31" s="2" t="s">
        <v>44</v>
      </c>
      <c r="F31" s="2" t="s">
        <v>336</v>
      </c>
      <c r="G31" s="2" t="s">
        <v>155</v>
      </c>
      <c r="H31" s="2" t="s">
        <v>171</v>
      </c>
      <c r="I31" s="2" t="s">
        <v>186</v>
      </c>
    </row>
    <row r="32" spans="1:9" x14ac:dyDescent="0.3">
      <c r="A32" s="2" t="s">
        <v>321</v>
      </c>
      <c r="B32" s="2" t="s">
        <v>140</v>
      </c>
      <c r="C32" s="2" t="s">
        <v>116</v>
      </c>
      <c r="D32" s="2" t="s">
        <v>44</v>
      </c>
      <c r="F32" s="2" t="s">
        <v>337</v>
      </c>
      <c r="G32" s="2" t="s">
        <v>156</v>
      </c>
      <c r="H32" s="2" t="s">
        <v>172</v>
      </c>
      <c r="I32" s="2" t="s">
        <v>187</v>
      </c>
    </row>
    <row r="33" spans="1:9" x14ac:dyDescent="0.3">
      <c r="A33" s="2" t="s">
        <v>322</v>
      </c>
      <c r="B33" s="2" t="s">
        <v>141</v>
      </c>
      <c r="C33" s="2" t="s">
        <v>117</v>
      </c>
      <c r="D33" s="2" t="s">
        <v>44</v>
      </c>
      <c r="F33" s="2" t="s">
        <v>338</v>
      </c>
      <c r="G33" s="2" t="s">
        <v>157</v>
      </c>
      <c r="H33" s="2" t="s">
        <v>173</v>
      </c>
      <c r="I33" s="2" t="s">
        <v>188</v>
      </c>
    </row>
    <row r="34" spans="1:9" x14ac:dyDescent="0.3">
      <c r="A34" s="2" t="s">
        <v>323</v>
      </c>
      <c r="B34" s="2" t="s">
        <v>142</v>
      </c>
      <c r="C34" s="2" t="s">
        <v>118</v>
      </c>
      <c r="D34" s="2" t="s">
        <v>44</v>
      </c>
      <c r="F34" s="2" t="s">
        <v>339</v>
      </c>
      <c r="G34" s="2" t="s">
        <v>158</v>
      </c>
      <c r="H34" s="2" t="s">
        <v>174</v>
      </c>
      <c r="I34" s="2" t="s">
        <v>189</v>
      </c>
    </row>
    <row r="35" spans="1:9" x14ac:dyDescent="0.3">
      <c r="A35" s="2" t="s">
        <v>324</v>
      </c>
      <c r="B35" s="2" t="s">
        <v>143</v>
      </c>
      <c r="C35" s="2" t="s">
        <v>119</v>
      </c>
      <c r="D35" s="2" t="s">
        <v>44</v>
      </c>
      <c r="F35" s="2" t="s">
        <v>340</v>
      </c>
      <c r="G35" s="2" t="s">
        <v>159</v>
      </c>
      <c r="H35" s="2" t="s">
        <v>175</v>
      </c>
      <c r="I35" s="2" t="s">
        <v>190</v>
      </c>
    </row>
    <row r="36" spans="1:9" x14ac:dyDescent="0.3">
      <c r="A36" s="2" t="s">
        <v>325</v>
      </c>
      <c r="B36" s="2" t="s">
        <v>144</v>
      </c>
      <c r="C36" s="2" t="s">
        <v>120</v>
      </c>
      <c r="D36" s="2" t="s">
        <v>44</v>
      </c>
      <c r="F36" s="2" t="s">
        <v>341</v>
      </c>
      <c r="G36" s="2" t="s">
        <v>160</v>
      </c>
      <c r="H36" s="2" t="s">
        <v>176</v>
      </c>
      <c r="I36" s="2" t="s">
        <v>191</v>
      </c>
    </row>
    <row r="37" spans="1:9" x14ac:dyDescent="0.3">
      <c r="A37" s="2" t="s">
        <v>326</v>
      </c>
      <c r="B37" s="2" t="s">
        <v>145</v>
      </c>
      <c r="C37" s="2" t="s">
        <v>121</v>
      </c>
      <c r="D37" s="2" t="s">
        <v>44</v>
      </c>
      <c r="F37" s="2" t="s">
        <v>342</v>
      </c>
      <c r="G37" s="2" t="s">
        <v>161</v>
      </c>
      <c r="H37" s="2" t="s">
        <v>177</v>
      </c>
      <c r="I37" s="2" t="s">
        <v>192</v>
      </c>
    </row>
  </sheetData>
  <mergeCells count="4">
    <mergeCell ref="A1:D1"/>
    <mergeCell ref="F1:I1"/>
    <mergeCell ref="A20:D20"/>
    <mergeCell ref="F20:I2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5EFA-86F2-45C7-8EA9-6C33984E31A6}">
  <dimension ref="A1:K898"/>
  <sheetViews>
    <sheetView topLeftCell="D469" zoomScaleNormal="100" workbookViewId="0">
      <selection activeCell="I509" sqref="I509"/>
    </sheetView>
  </sheetViews>
  <sheetFormatPr defaultColWidth="9.109375" defaultRowHeight="14.4" x14ac:dyDescent="0.3"/>
  <cols>
    <col min="1" max="1" width="23" style="2" bestFit="1" customWidth="1"/>
    <col min="2" max="2" width="25.33203125" style="2" bestFit="1" customWidth="1"/>
    <col min="3" max="3" width="8.6640625" style="2" customWidth="1"/>
    <col min="4" max="4" width="49.109375" style="7" bestFit="1" customWidth="1"/>
    <col min="5" max="5" width="9.109375" style="2"/>
    <col min="6" max="6" width="23" style="2" bestFit="1" customWidth="1"/>
    <col min="7" max="7" width="25.33203125" style="2" bestFit="1" customWidth="1"/>
    <col min="8" max="8" width="18.33203125" style="2" bestFit="1" customWidth="1"/>
    <col min="9" max="9" width="93" style="2" bestFit="1" customWidth="1"/>
    <col min="10" max="16384" width="9.109375" style="2"/>
  </cols>
  <sheetData>
    <row r="1" spans="1:9" x14ac:dyDescent="0.3">
      <c r="A1" s="20" t="s">
        <v>195</v>
      </c>
      <c r="B1" s="20"/>
      <c r="C1" s="20"/>
      <c r="D1" s="20"/>
      <c r="F1" s="20" t="s">
        <v>196</v>
      </c>
      <c r="G1" s="20"/>
      <c r="H1" s="20"/>
      <c r="I1" s="20"/>
    </row>
    <row r="2" spans="1:9" x14ac:dyDescent="0.3">
      <c r="A2" s="2" t="s">
        <v>194</v>
      </c>
      <c r="B2" s="2" t="s">
        <v>45</v>
      </c>
      <c r="C2" s="2" t="s">
        <v>197</v>
      </c>
      <c r="D2" s="2" t="s">
        <v>0</v>
      </c>
      <c r="F2" s="2" t="s">
        <v>194</v>
      </c>
      <c r="G2" s="2" t="s">
        <v>45</v>
      </c>
      <c r="H2" s="2" t="s">
        <v>197</v>
      </c>
      <c r="I2" s="2" t="s">
        <v>0</v>
      </c>
    </row>
    <row r="3" spans="1:9" x14ac:dyDescent="0.3">
      <c r="A3" s="2">
        <v>65</v>
      </c>
      <c r="B3" s="2" t="str">
        <f>"P"&amp;DEC2HEX(A3+65536-$A$3, 5)</f>
        <v>P10000</v>
      </c>
      <c r="C3" s="2" t="str">
        <f>IF(RIGHT(B3,1)="0",LEFT(B3,5)," ")</f>
        <v>P1000</v>
      </c>
      <c r="D3" s="7" t="s">
        <v>198</v>
      </c>
      <c r="F3" s="2">
        <v>1065</v>
      </c>
      <c r="G3" s="2" t="str">
        <f>"P"&amp;DEC2HEX(F3+65536+4096-$F$3, 5)</f>
        <v>P11000</v>
      </c>
      <c r="H3" s="2" t="str">
        <f>IF(RIGHT(G3,1)="0",LEFT(G3,5)," ")</f>
        <v>P1100</v>
      </c>
      <c r="I3" s="7" t="s">
        <v>211</v>
      </c>
    </row>
    <row r="4" spans="1:9" x14ac:dyDescent="0.3">
      <c r="A4" s="2">
        <v>66</v>
      </c>
      <c r="B4" s="2" t="str">
        <f t="shared" ref="B4:B67" si="0">"P"&amp;DEC2HEX(A4+65536-$A$3, 5)</f>
        <v>P10001</v>
      </c>
      <c r="C4" s="2" t="str">
        <f t="shared" ref="C4:C67" si="1">IF(RIGHT(B4,1)="0",LEFT(B4,5)," ")</f>
        <v xml:space="preserve"> </v>
      </c>
      <c r="D4" s="7" t="s">
        <v>199</v>
      </c>
      <c r="F4" s="2">
        <v>1066</v>
      </c>
      <c r="G4" s="2" t="str">
        <f t="shared" ref="G4:G67" si="2">"P"&amp;DEC2HEX(F4+65536+4096-$F$3, 5)</f>
        <v>P11001</v>
      </c>
      <c r="H4" s="2" t="str">
        <f t="shared" ref="H4:H67" si="3">IF(RIGHT(G4,1)="0",LEFT(G4,5)," ")</f>
        <v xml:space="preserve"> </v>
      </c>
      <c r="I4" s="7" t="s">
        <v>212</v>
      </c>
    </row>
    <row r="5" spans="1:9" x14ac:dyDescent="0.3">
      <c r="A5" s="2">
        <v>67</v>
      </c>
      <c r="B5" s="2" t="str">
        <f t="shared" si="0"/>
        <v>P10002</v>
      </c>
      <c r="C5" s="2" t="str">
        <f t="shared" si="1"/>
        <v xml:space="preserve"> </v>
      </c>
      <c r="D5" s="7" t="s">
        <v>200</v>
      </c>
      <c r="F5" s="2">
        <v>1067</v>
      </c>
      <c r="G5" s="2" t="str">
        <f t="shared" si="2"/>
        <v>P11002</v>
      </c>
      <c r="H5" s="2" t="str">
        <f t="shared" si="3"/>
        <v xml:space="preserve"> </v>
      </c>
      <c r="I5" s="7" t="s">
        <v>213</v>
      </c>
    </row>
    <row r="6" spans="1:9" x14ac:dyDescent="0.3">
      <c r="A6" s="2">
        <v>68</v>
      </c>
      <c r="B6" s="2" t="str">
        <f t="shared" si="0"/>
        <v>P10003</v>
      </c>
      <c r="C6" s="2" t="str">
        <f t="shared" si="1"/>
        <v xml:space="preserve"> </v>
      </c>
      <c r="D6" s="7" t="s">
        <v>201</v>
      </c>
      <c r="F6" s="2">
        <v>1068</v>
      </c>
      <c r="G6" s="2" t="str">
        <f t="shared" si="2"/>
        <v>P11003</v>
      </c>
      <c r="H6" s="2" t="str">
        <f t="shared" si="3"/>
        <v xml:space="preserve"> </v>
      </c>
      <c r="I6" s="7" t="s">
        <v>214</v>
      </c>
    </row>
    <row r="7" spans="1:9" x14ac:dyDescent="0.3">
      <c r="A7" s="2">
        <v>69</v>
      </c>
      <c r="B7" s="2" t="str">
        <f t="shared" si="0"/>
        <v>P10004</v>
      </c>
      <c r="C7" s="2" t="str">
        <f t="shared" si="1"/>
        <v xml:space="preserve"> </v>
      </c>
      <c r="D7" s="7" t="s">
        <v>202</v>
      </c>
      <c r="F7" s="2">
        <v>1069</v>
      </c>
      <c r="G7" s="2" t="str">
        <f t="shared" si="2"/>
        <v>P11004</v>
      </c>
      <c r="H7" s="2" t="str">
        <f t="shared" si="3"/>
        <v xml:space="preserve"> </v>
      </c>
      <c r="I7" s="7" t="s">
        <v>215</v>
      </c>
    </row>
    <row r="8" spans="1:9" x14ac:dyDescent="0.3">
      <c r="A8" s="2">
        <v>70</v>
      </c>
      <c r="B8" s="2" t="str">
        <f t="shared" si="0"/>
        <v>P10005</v>
      </c>
      <c r="C8" s="2" t="str">
        <f t="shared" si="1"/>
        <v xml:space="preserve"> </v>
      </c>
      <c r="D8" s="7" t="s">
        <v>203</v>
      </c>
      <c r="F8" s="2">
        <v>1070</v>
      </c>
      <c r="G8" s="2" t="str">
        <f t="shared" si="2"/>
        <v>P11005</v>
      </c>
      <c r="H8" s="2" t="str">
        <f t="shared" si="3"/>
        <v xml:space="preserve"> </v>
      </c>
      <c r="I8" s="7" t="s">
        <v>216</v>
      </c>
    </row>
    <row r="9" spans="1:9" x14ac:dyDescent="0.3">
      <c r="A9" s="2">
        <v>71</v>
      </c>
      <c r="B9" s="2" t="str">
        <f t="shared" si="0"/>
        <v>P10006</v>
      </c>
      <c r="C9" s="2" t="str">
        <f t="shared" si="1"/>
        <v xml:space="preserve"> </v>
      </c>
      <c r="D9" s="7" t="s">
        <v>204</v>
      </c>
      <c r="F9" s="2">
        <v>1071</v>
      </c>
      <c r="G9" s="2" t="str">
        <f t="shared" si="2"/>
        <v>P11006</v>
      </c>
      <c r="H9" s="2" t="str">
        <f t="shared" si="3"/>
        <v xml:space="preserve"> </v>
      </c>
      <c r="I9" s="7" t="s">
        <v>295</v>
      </c>
    </row>
    <row r="10" spans="1:9" x14ac:dyDescent="0.3">
      <c r="A10" s="2">
        <v>72</v>
      </c>
      <c r="B10" s="2" t="str">
        <f t="shared" si="0"/>
        <v>P10007</v>
      </c>
      <c r="C10" s="2" t="str">
        <f t="shared" si="1"/>
        <v xml:space="preserve"> </v>
      </c>
      <c r="D10" s="7" t="s">
        <v>205</v>
      </c>
      <c r="F10" s="2">
        <v>1072</v>
      </c>
      <c r="G10" s="2" t="str">
        <f t="shared" si="2"/>
        <v>P11007</v>
      </c>
      <c r="H10" s="2" t="str">
        <f t="shared" si="3"/>
        <v xml:space="preserve"> </v>
      </c>
      <c r="I10" s="7"/>
    </row>
    <row r="11" spans="1:9" x14ac:dyDescent="0.3">
      <c r="A11" s="2">
        <v>73</v>
      </c>
      <c r="B11" s="2" t="str">
        <f t="shared" si="0"/>
        <v>P10008</v>
      </c>
      <c r="C11" s="2" t="str">
        <f t="shared" si="1"/>
        <v xml:space="preserve"> </v>
      </c>
      <c r="D11" s="7" t="s">
        <v>206</v>
      </c>
      <c r="F11" s="2">
        <v>1073</v>
      </c>
      <c r="G11" s="2" t="str">
        <f t="shared" si="2"/>
        <v>P11008</v>
      </c>
      <c r="H11" s="2" t="str">
        <f t="shared" si="3"/>
        <v xml:space="preserve"> </v>
      </c>
      <c r="I11" s="7"/>
    </row>
    <row r="12" spans="1:9" x14ac:dyDescent="0.3">
      <c r="A12" s="2">
        <v>74</v>
      </c>
      <c r="B12" s="2" t="str">
        <f t="shared" si="0"/>
        <v>P10009</v>
      </c>
      <c r="C12" s="2" t="str">
        <f t="shared" si="1"/>
        <v xml:space="preserve"> </v>
      </c>
      <c r="D12" s="7" t="s">
        <v>207</v>
      </c>
      <c r="F12" s="2">
        <v>1074</v>
      </c>
      <c r="G12" s="2" t="str">
        <f t="shared" si="2"/>
        <v>P11009</v>
      </c>
      <c r="H12" s="2" t="str">
        <f t="shared" si="3"/>
        <v xml:space="preserve"> </v>
      </c>
      <c r="I12" s="7"/>
    </row>
    <row r="13" spans="1:9" x14ac:dyDescent="0.3">
      <c r="A13" s="2">
        <v>75</v>
      </c>
      <c r="B13" s="2" t="str">
        <f t="shared" si="0"/>
        <v>P1000A</v>
      </c>
      <c r="C13" s="2" t="str">
        <f t="shared" si="1"/>
        <v xml:space="preserve"> </v>
      </c>
      <c r="D13" s="7" t="s">
        <v>208</v>
      </c>
      <c r="F13" s="2">
        <v>1075</v>
      </c>
      <c r="G13" s="2" t="str">
        <f t="shared" si="2"/>
        <v>P1100A</v>
      </c>
      <c r="H13" s="2" t="str">
        <f t="shared" si="3"/>
        <v xml:space="preserve"> </v>
      </c>
      <c r="I13" s="7"/>
    </row>
    <row r="14" spans="1:9" x14ac:dyDescent="0.3">
      <c r="A14" s="2">
        <v>76</v>
      </c>
      <c r="B14" s="2" t="str">
        <f t="shared" si="0"/>
        <v>P1000B</v>
      </c>
      <c r="C14" s="2" t="str">
        <f t="shared" si="1"/>
        <v xml:space="preserve"> </v>
      </c>
      <c r="D14" s="7" t="s">
        <v>209</v>
      </c>
      <c r="F14" s="2">
        <v>1076</v>
      </c>
      <c r="G14" s="2" t="str">
        <f t="shared" si="2"/>
        <v>P1100B</v>
      </c>
      <c r="H14" s="2" t="str">
        <f t="shared" si="3"/>
        <v xml:space="preserve"> </v>
      </c>
      <c r="I14" s="7"/>
    </row>
    <row r="15" spans="1:9" x14ac:dyDescent="0.3">
      <c r="A15" s="2">
        <v>77</v>
      </c>
      <c r="B15" s="2" t="str">
        <f t="shared" si="0"/>
        <v>P1000C</v>
      </c>
      <c r="C15" s="2" t="str">
        <f t="shared" si="1"/>
        <v xml:space="preserve"> </v>
      </c>
      <c r="D15" s="7" t="s">
        <v>210</v>
      </c>
      <c r="F15" s="2">
        <v>1077</v>
      </c>
      <c r="G15" s="2" t="str">
        <f t="shared" si="2"/>
        <v>P1100C</v>
      </c>
      <c r="H15" s="2" t="str">
        <f t="shared" si="3"/>
        <v xml:space="preserve"> </v>
      </c>
      <c r="I15" s="7"/>
    </row>
    <row r="16" spans="1:9" x14ac:dyDescent="0.3">
      <c r="A16" s="2">
        <v>78</v>
      </c>
      <c r="B16" s="2" t="str">
        <f t="shared" si="0"/>
        <v>P1000D</v>
      </c>
      <c r="C16" s="2" t="str">
        <f t="shared" si="1"/>
        <v xml:space="preserve"> </v>
      </c>
      <c r="D16" s="7" t="s">
        <v>343</v>
      </c>
      <c r="F16" s="2">
        <v>1078</v>
      </c>
      <c r="G16" s="2" t="str">
        <f t="shared" si="2"/>
        <v>P1100D</v>
      </c>
      <c r="H16" s="2" t="str">
        <f t="shared" si="3"/>
        <v xml:space="preserve"> </v>
      </c>
      <c r="I16" s="7"/>
    </row>
    <row r="17" spans="1:9" x14ac:dyDescent="0.3">
      <c r="A17" s="2">
        <v>79</v>
      </c>
      <c r="B17" s="2" t="str">
        <f t="shared" si="0"/>
        <v>P1000E</v>
      </c>
      <c r="C17" s="2" t="str">
        <f t="shared" si="1"/>
        <v xml:space="preserve"> </v>
      </c>
      <c r="F17" s="2">
        <v>1079</v>
      </c>
      <c r="G17" s="2" t="str">
        <f t="shared" si="2"/>
        <v>P1100E</v>
      </c>
      <c r="H17" s="2" t="str">
        <f t="shared" si="3"/>
        <v xml:space="preserve"> </v>
      </c>
      <c r="I17" s="7"/>
    </row>
    <row r="18" spans="1:9" x14ac:dyDescent="0.3">
      <c r="A18" s="2">
        <v>80</v>
      </c>
      <c r="B18" s="2" t="str">
        <f t="shared" si="0"/>
        <v>P1000F</v>
      </c>
      <c r="C18" s="2" t="str">
        <f t="shared" si="1"/>
        <v xml:space="preserve"> </v>
      </c>
      <c r="F18" s="2">
        <v>1080</v>
      </c>
      <c r="G18" s="2" t="str">
        <f t="shared" si="2"/>
        <v>P1100F</v>
      </c>
      <c r="H18" s="2" t="str">
        <f t="shared" si="3"/>
        <v xml:space="preserve"> </v>
      </c>
      <c r="I18" s="7"/>
    </row>
    <row r="19" spans="1:9" x14ac:dyDescent="0.3">
      <c r="A19" s="2">
        <v>81</v>
      </c>
      <c r="B19" s="2" t="str">
        <f t="shared" si="0"/>
        <v>P10010</v>
      </c>
      <c r="C19" s="2" t="str">
        <f t="shared" si="1"/>
        <v>P1001</v>
      </c>
      <c r="D19" s="7" t="s">
        <v>351</v>
      </c>
      <c r="F19" s="2">
        <v>1081</v>
      </c>
      <c r="G19" s="2" t="str">
        <f t="shared" si="2"/>
        <v>P11010</v>
      </c>
      <c r="H19" s="2" t="str">
        <f t="shared" si="3"/>
        <v>P1101</v>
      </c>
      <c r="I19" s="7" t="s">
        <v>361</v>
      </c>
    </row>
    <row r="20" spans="1:9" x14ac:dyDescent="0.3">
      <c r="A20" s="2">
        <v>82</v>
      </c>
      <c r="B20" s="2" t="str">
        <f t="shared" si="0"/>
        <v>P10011</v>
      </c>
      <c r="C20" s="2" t="str">
        <f t="shared" si="1"/>
        <v xml:space="preserve"> </v>
      </c>
      <c r="D20" s="7" t="s">
        <v>352</v>
      </c>
      <c r="F20" s="2">
        <v>1082</v>
      </c>
      <c r="G20" s="2" t="str">
        <f t="shared" si="2"/>
        <v>P11011</v>
      </c>
      <c r="H20" s="2" t="str">
        <f t="shared" si="3"/>
        <v xml:space="preserve"> </v>
      </c>
      <c r="I20" s="7" t="s">
        <v>362</v>
      </c>
    </row>
    <row r="21" spans="1:9" x14ac:dyDescent="0.3">
      <c r="A21" s="2">
        <v>83</v>
      </c>
      <c r="B21" s="2" t="str">
        <f>"P"&amp;DEC2HEX(A21+65536-$A$3, 5)</f>
        <v>P10012</v>
      </c>
      <c r="C21" s="2" t="str">
        <f t="shared" si="1"/>
        <v xml:space="preserve"> </v>
      </c>
      <c r="D21" s="7" t="s">
        <v>353</v>
      </c>
      <c r="F21" s="2">
        <v>1083</v>
      </c>
      <c r="G21" s="2" t="str">
        <f t="shared" si="2"/>
        <v>P11012</v>
      </c>
      <c r="H21" s="2" t="str">
        <f t="shared" si="3"/>
        <v xml:space="preserve"> </v>
      </c>
      <c r="I21" s="7"/>
    </row>
    <row r="22" spans="1:9" x14ac:dyDescent="0.3">
      <c r="A22" s="2">
        <v>84</v>
      </c>
      <c r="B22" s="2" t="str">
        <f t="shared" si="0"/>
        <v>P10013</v>
      </c>
      <c r="C22" s="2" t="str">
        <f t="shared" si="1"/>
        <v xml:space="preserve"> </v>
      </c>
      <c r="D22" s="7" t="s">
        <v>354</v>
      </c>
      <c r="F22" s="2">
        <v>1084</v>
      </c>
      <c r="G22" s="2" t="str">
        <f t="shared" si="2"/>
        <v>P11013</v>
      </c>
      <c r="H22" s="2" t="str">
        <f t="shared" si="3"/>
        <v xml:space="preserve"> </v>
      </c>
      <c r="I22" s="7" t="s">
        <v>363</v>
      </c>
    </row>
    <row r="23" spans="1:9" x14ac:dyDescent="0.3">
      <c r="A23" s="2">
        <v>85</v>
      </c>
      <c r="B23" s="2" t="str">
        <f t="shared" si="0"/>
        <v>P10014</v>
      </c>
      <c r="C23" s="2" t="str">
        <f t="shared" si="1"/>
        <v xml:space="preserve"> </v>
      </c>
      <c r="D23" s="7" t="s">
        <v>355</v>
      </c>
      <c r="F23" s="2">
        <v>1085</v>
      </c>
      <c r="G23" s="2" t="str">
        <f t="shared" si="2"/>
        <v>P11014</v>
      </c>
      <c r="H23" s="2" t="str">
        <f t="shared" si="3"/>
        <v xml:space="preserve"> </v>
      </c>
      <c r="I23" s="7"/>
    </row>
    <row r="24" spans="1:9" x14ac:dyDescent="0.3">
      <c r="A24" s="2">
        <v>86</v>
      </c>
      <c r="B24" s="2" t="str">
        <f t="shared" si="0"/>
        <v>P10015</v>
      </c>
      <c r="C24" s="2" t="str">
        <f t="shared" si="1"/>
        <v xml:space="preserve"> </v>
      </c>
      <c r="F24" s="2">
        <v>1086</v>
      </c>
      <c r="G24" s="2" t="str">
        <f t="shared" si="2"/>
        <v>P11015</v>
      </c>
      <c r="H24" s="2" t="str">
        <f t="shared" si="3"/>
        <v xml:space="preserve"> </v>
      </c>
      <c r="I24" s="7"/>
    </row>
    <row r="25" spans="1:9" x14ac:dyDescent="0.3">
      <c r="A25" s="2">
        <v>87</v>
      </c>
      <c r="B25" s="2" t="str">
        <f t="shared" si="0"/>
        <v>P10016</v>
      </c>
      <c r="C25" s="2" t="str">
        <f t="shared" si="1"/>
        <v xml:space="preserve"> </v>
      </c>
      <c r="F25" s="2">
        <v>1087</v>
      </c>
      <c r="G25" s="2" t="str">
        <f t="shared" si="2"/>
        <v>P11016</v>
      </c>
      <c r="H25" s="2" t="str">
        <f t="shared" si="3"/>
        <v xml:space="preserve"> </v>
      </c>
      <c r="I25" s="7"/>
    </row>
    <row r="26" spans="1:9" x14ac:dyDescent="0.3">
      <c r="A26" s="2">
        <v>88</v>
      </c>
      <c r="B26" s="2" t="str">
        <f t="shared" si="0"/>
        <v>P10017</v>
      </c>
      <c r="C26" s="2" t="str">
        <f t="shared" si="1"/>
        <v xml:space="preserve"> </v>
      </c>
      <c r="F26" s="2">
        <v>1088</v>
      </c>
      <c r="G26" s="2" t="str">
        <f t="shared" si="2"/>
        <v>P11017</v>
      </c>
      <c r="H26" s="2" t="str">
        <f t="shared" si="3"/>
        <v xml:space="preserve"> </v>
      </c>
      <c r="I26" s="7"/>
    </row>
    <row r="27" spans="1:9" x14ac:dyDescent="0.3">
      <c r="A27" s="2">
        <v>89</v>
      </c>
      <c r="B27" s="2" t="str">
        <f t="shared" si="0"/>
        <v>P10018</v>
      </c>
      <c r="C27" s="2" t="str">
        <f t="shared" si="1"/>
        <v xml:space="preserve"> </v>
      </c>
      <c r="D27" s="7" t="s">
        <v>356</v>
      </c>
      <c r="F27" s="2">
        <v>1089</v>
      </c>
      <c r="G27" s="2" t="str">
        <f t="shared" si="2"/>
        <v>P11018</v>
      </c>
      <c r="H27" s="2" t="str">
        <f t="shared" si="3"/>
        <v xml:space="preserve"> </v>
      </c>
      <c r="I27" s="7" t="s">
        <v>364</v>
      </c>
    </row>
    <row r="28" spans="1:9" x14ac:dyDescent="0.3">
      <c r="A28" s="2">
        <v>90</v>
      </c>
      <c r="B28" s="2" t="str">
        <f t="shared" si="0"/>
        <v>P10019</v>
      </c>
      <c r="C28" s="2" t="str">
        <f t="shared" si="1"/>
        <v xml:space="preserve"> </v>
      </c>
      <c r="D28" s="7" t="s">
        <v>357</v>
      </c>
      <c r="F28" s="2">
        <v>1090</v>
      </c>
      <c r="G28" s="2" t="str">
        <f t="shared" si="2"/>
        <v>P11019</v>
      </c>
      <c r="H28" s="2" t="str">
        <f t="shared" si="3"/>
        <v xml:space="preserve"> </v>
      </c>
      <c r="I28" s="7" t="s">
        <v>365</v>
      </c>
    </row>
    <row r="29" spans="1:9" x14ac:dyDescent="0.3">
      <c r="A29" s="2">
        <v>91</v>
      </c>
      <c r="B29" s="2" t="str">
        <f t="shared" si="0"/>
        <v>P1001A</v>
      </c>
      <c r="C29" s="2" t="str">
        <f t="shared" si="1"/>
        <v xml:space="preserve"> </v>
      </c>
      <c r="D29" s="7" t="s">
        <v>358</v>
      </c>
      <c r="F29" s="2">
        <v>1091</v>
      </c>
      <c r="G29" s="2" t="str">
        <f t="shared" si="2"/>
        <v>P1101A</v>
      </c>
      <c r="H29" s="2" t="str">
        <f t="shared" si="3"/>
        <v xml:space="preserve"> </v>
      </c>
      <c r="I29" s="7"/>
    </row>
    <row r="30" spans="1:9" x14ac:dyDescent="0.3">
      <c r="A30" s="2">
        <v>92</v>
      </c>
      <c r="B30" s="2" t="str">
        <f t="shared" si="0"/>
        <v>P1001B</v>
      </c>
      <c r="C30" s="2" t="str">
        <f t="shared" si="1"/>
        <v xml:space="preserve"> </v>
      </c>
      <c r="D30" s="7" t="s">
        <v>359</v>
      </c>
      <c r="F30" s="2">
        <v>1092</v>
      </c>
      <c r="G30" s="2" t="str">
        <f t="shared" si="2"/>
        <v>P1101B</v>
      </c>
      <c r="H30" s="2" t="str">
        <f t="shared" si="3"/>
        <v xml:space="preserve"> </v>
      </c>
      <c r="I30" s="7" t="s">
        <v>366</v>
      </c>
    </row>
    <row r="31" spans="1:9" x14ac:dyDescent="0.3">
      <c r="A31" s="2">
        <v>93</v>
      </c>
      <c r="B31" s="2" t="str">
        <f>"P"&amp;DEC2HEX(A31+65536-$A$3, 5)</f>
        <v>P1001C</v>
      </c>
      <c r="C31" s="2" t="str">
        <f t="shared" si="1"/>
        <v xml:space="preserve"> </v>
      </c>
      <c r="D31" s="7" t="s">
        <v>360</v>
      </c>
      <c r="F31" s="2">
        <v>1093</v>
      </c>
      <c r="G31" s="2" t="str">
        <f t="shared" si="2"/>
        <v>P1101C</v>
      </c>
      <c r="H31" s="2" t="str">
        <f t="shared" si="3"/>
        <v xml:space="preserve"> </v>
      </c>
      <c r="I31" s="7"/>
    </row>
    <row r="32" spans="1:9" x14ac:dyDescent="0.3">
      <c r="A32" s="2">
        <v>94</v>
      </c>
      <c r="B32" s="2" t="str">
        <f t="shared" si="0"/>
        <v>P1001D</v>
      </c>
      <c r="C32" s="2" t="str">
        <f t="shared" si="1"/>
        <v xml:space="preserve"> </v>
      </c>
      <c r="F32" s="2">
        <v>1094</v>
      </c>
      <c r="G32" s="2" t="str">
        <f t="shared" si="2"/>
        <v>P1101D</v>
      </c>
      <c r="H32" s="2" t="str">
        <f t="shared" si="3"/>
        <v xml:space="preserve"> </v>
      </c>
      <c r="I32" s="7"/>
    </row>
    <row r="33" spans="1:9" x14ac:dyDescent="0.3">
      <c r="A33" s="2">
        <v>95</v>
      </c>
      <c r="B33" s="2" t="str">
        <f t="shared" si="0"/>
        <v>P1001E</v>
      </c>
      <c r="C33" s="2" t="str">
        <f t="shared" si="1"/>
        <v xml:space="preserve"> </v>
      </c>
      <c r="F33" s="2">
        <v>1095</v>
      </c>
      <c r="G33" s="2" t="str">
        <f t="shared" si="2"/>
        <v>P1101E</v>
      </c>
      <c r="H33" s="2" t="str">
        <f t="shared" si="3"/>
        <v xml:space="preserve"> </v>
      </c>
      <c r="I33" s="7"/>
    </row>
    <row r="34" spans="1:9" x14ac:dyDescent="0.3">
      <c r="A34" s="2">
        <v>96</v>
      </c>
      <c r="B34" s="2" t="str">
        <f t="shared" si="0"/>
        <v>P1001F</v>
      </c>
      <c r="C34" s="2" t="str">
        <f t="shared" si="1"/>
        <v xml:space="preserve"> </v>
      </c>
      <c r="F34" s="2">
        <v>1096</v>
      </c>
      <c r="G34" s="2" t="str">
        <f t="shared" si="2"/>
        <v>P1101F</v>
      </c>
      <c r="H34" s="2" t="str">
        <f t="shared" si="3"/>
        <v xml:space="preserve"> </v>
      </c>
      <c r="I34" s="7"/>
    </row>
    <row r="35" spans="1:9" x14ac:dyDescent="0.3">
      <c r="A35" s="2">
        <v>97</v>
      </c>
      <c r="B35" s="2" t="str">
        <f t="shared" si="0"/>
        <v>P10020</v>
      </c>
      <c r="C35" s="2" t="str">
        <f t="shared" si="1"/>
        <v>P1002</v>
      </c>
      <c r="D35" s="7" t="s">
        <v>180</v>
      </c>
      <c r="F35" s="2">
        <v>1097</v>
      </c>
      <c r="G35" s="2" t="str">
        <f t="shared" si="2"/>
        <v>P11020</v>
      </c>
      <c r="H35" s="2" t="str">
        <f t="shared" si="3"/>
        <v>P1102</v>
      </c>
      <c r="I35" s="7" t="s">
        <v>124</v>
      </c>
    </row>
    <row r="36" spans="1:9" x14ac:dyDescent="0.3">
      <c r="A36" s="2">
        <v>98</v>
      </c>
      <c r="B36" s="2" t="str">
        <f t="shared" si="0"/>
        <v>P10021</v>
      </c>
      <c r="C36" s="2" t="str">
        <f t="shared" si="1"/>
        <v xml:space="preserve"> </v>
      </c>
      <c r="D36" s="7" t="s">
        <v>181</v>
      </c>
      <c r="F36" s="2">
        <v>1098</v>
      </c>
      <c r="G36" s="2" t="str">
        <f t="shared" si="2"/>
        <v>P11021</v>
      </c>
      <c r="H36" s="2" t="str">
        <f t="shared" si="3"/>
        <v xml:space="preserve"> </v>
      </c>
      <c r="I36" s="7" t="s">
        <v>125</v>
      </c>
    </row>
    <row r="37" spans="1:9" x14ac:dyDescent="0.3">
      <c r="A37" s="2">
        <v>99</v>
      </c>
      <c r="B37" s="2" t="str">
        <f t="shared" si="0"/>
        <v>P10022</v>
      </c>
      <c r="C37" s="2" t="str">
        <f t="shared" si="1"/>
        <v xml:space="preserve"> </v>
      </c>
      <c r="D37" s="7" t="s">
        <v>367</v>
      </c>
      <c r="F37" s="2">
        <v>1099</v>
      </c>
      <c r="G37" s="2" t="str">
        <f t="shared" si="2"/>
        <v>P11022</v>
      </c>
      <c r="H37" s="2" t="str">
        <f t="shared" si="3"/>
        <v xml:space="preserve"> </v>
      </c>
      <c r="I37" s="7" t="s">
        <v>126</v>
      </c>
    </row>
    <row r="38" spans="1:9" x14ac:dyDescent="0.3">
      <c r="A38" s="2">
        <v>100</v>
      </c>
      <c r="B38" s="2" t="str">
        <f t="shared" si="0"/>
        <v>P10023</v>
      </c>
      <c r="C38" s="2" t="str">
        <f t="shared" si="1"/>
        <v xml:space="preserve"> </v>
      </c>
      <c r="D38" s="7" t="s">
        <v>368</v>
      </c>
      <c r="F38" s="2">
        <v>1100</v>
      </c>
      <c r="G38" s="2" t="str">
        <f t="shared" si="2"/>
        <v>P11023</v>
      </c>
      <c r="H38" s="2" t="str">
        <f t="shared" si="3"/>
        <v xml:space="preserve"> </v>
      </c>
      <c r="I38" s="7" t="s">
        <v>127</v>
      </c>
    </row>
    <row r="39" spans="1:9" x14ac:dyDescent="0.3">
      <c r="A39" s="2">
        <v>101</v>
      </c>
      <c r="B39" s="2" t="str">
        <f t="shared" si="0"/>
        <v>P10024</v>
      </c>
      <c r="C39" s="2" t="str">
        <f t="shared" si="1"/>
        <v xml:space="preserve"> </v>
      </c>
      <c r="D39" s="7" t="s">
        <v>369</v>
      </c>
      <c r="F39" s="2">
        <v>1101</v>
      </c>
      <c r="G39" s="2" t="str">
        <f t="shared" si="2"/>
        <v>P11024</v>
      </c>
      <c r="H39" s="2" t="str">
        <f t="shared" si="3"/>
        <v xml:space="preserve"> </v>
      </c>
      <c r="I39" s="7" t="s">
        <v>123</v>
      </c>
    </row>
    <row r="40" spans="1:9" x14ac:dyDescent="0.3">
      <c r="A40" s="2">
        <v>102</v>
      </c>
      <c r="B40" s="2" t="str">
        <f t="shared" si="0"/>
        <v>P10025</v>
      </c>
      <c r="C40" s="2" t="str">
        <f t="shared" si="1"/>
        <v xml:space="preserve"> </v>
      </c>
      <c r="F40" s="2">
        <v>1102</v>
      </c>
      <c r="G40" s="2" t="str">
        <f t="shared" si="2"/>
        <v>P11025</v>
      </c>
      <c r="H40" s="2" t="str">
        <f t="shared" si="3"/>
        <v xml:space="preserve"> </v>
      </c>
      <c r="I40" s="7"/>
    </row>
    <row r="41" spans="1:9" x14ac:dyDescent="0.3">
      <c r="A41" s="2">
        <v>103</v>
      </c>
      <c r="B41" s="2" t="str">
        <f t="shared" si="0"/>
        <v>P10026</v>
      </c>
      <c r="C41" s="2" t="str">
        <f t="shared" si="1"/>
        <v xml:space="preserve"> </v>
      </c>
      <c r="F41" s="2">
        <v>1103</v>
      </c>
      <c r="G41" s="2" t="str">
        <f t="shared" si="2"/>
        <v>P11026</v>
      </c>
      <c r="H41" s="2" t="str">
        <f t="shared" si="3"/>
        <v xml:space="preserve"> </v>
      </c>
      <c r="I41" s="7"/>
    </row>
    <row r="42" spans="1:9" x14ac:dyDescent="0.3">
      <c r="A42" s="2">
        <v>104</v>
      </c>
      <c r="B42" s="2" t="str">
        <f t="shared" si="0"/>
        <v>P10027</v>
      </c>
      <c r="C42" s="2" t="str">
        <f t="shared" si="1"/>
        <v xml:space="preserve"> </v>
      </c>
      <c r="F42" s="2">
        <v>1104</v>
      </c>
      <c r="G42" s="2" t="str">
        <f t="shared" si="2"/>
        <v>P11027</v>
      </c>
      <c r="H42" s="2" t="str">
        <f t="shared" si="3"/>
        <v xml:space="preserve"> </v>
      </c>
      <c r="I42" s="7"/>
    </row>
    <row r="43" spans="1:9" x14ac:dyDescent="0.3">
      <c r="A43" s="2">
        <v>105</v>
      </c>
      <c r="B43" s="2" t="str">
        <f t="shared" si="0"/>
        <v>P10028</v>
      </c>
      <c r="C43" s="2" t="str">
        <f t="shared" si="1"/>
        <v xml:space="preserve"> </v>
      </c>
      <c r="D43" s="7" t="s">
        <v>436</v>
      </c>
      <c r="F43" s="2">
        <v>1105</v>
      </c>
      <c r="G43" s="2" t="str">
        <f t="shared" si="2"/>
        <v>P11028</v>
      </c>
      <c r="H43" s="2" t="str">
        <f t="shared" si="3"/>
        <v xml:space="preserve"> </v>
      </c>
      <c r="I43" s="7"/>
    </row>
    <row r="44" spans="1:9" x14ac:dyDescent="0.3">
      <c r="A44" s="2">
        <v>106</v>
      </c>
      <c r="B44" s="2" t="str">
        <f t="shared" si="0"/>
        <v>P10029</v>
      </c>
      <c r="C44" s="2" t="str">
        <f t="shared" si="1"/>
        <v xml:space="preserve"> </v>
      </c>
      <c r="F44" s="2">
        <v>1106</v>
      </c>
      <c r="G44" s="2" t="str">
        <f t="shared" si="2"/>
        <v>P11029</v>
      </c>
      <c r="H44" s="2" t="str">
        <f t="shared" si="3"/>
        <v xml:space="preserve"> </v>
      </c>
      <c r="I44" s="7"/>
    </row>
    <row r="45" spans="1:9" x14ac:dyDescent="0.3">
      <c r="A45" s="2">
        <v>107</v>
      </c>
      <c r="B45" s="2" t="str">
        <f t="shared" si="0"/>
        <v>P1002A</v>
      </c>
      <c r="C45" s="2" t="str">
        <f t="shared" si="1"/>
        <v xml:space="preserve"> </v>
      </c>
      <c r="F45" s="2">
        <v>1107</v>
      </c>
      <c r="G45" s="2" t="str">
        <f t="shared" si="2"/>
        <v>P1102A</v>
      </c>
      <c r="H45" s="2" t="str">
        <f t="shared" si="3"/>
        <v xml:space="preserve"> </v>
      </c>
      <c r="I45" s="7"/>
    </row>
    <row r="46" spans="1:9" x14ac:dyDescent="0.3">
      <c r="A46" s="2">
        <v>108</v>
      </c>
      <c r="B46" s="2" t="str">
        <f t="shared" si="0"/>
        <v>P1002B</v>
      </c>
      <c r="C46" s="2" t="str">
        <f t="shared" si="1"/>
        <v xml:space="preserve"> </v>
      </c>
      <c r="F46" s="2">
        <v>1108</v>
      </c>
      <c r="G46" s="2" t="str">
        <f t="shared" si="2"/>
        <v>P1102B</v>
      </c>
      <c r="H46" s="2" t="str">
        <f t="shared" si="3"/>
        <v xml:space="preserve"> </v>
      </c>
      <c r="I46" s="7"/>
    </row>
    <row r="47" spans="1:9" x14ac:dyDescent="0.3">
      <c r="A47" s="2">
        <v>109</v>
      </c>
      <c r="B47" s="2" t="str">
        <f t="shared" si="0"/>
        <v>P1002C</v>
      </c>
      <c r="C47" s="2" t="str">
        <f t="shared" si="1"/>
        <v xml:space="preserve"> </v>
      </c>
      <c r="D47" s="8"/>
      <c r="F47" s="2">
        <v>1109</v>
      </c>
      <c r="G47" s="2" t="str">
        <f t="shared" si="2"/>
        <v>P1102C</v>
      </c>
      <c r="H47" s="2" t="str">
        <f t="shared" si="3"/>
        <v xml:space="preserve"> </v>
      </c>
      <c r="I47" s="7"/>
    </row>
    <row r="48" spans="1:9" x14ac:dyDescent="0.3">
      <c r="A48" s="2">
        <v>110</v>
      </c>
      <c r="B48" s="2" t="str">
        <f t="shared" si="0"/>
        <v>P1002D</v>
      </c>
      <c r="C48" s="2" t="str">
        <f t="shared" si="1"/>
        <v xml:space="preserve"> </v>
      </c>
      <c r="D48" s="8"/>
      <c r="F48" s="2">
        <v>1110</v>
      </c>
      <c r="G48" s="2" t="str">
        <f t="shared" si="2"/>
        <v>P1102D</v>
      </c>
      <c r="H48" s="2" t="str">
        <f t="shared" si="3"/>
        <v xml:space="preserve"> </v>
      </c>
      <c r="I48" s="7"/>
    </row>
    <row r="49" spans="1:9" x14ac:dyDescent="0.3">
      <c r="A49" s="2">
        <v>111</v>
      </c>
      <c r="B49" s="2" t="str">
        <f>"P"&amp;DEC2HEX(A49+65536-$A$3, 5)</f>
        <v>P1002E</v>
      </c>
      <c r="C49" s="2" t="str">
        <f t="shared" si="1"/>
        <v xml:space="preserve"> </v>
      </c>
      <c r="D49" s="8"/>
      <c r="F49" s="2">
        <v>1111</v>
      </c>
      <c r="G49" s="2" t="str">
        <f t="shared" si="2"/>
        <v>P1102E</v>
      </c>
      <c r="H49" s="2" t="str">
        <f t="shared" si="3"/>
        <v xml:space="preserve"> </v>
      </c>
      <c r="I49" s="7"/>
    </row>
    <row r="50" spans="1:9" x14ac:dyDescent="0.3">
      <c r="A50" s="2">
        <v>112</v>
      </c>
      <c r="B50" s="2" t="str">
        <f t="shared" si="0"/>
        <v>P1002F</v>
      </c>
      <c r="C50" s="2" t="str">
        <f t="shared" si="1"/>
        <v xml:space="preserve"> </v>
      </c>
      <c r="D50" s="8"/>
      <c r="F50" s="2">
        <v>1112</v>
      </c>
      <c r="G50" s="2" t="str">
        <f t="shared" si="2"/>
        <v>P1102F</v>
      </c>
      <c r="H50" s="2" t="str">
        <f t="shared" si="3"/>
        <v xml:space="preserve"> </v>
      </c>
      <c r="I50" s="7"/>
    </row>
    <row r="51" spans="1:9" x14ac:dyDescent="0.3">
      <c r="A51" s="2">
        <v>113</v>
      </c>
      <c r="B51" s="2" t="str">
        <f t="shared" si="0"/>
        <v>P10030</v>
      </c>
      <c r="C51" s="2" t="str">
        <f t="shared" si="1"/>
        <v>P1003</v>
      </c>
      <c r="D51" s="7" t="s">
        <v>218</v>
      </c>
      <c r="F51" s="2">
        <v>1113</v>
      </c>
      <c r="G51" s="2" t="str">
        <f t="shared" si="2"/>
        <v>P11030</v>
      </c>
      <c r="H51" s="2" t="str">
        <f t="shared" si="3"/>
        <v>P1103</v>
      </c>
      <c r="I51" s="7" t="s">
        <v>219</v>
      </c>
    </row>
    <row r="52" spans="1:9" x14ac:dyDescent="0.3">
      <c r="A52" s="2">
        <v>114</v>
      </c>
      <c r="B52" s="2" t="str">
        <f t="shared" si="0"/>
        <v>P10031</v>
      </c>
      <c r="C52" s="2" t="str">
        <f t="shared" si="1"/>
        <v xml:space="preserve"> </v>
      </c>
      <c r="D52" s="7" t="s">
        <v>220</v>
      </c>
      <c r="F52" s="2">
        <v>1114</v>
      </c>
      <c r="G52" s="2" t="str">
        <f t="shared" si="2"/>
        <v>P11031</v>
      </c>
      <c r="I52" s="7" t="s">
        <v>249</v>
      </c>
    </row>
    <row r="53" spans="1:9" x14ac:dyDescent="0.3">
      <c r="A53" s="2">
        <v>115</v>
      </c>
      <c r="B53" s="2" t="str">
        <f t="shared" si="0"/>
        <v>P10032</v>
      </c>
      <c r="C53" s="2" t="str">
        <f t="shared" si="1"/>
        <v xml:space="preserve"> </v>
      </c>
      <c r="D53" s="7" t="s">
        <v>244</v>
      </c>
      <c r="F53" s="2">
        <v>1115</v>
      </c>
      <c r="G53" s="2" t="str">
        <f t="shared" si="2"/>
        <v>P11032</v>
      </c>
      <c r="H53" s="2" t="str">
        <f t="shared" si="3"/>
        <v xml:space="preserve"> </v>
      </c>
      <c r="I53" s="7"/>
    </row>
    <row r="54" spans="1:9" x14ac:dyDescent="0.3">
      <c r="A54" s="2">
        <v>116</v>
      </c>
      <c r="B54" s="2" t="str">
        <f t="shared" si="0"/>
        <v>P10033</v>
      </c>
      <c r="C54" s="2" t="str">
        <f t="shared" si="1"/>
        <v xml:space="preserve"> </v>
      </c>
      <c r="D54" s="7" t="s">
        <v>245</v>
      </c>
      <c r="F54" s="2">
        <v>1116</v>
      </c>
      <c r="G54" s="2" t="str">
        <f t="shared" si="2"/>
        <v>P11033</v>
      </c>
      <c r="H54" s="2" t="str">
        <f t="shared" si="3"/>
        <v xml:space="preserve"> </v>
      </c>
      <c r="I54" s="7"/>
    </row>
    <row r="55" spans="1:9" x14ac:dyDescent="0.3">
      <c r="A55" s="2">
        <v>117</v>
      </c>
      <c r="B55" s="2" t="str">
        <f t="shared" si="0"/>
        <v>P10034</v>
      </c>
      <c r="C55" s="2" t="str">
        <f t="shared" si="1"/>
        <v xml:space="preserve"> </v>
      </c>
      <c r="D55" s="7" t="s">
        <v>246</v>
      </c>
      <c r="F55" s="2">
        <v>1117</v>
      </c>
      <c r="G55" s="2" t="str">
        <f t="shared" si="2"/>
        <v>P11034</v>
      </c>
      <c r="H55" s="2" t="str">
        <f t="shared" si="3"/>
        <v xml:space="preserve"> </v>
      </c>
      <c r="I55" s="7" t="s">
        <v>344</v>
      </c>
    </row>
    <row r="56" spans="1:9" x14ac:dyDescent="0.3">
      <c r="A56" s="2">
        <v>118</v>
      </c>
      <c r="B56" s="2" t="str">
        <f>"P"&amp;DEC2HEX(A56+65536-$A$3, 5)</f>
        <v>P10035</v>
      </c>
      <c r="C56" s="2" t="str">
        <f t="shared" si="1"/>
        <v xml:space="preserve"> </v>
      </c>
      <c r="D56" s="7" t="s">
        <v>247</v>
      </c>
      <c r="F56" s="2">
        <v>1118</v>
      </c>
      <c r="G56" s="2" t="str">
        <f t="shared" si="2"/>
        <v>P11035</v>
      </c>
      <c r="H56" s="2" t="str">
        <f t="shared" si="3"/>
        <v xml:space="preserve"> </v>
      </c>
      <c r="I56" s="7" t="s">
        <v>345</v>
      </c>
    </row>
    <row r="57" spans="1:9" x14ac:dyDescent="0.3">
      <c r="A57" s="2">
        <v>119</v>
      </c>
      <c r="B57" s="2" t="str">
        <f t="shared" si="0"/>
        <v>P10036</v>
      </c>
      <c r="C57" s="2" t="str">
        <f t="shared" si="1"/>
        <v xml:space="preserve"> </v>
      </c>
      <c r="D57" s="7" t="s">
        <v>248</v>
      </c>
      <c r="F57" s="2">
        <v>1119</v>
      </c>
      <c r="G57" s="2" t="str">
        <f t="shared" si="2"/>
        <v>P11036</v>
      </c>
      <c r="H57" s="2" t="str">
        <f t="shared" si="3"/>
        <v xml:space="preserve"> </v>
      </c>
      <c r="I57" s="7" t="s">
        <v>346</v>
      </c>
    </row>
    <row r="58" spans="1:9" x14ac:dyDescent="0.3">
      <c r="A58" s="2">
        <v>120</v>
      </c>
      <c r="B58" s="2" t="str">
        <f t="shared" si="0"/>
        <v>P10037</v>
      </c>
      <c r="C58" s="2" t="str">
        <f t="shared" si="1"/>
        <v xml:space="preserve"> </v>
      </c>
      <c r="D58" s="7" t="s">
        <v>370</v>
      </c>
      <c r="F58" s="2">
        <v>1120</v>
      </c>
      <c r="G58" s="2" t="str">
        <f t="shared" si="2"/>
        <v>P11037</v>
      </c>
      <c r="H58" s="2" t="str">
        <f t="shared" si="3"/>
        <v xml:space="preserve"> </v>
      </c>
      <c r="I58" s="7"/>
    </row>
    <row r="59" spans="1:9" x14ac:dyDescent="0.3">
      <c r="A59" s="2">
        <v>121</v>
      </c>
      <c r="B59" s="2" t="str">
        <f t="shared" si="0"/>
        <v>P10038</v>
      </c>
      <c r="C59" s="2" t="str">
        <f t="shared" si="1"/>
        <v xml:space="preserve"> </v>
      </c>
      <c r="F59" s="2">
        <v>1121</v>
      </c>
      <c r="G59" s="2" t="str">
        <f t="shared" si="2"/>
        <v>P11038</v>
      </c>
      <c r="H59" s="2" t="str">
        <f t="shared" si="3"/>
        <v xml:space="preserve"> </v>
      </c>
      <c r="I59" s="7"/>
    </row>
    <row r="60" spans="1:9" x14ac:dyDescent="0.3">
      <c r="A60" s="2">
        <v>122</v>
      </c>
      <c r="B60" s="2" t="str">
        <f t="shared" si="0"/>
        <v>P10039</v>
      </c>
      <c r="C60" s="2" t="str">
        <f t="shared" si="1"/>
        <v xml:space="preserve"> </v>
      </c>
      <c r="F60" s="2">
        <v>1122</v>
      </c>
      <c r="G60" s="2" t="str">
        <f t="shared" si="2"/>
        <v>P11039</v>
      </c>
      <c r="H60" s="2" t="str">
        <f t="shared" si="3"/>
        <v xml:space="preserve"> </v>
      </c>
      <c r="I60" s="7"/>
    </row>
    <row r="61" spans="1:9" x14ac:dyDescent="0.3">
      <c r="A61" s="2">
        <v>123</v>
      </c>
      <c r="B61" s="2" t="str">
        <f t="shared" si="0"/>
        <v>P1003A</v>
      </c>
      <c r="C61" s="2" t="str">
        <f t="shared" si="1"/>
        <v xml:space="preserve"> </v>
      </c>
      <c r="F61" s="2">
        <v>1123</v>
      </c>
      <c r="G61" s="2" t="str">
        <f t="shared" si="2"/>
        <v>P1103A</v>
      </c>
      <c r="H61" s="2" t="str">
        <f t="shared" si="3"/>
        <v xml:space="preserve"> </v>
      </c>
      <c r="I61" s="7"/>
    </row>
    <row r="62" spans="1:9" x14ac:dyDescent="0.3">
      <c r="A62" s="2">
        <v>124</v>
      </c>
      <c r="B62" s="2" t="str">
        <f t="shared" si="0"/>
        <v>P1003B</v>
      </c>
      <c r="C62" s="2" t="str">
        <f t="shared" si="1"/>
        <v xml:space="preserve"> </v>
      </c>
      <c r="F62" s="2">
        <v>1124</v>
      </c>
      <c r="G62" s="2" t="str">
        <f t="shared" si="2"/>
        <v>P1103B</v>
      </c>
      <c r="H62" s="2" t="str">
        <f t="shared" si="3"/>
        <v xml:space="preserve"> </v>
      </c>
      <c r="I62" s="7"/>
    </row>
    <row r="63" spans="1:9" x14ac:dyDescent="0.3">
      <c r="A63" s="2">
        <v>125</v>
      </c>
      <c r="B63" s="2" t="str">
        <f t="shared" si="0"/>
        <v>P1003C</v>
      </c>
      <c r="C63" s="2" t="str">
        <f t="shared" si="1"/>
        <v xml:space="preserve"> </v>
      </c>
      <c r="F63" s="2">
        <v>1125</v>
      </c>
      <c r="G63" s="2" t="str">
        <f t="shared" si="2"/>
        <v>P1103C</v>
      </c>
      <c r="H63" s="2" t="str">
        <f t="shared" si="3"/>
        <v xml:space="preserve"> </v>
      </c>
      <c r="I63" s="7"/>
    </row>
    <row r="64" spans="1:9" x14ac:dyDescent="0.3">
      <c r="A64" s="2">
        <v>126</v>
      </c>
      <c r="B64" s="2" t="str">
        <f t="shared" si="0"/>
        <v>P1003D</v>
      </c>
      <c r="C64" s="2" t="str">
        <f t="shared" si="1"/>
        <v xml:space="preserve"> </v>
      </c>
      <c r="F64" s="2">
        <v>1126</v>
      </c>
      <c r="G64" s="2" t="str">
        <f t="shared" si="2"/>
        <v>P1103D</v>
      </c>
      <c r="H64" s="2" t="str">
        <f t="shared" si="3"/>
        <v xml:space="preserve"> </v>
      </c>
      <c r="I64" s="7"/>
    </row>
    <row r="65" spans="1:9" x14ac:dyDescent="0.3">
      <c r="A65" s="2">
        <v>127</v>
      </c>
      <c r="B65" s="2" t="str">
        <f t="shared" si="0"/>
        <v>P1003E</v>
      </c>
      <c r="C65" s="2" t="str">
        <f t="shared" si="1"/>
        <v xml:space="preserve"> </v>
      </c>
      <c r="F65" s="2">
        <v>1127</v>
      </c>
      <c r="G65" s="2" t="str">
        <f t="shared" si="2"/>
        <v>P1103E</v>
      </c>
      <c r="H65" s="2" t="str">
        <f t="shared" si="3"/>
        <v xml:space="preserve"> </v>
      </c>
      <c r="I65" s="7"/>
    </row>
    <row r="66" spans="1:9" x14ac:dyDescent="0.3">
      <c r="A66" s="2">
        <v>128</v>
      </c>
      <c r="B66" s="2" t="str">
        <f t="shared" si="0"/>
        <v>P1003F</v>
      </c>
      <c r="C66" s="2" t="str">
        <f t="shared" si="1"/>
        <v xml:space="preserve"> </v>
      </c>
      <c r="F66" s="2">
        <v>1128</v>
      </c>
      <c r="G66" s="2" t="str">
        <f t="shared" si="2"/>
        <v>P1103F</v>
      </c>
      <c r="H66" s="2" t="str">
        <f t="shared" si="3"/>
        <v xml:space="preserve"> </v>
      </c>
      <c r="I66" s="7"/>
    </row>
    <row r="67" spans="1:9" x14ac:dyDescent="0.3">
      <c r="A67" s="2">
        <v>129</v>
      </c>
      <c r="B67" s="2" t="str">
        <f t="shared" si="0"/>
        <v>P10040</v>
      </c>
      <c r="C67" s="2" t="str">
        <f t="shared" si="1"/>
        <v>P1004</v>
      </c>
      <c r="D67" s="7" t="s">
        <v>230</v>
      </c>
      <c r="F67" s="2">
        <v>1129</v>
      </c>
      <c r="G67" s="2" t="str">
        <f t="shared" si="2"/>
        <v>P11040</v>
      </c>
      <c r="H67" s="2" t="str">
        <f t="shared" si="3"/>
        <v>P1104</v>
      </c>
      <c r="I67" s="7" t="s">
        <v>250</v>
      </c>
    </row>
    <row r="68" spans="1:9" x14ac:dyDescent="0.3">
      <c r="A68" s="2">
        <v>130</v>
      </c>
      <c r="B68" s="2" t="str">
        <f t="shared" ref="B68:B131" si="4">"P"&amp;DEC2HEX(A68+65536-$A$3, 5)</f>
        <v>P10041</v>
      </c>
      <c r="C68" s="2" t="str">
        <f t="shared" ref="C68:C131" si="5">IF(RIGHT(B68,1)="0",LEFT(B68,5)," ")</f>
        <v xml:space="preserve"> </v>
      </c>
      <c r="D68" s="7" t="s">
        <v>231</v>
      </c>
      <c r="F68" s="2">
        <v>1130</v>
      </c>
      <c r="G68" s="2" t="str">
        <f t="shared" ref="G68:G131" si="6">"P"&amp;DEC2HEX(F68+65536+4096-$F$3, 5)</f>
        <v>P11041</v>
      </c>
      <c r="H68" s="2" t="str">
        <f t="shared" ref="H68:H131" si="7">IF(RIGHT(G68,1)="0",LEFT(G68,5)," ")</f>
        <v xml:space="preserve"> </v>
      </c>
      <c r="I68" s="7" t="s">
        <v>251</v>
      </c>
    </row>
    <row r="69" spans="1:9" x14ac:dyDescent="0.3">
      <c r="A69" s="2">
        <v>131</v>
      </c>
      <c r="B69" s="2" t="str">
        <f t="shared" si="4"/>
        <v>P10042</v>
      </c>
      <c r="C69" s="2" t="str">
        <f t="shared" si="5"/>
        <v xml:space="preserve"> </v>
      </c>
      <c r="D69" s="7" t="s">
        <v>232</v>
      </c>
      <c r="F69" s="2">
        <v>1131</v>
      </c>
      <c r="G69" s="2" t="str">
        <f t="shared" si="6"/>
        <v>P11042</v>
      </c>
      <c r="H69" s="2" t="str">
        <f t="shared" si="7"/>
        <v xml:space="preserve"> </v>
      </c>
      <c r="I69" s="7" t="s">
        <v>252</v>
      </c>
    </row>
    <row r="70" spans="1:9" x14ac:dyDescent="0.3">
      <c r="A70" s="2">
        <v>132</v>
      </c>
      <c r="B70" s="2" t="str">
        <f t="shared" si="4"/>
        <v>P10043</v>
      </c>
      <c r="C70" s="2" t="str">
        <f t="shared" si="5"/>
        <v xml:space="preserve"> </v>
      </c>
      <c r="D70" s="7" t="s">
        <v>233</v>
      </c>
      <c r="F70" s="2">
        <v>1132</v>
      </c>
      <c r="G70" s="2" t="str">
        <f t="shared" si="6"/>
        <v>P11043</v>
      </c>
      <c r="H70" s="2" t="str">
        <f t="shared" si="7"/>
        <v xml:space="preserve"> </v>
      </c>
      <c r="I70" s="7" t="s">
        <v>253</v>
      </c>
    </row>
    <row r="71" spans="1:9" x14ac:dyDescent="0.3">
      <c r="A71" s="2">
        <v>133</v>
      </c>
      <c r="B71" s="2" t="str">
        <f t="shared" si="4"/>
        <v>P10044</v>
      </c>
      <c r="C71" s="2" t="str">
        <f t="shared" si="5"/>
        <v xml:space="preserve"> </v>
      </c>
      <c r="D71" s="7" t="s">
        <v>221</v>
      </c>
      <c r="F71" s="2">
        <v>1133</v>
      </c>
      <c r="G71" s="2" t="str">
        <f t="shared" si="6"/>
        <v>P11044</v>
      </c>
      <c r="H71" s="2" t="str">
        <f t="shared" si="7"/>
        <v xml:space="preserve"> </v>
      </c>
      <c r="I71" s="7" t="s">
        <v>226</v>
      </c>
    </row>
    <row r="72" spans="1:9" x14ac:dyDescent="0.3">
      <c r="A72" s="2">
        <v>134</v>
      </c>
      <c r="B72" s="2" t="str">
        <f t="shared" si="4"/>
        <v>P10045</v>
      </c>
      <c r="C72" s="2" t="str">
        <f t="shared" si="5"/>
        <v xml:space="preserve"> </v>
      </c>
      <c r="D72" s="7" t="s">
        <v>222</v>
      </c>
      <c r="F72" s="2">
        <v>1134</v>
      </c>
      <c r="G72" s="2" t="str">
        <f t="shared" si="6"/>
        <v>P11045</v>
      </c>
      <c r="H72" s="2" t="str">
        <f t="shared" si="7"/>
        <v xml:space="preserve"> </v>
      </c>
      <c r="I72" s="7" t="s">
        <v>227</v>
      </c>
    </row>
    <row r="73" spans="1:9" x14ac:dyDescent="0.3">
      <c r="A73" s="2">
        <v>135</v>
      </c>
      <c r="B73" s="2" t="str">
        <f t="shared" si="4"/>
        <v>P10046</v>
      </c>
      <c r="C73" s="2" t="str">
        <f t="shared" si="5"/>
        <v xml:space="preserve"> </v>
      </c>
      <c r="D73" s="7" t="s">
        <v>223</v>
      </c>
      <c r="F73" s="2">
        <v>1135</v>
      </c>
      <c r="G73" s="2" t="str">
        <f t="shared" si="6"/>
        <v>P11046</v>
      </c>
      <c r="H73" s="2" t="str">
        <f t="shared" si="7"/>
        <v xml:space="preserve"> </v>
      </c>
      <c r="I73" s="7" t="s">
        <v>228</v>
      </c>
    </row>
    <row r="74" spans="1:9" x14ac:dyDescent="0.3">
      <c r="A74" s="2">
        <v>136</v>
      </c>
      <c r="B74" s="2" t="str">
        <f>"P"&amp;DEC2HEX(A74+65536-$A$3, 5)</f>
        <v>P10047</v>
      </c>
      <c r="C74" s="2" t="str">
        <f t="shared" si="5"/>
        <v xml:space="preserve"> </v>
      </c>
      <c r="D74" s="7" t="s">
        <v>224</v>
      </c>
      <c r="F74" s="2">
        <v>1136</v>
      </c>
      <c r="G74" s="2" t="str">
        <f t="shared" si="6"/>
        <v>P11047</v>
      </c>
      <c r="H74" s="2" t="str">
        <f t="shared" si="7"/>
        <v xml:space="preserve"> </v>
      </c>
      <c r="I74" s="7" t="s">
        <v>229</v>
      </c>
    </row>
    <row r="75" spans="1:9" x14ac:dyDescent="0.3">
      <c r="A75" s="2">
        <v>137</v>
      </c>
      <c r="B75" s="2" t="str">
        <f t="shared" si="4"/>
        <v>P10048</v>
      </c>
      <c r="C75" s="2" t="str">
        <f t="shared" si="5"/>
        <v xml:space="preserve"> </v>
      </c>
      <c r="F75" s="2">
        <v>1137</v>
      </c>
      <c r="G75" s="2" t="str">
        <f t="shared" si="6"/>
        <v>P11048</v>
      </c>
      <c r="H75" s="2" t="str">
        <f t="shared" si="7"/>
        <v xml:space="preserve"> </v>
      </c>
      <c r="I75" s="7" t="s">
        <v>225</v>
      </c>
    </row>
    <row r="76" spans="1:9" x14ac:dyDescent="0.3">
      <c r="A76" s="2">
        <v>138</v>
      </c>
      <c r="B76" s="2" t="str">
        <f t="shared" si="4"/>
        <v>P10049</v>
      </c>
      <c r="C76" s="2" t="str">
        <f t="shared" si="5"/>
        <v xml:space="preserve"> </v>
      </c>
      <c r="D76" s="7" t="s">
        <v>254</v>
      </c>
      <c r="F76" s="2">
        <v>1138</v>
      </c>
      <c r="G76" s="2" t="str">
        <f t="shared" si="6"/>
        <v>P11049</v>
      </c>
      <c r="H76" s="2" t="str">
        <f t="shared" si="7"/>
        <v xml:space="preserve"> </v>
      </c>
      <c r="I76" s="7"/>
    </row>
    <row r="77" spans="1:9" x14ac:dyDescent="0.3">
      <c r="A77" s="2">
        <v>139</v>
      </c>
      <c r="B77" s="2" t="str">
        <f t="shared" si="4"/>
        <v>P1004A</v>
      </c>
      <c r="C77" s="2" t="str">
        <f t="shared" si="5"/>
        <v xml:space="preserve"> </v>
      </c>
      <c r="D77" s="7" t="s">
        <v>255</v>
      </c>
      <c r="F77" s="2">
        <v>1139</v>
      </c>
      <c r="G77" s="2" t="str">
        <f t="shared" si="6"/>
        <v>P1104A</v>
      </c>
      <c r="H77" s="2" t="str">
        <f t="shared" si="7"/>
        <v xml:space="preserve"> </v>
      </c>
      <c r="I77" s="7"/>
    </row>
    <row r="78" spans="1:9" x14ac:dyDescent="0.3">
      <c r="A78" s="2">
        <v>140</v>
      </c>
      <c r="B78" s="2" t="str">
        <f t="shared" si="4"/>
        <v>P1004B</v>
      </c>
      <c r="C78" s="2" t="str">
        <f t="shared" si="5"/>
        <v xml:space="preserve"> </v>
      </c>
      <c r="D78" s="7" t="s">
        <v>256</v>
      </c>
      <c r="F78" s="2">
        <v>1140</v>
      </c>
      <c r="G78" s="2" t="str">
        <f t="shared" si="6"/>
        <v>P1104B</v>
      </c>
      <c r="H78" s="2" t="str">
        <f t="shared" si="7"/>
        <v xml:space="preserve"> </v>
      </c>
      <c r="I78" s="7"/>
    </row>
    <row r="79" spans="1:9" x14ac:dyDescent="0.3">
      <c r="A79" s="2">
        <v>141</v>
      </c>
      <c r="B79" s="2" t="str">
        <f t="shared" si="4"/>
        <v>P1004C</v>
      </c>
      <c r="C79" s="2" t="str">
        <f t="shared" si="5"/>
        <v xml:space="preserve"> </v>
      </c>
      <c r="D79" s="7" t="s">
        <v>257</v>
      </c>
      <c r="F79" s="2">
        <v>1141</v>
      </c>
      <c r="G79" s="2" t="str">
        <f t="shared" si="6"/>
        <v>P1104C</v>
      </c>
      <c r="H79" s="2" t="str">
        <f t="shared" si="7"/>
        <v xml:space="preserve"> </v>
      </c>
      <c r="I79" s="7"/>
    </row>
    <row r="80" spans="1:9" x14ac:dyDescent="0.3">
      <c r="A80" s="2">
        <v>142</v>
      </c>
      <c r="B80" s="2" t="str">
        <f t="shared" si="4"/>
        <v>P1004D</v>
      </c>
      <c r="C80" s="2" t="str">
        <f t="shared" si="5"/>
        <v xml:space="preserve"> </v>
      </c>
      <c r="F80" s="2">
        <v>1142</v>
      </c>
      <c r="G80" s="2" t="str">
        <f t="shared" si="6"/>
        <v>P1104D</v>
      </c>
      <c r="H80" s="2" t="str">
        <f t="shared" si="7"/>
        <v xml:space="preserve"> </v>
      </c>
      <c r="I80" s="7"/>
    </row>
    <row r="81" spans="1:9" x14ac:dyDescent="0.3">
      <c r="A81" s="2">
        <v>143</v>
      </c>
      <c r="B81" s="2" t="str">
        <f t="shared" si="4"/>
        <v>P1004E</v>
      </c>
      <c r="C81" s="2" t="str">
        <f t="shared" si="5"/>
        <v xml:space="preserve"> </v>
      </c>
      <c r="F81" s="2">
        <v>1143</v>
      </c>
      <c r="G81" s="2" t="str">
        <f t="shared" si="6"/>
        <v>P1104E</v>
      </c>
      <c r="H81" s="2" t="str">
        <f t="shared" si="7"/>
        <v xml:space="preserve"> </v>
      </c>
      <c r="I81" s="7"/>
    </row>
    <row r="82" spans="1:9" x14ac:dyDescent="0.3">
      <c r="A82" s="2">
        <v>144</v>
      </c>
      <c r="B82" s="2" t="str">
        <f t="shared" si="4"/>
        <v>P1004F</v>
      </c>
      <c r="C82" s="2" t="str">
        <f t="shared" si="5"/>
        <v xml:space="preserve"> </v>
      </c>
      <c r="F82" s="2">
        <v>1144</v>
      </c>
      <c r="G82" s="2" t="str">
        <f t="shared" si="6"/>
        <v>P1104F</v>
      </c>
      <c r="H82" s="2" t="str">
        <f t="shared" si="7"/>
        <v xml:space="preserve"> </v>
      </c>
      <c r="I82" s="7"/>
    </row>
    <row r="83" spans="1:9" x14ac:dyDescent="0.3">
      <c r="A83" s="2">
        <v>145</v>
      </c>
      <c r="B83" s="2" t="str">
        <f t="shared" si="4"/>
        <v>P10050</v>
      </c>
      <c r="C83" s="2" t="str">
        <f t="shared" si="5"/>
        <v>P1005</v>
      </c>
      <c r="D83" s="7" t="str">
        <f>"Код ошибки на роботе ("&amp;ROW(A1)-ROW($A$1)&amp;")"</f>
        <v>Код ошибки на роботе (0)</v>
      </c>
      <c r="F83" s="2">
        <v>1145</v>
      </c>
      <c r="G83" s="2" t="str">
        <f t="shared" si="6"/>
        <v>P11050</v>
      </c>
      <c r="H83" s="2" t="str">
        <f t="shared" si="7"/>
        <v>P1105</v>
      </c>
      <c r="I83" s="7" t="str">
        <f>"Скорость робота ("&amp;ROW(A1)-ROW($A$1)&amp;")"</f>
        <v>Скорость робота (0)</v>
      </c>
    </row>
    <row r="84" spans="1:9" x14ac:dyDescent="0.3">
      <c r="A84" s="2">
        <v>146</v>
      </c>
      <c r="B84" s="2" t="str">
        <f>"P"&amp;DEC2HEX(A84+65536-$A$3, 5)</f>
        <v>P10051</v>
      </c>
      <c r="C84" s="2" t="str">
        <f t="shared" si="5"/>
        <v xml:space="preserve"> </v>
      </c>
      <c r="D84" s="7" t="str">
        <f t="shared" ref="D84:D98" si="8">"Код ошибки на роботе ("&amp;ROW(A2)-ROW($A$1)&amp;")"</f>
        <v>Код ошибки на роботе (1)</v>
      </c>
      <c r="F84" s="2">
        <v>1146</v>
      </c>
      <c r="G84" s="2" t="str">
        <f t="shared" si="6"/>
        <v>P11051</v>
      </c>
      <c r="H84" s="2" t="str">
        <f t="shared" si="7"/>
        <v xml:space="preserve"> </v>
      </c>
      <c r="I84" s="7" t="str">
        <f t="shared" ref="I84:I90" si="9">"Скорость робота ("&amp;ROW(A2)-ROW($A$1)&amp;")"</f>
        <v>Скорость робота (1)</v>
      </c>
    </row>
    <row r="85" spans="1:9" x14ac:dyDescent="0.3">
      <c r="A85" s="2">
        <v>147</v>
      </c>
      <c r="B85" s="2" t="str">
        <f t="shared" si="4"/>
        <v>P10052</v>
      </c>
      <c r="C85" s="2" t="str">
        <f t="shared" si="5"/>
        <v xml:space="preserve"> </v>
      </c>
      <c r="D85" s="7" t="str">
        <f t="shared" si="8"/>
        <v>Код ошибки на роботе (2)</v>
      </c>
      <c r="F85" s="2">
        <v>1147</v>
      </c>
      <c r="G85" s="2" t="str">
        <f t="shared" si="6"/>
        <v>P11052</v>
      </c>
      <c r="H85" s="2" t="str">
        <f t="shared" si="7"/>
        <v xml:space="preserve"> </v>
      </c>
      <c r="I85" s="7" t="str">
        <f t="shared" si="9"/>
        <v>Скорость робота (2)</v>
      </c>
    </row>
    <row r="86" spans="1:9" x14ac:dyDescent="0.3">
      <c r="A86" s="2">
        <v>148</v>
      </c>
      <c r="B86" s="2" t="str">
        <f t="shared" si="4"/>
        <v>P10053</v>
      </c>
      <c r="C86" s="2" t="str">
        <f t="shared" si="5"/>
        <v xml:space="preserve"> </v>
      </c>
      <c r="D86" s="7" t="str">
        <f t="shared" si="8"/>
        <v>Код ошибки на роботе (3)</v>
      </c>
      <c r="F86" s="2">
        <v>1148</v>
      </c>
      <c r="G86" s="2" t="str">
        <f t="shared" si="6"/>
        <v>P11053</v>
      </c>
      <c r="H86" s="2" t="str">
        <f t="shared" si="7"/>
        <v xml:space="preserve"> </v>
      </c>
      <c r="I86" s="7" t="str">
        <f t="shared" si="9"/>
        <v>Скорость робота (3)</v>
      </c>
    </row>
    <row r="87" spans="1:9" x14ac:dyDescent="0.3">
      <c r="A87" s="2">
        <v>149</v>
      </c>
      <c r="B87" s="2" t="str">
        <f t="shared" si="4"/>
        <v>P10054</v>
      </c>
      <c r="C87" s="2" t="str">
        <f t="shared" si="5"/>
        <v xml:space="preserve"> </v>
      </c>
      <c r="D87" s="7" t="str">
        <f t="shared" si="8"/>
        <v>Код ошибки на роботе (4)</v>
      </c>
      <c r="F87" s="2">
        <v>1149</v>
      </c>
      <c r="G87" s="2" t="str">
        <f t="shared" si="6"/>
        <v>P11054</v>
      </c>
      <c r="H87" s="2" t="str">
        <f t="shared" si="7"/>
        <v xml:space="preserve"> </v>
      </c>
      <c r="I87" s="7" t="str">
        <f t="shared" si="9"/>
        <v>Скорость робота (4)</v>
      </c>
    </row>
    <row r="88" spans="1:9" x14ac:dyDescent="0.3">
      <c r="A88" s="2">
        <v>150</v>
      </c>
      <c r="B88" s="2" t="str">
        <f t="shared" si="4"/>
        <v>P10055</v>
      </c>
      <c r="C88" s="2" t="str">
        <f t="shared" si="5"/>
        <v xml:space="preserve"> </v>
      </c>
      <c r="D88" s="7" t="str">
        <f t="shared" si="8"/>
        <v>Код ошибки на роботе (5)</v>
      </c>
      <c r="F88" s="2">
        <v>1150</v>
      </c>
      <c r="G88" s="2" t="str">
        <f t="shared" si="6"/>
        <v>P11055</v>
      </c>
      <c r="H88" s="2" t="str">
        <f t="shared" si="7"/>
        <v xml:space="preserve"> </v>
      </c>
      <c r="I88" s="7" t="str">
        <f t="shared" si="9"/>
        <v>Скорость робота (5)</v>
      </c>
    </row>
    <row r="89" spans="1:9" x14ac:dyDescent="0.3">
      <c r="A89" s="2">
        <v>151</v>
      </c>
      <c r="B89" s="2" t="str">
        <f t="shared" si="4"/>
        <v>P10056</v>
      </c>
      <c r="C89" s="2" t="str">
        <f t="shared" si="5"/>
        <v xml:space="preserve"> </v>
      </c>
      <c r="D89" s="7" t="str">
        <f t="shared" si="8"/>
        <v>Код ошибки на роботе (6)</v>
      </c>
      <c r="F89" s="2">
        <v>1151</v>
      </c>
      <c r="G89" s="2" t="str">
        <f t="shared" si="6"/>
        <v>P11056</v>
      </c>
      <c r="H89" s="2" t="str">
        <f t="shared" si="7"/>
        <v xml:space="preserve"> </v>
      </c>
      <c r="I89" s="7" t="str">
        <f t="shared" si="9"/>
        <v>Скорость робота (6)</v>
      </c>
    </row>
    <row r="90" spans="1:9" x14ac:dyDescent="0.3">
      <c r="A90" s="2">
        <v>152</v>
      </c>
      <c r="B90" s="2" t="str">
        <f t="shared" si="4"/>
        <v>P10057</v>
      </c>
      <c r="C90" s="2" t="str">
        <f t="shared" si="5"/>
        <v xml:space="preserve"> </v>
      </c>
      <c r="D90" s="7" t="str">
        <f t="shared" si="8"/>
        <v>Код ошибки на роботе (7)</v>
      </c>
      <c r="F90" s="2">
        <v>1152</v>
      </c>
      <c r="G90" s="2" t="str">
        <f t="shared" si="6"/>
        <v>P11057</v>
      </c>
      <c r="H90" s="2" t="str">
        <f t="shared" si="7"/>
        <v xml:space="preserve"> </v>
      </c>
      <c r="I90" s="7" t="str">
        <f t="shared" si="9"/>
        <v>Скорость робота (7)</v>
      </c>
    </row>
    <row r="91" spans="1:9" x14ac:dyDescent="0.3">
      <c r="A91" s="2">
        <v>153</v>
      </c>
      <c r="B91" s="2" t="str">
        <f t="shared" si="4"/>
        <v>P10058</v>
      </c>
      <c r="C91" s="2" t="str">
        <f t="shared" si="5"/>
        <v xml:space="preserve"> </v>
      </c>
      <c r="D91" s="7" t="str">
        <f t="shared" si="8"/>
        <v>Код ошибки на роботе (8)</v>
      </c>
      <c r="F91" s="2">
        <v>1153</v>
      </c>
      <c r="G91" s="2" t="str">
        <f t="shared" si="6"/>
        <v>P11058</v>
      </c>
      <c r="H91" s="2" t="str">
        <f t="shared" si="7"/>
        <v xml:space="preserve"> </v>
      </c>
      <c r="I91" s="7"/>
    </row>
    <row r="92" spans="1:9" x14ac:dyDescent="0.3">
      <c r="A92" s="2">
        <v>154</v>
      </c>
      <c r="B92" s="2" t="str">
        <f t="shared" si="4"/>
        <v>P10059</v>
      </c>
      <c r="C92" s="2" t="str">
        <f t="shared" si="5"/>
        <v xml:space="preserve"> </v>
      </c>
      <c r="D92" s="7" t="str">
        <f t="shared" si="8"/>
        <v>Код ошибки на роботе (9)</v>
      </c>
      <c r="F92" s="2">
        <v>1154</v>
      </c>
      <c r="G92" s="2" t="str">
        <f t="shared" si="6"/>
        <v>P11059</v>
      </c>
      <c r="H92" s="2" t="str">
        <f t="shared" si="7"/>
        <v xml:space="preserve"> </v>
      </c>
      <c r="I92" s="7"/>
    </row>
    <row r="93" spans="1:9" x14ac:dyDescent="0.3">
      <c r="A93" s="2">
        <v>155</v>
      </c>
      <c r="B93" s="2" t="str">
        <f t="shared" si="4"/>
        <v>P1005A</v>
      </c>
      <c r="C93" s="2" t="str">
        <f t="shared" si="5"/>
        <v xml:space="preserve"> </v>
      </c>
      <c r="D93" s="7" t="str">
        <f t="shared" si="8"/>
        <v>Код ошибки на роботе (10)</v>
      </c>
      <c r="F93" s="2">
        <v>1155</v>
      </c>
      <c r="G93" s="2" t="str">
        <f t="shared" si="6"/>
        <v>P1105A</v>
      </c>
      <c r="H93" s="2" t="str">
        <f t="shared" si="7"/>
        <v xml:space="preserve"> </v>
      </c>
      <c r="I93" s="7"/>
    </row>
    <row r="94" spans="1:9" x14ac:dyDescent="0.3">
      <c r="A94" s="2">
        <v>156</v>
      </c>
      <c r="B94" s="2" t="str">
        <f t="shared" si="4"/>
        <v>P1005B</v>
      </c>
      <c r="C94" s="2" t="str">
        <f t="shared" si="5"/>
        <v xml:space="preserve"> </v>
      </c>
      <c r="D94" s="7" t="str">
        <f t="shared" si="8"/>
        <v>Код ошибки на роботе (11)</v>
      </c>
      <c r="F94" s="2">
        <v>1156</v>
      </c>
      <c r="G94" s="2" t="str">
        <f t="shared" si="6"/>
        <v>P1105B</v>
      </c>
      <c r="H94" s="2" t="str">
        <f t="shared" si="7"/>
        <v xml:space="preserve"> </v>
      </c>
      <c r="I94" s="7"/>
    </row>
    <row r="95" spans="1:9" x14ac:dyDescent="0.3">
      <c r="A95" s="2">
        <v>157</v>
      </c>
      <c r="B95" s="2" t="str">
        <f t="shared" si="4"/>
        <v>P1005C</v>
      </c>
      <c r="C95" s="2" t="str">
        <f t="shared" si="5"/>
        <v xml:space="preserve"> </v>
      </c>
      <c r="D95" s="7" t="str">
        <f t="shared" si="8"/>
        <v>Код ошибки на роботе (12)</v>
      </c>
      <c r="F95" s="2">
        <v>1157</v>
      </c>
      <c r="G95" s="2" t="str">
        <f t="shared" si="6"/>
        <v>P1105C</v>
      </c>
      <c r="H95" s="2" t="str">
        <f t="shared" si="7"/>
        <v xml:space="preserve"> </v>
      </c>
      <c r="I95" s="7"/>
    </row>
    <row r="96" spans="1:9" x14ac:dyDescent="0.3">
      <c r="A96" s="2">
        <v>158</v>
      </c>
      <c r="B96" s="2" t="str">
        <f t="shared" si="4"/>
        <v>P1005D</v>
      </c>
      <c r="C96" s="2" t="str">
        <f t="shared" si="5"/>
        <v xml:space="preserve"> </v>
      </c>
      <c r="D96" s="7" t="str">
        <f t="shared" si="8"/>
        <v>Код ошибки на роботе (13)</v>
      </c>
      <c r="F96" s="2">
        <v>1158</v>
      </c>
      <c r="G96" s="2" t="str">
        <f t="shared" si="6"/>
        <v>P1105D</v>
      </c>
      <c r="H96" s="2" t="str">
        <f t="shared" si="7"/>
        <v xml:space="preserve"> </v>
      </c>
      <c r="I96" s="7"/>
    </row>
    <row r="97" spans="1:9" x14ac:dyDescent="0.3">
      <c r="A97" s="2">
        <v>159</v>
      </c>
      <c r="B97" s="2" t="str">
        <f t="shared" si="4"/>
        <v>P1005E</v>
      </c>
      <c r="C97" s="2" t="str">
        <f t="shared" si="5"/>
        <v xml:space="preserve"> </v>
      </c>
      <c r="D97" s="7" t="str">
        <f t="shared" si="8"/>
        <v>Код ошибки на роботе (14)</v>
      </c>
      <c r="F97" s="2">
        <v>1159</v>
      </c>
      <c r="G97" s="2" t="str">
        <f t="shared" si="6"/>
        <v>P1105E</v>
      </c>
      <c r="H97" s="2" t="str">
        <f t="shared" si="7"/>
        <v xml:space="preserve"> </v>
      </c>
      <c r="I97" s="7"/>
    </row>
    <row r="98" spans="1:9" x14ac:dyDescent="0.3">
      <c r="A98" s="2">
        <v>160</v>
      </c>
      <c r="B98" s="2" t="str">
        <f t="shared" si="4"/>
        <v>P1005F</v>
      </c>
      <c r="C98" s="2" t="str">
        <f t="shared" si="5"/>
        <v xml:space="preserve"> </v>
      </c>
      <c r="D98" s="7" t="str">
        <f t="shared" si="8"/>
        <v>Код ошибки на роботе (15)</v>
      </c>
      <c r="F98" s="2">
        <v>1160</v>
      </c>
      <c r="G98" s="2" t="str">
        <f t="shared" si="6"/>
        <v>P1105F</v>
      </c>
      <c r="H98" s="2" t="str">
        <f t="shared" si="7"/>
        <v xml:space="preserve"> </v>
      </c>
      <c r="I98" s="7"/>
    </row>
    <row r="99" spans="1:9" x14ac:dyDescent="0.3">
      <c r="A99" s="2">
        <v>161</v>
      </c>
      <c r="B99" s="2" t="str">
        <f t="shared" si="4"/>
        <v>P10060</v>
      </c>
      <c r="C99" s="2" t="str">
        <f t="shared" si="5"/>
        <v>P1006</v>
      </c>
      <c r="D99" s="7" t="str">
        <f>"Состояние захвата 1 ("&amp;ROW(A1)-ROW($A$1)&amp;")"</f>
        <v>Состояние захвата 1 (0)</v>
      </c>
      <c r="F99" s="2">
        <v>1161</v>
      </c>
      <c r="G99" s="2" t="str">
        <f t="shared" si="6"/>
        <v>P11060</v>
      </c>
      <c r="H99" s="2" t="str">
        <f t="shared" si="7"/>
        <v>P1106</v>
      </c>
      <c r="I99" s="7" t="str">
        <f>"Скорость поиска ("&amp;ROW(A1)-ROW($A$1)&amp;")"</f>
        <v>Скорость поиска (0)</v>
      </c>
    </row>
    <row r="100" spans="1:9" x14ac:dyDescent="0.3">
      <c r="A100" s="2">
        <v>162</v>
      </c>
      <c r="B100" s="2" t="str">
        <f t="shared" si="4"/>
        <v>P10061</v>
      </c>
      <c r="C100" s="2" t="str">
        <f t="shared" si="5"/>
        <v xml:space="preserve"> </v>
      </c>
      <c r="D100" s="7" t="str">
        <f t="shared" ref="D100:D106" si="10">"Состояние захвата 1 ("&amp;ROW(A2)-ROW($A$1)&amp;")"</f>
        <v>Состояние захвата 1 (1)</v>
      </c>
      <c r="F100" s="2">
        <v>1162</v>
      </c>
      <c r="G100" s="2" t="str">
        <f t="shared" si="6"/>
        <v>P11061</v>
      </c>
      <c r="H100" s="2" t="str">
        <f t="shared" si="7"/>
        <v xml:space="preserve"> </v>
      </c>
      <c r="I100" s="7" t="str">
        <f t="shared" ref="I100:I106" si="11">"Скорость поиска ("&amp;ROW(A2)-ROW($A$1)&amp;")"</f>
        <v>Скорость поиска (1)</v>
      </c>
    </row>
    <row r="101" spans="1:9" x14ac:dyDescent="0.3">
      <c r="A101" s="2">
        <v>163</v>
      </c>
      <c r="B101" s="2" t="str">
        <f t="shared" si="4"/>
        <v>P10062</v>
      </c>
      <c r="C101" s="2" t="str">
        <f t="shared" si="5"/>
        <v xml:space="preserve"> </v>
      </c>
      <c r="D101" s="7" t="str">
        <f t="shared" si="10"/>
        <v>Состояние захвата 1 (2)</v>
      </c>
      <c r="F101" s="2">
        <v>1163</v>
      </c>
      <c r="G101" s="2" t="str">
        <f t="shared" si="6"/>
        <v>P11062</v>
      </c>
      <c r="H101" s="2" t="str">
        <f t="shared" si="7"/>
        <v xml:space="preserve"> </v>
      </c>
      <c r="I101" s="7" t="str">
        <f t="shared" si="11"/>
        <v>Скорость поиска (2)</v>
      </c>
    </row>
    <row r="102" spans="1:9" x14ac:dyDescent="0.3">
      <c r="A102" s="2">
        <v>164</v>
      </c>
      <c r="B102" s="2" t="str">
        <f t="shared" si="4"/>
        <v>P10063</v>
      </c>
      <c r="C102" s="2" t="str">
        <f t="shared" si="5"/>
        <v xml:space="preserve"> </v>
      </c>
      <c r="D102" s="7" t="str">
        <f t="shared" si="10"/>
        <v>Состояние захвата 1 (3)</v>
      </c>
      <c r="F102" s="2">
        <v>1164</v>
      </c>
      <c r="G102" s="2" t="str">
        <f t="shared" si="6"/>
        <v>P11063</v>
      </c>
      <c r="H102" s="2" t="str">
        <f t="shared" si="7"/>
        <v xml:space="preserve"> </v>
      </c>
      <c r="I102" s="7" t="str">
        <f t="shared" si="11"/>
        <v>Скорость поиска (3)</v>
      </c>
    </row>
    <row r="103" spans="1:9" x14ac:dyDescent="0.3">
      <c r="A103" s="2">
        <v>165</v>
      </c>
      <c r="B103" s="2" t="str">
        <f t="shared" si="4"/>
        <v>P10064</v>
      </c>
      <c r="C103" s="2" t="str">
        <f t="shared" si="5"/>
        <v xml:space="preserve"> </v>
      </c>
      <c r="D103" s="7" t="str">
        <f t="shared" si="10"/>
        <v>Состояние захвата 1 (4)</v>
      </c>
      <c r="F103" s="2">
        <v>1165</v>
      </c>
      <c r="G103" s="2" t="str">
        <f t="shared" si="6"/>
        <v>P11064</v>
      </c>
      <c r="H103" s="2" t="str">
        <f t="shared" si="7"/>
        <v xml:space="preserve"> </v>
      </c>
      <c r="I103" s="7" t="str">
        <f t="shared" si="11"/>
        <v>Скорость поиска (4)</v>
      </c>
    </row>
    <row r="104" spans="1:9" x14ac:dyDescent="0.3">
      <c r="A104" s="2">
        <v>166</v>
      </c>
      <c r="B104" s="2" t="str">
        <f t="shared" si="4"/>
        <v>P10065</v>
      </c>
      <c r="C104" s="2" t="str">
        <f t="shared" si="5"/>
        <v xml:space="preserve"> </v>
      </c>
      <c r="D104" s="7" t="str">
        <f t="shared" si="10"/>
        <v>Состояние захвата 1 (5)</v>
      </c>
      <c r="F104" s="2">
        <v>1166</v>
      </c>
      <c r="G104" s="2" t="str">
        <f t="shared" si="6"/>
        <v>P11065</v>
      </c>
      <c r="H104" s="2" t="str">
        <f t="shared" si="7"/>
        <v xml:space="preserve"> </v>
      </c>
      <c r="I104" s="7" t="str">
        <f t="shared" si="11"/>
        <v>Скорость поиска (5)</v>
      </c>
    </row>
    <row r="105" spans="1:9" x14ac:dyDescent="0.3">
      <c r="A105" s="2">
        <v>167</v>
      </c>
      <c r="B105" s="2" t="str">
        <f t="shared" si="4"/>
        <v>P10066</v>
      </c>
      <c r="C105" s="2" t="str">
        <f t="shared" si="5"/>
        <v xml:space="preserve"> </v>
      </c>
      <c r="D105" s="7" t="str">
        <f t="shared" si="10"/>
        <v>Состояние захвата 1 (6)</v>
      </c>
      <c r="F105" s="2">
        <v>1167</v>
      </c>
      <c r="G105" s="2" t="str">
        <f t="shared" si="6"/>
        <v>P11066</v>
      </c>
      <c r="H105" s="2" t="str">
        <f t="shared" si="7"/>
        <v xml:space="preserve"> </v>
      </c>
      <c r="I105" s="7" t="str">
        <f t="shared" si="11"/>
        <v>Скорость поиска (6)</v>
      </c>
    </row>
    <row r="106" spans="1:9" x14ac:dyDescent="0.3">
      <c r="A106" s="2">
        <v>168</v>
      </c>
      <c r="B106" s="2" t="str">
        <f t="shared" si="4"/>
        <v>P10067</v>
      </c>
      <c r="C106" s="2" t="str">
        <f t="shared" si="5"/>
        <v xml:space="preserve"> </v>
      </c>
      <c r="D106" s="7" t="str">
        <f t="shared" si="10"/>
        <v>Состояние захвата 1 (7)</v>
      </c>
      <c r="F106" s="2">
        <v>1168</v>
      </c>
      <c r="G106" s="2" t="str">
        <f t="shared" si="6"/>
        <v>P11067</v>
      </c>
      <c r="H106" s="2" t="str">
        <f t="shared" si="7"/>
        <v xml:space="preserve"> </v>
      </c>
      <c r="I106" s="7" t="str">
        <f t="shared" si="11"/>
        <v>Скорость поиска (7)</v>
      </c>
    </row>
    <row r="107" spans="1:9" x14ac:dyDescent="0.3">
      <c r="A107" s="2">
        <v>169</v>
      </c>
      <c r="B107" s="2" t="str">
        <f t="shared" si="4"/>
        <v>P10068</v>
      </c>
      <c r="C107" s="2" t="str">
        <f t="shared" si="5"/>
        <v xml:space="preserve"> </v>
      </c>
      <c r="D107" s="7" t="str">
        <f>"Состояние захвата 2 ("&amp;ROW(A1)-ROW($A$1)&amp;")"</f>
        <v>Состояние захвата 2 (0)</v>
      </c>
      <c r="F107" s="2">
        <v>1169</v>
      </c>
      <c r="G107" s="2" t="str">
        <f t="shared" si="6"/>
        <v>P11068</v>
      </c>
      <c r="H107" s="2" t="str">
        <f t="shared" si="7"/>
        <v xml:space="preserve"> </v>
      </c>
      <c r="I107" s="7" t="str">
        <f>"Скорость обдува ("&amp;ROW(A1)-ROW($A$1)&amp;")"</f>
        <v>Скорость обдува (0)</v>
      </c>
    </row>
    <row r="108" spans="1:9" x14ac:dyDescent="0.3">
      <c r="A108" s="2">
        <v>170</v>
      </c>
      <c r="B108" s="2" t="str">
        <f t="shared" si="4"/>
        <v>P10069</v>
      </c>
      <c r="C108" s="2" t="str">
        <f t="shared" si="5"/>
        <v xml:space="preserve"> </v>
      </c>
      <c r="D108" s="7" t="str">
        <f t="shared" ref="D108:D114" si="12">"Состояние захвата 2 ("&amp;ROW(A2)-ROW($A$1)&amp;")"</f>
        <v>Состояние захвата 2 (1)</v>
      </c>
      <c r="F108" s="2">
        <v>1170</v>
      </c>
      <c r="G108" s="2" t="str">
        <f t="shared" si="6"/>
        <v>P11069</v>
      </c>
      <c r="H108" s="2" t="str">
        <f t="shared" si="7"/>
        <v xml:space="preserve"> </v>
      </c>
      <c r="I108" s="7" t="str">
        <f t="shared" ref="I108:I114" si="13">"Скорость обдува ("&amp;ROW(A2)-ROW($A$1)&amp;")"</f>
        <v>Скорость обдува (1)</v>
      </c>
    </row>
    <row r="109" spans="1:9" x14ac:dyDescent="0.3">
      <c r="A109" s="2">
        <v>171</v>
      </c>
      <c r="B109" s="2" t="str">
        <f t="shared" si="4"/>
        <v>P1006A</v>
      </c>
      <c r="C109" s="2" t="str">
        <f t="shared" si="5"/>
        <v xml:space="preserve"> </v>
      </c>
      <c r="D109" s="7" t="str">
        <f t="shared" si="12"/>
        <v>Состояние захвата 2 (2)</v>
      </c>
      <c r="F109" s="2">
        <v>1171</v>
      </c>
      <c r="G109" s="2" t="str">
        <f t="shared" si="6"/>
        <v>P1106A</v>
      </c>
      <c r="H109" s="2" t="str">
        <f t="shared" si="7"/>
        <v xml:space="preserve"> </v>
      </c>
      <c r="I109" s="7" t="str">
        <f t="shared" si="13"/>
        <v>Скорость обдува (2)</v>
      </c>
    </row>
    <row r="110" spans="1:9" x14ac:dyDescent="0.3">
      <c r="A110" s="2">
        <v>172</v>
      </c>
      <c r="B110" s="2" t="str">
        <f t="shared" si="4"/>
        <v>P1006B</v>
      </c>
      <c r="C110" s="2" t="str">
        <f t="shared" si="5"/>
        <v xml:space="preserve"> </v>
      </c>
      <c r="D110" s="7" t="str">
        <f t="shared" si="12"/>
        <v>Состояние захвата 2 (3)</v>
      </c>
      <c r="F110" s="2">
        <v>1172</v>
      </c>
      <c r="G110" s="2" t="str">
        <f t="shared" si="6"/>
        <v>P1106B</v>
      </c>
      <c r="H110" s="2" t="str">
        <f t="shared" si="7"/>
        <v xml:space="preserve"> </v>
      </c>
      <c r="I110" s="7" t="str">
        <f t="shared" si="13"/>
        <v>Скорость обдува (3)</v>
      </c>
    </row>
    <row r="111" spans="1:9" x14ac:dyDescent="0.3">
      <c r="A111" s="2">
        <v>173</v>
      </c>
      <c r="B111" s="2" t="str">
        <f t="shared" si="4"/>
        <v>P1006C</v>
      </c>
      <c r="C111" s="2" t="str">
        <f t="shared" si="5"/>
        <v xml:space="preserve"> </v>
      </c>
      <c r="D111" s="7" t="str">
        <f t="shared" si="12"/>
        <v>Состояние захвата 2 (4)</v>
      </c>
      <c r="F111" s="2">
        <v>1173</v>
      </c>
      <c r="G111" s="2" t="str">
        <f t="shared" si="6"/>
        <v>P1106C</v>
      </c>
      <c r="H111" s="2" t="str">
        <f t="shared" si="7"/>
        <v xml:space="preserve"> </v>
      </c>
      <c r="I111" s="7" t="str">
        <f t="shared" si="13"/>
        <v>Скорость обдува (4)</v>
      </c>
    </row>
    <row r="112" spans="1:9" x14ac:dyDescent="0.3">
      <c r="A112" s="2">
        <v>174</v>
      </c>
      <c r="B112" s="2" t="str">
        <f t="shared" si="4"/>
        <v>P1006D</v>
      </c>
      <c r="C112" s="2" t="str">
        <f t="shared" si="5"/>
        <v xml:space="preserve"> </v>
      </c>
      <c r="D112" s="7" t="str">
        <f t="shared" si="12"/>
        <v>Состояние захвата 2 (5)</v>
      </c>
      <c r="F112" s="2">
        <v>1174</v>
      </c>
      <c r="G112" s="2" t="str">
        <f t="shared" si="6"/>
        <v>P1106D</v>
      </c>
      <c r="H112" s="2" t="str">
        <f t="shared" si="7"/>
        <v xml:space="preserve"> </v>
      </c>
      <c r="I112" s="7" t="str">
        <f t="shared" si="13"/>
        <v>Скорость обдува (5)</v>
      </c>
    </row>
    <row r="113" spans="1:9" x14ac:dyDescent="0.3">
      <c r="A113" s="2">
        <v>175</v>
      </c>
      <c r="B113" s="2" t="str">
        <f t="shared" si="4"/>
        <v>P1006E</v>
      </c>
      <c r="C113" s="2" t="str">
        <f t="shared" si="5"/>
        <v xml:space="preserve"> </v>
      </c>
      <c r="D113" s="7" t="str">
        <f t="shared" si="12"/>
        <v>Состояние захвата 2 (6)</v>
      </c>
      <c r="F113" s="2">
        <v>1175</v>
      </c>
      <c r="G113" s="2" t="str">
        <f t="shared" si="6"/>
        <v>P1106E</v>
      </c>
      <c r="H113" s="2" t="str">
        <f t="shared" si="7"/>
        <v xml:space="preserve"> </v>
      </c>
      <c r="I113" s="7" t="str">
        <f t="shared" si="13"/>
        <v>Скорость обдува (6)</v>
      </c>
    </row>
    <row r="114" spans="1:9" x14ac:dyDescent="0.3">
      <c r="A114" s="2">
        <v>176</v>
      </c>
      <c r="B114" s="2" t="str">
        <f t="shared" si="4"/>
        <v>P1006F</v>
      </c>
      <c r="C114" s="2" t="str">
        <f t="shared" si="5"/>
        <v xml:space="preserve"> </v>
      </c>
      <c r="D114" s="7" t="str">
        <f t="shared" si="12"/>
        <v>Состояние захвата 2 (7)</v>
      </c>
      <c r="F114" s="2">
        <v>1176</v>
      </c>
      <c r="G114" s="2" t="str">
        <f t="shared" si="6"/>
        <v>P1106F</v>
      </c>
      <c r="H114" s="2" t="str">
        <f t="shared" si="7"/>
        <v xml:space="preserve"> </v>
      </c>
      <c r="I114" s="7" t="str">
        <f t="shared" si="13"/>
        <v>Скорость обдува (7)</v>
      </c>
    </row>
    <row r="115" spans="1:9" x14ac:dyDescent="0.3">
      <c r="A115" s="2">
        <v>177</v>
      </c>
      <c r="B115" s="2" t="str">
        <f t="shared" si="4"/>
        <v>P10070</v>
      </c>
      <c r="C115" s="2" t="str">
        <f t="shared" si="5"/>
        <v>P1007</v>
      </c>
      <c r="D115" s="7" t="str">
        <f>"Состояние патрона 1 ("&amp;ROW(A1)-ROW($A$1)&amp;")"</f>
        <v>Состояние патрона 1 (0)</v>
      </c>
      <c r="F115" s="2">
        <v>1177</v>
      </c>
      <c r="G115" s="2" t="str">
        <f t="shared" si="6"/>
        <v>P11070</v>
      </c>
      <c r="H115" s="2" t="str">
        <f t="shared" si="7"/>
        <v>P1107</v>
      </c>
      <c r="I115" s="7" t="str">
        <f>"Overshoot при поиске ("&amp;ROW(A1)-ROW($A$1)&amp;")"</f>
        <v>Overshoot при поиске (0)</v>
      </c>
    </row>
    <row r="116" spans="1:9" x14ac:dyDescent="0.3">
      <c r="A116" s="2">
        <v>178</v>
      </c>
      <c r="B116" s="2" t="str">
        <f t="shared" si="4"/>
        <v>P10071</v>
      </c>
      <c r="C116" s="2" t="str">
        <f t="shared" si="5"/>
        <v xml:space="preserve"> </v>
      </c>
      <c r="D116" s="7" t="str">
        <f t="shared" ref="D116:D122" si="14">"Состояние патрона 1 ("&amp;ROW(A2)-ROW($A$1)&amp;")"</f>
        <v>Состояние патрона 1 (1)</v>
      </c>
      <c r="F116" s="2">
        <v>1178</v>
      </c>
      <c r="G116" s="2" t="str">
        <f t="shared" si="6"/>
        <v>P11071</v>
      </c>
      <c r="H116" s="2" t="str">
        <f t="shared" si="7"/>
        <v xml:space="preserve"> </v>
      </c>
      <c r="I116" s="7" t="str">
        <f t="shared" ref="I116:I118" si="15">"Overshoot при поиске ("&amp;ROW(A2)-ROW($A$1)&amp;")"</f>
        <v>Overshoot при поиске (1)</v>
      </c>
    </row>
    <row r="117" spans="1:9" x14ac:dyDescent="0.3">
      <c r="A117" s="2">
        <v>179</v>
      </c>
      <c r="B117" s="2" t="str">
        <f t="shared" si="4"/>
        <v>P10072</v>
      </c>
      <c r="C117" s="2" t="str">
        <f t="shared" si="5"/>
        <v xml:space="preserve"> </v>
      </c>
      <c r="D117" s="7" t="str">
        <f t="shared" si="14"/>
        <v>Состояние патрона 1 (2)</v>
      </c>
      <c r="F117" s="2">
        <v>1179</v>
      </c>
      <c r="G117" s="2" t="str">
        <f t="shared" si="6"/>
        <v>P11072</v>
      </c>
      <c r="H117" s="2" t="str">
        <f t="shared" si="7"/>
        <v xml:space="preserve"> </v>
      </c>
      <c r="I117" s="7" t="str">
        <f t="shared" si="15"/>
        <v>Overshoot при поиске (2)</v>
      </c>
    </row>
    <row r="118" spans="1:9" x14ac:dyDescent="0.3">
      <c r="A118" s="2">
        <v>180</v>
      </c>
      <c r="B118" s="2" t="str">
        <f t="shared" si="4"/>
        <v>P10073</v>
      </c>
      <c r="C118" s="2" t="str">
        <f t="shared" si="5"/>
        <v xml:space="preserve"> </v>
      </c>
      <c r="D118" s="7" t="str">
        <f t="shared" si="14"/>
        <v>Состояние патрона 1 (3)</v>
      </c>
      <c r="F118" s="2">
        <v>1180</v>
      </c>
      <c r="G118" s="2" t="str">
        <f t="shared" si="6"/>
        <v>P11073</v>
      </c>
      <c r="H118" s="2" t="str">
        <f t="shared" si="7"/>
        <v xml:space="preserve"> </v>
      </c>
      <c r="I118" s="7" t="str">
        <f t="shared" si="15"/>
        <v>Overshoot при поиске (3)</v>
      </c>
    </row>
    <row r="119" spans="1:9" x14ac:dyDescent="0.3">
      <c r="A119" s="2">
        <v>181</v>
      </c>
      <c r="B119" s="2" t="str">
        <f t="shared" si="4"/>
        <v>P10074</v>
      </c>
      <c r="C119" s="2" t="str">
        <f t="shared" si="5"/>
        <v xml:space="preserve"> </v>
      </c>
      <c r="D119" s="7" t="str">
        <f t="shared" si="14"/>
        <v>Состояние патрона 1 (4)</v>
      </c>
      <c r="F119" s="2">
        <v>1181</v>
      </c>
      <c r="G119" s="2" t="str">
        <f t="shared" si="6"/>
        <v>P11074</v>
      </c>
      <c r="H119" s="2" t="str">
        <f t="shared" si="7"/>
        <v xml:space="preserve"> </v>
      </c>
      <c r="I119" s="7"/>
    </row>
    <row r="120" spans="1:9" x14ac:dyDescent="0.3">
      <c r="A120" s="2">
        <v>182</v>
      </c>
      <c r="B120" s="2" t="str">
        <f t="shared" si="4"/>
        <v>P10075</v>
      </c>
      <c r="C120" s="2" t="str">
        <f t="shared" si="5"/>
        <v xml:space="preserve"> </v>
      </c>
      <c r="D120" s="7" t="str">
        <f t="shared" si="14"/>
        <v>Состояние патрона 1 (5)</v>
      </c>
      <c r="F120" s="2">
        <v>1182</v>
      </c>
      <c r="G120" s="2" t="str">
        <f t="shared" si="6"/>
        <v>P11075</v>
      </c>
      <c r="H120" s="2" t="str">
        <f t="shared" si="7"/>
        <v xml:space="preserve"> </v>
      </c>
      <c r="I120" s="7"/>
    </row>
    <row r="121" spans="1:9" x14ac:dyDescent="0.3">
      <c r="A121" s="2">
        <v>183</v>
      </c>
      <c r="B121" s="2" t="str">
        <f t="shared" si="4"/>
        <v>P10076</v>
      </c>
      <c r="C121" s="2" t="str">
        <f t="shared" si="5"/>
        <v xml:space="preserve"> </v>
      </c>
      <c r="D121" s="7" t="str">
        <f t="shared" si="14"/>
        <v>Состояние патрона 1 (6)</v>
      </c>
      <c r="F121" s="2">
        <v>1183</v>
      </c>
      <c r="G121" s="2" t="str">
        <f t="shared" si="6"/>
        <v>P11076</v>
      </c>
      <c r="H121" s="2" t="str">
        <f t="shared" si="7"/>
        <v xml:space="preserve"> </v>
      </c>
      <c r="I121" s="7"/>
    </row>
    <row r="122" spans="1:9" x14ac:dyDescent="0.3">
      <c r="A122" s="2">
        <v>184</v>
      </c>
      <c r="B122" s="2" t="str">
        <f t="shared" si="4"/>
        <v>P10077</v>
      </c>
      <c r="C122" s="2" t="str">
        <f t="shared" si="5"/>
        <v xml:space="preserve"> </v>
      </c>
      <c r="D122" s="7" t="str">
        <f t="shared" si="14"/>
        <v>Состояние патрона 1 (7)</v>
      </c>
      <c r="F122" s="2">
        <v>1184</v>
      </c>
      <c r="G122" s="2" t="str">
        <f t="shared" si="6"/>
        <v>P11077</v>
      </c>
      <c r="H122" s="2" t="str">
        <f t="shared" si="7"/>
        <v xml:space="preserve"> </v>
      </c>
      <c r="I122" s="7"/>
    </row>
    <row r="123" spans="1:9" x14ac:dyDescent="0.3">
      <c r="A123" s="2">
        <v>185</v>
      </c>
      <c r="B123" s="2" t="str">
        <f t="shared" si="4"/>
        <v>P10078</v>
      </c>
      <c r="C123" s="2" t="str">
        <f t="shared" si="5"/>
        <v xml:space="preserve"> </v>
      </c>
      <c r="D123" s="7" t="str">
        <f>"Состояние патрона 2 / станции перехвата ("&amp;ROW(A1)-ROW($A$1)&amp;")"</f>
        <v>Состояние патрона 2 / станции перехвата (0)</v>
      </c>
      <c r="F123" s="2">
        <v>1185</v>
      </c>
      <c r="G123" s="2" t="str">
        <f t="shared" si="6"/>
        <v>P11078</v>
      </c>
      <c r="H123" s="2" t="str">
        <f t="shared" si="7"/>
        <v xml:space="preserve"> </v>
      </c>
      <c r="I123" s="7"/>
    </row>
    <row r="124" spans="1:9" x14ac:dyDescent="0.3">
      <c r="A124" s="2">
        <v>186</v>
      </c>
      <c r="B124" s="2" t="str">
        <f t="shared" si="4"/>
        <v>P10079</v>
      </c>
      <c r="C124" s="2" t="str">
        <f t="shared" si="5"/>
        <v xml:space="preserve"> </v>
      </c>
      <c r="D124" s="7" t="str">
        <f t="shared" ref="D124:D130" si="16">"Состояние патрона 2 / станции перехвата ("&amp;ROW(A2)-ROW($A$1)&amp;")"</f>
        <v>Состояние патрона 2 / станции перехвата (1)</v>
      </c>
      <c r="F124" s="2">
        <v>1186</v>
      </c>
      <c r="G124" s="2" t="str">
        <f t="shared" si="6"/>
        <v>P11079</v>
      </c>
      <c r="H124" s="2" t="str">
        <f t="shared" si="7"/>
        <v xml:space="preserve"> </v>
      </c>
      <c r="I124" s="7"/>
    </row>
    <row r="125" spans="1:9" x14ac:dyDescent="0.3">
      <c r="A125" s="2">
        <v>187</v>
      </c>
      <c r="B125" s="2" t="str">
        <f t="shared" si="4"/>
        <v>P1007A</v>
      </c>
      <c r="C125" s="2" t="str">
        <f t="shared" si="5"/>
        <v xml:space="preserve"> </v>
      </c>
      <c r="D125" s="7" t="str">
        <f t="shared" si="16"/>
        <v>Состояние патрона 2 / станции перехвата (2)</v>
      </c>
      <c r="F125" s="2">
        <v>1187</v>
      </c>
      <c r="G125" s="2" t="str">
        <f t="shared" si="6"/>
        <v>P1107A</v>
      </c>
      <c r="H125" s="2" t="str">
        <f t="shared" si="7"/>
        <v xml:space="preserve"> </v>
      </c>
      <c r="I125" s="7"/>
    </row>
    <row r="126" spans="1:9" x14ac:dyDescent="0.3">
      <c r="A126" s="2">
        <v>188</v>
      </c>
      <c r="B126" s="2" t="str">
        <f t="shared" si="4"/>
        <v>P1007B</v>
      </c>
      <c r="C126" s="2" t="str">
        <f t="shared" si="5"/>
        <v xml:space="preserve"> </v>
      </c>
      <c r="D126" s="7" t="str">
        <f t="shared" si="16"/>
        <v>Состояние патрона 2 / станции перехвата (3)</v>
      </c>
      <c r="F126" s="2">
        <v>1188</v>
      </c>
      <c r="G126" s="2" t="str">
        <f t="shared" si="6"/>
        <v>P1107B</v>
      </c>
      <c r="H126" s="2" t="str">
        <f t="shared" si="7"/>
        <v xml:space="preserve"> </v>
      </c>
      <c r="I126" s="7"/>
    </row>
    <row r="127" spans="1:9" x14ac:dyDescent="0.3">
      <c r="A127" s="2">
        <v>189</v>
      </c>
      <c r="B127" s="2" t="str">
        <f t="shared" si="4"/>
        <v>P1007C</v>
      </c>
      <c r="C127" s="2" t="str">
        <f t="shared" si="5"/>
        <v xml:space="preserve"> </v>
      </c>
      <c r="D127" s="7" t="str">
        <f t="shared" si="16"/>
        <v>Состояние патрона 2 / станции перехвата (4)</v>
      </c>
      <c r="F127" s="2">
        <v>1189</v>
      </c>
      <c r="G127" s="2" t="str">
        <f t="shared" si="6"/>
        <v>P1107C</v>
      </c>
      <c r="H127" s="2" t="str">
        <f t="shared" si="7"/>
        <v xml:space="preserve"> </v>
      </c>
      <c r="I127" s="7"/>
    </row>
    <row r="128" spans="1:9" x14ac:dyDescent="0.3">
      <c r="A128" s="2">
        <v>190</v>
      </c>
      <c r="B128" s="2" t="str">
        <f t="shared" si="4"/>
        <v>P1007D</v>
      </c>
      <c r="C128" s="2" t="str">
        <f t="shared" si="5"/>
        <v xml:space="preserve"> </v>
      </c>
      <c r="D128" s="7" t="str">
        <f t="shared" si="16"/>
        <v>Состояние патрона 2 / станции перехвата (5)</v>
      </c>
      <c r="F128" s="2">
        <v>1190</v>
      </c>
      <c r="G128" s="2" t="str">
        <f t="shared" si="6"/>
        <v>P1107D</v>
      </c>
      <c r="H128" s="2" t="str">
        <f t="shared" si="7"/>
        <v xml:space="preserve"> </v>
      </c>
      <c r="I128" s="7"/>
    </row>
    <row r="129" spans="1:9" x14ac:dyDescent="0.3">
      <c r="A129" s="2">
        <v>191</v>
      </c>
      <c r="B129" s="2" t="str">
        <f t="shared" si="4"/>
        <v>P1007E</v>
      </c>
      <c r="C129" s="2" t="str">
        <f t="shared" si="5"/>
        <v xml:space="preserve"> </v>
      </c>
      <c r="D129" s="7" t="str">
        <f t="shared" si="16"/>
        <v>Состояние патрона 2 / станции перехвата (6)</v>
      </c>
      <c r="F129" s="2">
        <v>1191</v>
      </c>
      <c r="G129" s="2" t="str">
        <f t="shared" si="6"/>
        <v>P1107E</v>
      </c>
      <c r="H129" s="2" t="str">
        <f t="shared" si="7"/>
        <v xml:space="preserve"> </v>
      </c>
      <c r="I129" s="7"/>
    </row>
    <row r="130" spans="1:9" x14ac:dyDescent="0.3">
      <c r="A130" s="2">
        <v>192</v>
      </c>
      <c r="B130" s="2" t="str">
        <f t="shared" si="4"/>
        <v>P1007F</v>
      </c>
      <c r="C130" s="2" t="str">
        <f t="shared" si="5"/>
        <v xml:space="preserve"> </v>
      </c>
      <c r="D130" s="7" t="str">
        <f t="shared" si="16"/>
        <v>Состояние патрона 2 / станции перехвата (7)</v>
      </c>
      <c r="F130" s="2">
        <v>1192</v>
      </c>
      <c r="G130" s="2" t="str">
        <f t="shared" si="6"/>
        <v>P1107F</v>
      </c>
      <c r="H130" s="2" t="str">
        <f t="shared" si="7"/>
        <v xml:space="preserve"> </v>
      </c>
      <c r="I130" s="7"/>
    </row>
    <row r="131" spans="1:9" x14ac:dyDescent="0.3">
      <c r="A131" s="2">
        <v>193</v>
      </c>
      <c r="B131" s="2" t="str">
        <f t="shared" si="4"/>
        <v>P10080</v>
      </c>
      <c r="C131" s="2" t="str">
        <f t="shared" si="5"/>
        <v>P1008</v>
      </c>
      <c r="D131" s="7" t="str">
        <f>"Обработано деталей ("&amp;ROW(A1)-ROW($A$1)&amp;")"</f>
        <v>Обработано деталей (0)</v>
      </c>
      <c r="F131" s="2">
        <v>1193</v>
      </c>
      <c r="G131" s="2" t="str">
        <f t="shared" si="6"/>
        <v>P11080</v>
      </c>
      <c r="H131" s="2" t="str">
        <f t="shared" si="7"/>
        <v>P1108</v>
      </c>
      <c r="I131" s="7" t="str">
        <f t="shared" ref="I131:I138" si="17">"Таймер открытия захвата 1 ("&amp;ROW(A1)-ROW($A$1)&amp;")"</f>
        <v>Таймер открытия захвата 1 (0)</v>
      </c>
    </row>
    <row r="132" spans="1:9" x14ac:dyDescent="0.3">
      <c r="A132" s="2">
        <v>194</v>
      </c>
      <c r="B132" s="2" t="str">
        <f t="shared" ref="B132:B162" si="18">"P"&amp;DEC2HEX(A132+65536-$A$3, 5)</f>
        <v>P10081</v>
      </c>
      <c r="C132" s="2" t="str">
        <f t="shared" ref="C132:C195" si="19">IF(RIGHT(B132,1)="0",LEFT(B132,5)," ")</f>
        <v xml:space="preserve"> </v>
      </c>
      <c r="D132" s="7" t="str">
        <f t="shared" ref="D132:D138" si="20">"Обработано деталей ("&amp;ROW(A2)-ROW($A$1)&amp;")"</f>
        <v>Обработано деталей (1)</v>
      </c>
      <c r="F132" s="2">
        <v>1194</v>
      </c>
      <c r="G132" s="2" t="str">
        <f t="shared" ref="G132:G162" si="21">"P"&amp;DEC2HEX(F132+65536+4096-$F$3, 5)</f>
        <v>P11081</v>
      </c>
      <c r="H132" s="2" t="str">
        <f t="shared" ref="H132:H195" si="22">IF(RIGHT(G132,1)="0",LEFT(G132,5)," ")</f>
        <v xml:space="preserve"> </v>
      </c>
      <c r="I132" s="7" t="str">
        <f t="shared" si="17"/>
        <v>Таймер открытия захвата 1 (1)</v>
      </c>
    </row>
    <row r="133" spans="1:9" x14ac:dyDescent="0.3">
      <c r="A133" s="2">
        <v>195</v>
      </c>
      <c r="B133" s="2" t="str">
        <f t="shared" si="18"/>
        <v>P10082</v>
      </c>
      <c r="C133" s="2" t="str">
        <f t="shared" si="19"/>
        <v xml:space="preserve"> </v>
      </c>
      <c r="D133" s="7" t="str">
        <f t="shared" si="20"/>
        <v>Обработано деталей (2)</v>
      </c>
      <c r="F133" s="2">
        <v>1195</v>
      </c>
      <c r="G133" s="2" t="str">
        <f t="shared" si="21"/>
        <v>P11082</v>
      </c>
      <c r="H133" s="2" t="str">
        <f t="shared" si="22"/>
        <v xml:space="preserve"> </v>
      </c>
      <c r="I133" s="7" t="str">
        <f t="shared" si="17"/>
        <v>Таймер открытия захвата 1 (2)</v>
      </c>
    </row>
    <row r="134" spans="1:9" x14ac:dyDescent="0.3">
      <c r="A134" s="2">
        <v>196</v>
      </c>
      <c r="B134" s="2" t="str">
        <f t="shared" si="18"/>
        <v>P10083</v>
      </c>
      <c r="C134" s="2" t="str">
        <f t="shared" si="19"/>
        <v xml:space="preserve"> </v>
      </c>
      <c r="D134" s="7" t="str">
        <f t="shared" si="20"/>
        <v>Обработано деталей (3)</v>
      </c>
      <c r="F134" s="2">
        <v>1196</v>
      </c>
      <c r="G134" s="2" t="str">
        <f t="shared" si="21"/>
        <v>P11083</v>
      </c>
      <c r="H134" s="2" t="str">
        <f t="shared" si="22"/>
        <v xml:space="preserve"> </v>
      </c>
      <c r="I134" s="7" t="str">
        <f t="shared" si="17"/>
        <v>Таймер открытия захвата 1 (3)</v>
      </c>
    </row>
    <row r="135" spans="1:9" x14ac:dyDescent="0.3">
      <c r="A135" s="2">
        <v>197</v>
      </c>
      <c r="B135" s="2" t="str">
        <f t="shared" si="18"/>
        <v>P10084</v>
      </c>
      <c r="C135" s="2" t="str">
        <f t="shared" si="19"/>
        <v xml:space="preserve"> </v>
      </c>
      <c r="D135" s="7" t="str">
        <f t="shared" si="20"/>
        <v>Обработано деталей (4)</v>
      </c>
      <c r="F135" s="2">
        <v>1197</v>
      </c>
      <c r="G135" s="2" t="str">
        <f t="shared" si="21"/>
        <v>P11084</v>
      </c>
      <c r="H135" s="2" t="str">
        <f t="shared" si="22"/>
        <v xml:space="preserve"> </v>
      </c>
      <c r="I135" s="7" t="str">
        <f t="shared" si="17"/>
        <v>Таймер открытия захвата 1 (4)</v>
      </c>
    </row>
    <row r="136" spans="1:9" x14ac:dyDescent="0.3">
      <c r="A136" s="2">
        <v>198</v>
      </c>
      <c r="B136" s="2" t="str">
        <f t="shared" si="18"/>
        <v>P10085</v>
      </c>
      <c r="C136" s="2" t="str">
        <f t="shared" si="19"/>
        <v xml:space="preserve"> </v>
      </c>
      <c r="D136" s="7" t="str">
        <f t="shared" si="20"/>
        <v>Обработано деталей (5)</v>
      </c>
      <c r="F136" s="2">
        <v>1198</v>
      </c>
      <c r="G136" s="2" t="str">
        <f t="shared" si="21"/>
        <v>P11085</v>
      </c>
      <c r="H136" s="2" t="str">
        <f t="shared" si="22"/>
        <v xml:space="preserve"> </v>
      </c>
      <c r="I136" s="7" t="str">
        <f t="shared" si="17"/>
        <v>Таймер открытия захвата 1 (5)</v>
      </c>
    </row>
    <row r="137" spans="1:9" x14ac:dyDescent="0.3">
      <c r="A137" s="2">
        <v>199</v>
      </c>
      <c r="B137" s="2" t="str">
        <f t="shared" si="18"/>
        <v>P10086</v>
      </c>
      <c r="C137" s="2" t="str">
        <f t="shared" si="19"/>
        <v xml:space="preserve"> </v>
      </c>
      <c r="D137" s="7" t="str">
        <f t="shared" si="20"/>
        <v>Обработано деталей (6)</v>
      </c>
      <c r="F137" s="2">
        <v>1199</v>
      </c>
      <c r="G137" s="2" t="str">
        <f t="shared" si="21"/>
        <v>P11086</v>
      </c>
      <c r="H137" s="2" t="str">
        <f t="shared" si="22"/>
        <v xml:space="preserve"> </v>
      </c>
      <c r="I137" s="7" t="str">
        <f t="shared" si="17"/>
        <v>Таймер открытия захвата 1 (6)</v>
      </c>
    </row>
    <row r="138" spans="1:9" x14ac:dyDescent="0.3">
      <c r="A138" s="2">
        <v>200</v>
      </c>
      <c r="B138" s="2" t="str">
        <f t="shared" si="18"/>
        <v>P10087</v>
      </c>
      <c r="C138" s="2" t="str">
        <f t="shared" si="19"/>
        <v xml:space="preserve"> </v>
      </c>
      <c r="D138" s="7" t="str">
        <f t="shared" si="20"/>
        <v>Обработано деталей (7)</v>
      </c>
      <c r="F138" s="2">
        <v>1200</v>
      </c>
      <c r="G138" s="2" t="str">
        <f t="shared" si="21"/>
        <v>P11087</v>
      </c>
      <c r="H138" s="2" t="str">
        <f t="shared" si="22"/>
        <v xml:space="preserve"> </v>
      </c>
      <c r="I138" s="7" t="str">
        <f t="shared" si="17"/>
        <v>Таймер открытия захвата 1 (7)</v>
      </c>
    </row>
    <row r="139" spans="1:9" x14ac:dyDescent="0.3">
      <c r="A139" s="2">
        <v>201</v>
      </c>
      <c r="B139" s="2" t="str">
        <f t="shared" si="18"/>
        <v>P10088</v>
      </c>
      <c r="C139" s="2" t="str">
        <f t="shared" si="19"/>
        <v xml:space="preserve"> </v>
      </c>
      <c r="D139" s="7" t="str">
        <f>"Следующая деталь ("&amp;ROW(A1)-ROW($A$1)&amp;")"</f>
        <v>Следующая деталь (0)</v>
      </c>
      <c r="F139" s="2">
        <v>1201</v>
      </c>
      <c r="G139" s="2" t="str">
        <f t="shared" si="21"/>
        <v>P11088</v>
      </c>
      <c r="H139" s="2" t="str">
        <f t="shared" si="22"/>
        <v xml:space="preserve"> </v>
      </c>
      <c r="I139" s="7" t="str">
        <f t="shared" ref="I139:I146" si="23">"Таймер закрытия захвата 1 ("&amp;ROW(A1)-ROW($A$1)&amp;")"</f>
        <v>Таймер закрытия захвата 1 (0)</v>
      </c>
    </row>
    <row r="140" spans="1:9" x14ac:dyDescent="0.3">
      <c r="A140" s="2">
        <v>202</v>
      </c>
      <c r="B140" s="2" t="str">
        <f t="shared" si="18"/>
        <v>P10089</v>
      </c>
      <c r="C140" s="2" t="str">
        <f t="shared" si="19"/>
        <v xml:space="preserve"> </v>
      </c>
      <c r="D140" s="7" t="str">
        <f t="shared" ref="D140:D146" si="24">"Следующая деталь ("&amp;ROW(A2)-ROW($A$1)&amp;")"</f>
        <v>Следующая деталь (1)</v>
      </c>
      <c r="F140" s="2">
        <v>1202</v>
      </c>
      <c r="G140" s="2" t="str">
        <f t="shared" si="21"/>
        <v>P11089</v>
      </c>
      <c r="H140" s="2" t="str">
        <f t="shared" si="22"/>
        <v xml:space="preserve"> </v>
      </c>
      <c r="I140" s="7" t="str">
        <f t="shared" si="23"/>
        <v>Таймер закрытия захвата 1 (1)</v>
      </c>
    </row>
    <row r="141" spans="1:9" x14ac:dyDescent="0.3">
      <c r="A141" s="2">
        <v>203</v>
      </c>
      <c r="B141" s="2" t="str">
        <f t="shared" si="18"/>
        <v>P1008A</v>
      </c>
      <c r="C141" s="2" t="str">
        <f t="shared" si="19"/>
        <v xml:space="preserve"> </v>
      </c>
      <c r="D141" s="7" t="str">
        <f t="shared" si="24"/>
        <v>Следующая деталь (2)</v>
      </c>
      <c r="F141" s="2">
        <v>1203</v>
      </c>
      <c r="G141" s="2" t="str">
        <f t="shared" si="21"/>
        <v>P1108A</v>
      </c>
      <c r="H141" s="2" t="str">
        <f t="shared" si="22"/>
        <v xml:space="preserve"> </v>
      </c>
      <c r="I141" s="7" t="str">
        <f t="shared" si="23"/>
        <v>Таймер закрытия захвата 1 (2)</v>
      </c>
    </row>
    <row r="142" spans="1:9" x14ac:dyDescent="0.3">
      <c r="A142" s="2">
        <v>204</v>
      </c>
      <c r="B142" s="2" t="str">
        <f t="shared" si="18"/>
        <v>P1008B</v>
      </c>
      <c r="C142" s="2" t="str">
        <f t="shared" si="19"/>
        <v xml:space="preserve"> </v>
      </c>
      <c r="D142" s="7" t="str">
        <f t="shared" si="24"/>
        <v>Следующая деталь (3)</v>
      </c>
      <c r="F142" s="2">
        <v>1204</v>
      </c>
      <c r="G142" s="2" t="str">
        <f t="shared" si="21"/>
        <v>P1108B</v>
      </c>
      <c r="H142" s="2" t="str">
        <f t="shared" si="22"/>
        <v xml:space="preserve"> </v>
      </c>
      <c r="I142" s="7" t="str">
        <f t="shared" si="23"/>
        <v>Таймер закрытия захвата 1 (3)</v>
      </c>
    </row>
    <row r="143" spans="1:9" x14ac:dyDescent="0.3">
      <c r="A143" s="2">
        <v>205</v>
      </c>
      <c r="B143" s="2" t="str">
        <f t="shared" si="18"/>
        <v>P1008C</v>
      </c>
      <c r="C143" s="2" t="str">
        <f t="shared" si="19"/>
        <v xml:space="preserve"> </v>
      </c>
      <c r="D143" s="7" t="str">
        <f t="shared" si="24"/>
        <v>Следующая деталь (4)</v>
      </c>
      <c r="F143" s="2">
        <v>1205</v>
      </c>
      <c r="G143" s="2" t="str">
        <f t="shared" si="21"/>
        <v>P1108C</v>
      </c>
      <c r="H143" s="2" t="str">
        <f t="shared" si="22"/>
        <v xml:space="preserve"> </v>
      </c>
      <c r="I143" s="7" t="str">
        <f t="shared" si="23"/>
        <v>Таймер закрытия захвата 1 (4)</v>
      </c>
    </row>
    <row r="144" spans="1:9" x14ac:dyDescent="0.3">
      <c r="A144" s="2">
        <v>206</v>
      </c>
      <c r="B144" s="2" t="str">
        <f t="shared" si="18"/>
        <v>P1008D</v>
      </c>
      <c r="C144" s="2" t="str">
        <f t="shared" si="19"/>
        <v xml:space="preserve"> </v>
      </c>
      <c r="D144" s="7" t="str">
        <f t="shared" si="24"/>
        <v>Следующая деталь (5)</v>
      </c>
      <c r="F144" s="2">
        <v>1206</v>
      </c>
      <c r="G144" s="2" t="str">
        <f t="shared" si="21"/>
        <v>P1108D</v>
      </c>
      <c r="H144" s="2" t="str">
        <f t="shared" si="22"/>
        <v xml:space="preserve"> </v>
      </c>
      <c r="I144" s="7" t="str">
        <f t="shared" si="23"/>
        <v>Таймер закрытия захвата 1 (5)</v>
      </c>
    </row>
    <row r="145" spans="1:9" x14ac:dyDescent="0.3">
      <c r="A145" s="2">
        <v>207</v>
      </c>
      <c r="B145" s="2" t="str">
        <f t="shared" si="18"/>
        <v>P1008E</v>
      </c>
      <c r="C145" s="2" t="str">
        <f t="shared" si="19"/>
        <v xml:space="preserve"> </v>
      </c>
      <c r="D145" s="7" t="str">
        <f t="shared" si="24"/>
        <v>Следующая деталь (6)</v>
      </c>
      <c r="F145" s="2">
        <v>1207</v>
      </c>
      <c r="G145" s="2" t="str">
        <f t="shared" si="21"/>
        <v>P1108E</v>
      </c>
      <c r="H145" s="2" t="str">
        <f t="shared" si="22"/>
        <v xml:space="preserve"> </v>
      </c>
      <c r="I145" s="7" t="str">
        <f t="shared" si="23"/>
        <v>Таймер закрытия захвата 1 (6)</v>
      </c>
    </row>
    <row r="146" spans="1:9" x14ac:dyDescent="0.3">
      <c r="A146" s="2">
        <v>208</v>
      </c>
      <c r="B146" s="2" t="str">
        <f t="shared" si="18"/>
        <v>P1008F</v>
      </c>
      <c r="C146" s="2" t="str">
        <f t="shared" si="19"/>
        <v xml:space="preserve"> </v>
      </c>
      <c r="D146" s="7" t="str">
        <f t="shared" si="24"/>
        <v>Следующая деталь (7)</v>
      </c>
      <c r="F146" s="2">
        <v>1208</v>
      </c>
      <c r="G146" s="2" t="str">
        <f t="shared" si="21"/>
        <v>P1108F</v>
      </c>
      <c r="H146" s="2" t="str">
        <f t="shared" si="22"/>
        <v xml:space="preserve"> </v>
      </c>
      <c r="I146" s="7" t="str">
        <f t="shared" si="23"/>
        <v>Таймер закрытия захвата 1 (7)</v>
      </c>
    </row>
    <row r="147" spans="1:9" x14ac:dyDescent="0.3">
      <c r="A147" s="2">
        <v>209</v>
      </c>
      <c r="B147" s="2" t="str">
        <f t="shared" si="18"/>
        <v>P10090</v>
      </c>
      <c r="C147" s="2" t="str">
        <f t="shared" si="19"/>
        <v>P1009</v>
      </c>
      <c r="F147" s="2">
        <v>1209</v>
      </c>
      <c r="G147" s="2" t="str">
        <f t="shared" si="21"/>
        <v>P11090</v>
      </c>
      <c r="H147" s="2" t="str">
        <f t="shared" si="22"/>
        <v>P1109</v>
      </c>
      <c r="I147" s="7" t="str">
        <f t="shared" ref="I147:I154" si="25">"Таймер открытия захвата 2 ("&amp;ROW(A1)-ROW($A$1)&amp;")"</f>
        <v>Таймер открытия захвата 2 (0)</v>
      </c>
    </row>
    <row r="148" spans="1:9" x14ac:dyDescent="0.3">
      <c r="A148" s="2">
        <v>210</v>
      </c>
      <c r="B148" s="2" t="str">
        <f t="shared" si="18"/>
        <v>P10091</v>
      </c>
      <c r="C148" s="2" t="str">
        <f t="shared" si="19"/>
        <v xml:space="preserve"> </v>
      </c>
      <c r="F148" s="2">
        <v>1210</v>
      </c>
      <c r="G148" s="2" t="str">
        <f t="shared" si="21"/>
        <v>P11091</v>
      </c>
      <c r="H148" s="2" t="str">
        <f t="shared" si="22"/>
        <v xml:space="preserve"> </v>
      </c>
      <c r="I148" s="7" t="str">
        <f t="shared" si="25"/>
        <v>Таймер открытия захвата 2 (1)</v>
      </c>
    </row>
    <row r="149" spans="1:9" x14ac:dyDescent="0.3">
      <c r="A149" s="2">
        <v>211</v>
      </c>
      <c r="B149" s="2" t="str">
        <f t="shared" si="18"/>
        <v>P10092</v>
      </c>
      <c r="C149" s="2" t="str">
        <f t="shared" si="19"/>
        <v xml:space="preserve"> </v>
      </c>
      <c r="F149" s="2">
        <v>1211</v>
      </c>
      <c r="G149" s="2" t="str">
        <f t="shared" si="21"/>
        <v>P11092</v>
      </c>
      <c r="H149" s="2" t="str">
        <f t="shared" si="22"/>
        <v xml:space="preserve"> </v>
      </c>
      <c r="I149" s="7" t="str">
        <f t="shared" si="25"/>
        <v>Таймер открытия захвата 2 (2)</v>
      </c>
    </row>
    <row r="150" spans="1:9" x14ac:dyDescent="0.3">
      <c r="A150" s="2">
        <v>212</v>
      </c>
      <c r="B150" s="2" t="str">
        <f t="shared" si="18"/>
        <v>P10093</v>
      </c>
      <c r="C150" s="2" t="str">
        <f t="shared" si="19"/>
        <v xml:space="preserve"> </v>
      </c>
      <c r="F150" s="2">
        <v>1212</v>
      </c>
      <c r="G150" s="2" t="str">
        <f t="shared" si="21"/>
        <v>P11093</v>
      </c>
      <c r="H150" s="2" t="str">
        <f t="shared" si="22"/>
        <v xml:space="preserve"> </v>
      </c>
      <c r="I150" s="7" t="str">
        <f t="shared" si="25"/>
        <v>Таймер открытия захвата 2 (3)</v>
      </c>
    </row>
    <row r="151" spans="1:9" x14ac:dyDescent="0.3">
      <c r="A151" s="2">
        <v>213</v>
      </c>
      <c r="B151" s="2" t="str">
        <f t="shared" si="18"/>
        <v>P10094</v>
      </c>
      <c r="C151" s="2" t="str">
        <f t="shared" si="19"/>
        <v xml:space="preserve"> </v>
      </c>
      <c r="F151" s="2">
        <v>1213</v>
      </c>
      <c r="G151" s="2" t="str">
        <f t="shared" si="21"/>
        <v>P11094</v>
      </c>
      <c r="H151" s="2" t="str">
        <f t="shared" si="22"/>
        <v xml:space="preserve"> </v>
      </c>
      <c r="I151" s="7" t="str">
        <f t="shared" si="25"/>
        <v>Таймер открытия захвата 2 (4)</v>
      </c>
    </row>
    <row r="152" spans="1:9" x14ac:dyDescent="0.3">
      <c r="A152" s="2">
        <v>214</v>
      </c>
      <c r="B152" s="2" t="str">
        <f t="shared" si="18"/>
        <v>P10095</v>
      </c>
      <c r="C152" s="2" t="str">
        <f t="shared" si="19"/>
        <v xml:space="preserve"> </v>
      </c>
      <c r="F152" s="2">
        <v>1214</v>
      </c>
      <c r="G152" s="2" t="str">
        <f t="shared" si="21"/>
        <v>P11095</v>
      </c>
      <c r="H152" s="2" t="str">
        <f t="shared" si="22"/>
        <v xml:space="preserve"> </v>
      </c>
      <c r="I152" s="7" t="str">
        <f t="shared" si="25"/>
        <v>Таймер открытия захвата 2 (5)</v>
      </c>
    </row>
    <row r="153" spans="1:9" x14ac:dyDescent="0.3">
      <c r="A153" s="2">
        <v>215</v>
      </c>
      <c r="B153" s="2" t="str">
        <f t="shared" si="18"/>
        <v>P10096</v>
      </c>
      <c r="C153" s="2" t="str">
        <f t="shared" si="19"/>
        <v xml:space="preserve"> </v>
      </c>
      <c r="F153" s="2">
        <v>1215</v>
      </c>
      <c r="G153" s="2" t="str">
        <f t="shared" si="21"/>
        <v>P11096</v>
      </c>
      <c r="H153" s="2" t="str">
        <f t="shared" si="22"/>
        <v xml:space="preserve"> </v>
      </c>
      <c r="I153" s="7" t="str">
        <f t="shared" si="25"/>
        <v>Таймер открытия захвата 2 (6)</v>
      </c>
    </row>
    <row r="154" spans="1:9" x14ac:dyDescent="0.3">
      <c r="A154" s="2">
        <v>216</v>
      </c>
      <c r="B154" s="2" t="str">
        <f t="shared" si="18"/>
        <v>P10097</v>
      </c>
      <c r="C154" s="2" t="str">
        <f t="shared" si="19"/>
        <v xml:space="preserve"> </v>
      </c>
      <c r="F154" s="2">
        <v>1216</v>
      </c>
      <c r="G154" s="2" t="str">
        <f t="shared" si="21"/>
        <v>P11097</v>
      </c>
      <c r="H154" s="2" t="str">
        <f t="shared" si="22"/>
        <v xml:space="preserve"> </v>
      </c>
      <c r="I154" s="7" t="str">
        <f t="shared" si="25"/>
        <v>Таймер открытия захвата 2 (7)</v>
      </c>
    </row>
    <row r="155" spans="1:9" x14ac:dyDescent="0.3">
      <c r="A155" s="2">
        <v>217</v>
      </c>
      <c r="B155" s="2" t="str">
        <f t="shared" si="18"/>
        <v>P10098</v>
      </c>
      <c r="C155" s="2" t="str">
        <f t="shared" si="19"/>
        <v xml:space="preserve"> </v>
      </c>
      <c r="F155" s="2">
        <v>1217</v>
      </c>
      <c r="G155" s="2" t="str">
        <f t="shared" si="21"/>
        <v>P11098</v>
      </c>
      <c r="H155" s="2" t="str">
        <f t="shared" si="22"/>
        <v xml:space="preserve"> </v>
      </c>
      <c r="I155" s="7" t="str">
        <f t="shared" ref="I155:I162" si="26">"Таймер закрытия захвата 2 ("&amp;ROW(A1)-ROW($A$1)&amp;")"</f>
        <v>Таймер закрытия захвата 2 (0)</v>
      </c>
    </row>
    <row r="156" spans="1:9" x14ac:dyDescent="0.3">
      <c r="A156" s="2">
        <v>218</v>
      </c>
      <c r="B156" s="2" t="str">
        <f t="shared" si="18"/>
        <v>P10099</v>
      </c>
      <c r="C156" s="2" t="str">
        <f t="shared" si="19"/>
        <v xml:space="preserve"> </v>
      </c>
      <c r="F156" s="2">
        <v>1218</v>
      </c>
      <c r="G156" s="2" t="str">
        <f t="shared" si="21"/>
        <v>P11099</v>
      </c>
      <c r="H156" s="2" t="str">
        <f t="shared" si="22"/>
        <v xml:space="preserve"> </v>
      </c>
      <c r="I156" s="7" t="str">
        <f t="shared" si="26"/>
        <v>Таймер закрытия захвата 2 (1)</v>
      </c>
    </row>
    <row r="157" spans="1:9" x14ac:dyDescent="0.3">
      <c r="A157" s="2">
        <v>219</v>
      </c>
      <c r="B157" s="2" t="str">
        <f t="shared" si="18"/>
        <v>P1009A</v>
      </c>
      <c r="C157" s="2" t="str">
        <f t="shared" si="19"/>
        <v xml:space="preserve"> </v>
      </c>
      <c r="F157" s="2">
        <v>1219</v>
      </c>
      <c r="G157" s="2" t="str">
        <f t="shared" si="21"/>
        <v>P1109A</v>
      </c>
      <c r="H157" s="2" t="str">
        <f t="shared" si="22"/>
        <v xml:space="preserve"> </v>
      </c>
      <c r="I157" s="7" t="str">
        <f t="shared" si="26"/>
        <v>Таймер закрытия захвата 2 (2)</v>
      </c>
    </row>
    <row r="158" spans="1:9" x14ac:dyDescent="0.3">
      <c r="A158" s="2">
        <v>220</v>
      </c>
      <c r="B158" s="2" t="str">
        <f t="shared" si="18"/>
        <v>P1009B</v>
      </c>
      <c r="C158" s="2" t="str">
        <f t="shared" si="19"/>
        <v xml:space="preserve"> </v>
      </c>
      <c r="F158" s="2">
        <v>1220</v>
      </c>
      <c r="G158" s="2" t="str">
        <f t="shared" si="21"/>
        <v>P1109B</v>
      </c>
      <c r="H158" s="2" t="str">
        <f t="shared" si="22"/>
        <v xml:space="preserve"> </v>
      </c>
      <c r="I158" s="7" t="str">
        <f t="shared" si="26"/>
        <v>Таймер закрытия захвата 2 (3)</v>
      </c>
    </row>
    <row r="159" spans="1:9" x14ac:dyDescent="0.3">
      <c r="A159" s="2">
        <v>221</v>
      </c>
      <c r="B159" s="2" t="str">
        <f t="shared" si="18"/>
        <v>P1009C</v>
      </c>
      <c r="C159" s="2" t="str">
        <f t="shared" si="19"/>
        <v xml:space="preserve"> </v>
      </c>
      <c r="F159" s="2">
        <v>1221</v>
      </c>
      <c r="G159" s="2" t="str">
        <f t="shared" si="21"/>
        <v>P1109C</v>
      </c>
      <c r="H159" s="2" t="str">
        <f t="shared" si="22"/>
        <v xml:space="preserve"> </v>
      </c>
      <c r="I159" s="7" t="str">
        <f t="shared" si="26"/>
        <v>Таймер закрытия захвата 2 (4)</v>
      </c>
    </row>
    <row r="160" spans="1:9" x14ac:dyDescent="0.3">
      <c r="A160" s="2">
        <v>222</v>
      </c>
      <c r="B160" s="2" t="str">
        <f t="shared" si="18"/>
        <v>P1009D</v>
      </c>
      <c r="C160" s="2" t="str">
        <f t="shared" si="19"/>
        <v xml:space="preserve"> </v>
      </c>
      <c r="F160" s="2">
        <v>1222</v>
      </c>
      <c r="G160" s="2" t="str">
        <f t="shared" si="21"/>
        <v>P1109D</v>
      </c>
      <c r="H160" s="2" t="str">
        <f t="shared" si="22"/>
        <v xml:space="preserve"> </v>
      </c>
      <c r="I160" s="7" t="str">
        <f t="shared" si="26"/>
        <v>Таймер закрытия захвата 2 (5)</v>
      </c>
    </row>
    <row r="161" spans="1:9" x14ac:dyDescent="0.3">
      <c r="A161" s="2">
        <v>223</v>
      </c>
      <c r="B161" s="2" t="str">
        <f t="shared" si="18"/>
        <v>P1009E</v>
      </c>
      <c r="C161" s="2" t="str">
        <f t="shared" si="19"/>
        <v xml:space="preserve"> </v>
      </c>
      <c r="F161" s="2">
        <v>1223</v>
      </c>
      <c r="G161" s="2" t="str">
        <f t="shared" si="21"/>
        <v>P1109E</v>
      </c>
      <c r="H161" s="2" t="str">
        <f t="shared" si="22"/>
        <v xml:space="preserve"> </v>
      </c>
      <c r="I161" s="7" t="str">
        <f t="shared" si="26"/>
        <v>Таймер закрытия захвата 2 (6)</v>
      </c>
    </row>
    <row r="162" spans="1:9" x14ac:dyDescent="0.3">
      <c r="A162" s="2">
        <v>224</v>
      </c>
      <c r="B162" s="2" t="str">
        <f t="shared" si="18"/>
        <v>P1009F</v>
      </c>
      <c r="C162" s="2" t="str">
        <f t="shared" si="19"/>
        <v xml:space="preserve"> </v>
      </c>
      <c r="F162" s="2">
        <v>1224</v>
      </c>
      <c r="G162" s="2" t="str">
        <f t="shared" si="21"/>
        <v>P1109F</v>
      </c>
      <c r="H162" s="2" t="str">
        <f t="shared" si="22"/>
        <v xml:space="preserve"> </v>
      </c>
      <c r="I162" s="7" t="str">
        <f t="shared" si="26"/>
        <v>Таймер закрытия захвата 2 (7)</v>
      </c>
    </row>
    <row r="163" spans="1:9" x14ac:dyDescent="0.3">
      <c r="A163" s="2">
        <v>225</v>
      </c>
      <c r="B163" s="2" t="str">
        <f>"P"&amp;DEC2HEX(A163+65536-$A$3 +96, 5)</f>
        <v>P10100</v>
      </c>
      <c r="C163" s="2" t="str">
        <f t="shared" si="19"/>
        <v>P1010</v>
      </c>
      <c r="F163" s="2">
        <v>1225</v>
      </c>
      <c r="G163" s="2" t="str">
        <f>"P"&amp;DEC2HEX(F163+65536+4096 + 96-$F$3, 5)</f>
        <v>P11100</v>
      </c>
      <c r="H163" s="2" t="str">
        <f t="shared" si="22"/>
        <v>P1110</v>
      </c>
      <c r="I163" s="7" t="str">
        <f>"Таймер открытия патрона 1 ("&amp;ROW(A1)-ROW($A$1)&amp;")"</f>
        <v>Таймер открытия патрона 1 (0)</v>
      </c>
    </row>
    <row r="164" spans="1:9" x14ac:dyDescent="0.3">
      <c r="A164" s="2">
        <v>226</v>
      </c>
      <c r="B164" s="2" t="str">
        <f>"P"&amp;DEC2HEX(A164+65536-$A$3 +96, 5)</f>
        <v>P10101</v>
      </c>
      <c r="C164" s="2" t="str">
        <f t="shared" si="19"/>
        <v xml:space="preserve"> </v>
      </c>
      <c r="F164" s="2">
        <v>1226</v>
      </c>
      <c r="G164" s="2" t="str">
        <f t="shared" ref="G164:G227" si="27">"P"&amp;DEC2HEX(F164+65536+4096 + 96-$F$3, 5)</f>
        <v>P11101</v>
      </c>
      <c r="H164" s="2" t="str">
        <f t="shared" si="22"/>
        <v xml:space="preserve"> </v>
      </c>
      <c r="I164" s="7" t="str">
        <f t="shared" ref="I164:I170" si="28">"Таймер открытия патрона 1 ("&amp;ROW(A2)-ROW($A$1)&amp;")"</f>
        <v>Таймер открытия патрона 1 (1)</v>
      </c>
    </row>
    <row r="165" spans="1:9" x14ac:dyDescent="0.3">
      <c r="A165" s="2">
        <v>227</v>
      </c>
      <c r="B165" s="2" t="str">
        <f t="shared" ref="B165:B228" si="29">"P"&amp;DEC2HEX(A165+65536-$A$3 +96, 5)</f>
        <v>P10102</v>
      </c>
      <c r="C165" s="2" t="str">
        <f t="shared" si="19"/>
        <v xml:space="preserve"> </v>
      </c>
      <c r="F165" s="2">
        <v>1227</v>
      </c>
      <c r="G165" s="2" t="str">
        <f t="shared" si="27"/>
        <v>P11102</v>
      </c>
      <c r="H165" s="2" t="str">
        <f t="shared" si="22"/>
        <v xml:space="preserve"> </v>
      </c>
      <c r="I165" s="7" t="str">
        <f t="shared" si="28"/>
        <v>Таймер открытия патрона 1 (2)</v>
      </c>
    </row>
    <row r="166" spans="1:9" x14ac:dyDescent="0.3">
      <c r="A166" s="2">
        <v>228</v>
      </c>
      <c r="B166" s="2" t="str">
        <f t="shared" si="29"/>
        <v>P10103</v>
      </c>
      <c r="C166" s="2" t="str">
        <f t="shared" si="19"/>
        <v xml:space="preserve"> </v>
      </c>
      <c r="F166" s="2">
        <v>1228</v>
      </c>
      <c r="G166" s="2" t="str">
        <f t="shared" si="27"/>
        <v>P11103</v>
      </c>
      <c r="H166" s="2" t="str">
        <f t="shared" si="22"/>
        <v xml:space="preserve"> </v>
      </c>
      <c r="I166" s="7" t="str">
        <f t="shared" si="28"/>
        <v>Таймер открытия патрона 1 (3)</v>
      </c>
    </row>
    <row r="167" spans="1:9" x14ac:dyDescent="0.3">
      <c r="A167" s="2">
        <v>229</v>
      </c>
      <c r="B167" s="2" t="str">
        <f t="shared" si="29"/>
        <v>P10104</v>
      </c>
      <c r="C167" s="2" t="str">
        <f t="shared" si="19"/>
        <v xml:space="preserve"> </v>
      </c>
      <c r="F167" s="2">
        <v>1229</v>
      </c>
      <c r="G167" s="2" t="str">
        <f t="shared" si="27"/>
        <v>P11104</v>
      </c>
      <c r="H167" s="2" t="str">
        <f t="shared" si="22"/>
        <v xml:space="preserve"> </v>
      </c>
      <c r="I167" s="7" t="str">
        <f t="shared" si="28"/>
        <v>Таймер открытия патрона 1 (4)</v>
      </c>
    </row>
    <row r="168" spans="1:9" x14ac:dyDescent="0.3">
      <c r="A168" s="2">
        <v>230</v>
      </c>
      <c r="B168" s="2" t="str">
        <f t="shared" si="29"/>
        <v>P10105</v>
      </c>
      <c r="C168" s="2" t="str">
        <f t="shared" si="19"/>
        <v xml:space="preserve"> </v>
      </c>
      <c r="F168" s="2">
        <v>1230</v>
      </c>
      <c r="G168" s="2" t="str">
        <f t="shared" si="27"/>
        <v>P11105</v>
      </c>
      <c r="H168" s="2" t="str">
        <f t="shared" si="22"/>
        <v xml:space="preserve"> </v>
      </c>
      <c r="I168" s="7" t="str">
        <f t="shared" si="28"/>
        <v>Таймер открытия патрона 1 (5)</v>
      </c>
    </row>
    <row r="169" spans="1:9" x14ac:dyDescent="0.3">
      <c r="A169" s="2">
        <v>231</v>
      </c>
      <c r="B169" s="2" t="str">
        <f t="shared" si="29"/>
        <v>P10106</v>
      </c>
      <c r="C169" s="2" t="str">
        <f t="shared" si="19"/>
        <v xml:space="preserve"> </v>
      </c>
      <c r="F169" s="2">
        <v>1231</v>
      </c>
      <c r="G169" s="2" t="str">
        <f t="shared" si="27"/>
        <v>P11106</v>
      </c>
      <c r="H169" s="2" t="str">
        <f t="shared" si="22"/>
        <v xml:space="preserve"> </v>
      </c>
      <c r="I169" s="7" t="str">
        <f t="shared" si="28"/>
        <v>Таймер открытия патрона 1 (6)</v>
      </c>
    </row>
    <row r="170" spans="1:9" x14ac:dyDescent="0.3">
      <c r="A170" s="2">
        <v>232</v>
      </c>
      <c r="B170" s="2" t="str">
        <f t="shared" si="29"/>
        <v>P10107</v>
      </c>
      <c r="C170" s="2" t="str">
        <f t="shared" si="19"/>
        <v xml:space="preserve"> </v>
      </c>
      <c r="F170" s="2">
        <v>1232</v>
      </c>
      <c r="G170" s="2" t="str">
        <f t="shared" si="27"/>
        <v>P11107</v>
      </c>
      <c r="H170" s="2" t="str">
        <f t="shared" si="22"/>
        <v xml:space="preserve"> </v>
      </c>
      <c r="I170" s="7" t="str">
        <f t="shared" si="28"/>
        <v>Таймер открытия патрона 1 (7)</v>
      </c>
    </row>
    <row r="171" spans="1:9" x14ac:dyDescent="0.3">
      <c r="A171" s="2">
        <v>233</v>
      </c>
      <c r="B171" s="2" t="str">
        <f t="shared" si="29"/>
        <v>P10108</v>
      </c>
      <c r="C171" s="2" t="str">
        <f t="shared" si="19"/>
        <v xml:space="preserve"> </v>
      </c>
      <c r="F171" s="2">
        <v>1233</v>
      </c>
      <c r="G171" s="2" t="str">
        <f t="shared" si="27"/>
        <v>P11108</v>
      </c>
      <c r="H171" s="2" t="str">
        <f t="shared" si="22"/>
        <v xml:space="preserve"> </v>
      </c>
      <c r="I171" s="7" t="str">
        <f>"Таймер закрытия патрона 1 ("&amp;ROW(A1)-ROW($A$1)&amp;")"</f>
        <v>Таймер закрытия патрона 1 (0)</v>
      </c>
    </row>
    <row r="172" spans="1:9" x14ac:dyDescent="0.3">
      <c r="A172" s="2">
        <v>234</v>
      </c>
      <c r="B172" s="2" t="str">
        <f t="shared" si="29"/>
        <v>P10109</v>
      </c>
      <c r="C172" s="2" t="str">
        <f t="shared" si="19"/>
        <v xml:space="preserve"> </v>
      </c>
      <c r="F172" s="2">
        <v>1234</v>
      </c>
      <c r="G172" s="2" t="str">
        <f t="shared" si="27"/>
        <v>P11109</v>
      </c>
      <c r="H172" s="2" t="str">
        <f t="shared" si="22"/>
        <v xml:space="preserve"> </v>
      </c>
      <c r="I172" s="7" t="str">
        <f t="shared" ref="I172:I178" si="30">"Таймер закрытия патрона 1 ("&amp;ROW(A2)-ROW($A$1)&amp;")"</f>
        <v>Таймер закрытия патрона 1 (1)</v>
      </c>
    </row>
    <row r="173" spans="1:9" x14ac:dyDescent="0.3">
      <c r="A173" s="2">
        <v>235</v>
      </c>
      <c r="B173" s="2" t="str">
        <f t="shared" si="29"/>
        <v>P1010A</v>
      </c>
      <c r="C173" s="2" t="str">
        <f t="shared" si="19"/>
        <v xml:space="preserve"> </v>
      </c>
      <c r="F173" s="2">
        <v>1235</v>
      </c>
      <c r="G173" s="2" t="str">
        <f t="shared" si="27"/>
        <v>P1110A</v>
      </c>
      <c r="H173" s="2" t="str">
        <f t="shared" si="22"/>
        <v xml:space="preserve"> </v>
      </c>
      <c r="I173" s="7" t="str">
        <f t="shared" si="30"/>
        <v>Таймер закрытия патрона 1 (2)</v>
      </c>
    </row>
    <row r="174" spans="1:9" x14ac:dyDescent="0.3">
      <c r="A174" s="2">
        <v>236</v>
      </c>
      <c r="B174" s="2" t="str">
        <f t="shared" si="29"/>
        <v>P1010B</v>
      </c>
      <c r="C174" s="2" t="str">
        <f t="shared" si="19"/>
        <v xml:space="preserve"> </v>
      </c>
      <c r="F174" s="2">
        <v>1236</v>
      </c>
      <c r="G174" s="2" t="str">
        <f t="shared" si="27"/>
        <v>P1110B</v>
      </c>
      <c r="H174" s="2" t="str">
        <f t="shared" si="22"/>
        <v xml:space="preserve"> </v>
      </c>
      <c r="I174" s="7" t="str">
        <f t="shared" si="30"/>
        <v>Таймер закрытия патрона 1 (3)</v>
      </c>
    </row>
    <row r="175" spans="1:9" x14ac:dyDescent="0.3">
      <c r="A175" s="2">
        <v>237</v>
      </c>
      <c r="B175" s="2" t="str">
        <f t="shared" si="29"/>
        <v>P1010C</v>
      </c>
      <c r="C175" s="2" t="str">
        <f t="shared" si="19"/>
        <v xml:space="preserve"> </v>
      </c>
      <c r="F175" s="2">
        <v>1237</v>
      </c>
      <c r="G175" s="2" t="str">
        <f t="shared" si="27"/>
        <v>P1110C</v>
      </c>
      <c r="H175" s="2" t="str">
        <f t="shared" si="22"/>
        <v xml:space="preserve"> </v>
      </c>
      <c r="I175" s="7" t="str">
        <f t="shared" si="30"/>
        <v>Таймер закрытия патрона 1 (4)</v>
      </c>
    </row>
    <row r="176" spans="1:9" x14ac:dyDescent="0.3">
      <c r="A176" s="2">
        <v>238</v>
      </c>
      <c r="B176" s="2" t="str">
        <f t="shared" si="29"/>
        <v>P1010D</v>
      </c>
      <c r="C176" s="2" t="str">
        <f t="shared" si="19"/>
        <v xml:space="preserve"> </v>
      </c>
      <c r="F176" s="2">
        <v>1238</v>
      </c>
      <c r="G176" s="2" t="str">
        <f t="shared" si="27"/>
        <v>P1110D</v>
      </c>
      <c r="H176" s="2" t="str">
        <f t="shared" si="22"/>
        <v xml:space="preserve"> </v>
      </c>
      <c r="I176" s="7" t="str">
        <f t="shared" si="30"/>
        <v>Таймер закрытия патрона 1 (5)</v>
      </c>
    </row>
    <row r="177" spans="1:9" x14ac:dyDescent="0.3">
      <c r="A177" s="2">
        <v>239</v>
      </c>
      <c r="B177" s="2" t="str">
        <f t="shared" si="29"/>
        <v>P1010E</v>
      </c>
      <c r="C177" s="2" t="str">
        <f t="shared" si="19"/>
        <v xml:space="preserve"> </v>
      </c>
      <c r="F177" s="2">
        <v>1239</v>
      </c>
      <c r="G177" s="2" t="str">
        <f t="shared" si="27"/>
        <v>P1110E</v>
      </c>
      <c r="H177" s="2" t="str">
        <f t="shared" si="22"/>
        <v xml:space="preserve"> </v>
      </c>
      <c r="I177" s="7" t="str">
        <f t="shared" si="30"/>
        <v>Таймер закрытия патрона 1 (6)</v>
      </c>
    </row>
    <row r="178" spans="1:9" x14ac:dyDescent="0.3">
      <c r="A178" s="2">
        <v>240</v>
      </c>
      <c r="B178" s="2" t="str">
        <f t="shared" si="29"/>
        <v>P1010F</v>
      </c>
      <c r="C178" s="2" t="str">
        <f t="shared" si="19"/>
        <v xml:space="preserve"> </v>
      </c>
      <c r="F178" s="2">
        <v>1240</v>
      </c>
      <c r="G178" s="2" t="str">
        <f t="shared" si="27"/>
        <v>P1110F</v>
      </c>
      <c r="H178" s="2" t="str">
        <f t="shared" si="22"/>
        <v xml:space="preserve"> </v>
      </c>
      <c r="I178" s="7" t="str">
        <f t="shared" si="30"/>
        <v>Таймер закрытия патрона 1 (7)</v>
      </c>
    </row>
    <row r="179" spans="1:9" x14ac:dyDescent="0.3">
      <c r="A179" s="2">
        <v>241</v>
      </c>
      <c r="B179" s="2" t="str">
        <f t="shared" si="29"/>
        <v>P10110</v>
      </c>
      <c r="C179" s="2" t="str">
        <f t="shared" si="19"/>
        <v>P1011</v>
      </c>
      <c r="F179" s="2">
        <v>1241</v>
      </c>
      <c r="G179" s="2" t="str">
        <f t="shared" si="27"/>
        <v>P11110</v>
      </c>
      <c r="H179" s="2" t="str">
        <f t="shared" si="22"/>
        <v>P1111</v>
      </c>
      <c r="I179" s="7" t="str">
        <f>"Таймер открытия патрона 2 ("&amp;ROW(A1)-ROW($A$1)&amp;")"</f>
        <v>Таймер открытия патрона 2 (0)</v>
      </c>
    </row>
    <row r="180" spans="1:9" x14ac:dyDescent="0.3">
      <c r="A180" s="2">
        <v>242</v>
      </c>
      <c r="B180" s="2" t="str">
        <f t="shared" si="29"/>
        <v>P10111</v>
      </c>
      <c r="C180" s="2" t="str">
        <f t="shared" si="19"/>
        <v xml:space="preserve"> </v>
      </c>
      <c r="F180" s="2">
        <v>1242</v>
      </c>
      <c r="G180" s="2" t="str">
        <f t="shared" si="27"/>
        <v>P11111</v>
      </c>
      <c r="H180" s="2" t="str">
        <f t="shared" si="22"/>
        <v xml:space="preserve"> </v>
      </c>
      <c r="I180" s="7" t="str">
        <f t="shared" ref="I180:I186" si="31">"Таймер открытия патрона 2 ("&amp;ROW(A2)-ROW($A$1)&amp;")"</f>
        <v>Таймер открытия патрона 2 (1)</v>
      </c>
    </row>
    <row r="181" spans="1:9" x14ac:dyDescent="0.3">
      <c r="A181" s="2">
        <v>243</v>
      </c>
      <c r="B181" s="2" t="str">
        <f t="shared" si="29"/>
        <v>P10112</v>
      </c>
      <c r="C181" s="2" t="str">
        <f t="shared" si="19"/>
        <v xml:space="preserve"> </v>
      </c>
      <c r="F181" s="2">
        <v>1243</v>
      </c>
      <c r="G181" s="2" t="str">
        <f t="shared" si="27"/>
        <v>P11112</v>
      </c>
      <c r="H181" s="2" t="str">
        <f t="shared" si="22"/>
        <v xml:space="preserve"> </v>
      </c>
      <c r="I181" s="7" t="str">
        <f t="shared" si="31"/>
        <v>Таймер открытия патрона 2 (2)</v>
      </c>
    </row>
    <row r="182" spans="1:9" x14ac:dyDescent="0.3">
      <c r="A182" s="2">
        <v>244</v>
      </c>
      <c r="B182" s="2" t="str">
        <f t="shared" si="29"/>
        <v>P10113</v>
      </c>
      <c r="C182" s="2" t="str">
        <f t="shared" si="19"/>
        <v xml:space="preserve"> </v>
      </c>
      <c r="F182" s="2">
        <v>1244</v>
      </c>
      <c r="G182" s="2" t="str">
        <f t="shared" si="27"/>
        <v>P11113</v>
      </c>
      <c r="H182" s="2" t="str">
        <f t="shared" si="22"/>
        <v xml:space="preserve"> </v>
      </c>
      <c r="I182" s="7" t="str">
        <f t="shared" si="31"/>
        <v>Таймер открытия патрона 2 (3)</v>
      </c>
    </row>
    <row r="183" spans="1:9" x14ac:dyDescent="0.3">
      <c r="A183" s="2">
        <v>245</v>
      </c>
      <c r="B183" s="2" t="str">
        <f t="shared" si="29"/>
        <v>P10114</v>
      </c>
      <c r="C183" s="2" t="str">
        <f t="shared" si="19"/>
        <v xml:space="preserve"> </v>
      </c>
      <c r="F183" s="2">
        <v>1245</v>
      </c>
      <c r="G183" s="2" t="str">
        <f t="shared" si="27"/>
        <v>P11114</v>
      </c>
      <c r="H183" s="2" t="str">
        <f t="shared" si="22"/>
        <v xml:space="preserve"> </v>
      </c>
      <c r="I183" s="7" t="str">
        <f t="shared" si="31"/>
        <v>Таймер открытия патрона 2 (4)</v>
      </c>
    </row>
    <row r="184" spans="1:9" x14ac:dyDescent="0.3">
      <c r="A184" s="2">
        <v>246</v>
      </c>
      <c r="B184" s="2" t="str">
        <f t="shared" si="29"/>
        <v>P10115</v>
      </c>
      <c r="C184" s="2" t="str">
        <f t="shared" si="19"/>
        <v xml:space="preserve"> </v>
      </c>
      <c r="F184" s="2">
        <v>1246</v>
      </c>
      <c r="G184" s="2" t="str">
        <f t="shared" si="27"/>
        <v>P11115</v>
      </c>
      <c r="H184" s="2" t="str">
        <f t="shared" si="22"/>
        <v xml:space="preserve"> </v>
      </c>
      <c r="I184" s="7" t="str">
        <f t="shared" si="31"/>
        <v>Таймер открытия патрона 2 (5)</v>
      </c>
    </row>
    <row r="185" spans="1:9" x14ac:dyDescent="0.3">
      <c r="A185" s="2">
        <v>247</v>
      </c>
      <c r="B185" s="2" t="str">
        <f t="shared" si="29"/>
        <v>P10116</v>
      </c>
      <c r="C185" s="2" t="str">
        <f t="shared" si="19"/>
        <v xml:space="preserve"> </v>
      </c>
      <c r="F185" s="2">
        <v>1247</v>
      </c>
      <c r="G185" s="2" t="str">
        <f t="shared" si="27"/>
        <v>P11116</v>
      </c>
      <c r="H185" s="2" t="str">
        <f t="shared" si="22"/>
        <v xml:space="preserve"> </v>
      </c>
      <c r="I185" s="7" t="str">
        <f t="shared" si="31"/>
        <v>Таймер открытия патрона 2 (6)</v>
      </c>
    </row>
    <row r="186" spans="1:9" x14ac:dyDescent="0.3">
      <c r="A186" s="2">
        <v>248</v>
      </c>
      <c r="B186" s="2" t="str">
        <f t="shared" si="29"/>
        <v>P10117</v>
      </c>
      <c r="C186" s="2" t="str">
        <f t="shared" si="19"/>
        <v xml:space="preserve"> </v>
      </c>
      <c r="F186" s="2">
        <v>1248</v>
      </c>
      <c r="G186" s="2" t="str">
        <f t="shared" si="27"/>
        <v>P11117</v>
      </c>
      <c r="H186" s="2" t="str">
        <f t="shared" si="22"/>
        <v xml:space="preserve"> </v>
      </c>
      <c r="I186" s="7" t="str">
        <f t="shared" si="31"/>
        <v>Таймер открытия патрона 2 (7)</v>
      </c>
    </row>
    <row r="187" spans="1:9" x14ac:dyDescent="0.3">
      <c r="A187" s="2">
        <v>249</v>
      </c>
      <c r="B187" s="2" t="str">
        <f t="shared" si="29"/>
        <v>P10118</v>
      </c>
      <c r="C187" s="2" t="str">
        <f t="shared" si="19"/>
        <v xml:space="preserve"> </v>
      </c>
      <c r="F187" s="2">
        <v>1249</v>
      </c>
      <c r="G187" s="2" t="str">
        <f t="shared" si="27"/>
        <v>P11118</v>
      </c>
      <c r="H187" s="2" t="str">
        <f t="shared" si="22"/>
        <v xml:space="preserve"> </v>
      </c>
      <c r="I187" s="7" t="str">
        <f>"Таймер закрытия патрона 2 ("&amp;ROW(A1)-ROW($A$1)&amp;")"</f>
        <v>Таймер закрытия патрона 2 (0)</v>
      </c>
    </row>
    <row r="188" spans="1:9" x14ac:dyDescent="0.3">
      <c r="A188" s="2">
        <v>250</v>
      </c>
      <c r="B188" s="2" t="str">
        <f t="shared" si="29"/>
        <v>P10119</v>
      </c>
      <c r="C188" s="2" t="str">
        <f t="shared" si="19"/>
        <v xml:space="preserve"> </v>
      </c>
      <c r="F188" s="2">
        <v>1250</v>
      </c>
      <c r="G188" s="2" t="str">
        <f t="shared" si="27"/>
        <v>P11119</v>
      </c>
      <c r="H188" s="2" t="str">
        <f t="shared" si="22"/>
        <v xml:space="preserve"> </v>
      </c>
      <c r="I188" s="7" t="str">
        <f t="shared" ref="I188:I194" si="32">"Таймер закрытия патрона 2 ("&amp;ROW(A2)-ROW($A$1)&amp;")"</f>
        <v>Таймер закрытия патрона 2 (1)</v>
      </c>
    </row>
    <row r="189" spans="1:9" x14ac:dyDescent="0.3">
      <c r="A189" s="2">
        <v>251</v>
      </c>
      <c r="B189" s="2" t="str">
        <f t="shared" si="29"/>
        <v>P1011A</v>
      </c>
      <c r="C189" s="2" t="str">
        <f t="shared" si="19"/>
        <v xml:space="preserve"> </v>
      </c>
      <c r="F189" s="2">
        <v>1251</v>
      </c>
      <c r="G189" s="2" t="str">
        <f t="shared" si="27"/>
        <v>P1111A</v>
      </c>
      <c r="H189" s="2" t="str">
        <f t="shared" si="22"/>
        <v xml:space="preserve"> </v>
      </c>
      <c r="I189" s="7" t="str">
        <f t="shared" si="32"/>
        <v>Таймер закрытия патрона 2 (2)</v>
      </c>
    </row>
    <row r="190" spans="1:9" x14ac:dyDescent="0.3">
      <c r="A190" s="2">
        <v>252</v>
      </c>
      <c r="B190" s="2" t="str">
        <f t="shared" si="29"/>
        <v>P1011B</v>
      </c>
      <c r="C190" s="2" t="str">
        <f t="shared" si="19"/>
        <v xml:space="preserve"> </v>
      </c>
      <c r="F190" s="2">
        <v>1252</v>
      </c>
      <c r="G190" s="2" t="str">
        <f t="shared" si="27"/>
        <v>P1111B</v>
      </c>
      <c r="H190" s="2" t="str">
        <f t="shared" si="22"/>
        <v xml:space="preserve"> </v>
      </c>
      <c r="I190" s="7" t="str">
        <f t="shared" si="32"/>
        <v>Таймер закрытия патрона 2 (3)</v>
      </c>
    </row>
    <row r="191" spans="1:9" x14ac:dyDescent="0.3">
      <c r="A191" s="2">
        <v>253</v>
      </c>
      <c r="B191" s="2" t="str">
        <f t="shared" si="29"/>
        <v>P1011C</v>
      </c>
      <c r="C191" s="2" t="str">
        <f t="shared" si="19"/>
        <v xml:space="preserve"> </v>
      </c>
      <c r="F191" s="2">
        <v>1253</v>
      </c>
      <c r="G191" s="2" t="str">
        <f t="shared" si="27"/>
        <v>P1111C</v>
      </c>
      <c r="H191" s="2" t="str">
        <f t="shared" si="22"/>
        <v xml:space="preserve"> </v>
      </c>
      <c r="I191" s="7" t="str">
        <f t="shared" si="32"/>
        <v>Таймер закрытия патрона 2 (4)</v>
      </c>
    </row>
    <row r="192" spans="1:9" x14ac:dyDescent="0.3">
      <c r="A192" s="2">
        <v>254</v>
      </c>
      <c r="B192" s="2" t="str">
        <f t="shared" si="29"/>
        <v>P1011D</v>
      </c>
      <c r="C192" s="2" t="str">
        <f t="shared" si="19"/>
        <v xml:space="preserve"> </v>
      </c>
      <c r="F192" s="2">
        <v>1254</v>
      </c>
      <c r="G192" s="2" t="str">
        <f t="shared" si="27"/>
        <v>P1111D</v>
      </c>
      <c r="H192" s="2" t="str">
        <f t="shared" si="22"/>
        <v xml:space="preserve"> </v>
      </c>
      <c r="I192" s="7" t="str">
        <f t="shared" si="32"/>
        <v>Таймер закрытия патрона 2 (5)</v>
      </c>
    </row>
    <row r="193" spans="1:9" x14ac:dyDescent="0.3">
      <c r="A193" s="2">
        <v>255</v>
      </c>
      <c r="B193" s="2" t="str">
        <f t="shared" si="29"/>
        <v>P1011E</v>
      </c>
      <c r="C193" s="2" t="str">
        <f t="shared" si="19"/>
        <v xml:space="preserve"> </v>
      </c>
      <c r="F193" s="2">
        <v>1255</v>
      </c>
      <c r="G193" s="2" t="str">
        <f t="shared" si="27"/>
        <v>P1111E</v>
      </c>
      <c r="H193" s="2" t="str">
        <f t="shared" si="22"/>
        <v xml:space="preserve"> </v>
      </c>
      <c r="I193" s="7" t="str">
        <f t="shared" si="32"/>
        <v>Таймер закрытия патрона 2 (6)</v>
      </c>
    </row>
    <row r="194" spans="1:9" x14ac:dyDescent="0.3">
      <c r="A194" s="2">
        <v>256</v>
      </c>
      <c r="B194" s="2" t="str">
        <f t="shared" si="29"/>
        <v>P1011F</v>
      </c>
      <c r="C194" s="2" t="str">
        <f t="shared" si="19"/>
        <v xml:space="preserve"> </v>
      </c>
      <c r="F194" s="2">
        <v>1256</v>
      </c>
      <c r="G194" s="2" t="str">
        <f t="shared" si="27"/>
        <v>P1111F</v>
      </c>
      <c r="H194" s="2" t="str">
        <f t="shared" si="22"/>
        <v xml:space="preserve"> </v>
      </c>
      <c r="I194" s="7" t="str">
        <f t="shared" si="32"/>
        <v>Таймер закрытия патрона 2 (7)</v>
      </c>
    </row>
    <row r="195" spans="1:9" x14ac:dyDescent="0.3">
      <c r="A195" s="2">
        <v>257</v>
      </c>
      <c r="B195" s="2" t="str">
        <f t="shared" si="29"/>
        <v>P10120</v>
      </c>
      <c r="C195" s="2" t="str">
        <f t="shared" si="19"/>
        <v>P1012</v>
      </c>
      <c r="F195" s="2">
        <v>1257</v>
      </c>
      <c r="G195" s="2" t="str">
        <f t="shared" si="27"/>
        <v>P11120</v>
      </c>
      <c r="H195" s="2" t="str">
        <f t="shared" si="22"/>
        <v>P1112</v>
      </c>
      <c r="I195" s="7"/>
    </row>
    <row r="196" spans="1:9" x14ac:dyDescent="0.3">
      <c r="A196" s="2">
        <v>258</v>
      </c>
      <c r="B196" s="2" t="str">
        <f t="shared" si="29"/>
        <v>P10121</v>
      </c>
      <c r="C196" s="2" t="str">
        <f t="shared" ref="C196:C259" si="33">IF(RIGHT(B196,1)="0",LEFT(B196,5)," ")</f>
        <v xml:space="preserve"> </v>
      </c>
      <c r="F196" s="2">
        <v>1258</v>
      </c>
      <c r="G196" s="2" t="str">
        <f t="shared" si="27"/>
        <v>P11121</v>
      </c>
      <c r="H196" s="2" t="str">
        <f t="shared" ref="H196:H259" si="34">IF(RIGHT(G196,1)="0",LEFT(G196,5)," ")</f>
        <v xml:space="preserve"> </v>
      </c>
      <c r="I196" s="7"/>
    </row>
    <row r="197" spans="1:9" x14ac:dyDescent="0.3">
      <c r="A197" s="2">
        <v>259</v>
      </c>
      <c r="B197" s="2" t="str">
        <f t="shared" si="29"/>
        <v>P10122</v>
      </c>
      <c r="C197" s="2" t="str">
        <f t="shared" si="33"/>
        <v xml:space="preserve"> </v>
      </c>
      <c r="F197" s="2">
        <v>1259</v>
      </c>
      <c r="G197" s="2" t="str">
        <f t="shared" si="27"/>
        <v>P11122</v>
      </c>
      <c r="H197" s="2" t="str">
        <f t="shared" si="34"/>
        <v xml:space="preserve"> </v>
      </c>
      <c r="I197" s="7"/>
    </row>
    <row r="198" spans="1:9" x14ac:dyDescent="0.3">
      <c r="A198" s="2">
        <v>260</v>
      </c>
      <c r="B198" s="2" t="str">
        <f t="shared" si="29"/>
        <v>P10123</v>
      </c>
      <c r="C198" s="2" t="str">
        <f t="shared" si="33"/>
        <v xml:space="preserve"> </v>
      </c>
      <c r="F198" s="2">
        <v>1260</v>
      </c>
      <c r="G198" s="2" t="str">
        <f t="shared" si="27"/>
        <v>P11123</v>
      </c>
      <c r="H198" s="2" t="str">
        <f t="shared" si="34"/>
        <v xml:space="preserve"> </v>
      </c>
      <c r="I198" s="7"/>
    </row>
    <row r="199" spans="1:9" x14ac:dyDescent="0.3">
      <c r="A199" s="2">
        <v>261</v>
      </c>
      <c r="B199" s="2" t="str">
        <f t="shared" si="29"/>
        <v>P10124</v>
      </c>
      <c r="C199" s="2" t="str">
        <f t="shared" si="33"/>
        <v xml:space="preserve"> </v>
      </c>
      <c r="F199" s="2">
        <v>1261</v>
      </c>
      <c r="G199" s="2" t="str">
        <f t="shared" si="27"/>
        <v>P11124</v>
      </c>
      <c r="H199" s="2" t="str">
        <f t="shared" si="34"/>
        <v xml:space="preserve"> </v>
      </c>
      <c r="I199" s="7"/>
    </row>
    <row r="200" spans="1:9" x14ac:dyDescent="0.3">
      <c r="A200" s="2">
        <v>262</v>
      </c>
      <c r="B200" s="2" t="str">
        <f t="shared" si="29"/>
        <v>P10125</v>
      </c>
      <c r="C200" s="2" t="str">
        <f t="shared" si="33"/>
        <v xml:space="preserve"> </v>
      </c>
      <c r="F200" s="2">
        <v>1262</v>
      </c>
      <c r="G200" s="2" t="str">
        <f t="shared" si="27"/>
        <v>P11125</v>
      </c>
      <c r="H200" s="2" t="str">
        <f t="shared" si="34"/>
        <v xml:space="preserve"> </v>
      </c>
      <c r="I200" s="7"/>
    </row>
    <row r="201" spans="1:9" x14ac:dyDescent="0.3">
      <c r="A201" s="2">
        <v>263</v>
      </c>
      <c r="B201" s="2" t="str">
        <f t="shared" si="29"/>
        <v>P10126</v>
      </c>
      <c r="C201" s="2" t="str">
        <f t="shared" si="33"/>
        <v xml:space="preserve"> </v>
      </c>
      <c r="F201" s="2">
        <v>1263</v>
      </c>
      <c r="G201" s="2" t="str">
        <f t="shared" si="27"/>
        <v>P11126</v>
      </c>
      <c r="H201" s="2" t="str">
        <f t="shared" si="34"/>
        <v xml:space="preserve"> </v>
      </c>
      <c r="I201" s="7"/>
    </row>
    <row r="202" spans="1:9" x14ac:dyDescent="0.3">
      <c r="A202" s="2">
        <v>264</v>
      </c>
      <c r="B202" s="2" t="str">
        <f t="shared" si="29"/>
        <v>P10127</v>
      </c>
      <c r="C202" s="2" t="str">
        <f t="shared" si="33"/>
        <v xml:space="preserve"> </v>
      </c>
      <c r="F202" s="2">
        <v>1264</v>
      </c>
      <c r="G202" s="2" t="str">
        <f t="shared" si="27"/>
        <v>P11127</v>
      </c>
      <c r="H202" s="2" t="str">
        <f t="shared" si="34"/>
        <v xml:space="preserve"> </v>
      </c>
      <c r="I202" s="7"/>
    </row>
    <row r="203" spans="1:9" x14ac:dyDescent="0.3">
      <c r="A203" s="2">
        <v>265</v>
      </c>
      <c r="B203" s="2" t="str">
        <f t="shared" si="29"/>
        <v>P10128</v>
      </c>
      <c r="C203" s="2" t="str">
        <f t="shared" si="33"/>
        <v xml:space="preserve"> </v>
      </c>
      <c r="F203" s="2">
        <v>1265</v>
      </c>
      <c r="G203" s="2" t="str">
        <f t="shared" si="27"/>
        <v>P11128</v>
      </c>
      <c r="H203" s="2" t="str">
        <f t="shared" si="34"/>
        <v xml:space="preserve"> </v>
      </c>
      <c r="I203" s="7"/>
    </row>
    <row r="204" spans="1:9" x14ac:dyDescent="0.3">
      <c r="A204" s="2">
        <v>266</v>
      </c>
      <c r="B204" s="2" t="str">
        <f t="shared" si="29"/>
        <v>P10129</v>
      </c>
      <c r="C204" s="2" t="str">
        <f t="shared" si="33"/>
        <v xml:space="preserve"> </v>
      </c>
      <c r="F204" s="2">
        <v>1266</v>
      </c>
      <c r="G204" s="2" t="str">
        <f t="shared" si="27"/>
        <v>P11129</v>
      </c>
      <c r="H204" s="2" t="str">
        <f t="shared" si="34"/>
        <v xml:space="preserve"> </v>
      </c>
      <c r="I204" s="7"/>
    </row>
    <row r="205" spans="1:9" x14ac:dyDescent="0.3">
      <c r="A205" s="2">
        <v>267</v>
      </c>
      <c r="B205" s="2" t="str">
        <f t="shared" si="29"/>
        <v>P1012A</v>
      </c>
      <c r="C205" s="2" t="str">
        <f t="shared" si="33"/>
        <v xml:space="preserve"> </v>
      </c>
      <c r="F205" s="2">
        <v>1267</v>
      </c>
      <c r="G205" s="2" t="str">
        <f t="shared" si="27"/>
        <v>P1112A</v>
      </c>
      <c r="H205" s="2" t="str">
        <f t="shared" si="34"/>
        <v xml:space="preserve"> </v>
      </c>
      <c r="I205" s="7"/>
    </row>
    <row r="206" spans="1:9" x14ac:dyDescent="0.3">
      <c r="A206" s="2">
        <v>268</v>
      </c>
      <c r="B206" s="2" t="str">
        <f t="shared" si="29"/>
        <v>P1012B</v>
      </c>
      <c r="C206" s="2" t="str">
        <f t="shared" si="33"/>
        <v xml:space="preserve"> </v>
      </c>
      <c r="F206" s="2">
        <v>1268</v>
      </c>
      <c r="G206" s="2" t="str">
        <f t="shared" si="27"/>
        <v>P1112B</v>
      </c>
      <c r="H206" s="2" t="str">
        <f t="shared" si="34"/>
        <v xml:space="preserve"> </v>
      </c>
      <c r="I206" s="7"/>
    </row>
    <row r="207" spans="1:9" x14ac:dyDescent="0.3">
      <c r="A207" s="2">
        <v>269</v>
      </c>
      <c r="B207" s="2" t="str">
        <f t="shared" si="29"/>
        <v>P1012C</v>
      </c>
      <c r="C207" s="2" t="str">
        <f t="shared" si="33"/>
        <v xml:space="preserve"> </v>
      </c>
      <c r="F207" s="2">
        <v>1269</v>
      </c>
      <c r="G207" s="2" t="str">
        <f t="shared" si="27"/>
        <v>P1112C</v>
      </c>
      <c r="H207" s="2" t="str">
        <f t="shared" si="34"/>
        <v xml:space="preserve"> </v>
      </c>
      <c r="I207" s="7"/>
    </row>
    <row r="208" spans="1:9" x14ac:dyDescent="0.3">
      <c r="A208" s="2">
        <v>270</v>
      </c>
      <c r="B208" s="2" t="str">
        <f t="shared" si="29"/>
        <v>P1012D</v>
      </c>
      <c r="C208" s="2" t="str">
        <f t="shared" si="33"/>
        <v xml:space="preserve"> </v>
      </c>
      <c r="F208" s="2">
        <v>1270</v>
      </c>
      <c r="G208" s="2" t="str">
        <f t="shared" si="27"/>
        <v>P1112D</v>
      </c>
      <c r="H208" s="2" t="str">
        <f t="shared" si="34"/>
        <v xml:space="preserve"> </v>
      </c>
      <c r="I208" s="7"/>
    </row>
    <row r="209" spans="1:9" x14ac:dyDescent="0.3">
      <c r="A209" s="2">
        <v>271</v>
      </c>
      <c r="B209" s="2" t="str">
        <f t="shared" si="29"/>
        <v>P1012E</v>
      </c>
      <c r="C209" s="2" t="str">
        <f t="shared" si="33"/>
        <v xml:space="preserve"> </v>
      </c>
      <c r="F209" s="2">
        <v>1271</v>
      </c>
      <c r="G209" s="2" t="str">
        <f t="shared" si="27"/>
        <v>P1112E</v>
      </c>
      <c r="H209" s="2" t="str">
        <f t="shared" si="34"/>
        <v xml:space="preserve"> </v>
      </c>
      <c r="I209" s="7"/>
    </row>
    <row r="210" spans="1:9" x14ac:dyDescent="0.3">
      <c r="A210" s="2">
        <v>272</v>
      </c>
      <c r="B210" s="2" t="str">
        <f t="shared" si="29"/>
        <v>P1012F</v>
      </c>
      <c r="C210" s="2" t="str">
        <f t="shared" si="33"/>
        <v xml:space="preserve"> </v>
      </c>
      <c r="F210" s="2">
        <v>1272</v>
      </c>
      <c r="G210" s="2" t="str">
        <f t="shared" si="27"/>
        <v>P1112F</v>
      </c>
      <c r="H210" s="2" t="str">
        <f t="shared" si="34"/>
        <v xml:space="preserve"> </v>
      </c>
      <c r="I210" s="7"/>
    </row>
    <row r="211" spans="1:9" x14ac:dyDescent="0.3">
      <c r="A211" s="2">
        <v>273</v>
      </c>
      <c r="B211" s="2" t="str">
        <f t="shared" si="29"/>
        <v>P10130</v>
      </c>
      <c r="C211" s="2" t="str">
        <f t="shared" si="33"/>
        <v>P1013</v>
      </c>
      <c r="F211" s="2">
        <v>1273</v>
      </c>
      <c r="G211" s="2" t="str">
        <f t="shared" si="27"/>
        <v>P11130</v>
      </c>
      <c r="H211" s="2" t="str">
        <f t="shared" si="34"/>
        <v>P1113</v>
      </c>
      <c r="I211" s="7"/>
    </row>
    <row r="212" spans="1:9" x14ac:dyDescent="0.3">
      <c r="A212" s="2">
        <v>274</v>
      </c>
      <c r="B212" s="2" t="str">
        <f t="shared" si="29"/>
        <v>P10131</v>
      </c>
      <c r="C212" s="2" t="str">
        <f t="shared" si="33"/>
        <v xml:space="preserve"> </v>
      </c>
      <c r="F212" s="2">
        <v>1274</v>
      </c>
      <c r="G212" s="2" t="str">
        <f t="shared" si="27"/>
        <v>P11131</v>
      </c>
      <c r="H212" s="2" t="str">
        <f t="shared" si="34"/>
        <v xml:space="preserve"> </v>
      </c>
      <c r="I212" s="7"/>
    </row>
    <row r="213" spans="1:9" x14ac:dyDescent="0.3">
      <c r="A213" s="2">
        <v>275</v>
      </c>
      <c r="B213" s="2" t="str">
        <f t="shared" si="29"/>
        <v>P10132</v>
      </c>
      <c r="C213" s="2" t="str">
        <f t="shared" si="33"/>
        <v xml:space="preserve"> </v>
      </c>
      <c r="F213" s="2">
        <v>1275</v>
      </c>
      <c r="G213" s="2" t="str">
        <f t="shared" si="27"/>
        <v>P11132</v>
      </c>
      <c r="H213" s="2" t="str">
        <f t="shared" si="34"/>
        <v xml:space="preserve"> </v>
      </c>
      <c r="I213" s="7"/>
    </row>
    <row r="214" spans="1:9" x14ac:dyDescent="0.3">
      <c r="A214" s="2">
        <v>276</v>
      </c>
      <c r="B214" s="2" t="str">
        <f t="shared" si="29"/>
        <v>P10133</v>
      </c>
      <c r="C214" s="2" t="str">
        <f t="shared" si="33"/>
        <v xml:space="preserve"> </v>
      </c>
      <c r="F214" s="2">
        <v>1276</v>
      </c>
      <c r="G214" s="2" t="str">
        <f t="shared" si="27"/>
        <v>P11133</v>
      </c>
      <c r="H214" s="2" t="str">
        <f t="shared" si="34"/>
        <v xml:space="preserve"> </v>
      </c>
      <c r="I214" s="7"/>
    </row>
    <row r="215" spans="1:9" x14ac:dyDescent="0.3">
      <c r="A215" s="2">
        <v>277</v>
      </c>
      <c r="B215" s="2" t="str">
        <f t="shared" si="29"/>
        <v>P10134</v>
      </c>
      <c r="C215" s="2" t="str">
        <f t="shared" si="33"/>
        <v xml:space="preserve"> </v>
      </c>
      <c r="F215" s="2">
        <v>1277</v>
      </c>
      <c r="G215" s="2" t="str">
        <f t="shared" si="27"/>
        <v>P11134</v>
      </c>
      <c r="H215" s="2" t="str">
        <f t="shared" si="34"/>
        <v xml:space="preserve"> </v>
      </c>
      <c r="I215" s="7"/>
    </row>
    <row r="216" spans="1:9" x14ac:dyDescent="0.3">
      <c r="A216" s="2">
        <v>278</v>
      </c>
      <c r="B216" s="2" t="str">
        <f t="shared" si="29"/>
        <v>P10135</v>
      </c>
      <c r="C216" s="2" t="str">
        <f t="shared" si="33"/>
        <v xml:space="preserve"> </v>
      </c>
      <c r="F216" s="2">
        <v>1278</v>
      </c>
      <c r="G216" s="2" t="str">
        <f t="shared" si="27"/>
        <v>P11135</v>
      </c>
      <c r="H216" s="2" t="str">
        <f t="shared" si="34"/>
        <v xml:space="preserve"> </v>
      </c>
      <c r="I216" s="7"/>
    </row>
    <row r="217" spans="1:9" x14ac:dyDescent="0.3">
      <c r="A217" s="2">
        <v>279</v>
      </c>
      <c r="B217" s="2" t="str">
        <f t="shared" si="29"/>
        <v>P10136</v>
      </c>
      <c r="C217" s="2" t="str">
        <f t="shared" si="33"/>
        <v xml:space="preserve"> </v>
      </c>
      <c r="F217" s="2">
        <v>1279</v>
      </c>
      <c r="G217" s="2" t="str">
        <f t="shared" si="27"/>
        <v>P11136</v>
      </c>
      <c r="H217" s="2" t="str">
        <f t="shared" si="34"/>
        <v xml:space="preserve"> </v>
      </c>
      <c r="I217" s="7"/>
    </row>
    <row r="218" spans="1:9" x14ac:dyDescent="0.3">
      <c r="A218" s="2">
        <v>280</v>
      </c>
      <c r="B218" s="2" t="str">
        <f t="shared" si="29"/>
        <v>P10137</v>
      </c>
      <c r="C218" s="2" t="str">
        <f t="shared" si="33"/>
        <v xml:space="preserve"> </v>
      </c>
      <c r="F218" s="2">
        <v>1280</v>
      </c>
      <c r="G218" s="2" t="str">
        <f t="shared" si="27"/>
        <v>P11137</v>
      </c>
      <c r="H218" s="2" t="str">
        <f t="shared" si="34"/>
        <v xml:space="preserve"> </v>
      </c>
      <c r="I218" s="7"/>
    </row>
    <row r="219" spans="1:9" x14ac:dyDescent="0.3">
      <c r="A219" s="2">
        <v>281</v>
      </c>
      <c r="B219" s="2" t="str">
        <f t="shared" si="29"/>
        <v>P10138</v>
      </c>
      <c r="C219" s="2" t="str">
        <f t="shared" si="33"/>
        <v xml:space="preserve"> </v>
      </c>
      <c r="F219" s="2">
        <v>1281</v>
      </c>
      <c r="G219" s="2" t="str">
        <f t="shared" si="27"/>
        <v>P11138</v>
      </c>
      <c r="H219" s="2" t="str">
        <f t="shared" si="34"/>
        <v xml:space="preserve"> </v>
      </c>
      <c r="I219" s="7"/>
    </row>
    <row r="220" spans="1:9" x14ac:dyDescent="0.3">
      <c r="A220" s="2">
        <v>282</v>
      </c>
      <c r="B220" s="2" t="str">
        <f t="shared" si="29"/>
        <v>P10139</v>
      </c>
      <c r="C220" s="2" t="str">
        <f t="shared" si="33"/>
        <v xml:space="preserve"> </v>
      </c>
      <c r="F220" s="2">
        <v>1282</v>
      </c>
      <c r="G220" s="2" t="str">
        <f t="shared" si="27"/>
        <v>P11139</v>
      </c>
      <c r="H220" s="2" t="str">
        <f t="shared" si="34"/>
        <v xml:space="preserve"> </v>
      </c>
      <c r="I220" s="7"/>
    </row>
    <row r="221" spans="1:9" x14ac:dyDescent="0.3">
      <c r="A221" s="2">
        <v>283</v>
      </c>
      <c r="B221" s="2" t="str">
        <f t="shared" si="29"/>
        <v>P1013A</v>
      </c>
      <c r="C221" s="2" t="str">
        <f t="shared" si="33"/>
        <v xml:space="preserve"> </v>
      </c>
      <c r="F221" s="2">
        <v>1283</v>
      </c>
      <c r="G221" s="2" t="str">
        <f t="shared" si="27"/>
        <v>P1113A</v>
      </c>
      <c r="H221" s="2" t="str">
        <f t="shared" si="34"/>
        <v xml:space="preserve"> </v>
      </c>
      <c r="I221" s="7"/>
    </row>
    <row r="222" spans="1:9" x14ac:dyDescent="0.3">
      <c r="A222" s="2">
        <v>284</v>
      </c>
      <c r="B222" s="2" t="str">
        <f t="shared" si="29"/>
        <v>P1013B</v>
      </c>
      <c r="C222" s="2" t="str">
        <f t="shared" si="33"/>
        <v xml:space="preserve"> </v>
      </c>
      <c r="F222" s="2">
        <v>1284</v>
      </c>
      <c r="G222" s="2" t="str">
        <f t="shared" si="27"/>
        <v>P1113B</v>
      </c>
      <c r="H222" s="2" t="str">
        <f t="shared" si="34"/>
        <v xml:space="preserve"> </v>
      </c>
      <c r="I222" s="7"/>
    </row>
    <row r="223" spans="1:9" x14ac:dyDescent="0.3">
      <c r="A223" s="2">
        <v>285</v>
      </c>
      <c r="B223" s="2" t="str">
        <f t="shared" si="29"/>
        <v>P1013C</v>
      </c>
      <c r="C223" s="2" t="str">
        <f t="shared" si="33"/>
        <v xml:space="preserve"> </v>
      </c>
      <c r="F223" s="2">
        <v>1285</v>
      </c>
      <c r="G223" s="2" t="str">
        <f t="shared" si="27"/>
        <v>P1113C</v>
      </c>
      <c r="H223" s="2" t="str">
        <f t="shared" si="34"/>
        <v xml:space="preserve"> </v>
      </c>
      <c r="I223" s="7"/>
    </row>
    <row r="224" spans="1:9" x14ac:dyDescent="0.3">
      <c r="A224" s="2">
        <v>286</v>
      </c>
      <c r="B224" s="2" t="str">
        <f t="shared" si="29"/>
        <v>P1013D</v>
      </c>
      <c r="C224" s="2" t="str">
        <f t="shared" si="33"/>
        <v xml:space="preserve"> </v>
      </c>
      <c r="F224" s="2">
        <v>1286</v>
      </c>
      <c r="G224" s="2" t="str">
        <f t="shared" si="27"/>
        <v>P1113D</v>
      </c>
      <c r="H224" s="2" t="str">
        <f t="shared" si="34"/>
        <v xml:space="preserve"> </v>
      </c>
      <c r="I224" s="7"/>
    </row>
    <row r="225" spans="1:9" x14ac:dyDescent="0.3">
      <c r="A225" s="2">
        <v>287</v>
      </c>
      <c r="B225" s="2" t="str">
        <f t="shared" si="29"/>
        <v>P1013E</v>
      </c>
      <c r="C225" s="2" t="str">
        <f t="shared" si="33"/>
        <v xml:space="preserve"> </v>
      </c>
      <c r="F225" s="2">
        <v>1287</v>
      </c>
      <c r="G225" s="2" t="str">
        <f t="shared" si="27"/>
        <v>P1113E</v>
      </c>
      <c r="H225" s="2" t="str">
        <f t="shared" si="34"/>
        <v xml:space="preserve"> </v>
      </c>
      <c r="I225" s="7"/>
    </row>
    <row r="226" spans="1:9" x14ac:dyDescent="0.3">
      <c r="A226" s="2">
        <v>288</v>
      </c>
      <c r="B226" s="2" t="str">
        <f t="shared" si="29"/>
        <v>P1013F</v>
      </c>
      <c r="C226" s="2" t="str">
        <f t="shared" si="33"/>
        <v xml:space="preserve"> </v>
      </c>
      <c r="F226" s="2">
        <v>1288</v>
      </c>
      <c r="G226" s="2" t="str">
        <f t="shared" si="27"/>
        <v>P1113F</v>
      </c>
      <c r="H226" s="2" t="str">
        <f t="shared" si="34"/>
        <v xml:space="preserve"> </v>
      </c>
      <c r="I226" s="7"/>
    </row>
    <row r="227" spans="1:9" x14ac:dyDescent="0.3">
      <c r="A227" s="2">
        <v>289</v>
      </c>
      <c r="B227" s="2" t="str">
        <f t="shared" si="29"/>
        <v>P10140</v>
      </c>
      <c r="C227" s="2" t="str">
        <f t="shared" si="33"/>
        <v>P1014</v>
      </c>
      <c r="F227" s="2">
        <v>1289</v>
      </c>
      <c r="G227" s="2" t="str">
        <f t="shared" si="27"/>
        <v>P11140</v>
      </c>
      <c r="H227" s="2" t="str">
        <f t="shared" si="34"/>
        <v>P1114</v>
      </c>
      <c r="I227" s="7"/>
    </row>
    <row r="228" spans="1:9" x14ac:dyDescent="0.3">
      <c r="A228" s="2">
        <v>290</v>
      </c>
      <c r="B228" s="2" t="str">
        <f t="shared" si="29"/>
        <v>P10141</v>
      </c>
      <c r="C228" s="2" t="str">
        <f t="shared" si="33"/>
        <v xml:space="preserve"> </v>
      </c>
      <c r="F228" s="2">
        <v>1290</v>
      </c>
      <c r="G228" s="2" t="str">
        <f t="shared" ref="G228:G291" si="35">"P"&amp;DEC2HEX(F228+65536+4096 + 96-$F$3, 5)</f>
        <v>P11141</v>
      </c>
      <c r="H228" s="2" t="str">
        <f t="shared" si="34"/>
        <v xml:space="preserve"> </v>
      </c>
      <c r="I228" s="7"/>
    </row>
    <row r="229" spans="1:9" x14ac:dyDescent="0.3">
      <c r="A229" s="2">
        <v>291</v>
      </c>
      <c r="B229" s="2" t="str">
        <f t="shared" ref="B229:B292" si="36">"P"&amp;DEC2HEX(A229+65536-$A$3 +96, 5)</f>
        <v>P10142</v>
      </c>
      <c r="C229" s="2" t="str">
        <f t="shared" si="33"/>
        <v xml:space="preserve"> </v>
      </c>
      <c r="F229" s="2">
        <v>1291</v>
      </c>
      <c r="G229" s="2" t="str">
        <f t="shared" si="35"/>
        <v>P11142</v>
      </c>
      <c r="H229" s="2" t="str">
        <f t="shared" si="34"/>
        <v xml:space="preserve"> </v>
      </c>
      <c r="I229" s="7"/>
    </row>
    <row r="230" spans="1:9" x14ac:dyDescent="0.3">
      <c r="A230" s="2">
        <v>292</v>
      </c>
      <c r="B230" s="2" t="str">
        <f t="shared" si="36"/>
        <v>P10143</v>
      </c>
      <c r="C230" s="2" t="str">
        <f t="shared" si="33"/>
        <v xml:space="preserve"> </v>
      </c>
      <c r="F230" s="2">
        <v>1292</v>
      </c>
      <c r="G230" s="2" t="str">
        <f t="shared" si="35"/>
        <v>P11143</v>
      </c>
      <c r="H230" s="2" t="str">
        <f t="shared" si="34"/>
        <v xml:space="preserve"> </v>
      </c>
      <c r="I230" s="7"/>
    </row>
    <row r="231" spans="1:9" x14ac:dyDescent="0.3">
      <c r="A231" s="2">
        <v>293</v>
      </c>
      <c r="B231" s="2" t="str">
        <f t="shared" si="36"/>
        <v>P10144</v>
      </c>
      <c r="C231" s="2" t="str">
        <f t="shared" si="33"/>
        <v xml:space="preserve"> </v>
      </c>
      <c r="F231" s="2">
        <v>1293</v>
      </c>
      <c r="G231" s="2" t="str">
        <f t="shared" si="35"/>
        <v>P11144</v>
      </c>
      <c r="H231" s="2" t="str">
        <f t="shared" si="34"/>
        <v xml:space="preserve"> </v>
      </c>
      <c r="I231" s="7"/>
    </row>
    <row r="232" spans="1:9" x14ac:dyDescent="0.3">
      <c r="A232" s="2">
        <v>294</v>
      </c>
      <c r="B232" s="2" t="str">
        <f t="shared" si="36"/>
        <v>P10145</v>
      </c>
      <c r="C232" s="2" t="str">
        <f t="shared" si="33"/>
        <v xml:space="preserve"> </v>
      </c>
      <c r="F232" s="2">
        <v>1294</v>
      </c>
      <c r="G232" s="2" t="str">
        <f t="shared" si="35"/>
        <v>P11145</v>
      </c>
      <c r="H232" s="2" t="str">
        <f t="shared" si="34"/>
        <v xml:space="preserve"> </v>
      </c>
      <c r="I232" s="7"/>
    </row>
    <row r="233" spans="1:9" x14ac:dyDescent="0.3">
      <c r="A233" s="2">
        <v>295</v>
      </c>
      <c r="B233" s="2" t="str">
        <f t="shared" si="36"/>
        <v>P10146</v>
      </c>
      <c r="C233" s="2" t="str">
        <f t="shared" si="33"/>
        <v xml:space="preserve"> </v>
      </c>
      <c r="F233" s="2">
        <v>1295</v>
      </c>
      <c r="G233" s="2" t="str">
        <f t="shared" si="35"/>
        <v>P11146</v>
      </c>
      <c r="H233" s="2" t="str">
        <f t="shared" si="34"/>
        <v xml:space="preserve"> </v>
      </c>
      <c r="I233" s="7"/>
    </row>
    <row r="234" spans="1:9" x14ac:dyDescent="0.3">
      <c r="A234" s="2">
        <v>296</v>
      </c>
      <c r="B234" s="2" t="str">
        <f t="shared" si="36"/>
        <v>P10147</v>
      </c>
      <c r="C234" s="2" t="str">
        <f t="shared" si="33"/>
        <v xml:space="preserve"> </v>
      </c>
      <c r="F234" s="2">
        <v>1296</v>
      </c>
      <c r="G234" s="2" t="str">
        <f t="shared" si="35"/>
        <v>P11147</v>
      </c>
      <c r="H234" s="2" t="str">
        <f t="shared" si="34"/>
        <v xml:space="preserve"> </v>
      </c>
      <c r="I234" s="7"/>
    </row>
    <row r="235" spans="1:9" x14ac:dyDescent="0.3">
      <c r="A235" s="2">
        <v>297</v>
      </c>
      <c r="B235" s="2" t="str">
        <f t="shared" si="36"/>
        <v>P10148</v>
      </c>
      <c r="C235" s="2" t="str">
        <f t="shared" si="33"/>
        <v xml:space="preserve"> </v>
      </c>
      <c r="F235" s="2">
        <v>1297</v>
      </c>
      <c r="G235" s="2" t="str">
        <f t="shared" si="35"/>
        <v>P11148</v>
      </c>
      <c r="H235" s="2" t="str">
        <f t="shared" si="34"/>
        <v xml:space="preserve"> </v>
      </c>
      <c r="I235" s="7"/>
    </row>
    <row r="236" spans="1:9" x14ac:dyDescent="0.3">
      <c r="A236" s="2">
        <v>298</v>
      </c>
      <c r="B236" s="2" t="str">
        <f t="shared" si="36"/>
        <v>P10149</v>
      </c>
      <c r="C236" s="2" t="str">
        <f t="shared" si="33"/>
        <v xml:space="preserve"> </v>
      </c>
      <c r="F236" s="2">
        <v>1298</v>
      </c>
      <c r="G236" s="2" t="str">
        <f t="shared" si="35"/>
        <v>P11149</v>
      </c>
      <c r="H236" s="2" t="str">
        <f t="shared" si="34"/>
        <v xml:space="preserve"> </v>
      </c>
      <c r="I236" s="7"/>
    </row>
    <row r="237" spans="1:9" x14ac:dyDescent="0.3">
      <c r="A237" s="2">
        <v>299</v>
      </c>
      <c r="B237" s="2" t="str">
        <f t="shared" si="36"/>
        <v>P1014A</v>
      </c>
      <c r="C237" s="2" t="str">
        <f t="shared" si="33"/>
        <v xml:space="preserve"> </v>
      </c>
      <c r="F237" s="2">
        <v>1299</v>
      </c>
      <c r="G237" s="2" t="str">
        <f t="shared" si="35"/>
        <v>P1114A</v>
      </c>
      <c r="H237" s="2" t="str">
        <f t="shared" si="34"/>
        <v xml:space="preserve"> </v>
      </c>
      <c r="I237" s="7"/>
    </row>
    <row r="238" spans="1:9" x14ac:dyDescent="0.3">
      <c r="A238" s="2">
        <v>300</v>
      </c>
      <c r="B238" s="2" t="str">
        <f t="shared" si="36"/>
        <v>P1014B</v>
      </c>
      <c r="C238" s="2" t="str">
        <f t="shared" si="33"/>
        <v xml:space="preserve"> </v>
      </c>
      <c r="F238" s="2">
        <v>1300</v>
      </c>
      <c r="G238" s="2" t="str">
        <f t="shared" si="35"/>
        <v>P1114B</v>
      </c>
      <c r="H238" s="2" t="str">
        <f t="shared" si="34"/>
        <v xml:space="preserve"> </v>
      </c>
      <c r="I238" s="7"/>
    </row>
    <row r="239" spans="1:9" x14ac:dyDescent="0.3">
      <c r="A239" s="2">
        <v>301</v>
      </c>
      <c r="B239" s="2" t="str">
        <f t="shared" si="36"/>
        <v>P1014C</v>
      </c>
      <c r="C239" s="2" t="str">
        <f t="shared" si="33"/>
        <v xml:space="preserve"> </v>
      </c>
      <c r="F239" s="2">
        <v>1301</v>
      </c>
      <c r="G239" s="2" t="str">
        <f t="shared" si="35"/>
        <v>P1114C</v>
      </c>
      <c r="H239" s="2" t="str">
        <f t="shared" si="34"/>
        <v xml:space="preserve"> </v>
      </c>
      <c r="I239" s="7"/>
    </row>
    <row r="240" spans="1:9" x14ac:dyDescent="0.3">
      <c r="A240" s="2">
        <v>302</v>
      </c>
      <c r="B240" s="2" t="str">
        <f t="shared" si="36"/>
        <v>P1014D</v>
      </c>
      <c r="C240" s="2" t="str">
        <f t="shared" si="33"/>
        <v xml:space="preserve"> </v>
      </c>
      <c r="F240" s="2">
        <v>1302</v>
      </c>
      <c r="G240" s="2" t="str">
        <f t="shared" si="35"/>
        <v>P1114D</v>
      </c>
      <c r="H240" s="2" t="str">
        <f t="shared" si="34"/>
        <v xml:space="preserve"> </v>
      </c>
      <c r="I240" s="7"/>
    </row>
    <row r="241" spans="1:9" x14ac:dyDescent="0.3">
      <c r="A241" s="2">
        <v>303</v>
      </c>
      <c r="B241" s="2" t="str">
        <f t="shared" si="36"/>
        <v>P1014E</v>
      </c>
      <c r="C241" s="2" t="str">
        <f t="shared" si="33"/>
        <v xml:space="preserve"> </v>
      </c>
      <c r="F241" s="2">
        <v>1303</v>
      </c>
      <c r="G241" s="2" t="str">
        <f t="shared" si="35"/>
        <v>P1114E</v>
      </c>
      <c r="H241" s="2" t="str">
        <f t="shared" si="34"/>
        <v xml:space="preserve"> </v>
      </c>
      <c r="I241" s="7"/>
    </row>
    <row r="242" spans="1:9" x14ac:dyDescent="0.3">
      <c r="A242" s="2">
        <v>304</v>
      </c>
      <c r="B242" s="2" t="str">
        <f t="shared" si="36"/>
        <v>P1014F</v>
      </c>
      <c r="C242" s="2" t="str">
        <f t="shared" si="33"/>
        <v xml:space="preserve"> </v>
      </c>
      <c r="F242" s="2">
        <v>1304</v>
      </c>
      <c r="G242" s="2" t="str">
        <f t="shared" si="35"/>
        <v>P1114F</v>
      </c>
      <c r="H242" s="2" t="str">
        <f t="shared" si="34"/>
        <v xml:space="preserve"> </v>
      </c>
      <c r="I242" s="7"/>
    </row>
    <row r="243" spans="1:9" x14ac:dyDescent="0.3">
      <c r="A243" s="2">
        <v>305</v>
      </c>
      <c r="B243" s="2" t="str">
        <f t="shared" si="36"/>
        <v>P10150</v>
      </c>
      <c r="C243" s="2" t="str">
        <f t="shared" si="33"/>
        <v>P1015</v>
      </c>
      <c r="F243" s="2">
        <v>1305</v>
      </c>
      <c r="G243" s="2" t="str">
        <f t="shared" si="35"/>
        <v>P11150</v>
      </c>
      <c r="H243" s="2" t="str">
        <f t="shared" si="34"/>
        <v>P1115</v>
      </c>
      <c r="I243" s="7"/>
    </row>
    <row r="244" spans="1:9" x14ac:dyDescent="0.3">
      <c r="A244" s="2">
        <v>306</v>
      </c>
      <c r="B244" s="2" t="str">
        <f t="shared" si="36"/>
        <v>P10151</v>
      </c>
      <c r="C244" s="2" t="str">
        <f t="shared" si="33"/>
        <v xml:space="preserve"> </v>
      </c>
      <c r="F244" s="2">
        <v>1306</v>
      </c>
      <c r="G244" s="2" t="str">
        <f t="shared" si="35"/>
        <v>P11151</v>
      </c>
      <c r="H244" s="2" t="str">
        <f t="shared" si="34"/>
        <v xml:space="preserve"> </v>
      </c>
      <c r="I244" s="7"/>
    </row>
    <row r="245" spans="1:9" x14ac:dyDescent="0.3">
      <c r="A245" s="2">
        <v>307</v>
      </c>
      <c r="B245" s="2" t="str">
        <f t="shared" si="36"/>
        <v>P10152</v>
      </c>
      <c r="C245" s="2" t="str">
        <f t="shared" si="33"/>
        <v xml:space="preserve"> </v>
      </c>
      <c r="F245" s="2">
        <v>1307</v>
      </c>
      <c r="G245" s="2" t="str">
        <f t="shared" si="35"/>
        <v>P11152</v>
      </c>
      <c r="H245" s="2" t="str">
        <f t="shared" si="34"/>
        <v xml:space="preserve"> </v>
      </c>
      <c r="I245" s="7"/>
    </row>
    <row r="246" spans="1:9" x14ac:dyDescent="0.3">
      <c r="A246" s="2">
        <v>308</v>
      </c>
      <c r="B246" s="2" t="str">
        <f t="shared" si="36"/>
        <v>P10153</v>
      </c>
      <c r="C246" s="2" t="str">
        <f t="shared" si="33"/>
        <v xml:space="preserve"> </v>
      </c>
      <c r="F246" s="2">
        <v>1308</v>
      </c>
      <c r="G246" s="2" t="str">
        <f t="shared" si="35"/>
        <v>P11153</v>
      </c>
      <c r="H246" s="2" t="str">
        <f t="shared" si="34"/>
        <v xml:space="preserve"> </v>
      </c>
      <c r="I246" s="7"/>
    </row>
    <row r="247" spans="1:9" x14ac:dyDescent="0.3">
      <c r="A247" s="2">
        <v>309</v>
      </c>
      <c r="B247" s="2" t="str">
        <f t="shared" si="36"/>
        <v>P10154</v>
      </c>
      <c r="C247" s="2" t="str">
        <f t="shared" si="33"/>
        <v xml:space="preserve"> </v>
      </c>
      <c r="F247" s="2">
        <v>1309</v>
      </c>
      <c r="G247" s="2" t="str">
        <f t="shared" si="35"/>
        <v>P11154</v>
      </c>
      <c r="H247" s="2" t="str">
        <f t="shared" si="34"/>
        <v xml:space="preserve"> </v>
      </c>
      <c r="I247" s="7"/>
    </row>
    <row r="248" spans="1:9" x14ac:dyDescent="0.3">
      <c r="A248" s="2">
        <v>310</v>
      </c>
      <c r="B248" s="2" t="str">
        <f t="shared" si="36"/>
        <v>P10155</v>
      </c>
      <c r="C248" s="2" t="str">
        <f t="shared" si="33"/>
        <v xml:space="preserve"> </v>
      </c>
      <c r="F248" s="2">
        <v>1310</v>
      </c>
      <c r="G248" s="2" t="str">
        <f t="shared" si="35"/>
        <v>P11155</v>
      </c>
      <c r="H248" s="2" t="str">
        <f t="shared" si="34"/>
        <v xml:space="preserve"> </v>
      </c>
      <c r="I248" s="7"/>
    </row>
    <row r="249" spans="1:9" x14ac:dyDescent="0.3">
      <c r="A249" s="2">
        <v>311</v>
      </c>
      <c r="B249" s="2" t="str">
        <f t="shared" si="36"/>
        <v>P10156</v>
      </c>
      <c r="C249" s="2" t="str">
        <f t="shared" si="33"/>
        <v xml:space="preserve"> </v>
      </c>
      <c r="F249" s="2">
        <v>1311</v>
      </c>
      <c r="G249" s="2" t="str">
        <f t="shared" si="35"/>
        <v>P11156</v>
      </c>
      <c r="H249" s="2" t="str">
        <f t="shared" si="34"/>
        <v xml:space="preserve"> </v>
      </c>
      <c r="I249" s="7"/>
    </row>
    <row r="250" spans="1:9" x14ac:dyDescent="0.3">
      <c r="A250" s="2">
        <v>312</v>
      </c>
      <c r="B250" s="2" t="str">
        <f t="shared" si="36"/>
        <v>P10157</v>
      </c>
      <c r="C250" s="2" t="str">
        <f t="shared" si="33"/>
        <v xml:space="preserve"> </v>
      </c>
      <c r="F250" s="2">
        <v>1312</v>
      </c>
      <c r="G250" s="2" t="str">
        <f t="shared" si="35"/>
        <v>P11157</v>
      </c>
      <c r="H250" s="2" t="str">
        <f t="shared" si="34"/>
        <v xml:space="preserve"> </v>
      </c>
      <c r="I250" s="7"/>
    </row>
    <row r="251" spans="1:9" x14ac:dyDescent="0.3">
      <c r="A251" s="2">
        <v>313</v>
      </c>
      <c r="B251" s="2" t="str">
        <f t="shared" si="36"/>
        <v>P10158</v>
      </c>
      <c r="C251" s="2" t="str">
        <f t="shared" si="33"/>
        <v xml:space="preserve"> </v>
      </c>
      <c r="F251" s="2">
        <v>1313</v>
      </c>
      <c r="G251" s="2" t="str">
        <f t="shared" si="35"/>
        <v>P11158</v>
      </c>
      <c r="H251" s="2" t="str">
        <f t="shared" si="34"/>
        <v xml:space="preserve"> </v>
      </c>
      <c r="I251" s="7"/>
    </row>
    <row r="252" spans="1:9" x14ac:dyDescent="0.3">
      <c r="A252" s="2">
        <v>314</v>
      </c>
      <c r="B252" s="2" t="str">
        <f t="shared" si="36"/>
        <v>P10159</v>
      </c>
      <c r="C252" s="2" t="str">
        <f t="shared" si="33"/>
        <v xml:space="preserve"> </v>
      </c>
      <c r="F252" s="2">
        <v>1314</v>
      </c>
      <c r="G252" s="2" t="str">
        <f t="shared" si="35"/>
        <v>P11159</v>
      </c>
      <c r="H252" s="2" t="str">
        <f t="shared" si="34"/>
        <v xml:space="preserve"> </v>
      </c>
      <c r="I252" s="7"/>
    </row>
    <row r="253" spans="1:9" x14ac:dyDescent="0.3">
      <c r="A253" s="2">
        <v>315</v>
      </c>
      <c r="B253" s="2" t="str">
        <f t="shared" si="36"/>
        <v>P1015A</v>
      </c>
      <c r="C253" s="2" t="str">
        <f t="shared" si="33"/>
        <v xml:space="preserve"> </v>
      </c>
      <c r="F253" s="2">
        <v>1315</v>
      </c>
      <c r="G253" s="2" t="str">
        <f t="shared" si="35"/>
        <v>P1115A</v>
      </c>
      <c r="H253" s="2" t="str">
        <f t="shared" si="34"/>
        <v xml:space="preserve"> </v>
      </c>
      <c r="I253" s="7"/>
    </row>
    <row r="254" spans="1:9" x14ac:dyDescent="0.3">
      <c r="A254" s="2">
        <v>316</v>
      </c>
      <c r="B254" s="2" t="str">
        <f t="shared" si="36"/>
        <v>P1015B</v>
      </c>
      <c r="C254" s="2" t="str">
        <f t="shared" si="33"/>
        <v xml:space="preserve"> </v>
      </c>
      <c r="F254" s="2">
        <v>1316</v>
      </c>
      <c r="G254" s="2" t="str">
        <f t="shared" si="35"/>
        <v>P1115B</v>
      </c>
      <c r="H254" s="2" t="str">
        <f t="shared" si="34"/>
        <v xml:space="preserve"> </v>
      </c>
      <c r="I254" s="7"/>
    </row>
    <row r="255" spans="1:9" x14ac:dyDescent="0.3">
      <c r="A255" s="2">
        <v>317</v>
      </c>
      <c r="B255" s="2" t="str">
        <f t="shared" si="36"/>
        <v>P1015C</v>
      </c>
      <c r="C255" s="2" t="str">
        <f t="shared" si="33"/>
        <v xml:space="preserve"> </v>
      </c>
      <c r="F255" s="2">
        <v>1317</v>
      </c>
      <c r="G255" s="2" t="str">
        <f t="shared" si="35"/>
        <v>P1115C</v>
      </c>
      <c r="H255" s="2" t="str">
        <f t="shared" si="34"/>
        <v xml:space="preserve"> </v>
      </c>
      <c r="I255" s="7"/>
    </row>
    <row r="256" spans="1:9" x14ac:dyDescent="0.3">
      <c r="A256" s="2">
        <v>318</v>
      </c>
      <c r="B256" s="2" t="str">
        <f t="shared" si="36"/>
        <v>P1015D</v>
      </c>
      <c r="C256" s="2" t="str">
        <f t="shared" si="33"/>
        <v xml:space="preserve"> </v>
      </c>
      <c r="F256" s="2">
        <v>1318</v>
      </c>
      <c r="G256" s="2" t="str">
        <f t="shared" si="35"/>
        <v>P1115D</v>
      </c>
      <c r="H256" s="2" t="str">
        <f t="shared" si="34"/>
        <v xml:space="preserve"> </v>
      </c>
      <c r="I256" s="7"/>
    </row>
    <row r="257" spans="1:9" x14ac:dyDescent="0.3">
      <c r="A257" s="2">
        <v>319</v>
      </c>
      <c r="B257" s="2" t="str">
        <f t="shared" si="36"/>
        <v>P1015E</v>
      </c>
      <c r="C257" s="2" t="str">
        <f t="shared" si="33"/>
        <v xml:space="preserve"> </v>
      </c>
      <c r="F257" s="2">
        <v>1319</v>
      </c>
      <c r="G257" s="2" t="str">
        <f t="shared" si="35"/>
        <v>P1115E</v>
      </c>
      <c r="H257" s="2" t="str">
        <f t="shared" si="34"/>
        <v xml:space="preserve"> </v>
      </c>
      <c r="I257" s="7"/>
    </row>
    <row r="258" spans="1:9" x14ac:dyDescent="0.3">
      <c r="A258" s="2">
        <v>320</v>
      </c>
      <c r="B258" s="2" t="str">
        <f t="shared" si="36"/>
        <v>P1015F</v>
      </c>
      <c r="C258" s="2" t="str">
        <f t="shared" si="33"/>
        <v xml:space="preserve"> </v>
      </c>
      <c r="F258" s="2">
        <v>1320</v>
      </c>
      <c r="G258" s="2" t="str">
        <f t="shared" si="35"/>
        <v>P1115F</v>
      </c>
      <c r="H258" s="2" t="str">
        <f t="shared" si="34"/>
        <v xml:space="preserve"> </v>
      </c>
      <c r="I258" s="7"/>
    </row>
    <row r="259" spans="1:9" x14ac:dyDescent="0.3">
      <c r="A259" s="2">
        <v>321</v>
      </c>
      <c r="B259" s="2" t="str">
        <f t="shared" si="36"/>
        <v>P10160</v>
      </c>
      <c r="C259" s="2" t="str">
        <f t="shared" si="33"/>
        <v>P1016</v>
      </c>
      <c r="F259" s="2">
        <v>1321</v>
      </c>
      <c r="G259" s="2" t="str">
        <f t="shared" si="35"/>
        <v>P11160</v>
      </c>
      <c r="H259" s="2" t="str">
        <f t="shared" si="34"/>
        <v>P1116</v>
      </c>
      <c r="I259" s="7" t="str">
        <f>"Длина заготовки ("&amp;ROW(A1)-ROW($A$1)&amp;")"</f>
        <v>Длина заготовки (0)</v>
      </c>
    </row>
    <row r="260" spans="1:9" x14ac:dyDescent="0.3">
      <c r="A260" s="2">
        <v>322</v>
      </c>
      <c r="B260" s="2" t="str">
        <f t="shared" si="36"/>
        <v>P10161</v>
      </c>
      <c r="C260" s="2" t="str">
        <f t="shared" ref="C260:C323" si="37">IF(RIGHT(B260,1)="0",LEFT(B260,5)," ")</f>
        <v xml:space="preserve"> </v>
      </c>
      <c r="F260" s="2">
        <v>1322</v>
      </c>
      <c r="G260" s="2" t="str">
        <f t="shared" si="35"/>
        <v>P11161</v>
      </c>
      <c r="H260" s="2" t="str">
        <f t="shared" ref="H260:H323" si="38">IF(RIGHT(G260,1)="0",LEFT(G260,5)," ")</f>
        <v xml:space="preserve"> </v>
      </c>
      <c r="I260" s="7" t="str">
        <f t="shared" ref="I260:I266" si="39">"Длина заготовки ("&amp;ROW(A2)-ROW($A$1)&amp;")"</f>
        <v>Длина заготовки (1)</v>
      </c>
    </row>
    <row r="261" spans="1:9" x14ac:dyDescent="0.3">
      <c r="A261" s="2">
        <v>323</v>
      </c>
      <c r="B261" s="2" t="str">
        <f t="shared" si="36"/>
        <v>P10162</v>
      </c>
      <c r="C261" s="2" t="str">
        <f t="shared" si="37"/>
        <v xml:space="preserve"> </v>
      </c>
      <c r="F261" s="2">
        <v>1323</v>
      </c>
      <c r="G261" s="2" t="str">
        <f t="shared" si="35"/>
        <v>P11162</v>
      </c>
      <c r="H261" s="2" t="str">
        <f t="shared" si="38"/>
        <v xml:space="preserve"> </v>
      </c>
      <c r="I261" s="7" t="str">
        <f t="shared" si="39"/>
        <v>Длина заготовки (2)</v>
      </c>
    </row>
    <row r="262" spans="1:9" x14ac:dyDescent="0.3">
      <c r="A262" s="2">
        <v>324</v>
      </c>
      <c r="B262" s="2" t="str">
        <f t="shared" si="36"/>
        <v>P10163</v>
      </c>
      <c r="C262" s="2" t="str">
        <f t="shared" si="37"/>
        <v xml:space="preserve"> </v>
      </c>
      <c r="F262" s="2">
        <v>1324</v>
      </c>
      <c r="G262" s="2" t="str">
        <f t="shared" si="35"/>
        <v>P11163</v>
      </c>
      <c r="H262" s="2" t="str">
        <f t="shared" si="38"/>
        <v xml:space="preserve"> </v>
      </c>
      <c r="I262" s="7" t="str">
        <f t="shared" si="39"/>
        <v>Длина заготовки (3)</v>
      </c>
    </row>
    <row r="263" spans="1:9" x14ac:dyDescent="0.3">
      <c r="A263" s="2">
        <v>325</v>
      </c>
      <c r="B263" s="2" t="str">
        <f t="shared" si="36"/>
        <v>P10164</v>
      </c>
      <c r="C263" s="2" t="str">
        <f t="shared" si="37"/>
        <v xml:space="preserve"> </v>
      </c>
      <c r="F263" s="2">
        <v>1325</v>
      </c>
      <c r="G263" s="2" t="str">
        <f t="shared" si="35"/>
        <v>P11164</v>
      </c>
      <c r="H263" s="2" t="str">
        <f t="shared" si="38"/>
        <v xml:space="preserve"> </v>
      </c>
      <c r="I263" s="7" t="str">
        <f t="shared" si="39"/>
        <v>Длина заготовки (4)</v>
      </c>
    </row>
    <row r="264" spans="1:9" x14ac:dyDescent="0.3">
      <c r="A264" s="2">
        <v>326</v>
      </c>
      <c r="B264" s="2" t="str">
        <f t="shared" si="36"/>
        <v>P10165</v>
      </c>
      <c r="C264" s="2" t="str">
        <f t="shared" si="37"/>
        <v xml:space="preserve"> </v>
      </c>
      <c r="F264" s="2">
        <v>1326</v>
      </c>
      <c r="G264" s="2" t="str">
        <f t="shared" si="35"/>
        <v>P11165</v>
      </c>
      <c r="H264" s="2" t="str">
        <f t="shared" si="38"/>
        <v xml:space="preserve"> </v>
      </c>
      <c r="I264" s="7" t="str">
        <f t="shared" si="39"/>
        <v>Длина заготовки (5)</v>
      </c>
    </row>
    <row r="265" spans="1:9" x14ac:dyDescent="0.3">
      <c r="A265" s="2">
        <v>327</v>
      </c>
      <c r="B265" s="2" t="str">
        <f t="shared" si="36"/>
        <v>P10166</v>
      </c>
      <c r="C265" s="2" t="str">
        <f t="shared" si="37"/>
        <v xml:space="preserve"> </v>
      </c>
      <c r="F265" s="2">
        <v>1327</v>
      </c>
      <c r="G265" s="2" t="str">
        <f t="shared" si="35"/>
        <v>P11166</v>
      </c>
      <c r="H265" s="2" t="str">
        <f t="shared" si="38"/>
        <v xml:space="preserve"> </v>
      </c>
      <c r="I265" s="7" t="str">
        <f t="shared" si="39"/>
        <v>Длина заготовки (6)</v>
      </c>
    </row>
    <row r="266" spans="1:9" x14ac:dyDescent="0.3">
      <c r="A266" s="2">
        <v>328</v>
      </c>
      <c r="B266" s="2" t="str">
        <f t="shared" si="36"/>
        <v>P10167</v>
      </c>
      <c r="C266" s="2" t="str">
        <f t="shared" si="37"/>
        <v xml:space="preserve"> </v>
      </c>
      <c r="F266" s="2">
        <v>1328</v>
      </c>
      <c r="G266" s="2" t="str">
        <f t="shared" si="35"/>
        <v>P11167</v>
      </c>
      <c r="H266" s="2" t="str">
        <f t="shared" si="38"/>
        <v xml:space="preserve"> </v>
      </c>
      <c r="I266" s="7" t="str">
        <f t="shared" si="39"/>
        <v>Длина заготовки (7)</v>
      </c>
    </row>
    <row r="267" spans="1:9" x14ac:dyDescent="0.3">
      <c r="A267" s="2">
        <v>329</v>
      </c>
      <c r="B267" s="2" t="str">
        <f t="shared" si="36"/>
        <v>P10168</v>
      </c>
      <c r="C267" s="2" t="str">
        <f t="shared" si="37"/>
        <v xml:space="preserve"> </v>
      </c>
      <c r="F267" s="2">
        <v>1329</v>
      </c>
      <c r="G267" s="2" t="str">
        <f t="shared" si="35"/>
        <v>P11168</v>
      </c>
      <c r="H267" s="2" t="str">
        <f t="shared" si="38"/>
        <v xml:space="preserve"> </v>
      </c>
      <c r="I267" s="7" t="str">
        <f>"Длина обработанной с одной стороны детали ("&amp;ROW(A1)-ROW($A$1)&amp;")"</f>
        <v>Длина обработанной с одной стороны детали (0)</v>
      </c>
    </row>
    <row r="268" spans="1:9" x14ac:dyDescent="0.3">
      <c r="A268" s="2">
        <v>330</v>
      </c>
      <c r="B268" s="2" t="str">
        <f t="shared" si="36"/>
        <v>P10169</v>
      </c>
      <c r="C268" s="2" t="str">
        <f t="shared" si="37"/>
        <v xml:space="preserve"> </v>
      </c>
      <c r="F268" s="2">
        <v>1330</v>
      </c>
      <c r="G268" s="2" t="str">
        <f t="shared" si="35"/>
        <v>P11169</v>
      </c>
      <c r="H268" s="2" t="str">
        <f t="shared" si="38"/>
        <v xml:space="preserve"> </v>
      </c>
      <c r="I268" s="7" t="str">
        <f t="shared" ref="I268:I274" si="40">"Длина обработанной с одной стороны детали ("&amp;ROW(A2)-ROW($A$1)&amp;")"</f>
        <v>Длина обработанной с одной стороны детали (1)</v>
      </c>
    </row>
    <row r="269" spans="1:9" x14ac:dyDescent="0.3">
      <c r="A269" s="2">
        <v>331</v>
      </c>
      <c r="B269" s="2" t="str">
        <f t="shared" si="36"/>
        <v>P1016A</v>
      </c>
      <c r="C269" s="2" t="str">
        <f t="shared" si="37"/>
        <v xml:space="preserve"> </v>
      </c>
      <c r="F269" s="2">
        <v>1331</v>
      </c>
      <c r="G269" s="2" t="str">
        <f t="shared" si="35"/>
        <v>P1116A</v>
      </c>
      <c r="H269" s="2" t="str">
        <f t="shared" si="38"/>
        <v xml:space="preserve"> </v>
      </c>
      <c r="I269" s="7" t="str">
        <f t="shared" si="40"/>
        <v>Длина обработанной с одной стороны детали (2)</v>
      </c>
    </row>
    <row r="270" spans="1:9" x14ac:dyDescent="0.3">
      <c r="A270" s="2">
        <v>332</v>
      </c>
      <c r="B270" s="2" t="str">
        <f t="shared" si="36"/>
        <v>P1016B</v>
      </c>
      <c r="C270" s="2" t="str">
        <f t="shared" si="37"/>
        <v xml:space="preserve"> </v>
      </c>
      <c r="F270" s="2">
        <v>1332</v>
      </c>
      <c r="G270" s="2" t="str">
        <f t="shared" si="35"/>
        <v>P1116B</v>
      </c>
      <c r="H270" s="2" t="str">
        <f t="shared" si="38"/>
        <v xml:space="preserve"> </v>
      </c>
      <c r="I270" s="7" t="str">
        <f t="shared" si="40"/>
        <v>Длина обработанной с одной стороны детали (3)</v>
      </c>
    </row>
    <row r="271" spans="1:9" x14ac:dyDescent="0.3">
      <c r="A271" s="2">
        <v>333</v>
      </c>
      <c r="B271" s="2" t="str">
        <f t="shared" si="36"/>
        <v>P1016C</v>
      </c>
      <c r="C271" s="2" t="str">
        <f t="shared" si="37"/>
        <v xml:space="preserve"> </v>
      </c>
      <c r="F271" s="2">
        <v>1333</v>
      </c>
      <c r="G271" s="2" t="str">
        <f t="shared" si="35"/>
        <v>P1116C</v>
      </c>
      <c r="H271" s="2" t="str">
        <f t="shared" si="38"/>
        <v xml:space="preserve"> </v>
      </c>
      <c r="I271" s="7" t="str">
        <f t="shared" si="40"/>
        <v>Длина обработанной с одной стороны детали (4)</v>
      </c>
    </row>
    <row r="272" spans="1:9" x14ac:dyDescent="0.3">
      <c r="A272" s="2">
        <v>334</v>
      </c>
      <c r="B272" s="2" t="str">
        <f t="shared" si="36"/>
        <v>P1016D</v>
      </c>
      <c r="C272" s="2" t="str">
        <f t="shared" si="37"/>
        <v xml:space="preserve"> </v>
      </c>
      <c r="F272" s="2">
        <v>1334</v>
      </c>
      <c r="G272" s="2" t="str">
        <f t="shared" si="35"/>
        <v>P1116D</v>
      </c>
      <c r="H272" s="2" t="str">
        <f t="shared" si="38"/>
        <v xml:space="preserve"> </v>
      </c>
      <c r="I272" s="7" t="str">
        <f t="shared" si="40"/>
        <v>Длина обработанной с одной стороны детали (5)</v>
      </c>
    </row>
    <row r="273" spans="1:9" x14ac:dyDescent="0.3">
      <c r="A273" s="2">
        <v>335</v>
      </c>
      <c r="B273" s="2" t="str">
        <f t="shared" si="36"/>
        <v>P1016E</v>
      </c>
      <c r="C273" s="2" t="str">
        <f t="shared" si="37"/>
        <v xml:space="preserve"> </v>
      </c>
      <c r="F273" s="2">
        <v>1335</v>
      </c>
      <c r="G273" s="2" t="str">
        <f t="shared" si="35"/>
        <v>P1116E</v>
      </c>
      <c r="H273" s="2" t="str">
        <f t="shared" si="38"/>
        <v xml:space="preserve"> </v>
      </c>
      <c r="I273" s="7" t="str">
        <f t="shared" si="40"/>
        <v>Длина обработанной с одной стороны детали (6)</v>
      </c>
    </row>
    <row r="274" spans="1:9" x14ac:dyDescent="0.3">
      <c r="A274" s="2">
        <v>336</v>
      </c>
      <c r="B274" s="2" t="str">
        <f t="shared" si="36"/>
        <v>P1016F</v>
      </c>
      <c r="C274" s="2" t="str">
        <f t="shared" si="37"/>
        <v xml:space="preserve"> </v>
      </c>
      <c r="F274" s="2">
        <v>1336</v>
      </c>
      <c r="G274" s="2" t="str">
        <f t="shared" si="35"/>
        <v>P1116F</v>
      </c>
      <c r="H274" s="2" t="str">
        <f t="shared" si="38"/>
        <v xml:space="preserve"> </v>
      </c>
      <c r="I274" s="7" t="str">
        <f t="shared" si="40"/>
        <v>Длина обработанной с одной стороны детали (7)</v>
      </c>
    </row>
    <row r="275" spans="1:9" x14ac:dyDescent="0.3">
      <c r="A275" s="2">
        <v>337</v>
      </c>
      <c r="B275" s="2" t="str">
        <f t="shared" si="36"/>
        <v>P10170</v>
      </c>
      <c r="C275" s="2" t="str">
        <f t="shared" si="37"/>
        <v>P1017</v>
      </c>
      <c r="F275" s="2">
        <v>1337</v>
      </c>
      <c r="G275" s="2" t="str">
        <f t="shared" si="35"/>
        <v>P11170</v>
      </c>
      <c r="H275" s="2" t="str">
        <f t="shared" si="38"/>
        <v>P1117</v>
      </c>
      <c r="I275" s="7" t="str">
        <f>"Длина готовой детали ("&amp;ROW(A1)-ROW($A$1)&amp;")"</f>
        <v>Длина готовой детали (0)</v>
      </c>
    </row>
    <row r="276" spans="1:9" x14ac:dyDescent="0.3">
      <c r="A276" s="2">
        <v>338</v>
      </c>
      <c r="B276" s="2" t="str">
        <f t="shared" si="36"/>
        <v>P10171</v>
      </c>
      <c r="C276" s="2" t="str">
        <f t="shared" si="37"/>
        <v xml:space="preserve"> </v>
      </c>
      <c r="F276" s="2">
        <v>1338</v>
      </c>
      <c r="G276" s="2" t="str">
        <f t="shared" si="35"/>
        <v>P11171</v>
      </c>
      <c r="H276" s="2" t="str">
        <f t="shared" si="38"/>
        <v xml:space="preserve"> </v>
      </c>
      <c r="I276" s="7" t="str">
        <f t="shared" ref="I276:I282" si="41">"Длина готовой детали ("&amp;ROW(A2)-ROW($A$1)&amp;")"</f>
        <v>Длина готовой детали (1)</v>
      </c>
    </row>
    <row r="277" spans="1:9" x14ac:dyDescent="0.3">
      <c r="A277" s="2">
        <v>339</v>
      </c>
      <c r="B277" s="2" t="str">
        <f t="shared" si="36"/>
        <v>P10172</v>
      </c>
      <c r="C277" s="2" t="str">
        <f t="shared" si="37"/>
        <v xml:space="preserve"> </v>
      </c>
      <c r="F277" s="2">
        <v>1339</v>
      </c>
      <c r="G277" s="2" t="str">
        <f t="shared" si="35"/>
        <v>P11172</v>
      </c>
      <c r="H277" s="2" t="str">
        <f t="shared" si="38"/>
        <v xml:space="preserve"> </v>
      </c>
      <c r="I277" s="7" t="str">
        <f t="shared" si="41"/>
        <v>Длина готовой детали (2)</v>
      </c>
    </row>
    <row r="278" spans="1:9" x14ac:dyDescent="0.3">
      <c r="A278" s="2">
        <v>340</v>
      </c>
      <c r="B278" s="2" t="str">
        <f t="shared" si="36"/>
        <v>P10173</v>
      </c>
      <c r="C278" s="2" t="str">
        <f t="shared" si="37"/>
        <v xml:space="preserve"> </v>
      </c>
      <c r="F278" s="2">
        <v>1340</v>
      </c>
      <c r="G278" s="2" t="str">
        <f t="shared" si="35"/>
        <v>P11173</v>
      </c>
      <c r="H278" s="2" t="str">
        <f t="shared" si="38"/>
        <v xml:space="preserve"> </v>
      </c>
      <c r="I278" s="7" t="str">
        <f t="shared" si="41"/>
        <v>Длина готовой детали (3)</v>
      </c>
    </row>
    <row r="279" spans="1:9" x14ac:dyDescent="0.3">
      <c r="A279" s="2">
        <v>341</v>
      </c>
      <c r="B279" s="2" t="str">
        <f t="shared" si="36"/>
        <v>P10174</v>
      </c>
      <c r="C279" s="2" t="str">
        <f t="shared" si="37"/>
        <v xml:space="preserve"> </v>
      </c>
      <c r="F279" s="2">
        <v>1341</v>
      </c>
      <c r="G279" s="2" t="str">
        <f t="shared" si="35"/>
        <v>P11174</v>
      </c>
      <c r="H279" s="2" t="str">
        <f t="shared" si="38"/>
        <v xml:space="preserve"> </v>
      </c>
      <c r="I279" s="7" t="str">
        <f t="shared" si="41"/>
        <v>Длина готовой детали (4)</v>
      </c>
    </row>
    <row r="280" spans="1:9" x14ac:dyDescent="0.3">
      <c r="A280" s="2">
        <v>342</v>
      </c>
      <c r="B280" s="2" t="str">
        <f t="shared" si="36"/>
        <v>P10175</v>
      </c>
      <c r="C280" s="2" t="str">
        <f t="shared" si="37"/>
        <v xml:space="preserve"> </v>
      </c>
      <c r="F280" s="2">
        <v>1342</v>
      </c>
      <c r="G280" s="2" t="str">
        <f t="shared" si="35"/>
        <v>P11175</v>
      </c>
      <c r="H280" s="2" t="str">
        <f t="shared" si="38"/>
        <v xml:space="preserve"> </v>
      </c>
      <c r="I280" s="7" t="str">
        <f t="shared" si="41"/>
        <v>Длина готовой детали (5)</v>
      </c>
    </row>
    <row r="281" spans="1:9" x14ac:dyDescent="0.3">
      <c r="A281" s="2">
        <v>343</v>
      </c>
      <c r="B281" s="2" t="str">
        <f t="shared" si="36"/>
        <v>P10176</v>
      </c>
      <c r="C281" s="2" t="str">
        <f t="shared" si="37"/>
        <v xml:space="preserve"> </v>
      </c>
      <c r="F281" s="2">
        <v>1343</v>
      </c>
      <c r="G281" s="2" t="str">
        <f t="shared" si="35"/>
        <v>P11176</v>
      </c>
      <c r="H281" s="2" t="str">
        <f t="shared" si="38"/>
        <v xml:space="preserve"> </v>
      </c>
      <c r="I281" s="7" t="str">
        <f t="shared" si="41"/>
        <v>Длина готовой детали (6)</v>
      </c>
    </row>
    <row r="282" spans="1:9" x14ac:dyDescent="0.3">
      <c r="A282" s="2">
        <v>344</v>
      </c>
      <c r="B282" s="2" t="str">
        <f t="shared" si="36"/>
        <v>P10177</v>
      </c>
      <c r="C282" s="2" t="str">
        <f t="shared" si="37"/>
        <v xml:space="preserve"> </v>
      </c>
      <c r="F282" s="2">
        <v>1344</v>
      </c>
      <c r="G282" s="2" t="str">
        <f t="shared" si="35"/>
        <v>P11177</v>
      </c>
      <c r="H282" s="2" t="str">
        <f t="shared" si="38"/>
        <v xml:space="preserve"> </v>
      </c>
      <c r="I282" s="7" t="str">
        <f t="shared" si="41"/>
        <v>Длина готовой детали (7)</v>
      </c>
    </row>
    <row r="283" spans="1:9" x14ac:dyDescent="0.3">
      <c r="A283" s="2">
        <v>345</v>
      </c>
      <c r="B283" s="2" t="str">
        <f t="shared" si="36"/>
        <v>P10178</v>
      </c>
      <c r="C283" s="2" t="str">
        <f t="shared" si="37"/>
        <v xml:space="preserve"> </v>
      </c>
      <c r="F283" s="2">
        <v>1345</v>
      </c>
      <c r="G283" s="2" t="str">
        <f t="shared" si="35"/>
        <v>P11178</v>
      </c>
      <c r="H283" s="2" t="str">
        <f t="shared" si="38"/>
        <v xml:space="preserve"> </v>
      </c>
      <c r="I283" s="7" t="str">
        <f t="shared" ref="I283:I290" si="42">"Полная длина кулачков на захвате 1 ("&amp;ROW(A1)-ROW($A$1)&amp;")"</f>
        <v>Полная длина кулачков на захвате 1 (0)</v>
      </c>
    </row>
    <row r="284" spans="1:9" x14ac:dyDescent="0.3">
      <c r="A284" s="2">
        <v>346</v>
      </c>
      <c r="B284" s="2" t="str">
        <f t="shared" si="36"/>
        <v>P10179</v>
      </c>
      <c r="C284" s="2" t="str">
        <f t="shared" si="37"/>
        <v xml:space="preserve"> </v>
      </c>
      <c r="F284" s="2">
        <v>1346</v>
      </c>
      <c r="G284" s="2" t="str">
        <f t="shared" si="35"/>
        <v>P11179</v>
      </c>
      <c r="H284" s="2" t="str">
        <f t="shared" si="38"/>
        <v xml:space="preserve"> </v>
      </c>
      <c r="I284" s="7" t="str">
        <f t="shared" si="42"/>
        <v>Полная длина кулачков на захвате 1 (1)</v>
      </c>
    </row>
    <row r="285" spans="1:9" x14ac:dyDescent="0.3">
      <c r="A285" s="2">
        <v>347</v>
      </c>
      <c r="B285" s="2" t="str">
        <f t="shared" si="36"/>
        <v>P1017A</v>
      </c>
      <c r="C285" s="2" t="str">
        <f t="shared" si="37"/>
        <v xml:space="preserve"> </v>
      </c>
      <c r="F285" s="2">
        <v>1347</v>
      </c>
      <c r="G285" s="2" t="str">
        <f t="shared" si="35"/>
        <v>P1117A</v>
      </c>
      <c r="H285" s="2" t="str">
        <f t="shared" si="38"/>
        <v xml:space="preserve"> </v>
      </c>
      <c r="I285" s="7" t="str">
        <f t="shared" si="42"/>
        <v>Полная длина кулачков на захвате 1 (2)</v>
      </c>
    </row>
    <row r="286" spans="1:9" x14ac:dyDescent="0.3">
      <c r="A286" s="2">
        <v>348</v>
      </c>
      <c r="B286" s="2" t="str">
        <f t="shared" si="36"/>
        <v>P1017B</v>
      </c>
      <c r="C286" s="2" t="str">
        <f t="shared" si="37"/>
        <v xml:space="preserve"> </v>
      </c>
      <c r="F286" s="2">
        <v>1348</v>
      </c>
      <c r="G286" s="2" t="str">
        <f t="shared" si="35"/>
        <v>P1117B</v>
      </c>
      <c r="H286" s="2" t="str">
        <f t="shared" si="38"/>
        <v xml:space="preserve"> </v>
      </c>
      <c r="I286" s="7" t="str">
        <f t="shared" si="42"/>
        <v>Полная длина кулачков на захвате 1 (3)</v>
      </c>
    </row>
    <row r="287" spans="1:9" x14ac:dyDescent="0.3">
      <c r="A287" s="2">
        <v>349</v>
      </c>
      <c r="B287" s="2" t="str">
        <f t="shared" si="36"/>
        <v>P1017C</v>
      </c>
      <c r="C287" s="2" t="str">
        <f t="shared" si="37"/>
        <v xml:space="preserve"> </v>
      </c>
      <c r="F287" s="2">
        <v>1349</v>
      </c>
      <c r="G287" s="2" t="str">
        <f t="shared" si="35"/>
        <v>P1117C</v>
      </c>
      <c r="H287" s="2" t="str">
        <f t="shared" si="38"/>
        <v xml:space="preserve"> </v>
      </c>
      <c r="I287" s="7" t="str">
        <f t="shared" si="42"/>
        <v>Полная длина кулачков на захвате 1 (4)</v>
      </c>
    </row>
    <row r="288" spans="1:9" x14ac:dyDescent="0.3">
      <c r="A288" s="2">
        <v>350</v>
      </c>
      <c r="B288" s="2" t="str">
        <f t="shared" si="36"/>
        <v>P1017D</v>
      </c>
      <c r="C288" s="2" t="str">
        <f t="shared" si="37"/>
        <v xml:space="preserve"> </v>
      </c>
      <c r="F288" s="2">
        <v>1350</v>
      </c>
      <c r="G288" s="2" t="str">
        <f t="shared" si="35"/>
        <v>P1117D</v>
      </c>
      <c r="H288" s="2" t="str">
        <f t="shared" si="38"/>
        <v xml:space="preserve"> </v>
      </c>
      <c r="I288" s="7" t="str">
        <f t="shared" si="42"/>
        <v>Полная длина кулачков на захвате 1 (5)</v>
      </c>
    </row>
    <row r="289" spans="1:9" x14ac:dyDescent="0.3">
      <c r="A289" s="2">
        <v>351</v>
      </c>
      <c r="B289" s="2" t="str">
        <f t="shared" si="36"/>
        <v>P1017E</v>
      </c>
      <c r="C289" s="2" t="str">
        <f t="shared" si="37"/>
        <v xml:space="preserve"> </v>
      </c>
      <c r="F289" s="2">
        <v>1351</v>
      </c>
      <c r="G289" s="2" t="str">
        <f t="shared" si="35"/>
        <v>P1117E</v>
      </c>
      <c r="H289" s="2" t="str">
        <f t="shared" si="38"/>
        <v xml:space="preserve"> </v>
      </c>
      <c r="I289" s="7" t="str">
        <f t="shared" si="42"/>
        <v>Полная длина кулачков на захвате 1 (6)</v>
      </c>
    </row>
    <row r="290" spans="1:9" x14ac:dyDescent="0.3">
      <c r="A290" s="2">
        <v>352</v>
      </c>
      <c r="B290" s="2" t="str">
        <f t="shared" si="36"/>
        <v>P1017F</v>
      </c>
      <c r="C290" s="2" t="str">
        <f t="shared" si="37"/>
        <v xml:space="preserve"> </v>
      </c>
      <c r="F290" s="2">
        <v>1352</v>
      </c>
      <c r="G290" s="2" t="str">
        <f t="shared" si="35"/>
        <v>P1117F</v>
      </c>
      <c r="H290" s="2" t="str">
        <f t="shared" si="38"/>
        <v xml:space="preserve"> </v>
      </c>
      <c r="I290" s="7" t="str">
        <f t="shared" si="42"/>
        <v>Полная длина кулачков на захвате 1 (7)</v>
      </c>
    </row>
    <row r="291" spans="1:9" x14ac:dyDescent="0.3">
      <c r="A291" s="2">
        <v>353</v>
      </c>
      <c r="B291" s="2" t="str">
        <f t="shared" si="36"/>
        <v>P10180</v>
      </c>
      <c r="C291" s="2" t="str">
        <f t="shared" si="37"/>
        <v>P1018</v>
      </c>
      <c r="F291" s="2">
        <v>1353</v>
      </c>
      <c r="G291" s="2" t="str">
        <f t="shared" si="35"/>
        <v>P11180</v>
      </c>
      <c r="H291" s="2" t="str">
        <f t="shared" si="38"/>
        <v>P1118</v>
      </c>
      <c r="I291" s="7" t="str">
        <f t="shared" ref="I291:I298" si="43">"Тело кулачков на захвате 1 ("&amp;ROW(A1)-ROW($A$1)&amp;")"</f>
        <v>Тело кулачков на захвате 1 (0)</v>
      </c>
    </row>
    <row r="292" spans="1:9" x14ac:dyDescent="0.3">
      <c r="A292" s="2">
        <v>354</v>
      </c>
      <c r="B292" s="2" t="str">
        <f t="shared" si="36"/>
        <v>P10181</v>
      </c>
      <c r="C292" s="2" t="str">
        <f t="shared" si="37"/>
        <v xml:space="preserve"> </v>
      </c>
      <c r="F292" s="2">
        <v>1354</v>
      </c>
      <c r="G292" s="2" t="str">
        <f t="shared" ref="G292:G322" si="44">"P"&amp;DEC2HEX(F292+65536+4096 + 96-$F$3, 5)</f>
        <v>P11181</v>
      </c>
      <c r="H292" s="2" t="str">
        <f t="shared" si="38"/>
        <v xml:space="preserve"> </v>
      </c>
      <c r="I292" s="7" t="str">
        <f t="shared" si="43"/>
        <v>Тело кулачков на захвате 1 (1)</v>
      </c>
    </row>
    <row r="293" spans="1:9" x14ac:dyDescent="0.3">
      <c r="A293" s="2">
        <v>355</v>
      </c>
      <c r="B293" s="2" t="str">
        <f t="shared" ref="B293:B321" si="45">"P"&amp;DEC2HEX(A293+65536-$A$3 +96, 5)</f>
        <v>P10182</v>
      </c>
      <c r="C293" s="2" t="str">
        <f t="shared" si="37"/>
        <v xml:space="preserve"> </v>
      </c>
      <c r="F293" s="2">
        <v>1355</v>
      </c>
      <c r="G293" s="2" t="str">
        <f t="shared" si="44"/>
        <v>P11182</v>
      </c>
      <c r="H293" s="2" t="str">
        <f t="shared" si="38"/>
        <v xml:space="preserve"> </v>
      </c>
      <c r="I293" s="7" t="str">
        <f t="shared" si="43"/>
        <v>Тело кулачков на захвате 1 (2)</v>
      </c>
    </row>
    <row r="294" spans="1:9" x14ac:dyDescent="0.3">
      <c r="A294" s="2">
        <v>356</v>
      </c>
      <c r="B294" s="2" t="str">
        <f t="shared" si="45"/>
        <v>P10183</v>
      </c>
      <c r="C294" s="2" t="str">
        <f t="shared" si="37"/>
        <v xml:space="preserve"> </v>
      </c>
      <c r="F294" s="2">
        <v>1356</v>
      </c>
      <c r="G294" s="2" t="str">
        <f t="shared" si="44"/>
        <v>P11183</v>
      </c>
      <c r="H294" s="2" t="str">
        <f t="shared" si="38"/>
        <v xml:space="preserve"> </v>
      </c>
      <c r="I294" s="7" t="str">
        <f t="shared" si="43"/>
        <v>Тело кулачков на захвате 1 (3)</v>
      </c>
    </row>
    <row r="295" spans="1:9" x14ac:dyDescent="0.3">
      <c r="A295" s="2">
        <v>357</v>
      </c>
      <c r="B295" s="2" t="str">
        <f t="shared" si="45"/>
        <v>P10184</v>
      </c>
      <c r="C295" s="2" t="str">
        <f t="shared" si="37"/>
        <v xml:space="preserve"> </v>
      </c>
      <c r="F295" s="2">
        <v>1357</v>
      </c>
      <c r="G295" s="2" t="str">
        <f t="shared" si="44"/>
        <v>P11184</v>
      </c>
      <c r="H295" s="2" t="str">
        <f t="shared" si="38"/>
        <v xml:space="preserve"> </v>
      </c>
      <c r="I295" s="7" t="str">
        <f t="shared" si="43"/>
        <v>Тело кулачков на захвате 1 (4)</v>
      </c>
    </row>
    <row r="296" spans="1:9" x14ac:dyDescent="0.3">
      <c r="A296" s="2">
        <v>358</v>
      </c>
      <c r="B296" s="2" t="str">
        <f t="shared" si="45"/>
        <v>P10185</v>
      </c>
      <c r="C296" s="2" t="str">
        <f t="shared" si="37"/>
        <v xml:space="preserve"> </v>
      </c>
      <c r="F296" s="2">
        <v>1358</v>
      </c>
      <c r="G296" s="2" t="str">
        <f t="shared" si="44"/>
        <v>P11185</v>
      </c>
      <c r="H296" s="2" t="str">
        <f t="shared" si="38"/>
        <v xml:space="preserve"> </v>
      </c>
      <c r="I296" s="7" t="str">
        <f t="shared" si="43"/>
        <v>Тело кулачков на захвате 1 (5)</v>
      </c>
    </row>
    <row r="297" spans="1:9" x14ac:dyDescent="0.3">
      <c r="A297" s="2">
        <v>359</v>
      </c>
      <c r="B297" s="2" t="str">
        <f t="shared" si="45"/>
        <v>P10186</v>
      </c>
      <c r="C297" s="2" t="str">
        <f t="shared" si="37"/>
        <v xml:space="preserve"> </v>
      </c>
      <c r="F297" s="2">
        <v>1359</v>
      </c>
      <c r="G297" s="2" t="str">
        <f t="shared" si="44"/>
        <v>P11186</v>
      </c>
      <c r="H297" s="2" t="str">
        <f t="shared" si="38"/>
        <v xml:space="preserve"> </v>
      </c>
      <c r="I297" s="7" t="str">
        <f t="shared" si="43"/>
        <v>Тело кулачков на захвате 1 (6)</v>
      </c>
    </row>
    <row r="298" spans="1:9" x14ac:dyDescent="0.3">
      <c r="A298" s="2">
        <v>360</v>
      </c>
      <c r="B298" s="2" t="str">
        <f t="shared" si="45"/>
        <v>P10187</v>
      </c>
      <c r="C298" s="2" t="str">
        <f t="shared" si="37"/>
        <v xml:space="preserve"> </v>
      </c>
      <c r="F298" s="2">
        <v>1360</v>
      </c>
      <c r="G298" s="2" t="str">
        <f t="shared" si="44"/>
        <v>P11187</v>
      </c>
      <c r="H298" s="2" t="str">
        <f t="shared" si="38"/>
        <v xml:space="preserve"> </v>
      </c>
      <c r="I298" s="7" t="str">
        <f t="shared" si="43"/>
        <v>Тело кулачков на захвате 1 (7)</v>
      </c>
    </row>
    <row r="299" spans="1:9" x14ac:dyDescent="0.3">
      <c r="A299" s="2">
        <v>361</v>
      </c>
      <c r="B299" s="2" t="str">
        <f t="shared" si="45"/>
        <v>P10188</v>
      </c>
      <c r="C299" s="2" t="str">
        <f t="shared" si="37"/>
        <v xml:space="preserve"> </v>
      </c>
      <c r="F299" s="2">
        <v>1361</v>
      </c>
      <c r="G299" s="2" t="str">
        <f t="shared" si="44"/>
        <v>P11188</v>
      </c>
      <c r="H299" s="2" t="str">
        <f t="shared" si="38"/>
        <v xml:space="preserve"> </v>
      </c>
      <c r="I299" s="7" t="str">
        <f t="shared" ref="I299:I306" si="46">"Полная длина кулачков на захвате 2 ("&amp;ROW(A1)-ROW($A$1)&amp;")"</f>
        <v>Полная длина кулачков на захвате 2 (0)</v>
      </c>
    </row>
    <row r="300" spans="1:9" x14ac:dyDescent="0.3">
      <c r="A300" s="2">
        <v>362</v>
      </c>
      <c r="B300" s="2" t="str">
        <f t="shared" si="45"/>
        <v>P10189</v>
      </c>
      <c r="C300" s="2" t="str">
        <f t="shared" si="37"/>
        <v xml:space="preserve"> </v>
      </c>
      <c r="F300" s="2">
        <v>1362</v>
      </c>
      <c r="G300" s="2" t="str">
        <f t="shared" si="44"/>
        <v>P11189</v>
      </c>
      <c r="H300" s="2" t="str">
        <f t="shared" si="38"/>
        <v xml:space="preserve"> </v>
      </c>
      <c r="I300" s="7" t="str">
        <f t="shared" si="46"/>
        <v>Полная длина кулачков на захвате 2 (1)</v>
      </c>
    </row>
    <row r="301" spans="1:9" x14ac:dyDescent="0.3">
      <c r="A301" s="2">
        <v>363</v>
      </c>
      <c r="B301" s="2" t="str">
        <f t="shared" si="45"/>
        <v>P1018A</v>
      </c>
      <c r="C301" s="2" t="str">
        <f t="shared" si="37"/>
        <v xml:space="preserve"> </v>
      </c>
      <c r="F301" s="2">
        <v>1363</v>
      </c>
      <c r="G301" s="2" t="str">
        <f t="shared" si="44"/>
        <v>P1118A</v>
      </c>
      <c r="H301" s="2" t="str">
        <f t="shared" si="38"/>
        <v xml:space="preserve"> </v>
      </c>
      <c r="I301" s="7" t="str">
        <f t="shared" si="46"/>
        <v>Полная длина кулачков на захвате 2 (2)</v>
      </c>
    </row>
    <row r="302" spans="1:9" x14ac:dyDescent="0.3">
      <c r="A302" s="2">
        <v>364</v>
      </c>
      <c r="B302" s="2" t="str">
        <f t="shared" si="45"/>
        <v>P1018B</v>
      </c>
      <c r="C302" s="2" t="str">
        <f t="shared" si="37"/>
        <v xml:space="preserve"> </v>
      </c>
      <c r="F302" s="2">
        <v>1364</v>
      </c>
      <c r="G302" s="2" t="str">
        <f t="shared" si="44"/>
        <v>P1118B</v>
      </c>
      <c r="H302" s="2" t="str">
        <f t="shared" si="38"/>
        <v xml:space="preserve"> </v>
      </c>
      <c r="I302" s="7" t="str">
        <f t="shared" si="46"/>
        <v>Полная длина кулачков на захвате 2 (3)</v>
      </c>
    </row>
    <row r="303" spans="1:9" x14ac:dyDescent="0.3">
      <c r="A303" s="2">
        <v>365</v>
      </c>
      <c r="B303" s="2" t="str">
        <f t="shared" si="45"/>
        <v>P1018C</v>
      </c>
      <c r="C303" s="2" t="str">
        <f t="shared" si="37"/>
        <v xml:space="preserve"> </v>
      </c>
      <c r="F303" s="2">
        <v>1365</v>
      </c>
      <c r="G303" s="2" t="str">
        <f t="shared" si="44"/>
        <v>P1118C</v>
      </c>
      <c r="H303" s="2" t="str">
        <f t="shared" si="38"/>
        <v xml:space="preserve"> </v>
      </c>
      <c r="I303" s="7" t="str">
        <f t="shared" si="46"/>
        <v>Полная длина кулачков на захвате 2 (4)</v>
      </c>
    </row>
    <row r="304" spans="1:9" x14ac:dyDescent="0.3">
      <c r="A304" s="2">
        <v>366</v>
      </c>
      <c r="B304" s="2" t="str">
        <f t="shared" si="45"/>
        <v>P1018D</v>
      </c>
      <c r="C304" s="2" t="str">
        <f t="shared" si="37"/>
        <v xml:space="preserve"> </v>
      </c>
      <c r="F304" s="2">
        <v>1366</v>
      </c>
      <c r="G304" s="2" t="str">
        <f t="shared" si="44"/>
        <v>P1118D</v>
      </c>
      <c r="H304" s="2" t="str">
        <f t="shared" si="38"/>
        <v xml:space="preserve"> </v>
      </c>
      <c r="I304" s="7" t="str">
        <f t="shared" si="46"/>
        <v>Полная длина кулачков на захвате 2 (5)</v>
      </c>
    </row>
    <row r="305" spans="1:9" x14ac:dyDescent="0.3">
      <c r="A305" s="2">
        <v>367</v>
      </c>
      <c r="B305" s="2" t="str">
        <f t="shared" si="45"/>
        <v>P1018E</v>
      </c>
      <c r="C305" s="2" t="str">
        <f t="shared" si="37"/>
        <v xml:space="preserve"> </v>
      </c>
      <c r="F305" s="2">
        <v>1367</v>
      </c>
      <c r="G305" s="2" t="str">
        <f t="shared" si="44"/>
        <v>P1118E</v>
      </c>
      <c r="H305" s="2" t="str">
        <f t="shared" si="38"/>
        <v xml:space="preserve"> </v>
      </c>
      <c r="I305" s="7" t="str">
        <f t="shared" si="46"/>
        <v>Полная длина кулачков на захвате 2 (6)</v>
      </c>
    </row>
    <row r="306" spans="1:9" x14ac:dyDescent="0.3">
      <c r="A306" s="2">
        <v>368</v>
      </c>
      <c r="B306" s="2" t="str">
        <f t="shared" si="45"/>
        <v>P1018F</v>
      </c>
      <c r="C306" s="2" t="str">
        <f t="shared" si="37"/>
        <v xml:space="preserve"> </v>
      </c>
      <c r="F306" s="2">
        <v>1368</v>
      </c>
      <c r="G306" s="2" t="str">
        <f t="shared" si="44"/>
        <v>P1118F</v>
      </c>
      <c r="H306" s="2" t="str">
        <f t="shared" si="38"/>
        <v xml:space="preserve"> </v>
      </c>
      <c r="I306" s="7" t="str">
        <f t="shared" si="46"/>
        <v>Полная длина кулачков на захвате 2 (7)</v>
      </c>
    </row>
    <row r="307" spans="1:9" x14ac:dyDescent="0.3">
      <c r="A307" s="2">
        <v>369</v>
      </c>
      <c r="B307" s="2" t="str">
        <f t="shared" si="45"/>
        <v>P10190</v>
      </c>
      <c r="C307" s="2" t="str">
        <f t="shared" si="37"/>
        <v>P1019</v>
      </c>
      <c r="F307" s="2">
        <v>1369</v>
      </c>
      <c r="G307" s="2" t="str">
        <f t="shared" si="44"/>
        <v>P11190</v>
      </c>
      <c r="H307" s="2" t="str">
        <f t="shared" si="38"/>
        <v>P1119</v>
      </c>
      <c r="I307" s="7" t="str">
        <f t="shared" ref="I307:I314" si="47">"Тело кулачков на захвате 2 ("&amp;ROW(A1)-ROW($A$1)&amp;")"</f>
        <v>Тело кулачков на захвате 2 (0)</v>
      </c>
    </row>
    <row r="308" spans="1:9" x14ac:dyDescent="0.3">
      <c r="A308" s="2">
        <v>370</v>
      </c>
      <c r="B308" s="2" t="str">
        <f t="shared" si="45"/>
        <v>P10191</v>
      </c>
      <c r="C308" s="2" t="str">
        <f t="shared" si="37"/>
        <v xml:space="preserve"> </v>
      </c>
      <c r="F308" s="2">
        <v>1370</v>
      </c>
      <c r="G308" s="2" t="str">
        <f t="shared" si="44"/>
        <v>P11191</v>
      </c>
      <c r="H308" s="2" t="str">
        <f t="shared" si="38"/>
        <v xml:space="preserve"> </v>
      </c>
      <c r="I308" s="7" t="str">
        <f t="shared" si="47"/>
        <v>Тело кулачков на захвате 2 (1)</v>
      </c>
    </row>
    <row r="309" spans="1:9" x14ac:dyDescent="0.3">
      <c r="A309" s="2">
        <v>371</v>
      </c>
      <c r="B309" s="2" t="str">
        <f t="shared" si="45"/>
        <v>P10192</v>
      </c>
      <c r="C309" s="2" t="str">
        <f t="shared" si="37"/>
        <v xml:space="preserve"> </v>
      </c>
      <c r="F309" s="2">
        <v>1371</v>
      </c>
      <c r="G309" s="2" t="str">
        <f t="shared" si="44"/>
        <v>P11192</v>
      </c>
      <c r="H309" s="2" t="str">
        <f t="shared" si="38"/>
        <v xml:space="preserve"> </v>
      </c>
      <c r="I309" s="7" t="str">
        <f t="shared" si="47"/>
        <v>Тело кулачков на захвате 2 (2)</v>
      </c>
    </row>
    <row r="310" spans="1:9" x14ac:dyDescent="0.3">
      <c r="A310" s="2">
        <v>372</v>
      </c>
      <c r="B310" s="2" t="str">
        <f t="shared" si="45"/>
        <v>P10193</v>
      </c>
      <c r="C310" s="2" t="str">
        <f t="shared" si="37"/>
        <v xml:space="preserve"> </v>
      </c>
      <c r="F310" s="2">
        <v>1372</v>
      </c>
      <c r="G310" s="2" t="str">
        <f t="shared" si="44"/>
        <v>P11193</v>
      </c>
      <c r="H310" s="2" t="str">
        <f t="shared" si="38"/>
        <v xml:space="preserve"> </v>
      </c>
      <c r="I310" s="7" t="str">
        <f t="shared" si="47"/>
        <v>Тело кулачков на захвате 2 (3)</v>
      </c>
    </row>
    <row r="311" spans="1:9" x14ac:dyDescent="0.3">
      <c r="A311" s="2">
        <v>373</v>
      </c>
      <c r="B311" s="2" t="str">
        <f t="shared" si="45"/>
        <v>P10194</v>
      </c>
      <c r="C311" s="2" t="str">
        <f t="shared" si="37"/>
        <v xml:space="preserve"> </v>
      </c>
      <c r="F311" s="2">
        <v>1373</v>
      </c>
      <c r="G311" s="2" t="str">
        <f t="shared" si="44"/>
        <v>P11194</v>
      </c>
      <c r="H311" s="2" t="str">
        <f t="shared" si="38"/>
        <v xml:space="preserve"> </v>
      </c>
      <c r="I311" s="7" t="str">
        <f t="shared" si="47"/>
        <v>Тело кулачков на захвате 2 (4)</v>
      </c>
    </row>
    <row r="312" spans="1:9" x14ac:dyDescent="0.3">
      <c r="A312" s="2">
        <v>374</v>
      </c>
      <c r="B312" s="2" t="str">
        <f t="shared" si="45"/>
        <v>P10195</v>
      </c>
      <c r="C312" s="2" t="str">
        <f t="shared" si="37"/>
        <v xml:space="preserve"> </v>
      </c>
      <c r="F312" s="2">
        <v>1374</v>
      </c>
      <c r="G312" s="2" t="str">
        <f t="shared" si="44"/>
        <v>P11195</v>
      </c>
      <c r="H312" s="2" t="str">
        <f t="shared" si="38"/>
        <v xml:space="preserve"> </v>
      </c>
      <c r="I312" s="7" t="str">
        <f t="shared" si="47"/>
        <v>Тело кулачков на захвате 2 (5)</v>
      </c>
    </row>
    <row r="313" spans="1:9" x14ac:dyDescent="0.3">
      <c r="A313" s="2">
        <v>375</v>
      </c>
      <c r="B313" s="2" t="str">
        <f t="shared" si="45"/>
        <v>P10196</v>
      </c>
      <c r="C313" s="2" t="str">
        <f t="shared" si="37"/>
        <v xml:space="preserve"> </v>
      </c>
      <c r="F313" s="2">
        <v>1375</v>
      </c>
      <c r="G313" s="2" t="str">
        <f t="shared" si="44"/>
        <v>P11196</v>
      </c>
      <c r="H313" s="2" t="str">
        <f t="shared" si="38"/>
        <v xml:space="preserve"> </v>
      </c>
      <c r="I313" s="7" t="str">
        <f t="shared" si="47"/>
        <v>Тело кулачков на захвате 2 (6)</v>
      </c>
    </row>
    <row r="314" spans="1:9" x14ac:dyDescent="0.3">
      <c r="A314" s="2">
        <v>376</v>
      </c>
      <c r="B314" s="2" t="str">
        <f t="shared" si="45"/>
        <v>P10197</v>
      </c>
      <c r="C314" s="2" t="str">
        <f t="shared" si="37"/>
        <v xml:space="preserve"> </v>
      </c>
      <c r="F314" s="2">
        <v>1376</v>
      </c>
      <c r="G314" s="2" t="str">
        <f t="shared" si="44"/>
        <v>P11197</v>
      </c>
      <c r="H314" s="2" t="str">
        <f t="shared" si="38"/>
        <v xml:space="preserve"> </v>
      </c>
      <c r="I314" s="7" t="str">
        <f t="shared" si="47"/>
        <v>Тело кулачков на захвате 2 (7)</v>
      </c>
    </row>
    <row r="315" spans="1:9" x14ac:dyDescent="0.3">
      <c r="A315" s="2">
        <v>377</v>
      </c>
      <c r="B315" s="2" t="str">
        <f t="shared" si="45"/>
        <v>P10198</v>
      </c>
      <c r="C315" s="2" t="str">
        <f t="shared" si="37"/>
        <v xml:space="preserve"> </v>
      </c>
      <c r="F315" s="2">
        <v>1377</v>
      </c>
      <c r="G315" s="2" t="str">
        <f t="shared" si="44"/>
        <v>P11198</v>
      </c>
      <c r="H315" s="2" t="str">
        <f t="shared" si="38"/>
        <v xml:space="preserve"> </v>
      </c>
      <c r="I315" s="7" t="str">
        <f>"Полная длина кулачков в патроне 1 ("&amp;ROW(A1)-ROW($A$1)&amp;")"</f>
        <v>Полная длина кулачков в патроне 1 (0)</v>
      </c>
    </row>
    <row r="316" spans="1:9" x14ac:dyDescent="0.3">
      <c r="A316" s="2">
        <v>378</v>
      </c>
      <c r="B316" s="2" t="str">
        <f t="shared" si="45"/>
        <v>P10199</v>
      </c>
      <c r="C316" s="2" t="str">
        <f t="shared" si="37"/>
        <v xml:space="preserve"> </v>
      </c>
      <c r="F316" s="2">
        <v>1378</v>
      </c>
      <c r="G316" s="2" t="str">
        <f t="shared" si="44"/>
        <v>P11199</v>
      </c>
      <c r="H316" s="2" t="str">
        <f t="shared" si="38"/>
        <v xml:space="preserve"> </v>
      </c>
      <c r="I316" s="7" t="str">
        <f t="shared" ref="I315:I322" si="48">"Полная длина кулачков в патроне 1 ("&amp;ROW(A2)-ROW($A$1)&amp;")"</f>
        <v>Полная длина кулачков в патроне 1 (1)</v>
      </c>
    </row>
    <row r="317" spans="1:9" x14ac:dyDescent="0.3">
      <c r="A317" s="2">
        <v>379</v>
      </c>
      <c r="B317" s="2" t="str">
        <f t="shared" si="45"/>
        <v>P1019A</v>
      </c>
      <c r="C317" s="2" t="str">
        <f t="shared" si="37"/>
        <v xml:space="preserve"> </v>
      </c>
      <c r="F317" s="2">
        <v>1379</v>
      </c>
      <c r="G317" s="2" t="str">
        <f t="shared" si="44"/>
        <v>P1119A</v>
      </c>
      <c r="H317" s="2" t="str">
        <f t="shared" si="38"/>
        <v xml:space="preserve"> </v>
      </c>
      <c r="I317" s="7" t="str">
        <f t="shared" si="48"/>
        <v>Полная длина кулачков в патроне 1 (2)</v>
      </c>
    </row>
    <row r="318" spans="1:9" x14ac:dyDescent="0.3">
      <c r="A318" s="2">
        <v>380</v>
      </c>
      <c r="B318" s="2" t="str">
        <f t="shared" si="45"/>
        <v>P1019B</v>
      </c>
      <c r="C318" s="2" t="str">
        <f t="shared" si="37"/>
        <v xml:space="preserve"> </v>
      </c>
      <c r="F318" s="2">
        <v>1380</v>
      </c>
      <c r="G318" s="2" t="str">
        <f t="shared" si="44"/>
        <v>P1119B</v>
      </c>
      <c r="H318" s="2" t="str">
        <f t="shared" si="38"/>
        <v xml:space="preserve"> </v>
      </c>
      <c r="I318" s="7" t="str">
        <f t="shared" si="48"/>
        <v>Полная длина кулачков в патроне 1 (3)</v>
      </c>
    </row>
    <row r="319" spans="1:9" x14ac:dyDescent="0.3">
      <c r="A319" s="2">
        <v>381</v>
      </c>
      <c r="B319" s="2" t="str">
        <f t="shared" si="45"/>
        <v>P1019C</v>
      </c>
      <c r="C319" s="2" t="str">
        <f t="shared" si="37"/>
        <v xml:space="preserve"> </v>
      </c>
      <c r="F319" s="2">
        <v>1381</v>
      </c>
      <c r="G319" s="2" t="str">
        <f t="shared" si="44"/>
        <v>P1119C</v>
      </c>
      <c r="H319" s="2" t="str">
        <f t="shared" si="38"/>
        <v xml:space="preserve"> </v>
      </c>
      <c r="I319" s="7" t="str">
        <f t="shared" si="48"/>
        <v>Полная длина кулачков в патроне 1 (4)</v>
      </c>
    </row>
    <row r="320" spans="1:9" x14ac:dyDescent="0.3">
      <c r="A320" s="2">
        <v>382</v>
      </c>
      <c r="B320" s="2" t="str">
        <f t="shared" si="45"/>
        <v>P1019D</v>
      </c>
      <c r="C320" s="2" t="str">
        <f t="shared" si="37"/>
        <v xml:space="preserve"> </v>
      </c>
      <c r="F320" s="2">
        <v>1382</v>
      </c>
      <c r="G320" s="2" t="str">
        <f t="shared" si="44"/>
        <v>P1119D</v>
      </c>
      <c r="H320" s="2" t="str">
        <f t="shared" si="38"/>
        <v xml:space="preserve"> </v>
      </c>
      <c r="I320" s="7" t="str">
        <f t="shared" si="48"/>
        <v>Полная длина кулачков в патроне 1 (5)</v>
      </c>
    </row>
    <row r="321" spans="1:9" x14ac:dyDescent="0.3">
      <c r="A321" s="2">
        <v>383</v>
      </c>
      <c r="B321" s="2" t="str">
        <f t="shared" si="45"/>
        <v>P1019E</v>
      </c>
      <c r="C321" s="2" t="str">
        <f t="shared" si="37"/>
        <v xml:space="preserve"> </v>
      </c>
      <c r="F321" s="2">
        <v>1383</v>
      </c>
      <c r="G321" s="2" t="str">
        <f t="shared" si="44"/>
        <v>P1119E</v>
      </c>
      <c r="H321" s="2" t="str">
        <f t="shared" si="38"/>
        <v xml:space="preserve"> </v>
      </c>
      <c r="I321" s="7" t="str">
        <f t="shared" si="48"/>
        <v>Полная длина кулачков в патроне 1 (6)</v>
      </c>
    </row>
    <row r="322" spans="1:9" x14ac:dyDescent="0.3">
      <c r="A322" s="2">
        <v>384</v>
      </c>
      <c r="B322" s="2" t="str">
        <f>"P"&amp;DEC2HEX(A322+65536-$A$3 +96, 5)</f>
        <v>P1019F</v>
      </c>
      <c r="C322" s="2" t="str">
        <f t="shared" si="37"/>
        <v xml:space="preserve"> </v>
      </c>
      <c r="F322" s="2">
        <v>1384</v>
      </c>
      <c r="G322" s="2" t="str">
        <f t="shared" si="44"/>
        <v>P1119F</v>
      </c>
      <c r="H322" s="2" t="str">
        <f t="shared" si="38"/>
        <v xml:space="preserve"> </v>
      </c>
      <c r="I322" s="7" t="str">
        <f t="shared" si="48"/>
        <v>Полная длина кулачков в патроне 1 (7)</v>
      </c>
    </row>
    <row r="323" spans="1:9" x14ac:dyDescent="0.3">
      <c r="A323" s="2">
        <v>385</v>
      </c>
      <c r="B323" s="2" t="str">
        <f>"P"&amp;DEC2HEX(A323+65536-$A$3 +2*96, 5)</f>
        <v>P10200</v>
      </c>
      <c r="C323" s="2" t="str">
        <f t="shared" si="37"/>
        <v>P1020</v>
      </c>
      <c r="F323" s="2">
        <v>1385</v>
      </c>
      <c r="G323" s="2" t="str">
        <f>"P"&amp;DEC2HEX(F323+65536+4096 +2* 96-$F$3, 5)</f>
        <v>P11200</v>
      </c>
      <c r="H323" s="2" t="str">
        <f t="shared" si="38"/>
        <v>P1120</v>
      </c>
      <c r="I323" s="7" t="str">
        <f t="shared" ref="I323:I330" si="49">"Тело кулачков в патроне 1 ("&amp;ROW(A1)-ROW($A$1)&amp;")"</f>
        <v>Тело кулачков в патроне 1 (0)</v>
      </c>
    </row>
    <row r="324" spans="1:9" x14ac:dyDescent="0.3">
      <c r="A324" s="2">
        <v>386</v>
      </c>
      <c r="B324" s="2" t="str">
        <f t="shared" ref="B324:B387" si="50">"P"&amp;DEC2HEX(A324+65536-$A$3 +2*96, 5)</f>
        <v>P10201</v>
      </c>
      <c r="C324" s="2" t="str">
        <f t="shared" ref="C324:C387" si="51">IF(RIGHT(B324,1)="0",LEFT(B324,5)," ")</f>
        <v xml:space="preserve"> </v>
      </c>
      <c r="F324" s="2">
        <v>1386</v>
      </c>
      <c r="G324" s="2" t="str">
        <f t="shared" ref="G324:G387" si="52">"P"&amp;DEC2HEX(F324+65536+4096 +2* 96-$F$3, 5)</f>
        <v>P11201</v>
      </c>
      <c r="H324" s="2" t="str">
        <f t="shared" ref="H324:H387" si="53">IF(RIGHT(G324,1)="0",LEFT(G324,5)," ")</f>
        <v xml:space="preserve"> </v>
      </c>
      <c r="I324" s="7" t="str">
        <f t="shared" si="49"/>
        <v>Тело кулачков в патроне 1 (1)</v>
      </c>
    </row>
    <row r="325" spans="1:9" x14ac:dyDescent="0.3">
      <c r="A325" s="2">
        <v>387</v>
      </c>
      <c r="B325" s="2" t="str">
        <f t="shared" si="50"/>
        <v>P10202</v>
      </c>
      <c r="C325" s="2" t="str">
        <f t="shared" si="51"/>
        <v xml:space="preserve"> </v>
      </c>
      <c r="F325" s="2">
        <v>1387</v>
      </c>
      <c r="G325" s="2" t="str">
        <f t="shared" si="52"/>
        <v>P11202</v>
      </c>
      <c r="H325" s="2" t="str">
        <f t="shared" si="53"/>
        <v xml:space="preserve"> </v>
      </c>
      <c r="I325" s="7" t="str">
        <f t="shared" si="49"/>
        <v>Тело кулачков в патроне 1 (2)</v>
      </c>
    </row>
    <row r="326" spans="1:9" x14ac:dyDescent="0.3">
      <c r="A326" s="2">
        <v>388</v>
      </c>
      <c r="B326" s="2" t="str">
        <f t="shared" si="50"/>
        <v>P10203</v>
      </c>
      <c r="C326" s="2" t="str">
        <f t="shared" si="51"/>
        <v xml:space="preserve"> </v>
      </c>
      <c r="F326" s="2">
        <v>1388</v>
      </c>
      <c r="G326" s="2" t="str">
        <f t="shared" si="52"/>
        <v>P11203</v>
      </c>
      <c r="H326" s="2" t="str">
        <f t="shared" si="53"/>
        <v xml:space="preserve"> </v>
      </c>
      <c r="I326" s="7" t="str">
        <f t="shared" si="49"/>
        <v>Тело кулачков в патроне 1 (3)</v>
      </c>
    </row>
    <row r="327" spans="1:9" x14ac:dyDescent="0.3">
      <c r="A327" s="2">
        <v>389</v>
      </c>
      <c r="B327" s="2" t="str">
        <f t="shared" si="50"/>
        <v>P10204</v>
      </c>
      <c r="C327" s="2" t="str">
        <f t="shared" si="51"/>
        <v xml:space="preserve"> </v>
      </c>
      <c r="F327" s="2">
        <v>1389</v>
      </c>
      <c r="G327" s="2" t="str">
        <f t="shared" si="52"/>
        <v>P11204</v>
      </c>
      <c r="H327" s="2" t="str">
        <f t="shared" si="53"/>
        <v xml:space="preserve"> </v>
      </c>
      <c r="I327" s="7" t="str">
        <f t="shared" si="49"/>
        <v>Тело кулачков в патроне 1 (4)</v>
      </c>
    </row>
    <row r="328" spans="1:9" x14ac:dyDescent="0.3">
      <c r="A328" s="2">
        <v>390</v>
      </c>
      <c r="B328" s="2" t="str">
        <f t="shared" si="50"/>
        <v>P10205</v>
      </c>
      <c r="C328" s="2" t="str">
        <f t="shared" si="51"/>
        <v xml:space="preserve"> </v>
      </c>
      <c r="F328" s="2">
        <v>1390</v>
      </c>
      <c r="G328" s="2" t="str">
        <f t="shared" si="52"/>
        <v>P11205</v>
      </c>
      <c r="H328" s="2" t="str">
        <f t="shared" si="53"/>
        <v xml:space="preserve"> </v>
      </c>
      <c r="I328" s="7" t="str">
        <f t="shared" si="49"/>
        <v>Тело кулачков в патроне 1 (5)</v>
      </c>
    </row>
    <row r="329" spans="1:9" x14ac:dyDescent="0.3">
      <c r="A329" s="2">
        <v>391</v>
      </c>
      <c r="B329" s="2" t="str">
        <f t="shared" si="50"/>
        <v>P10206</v>
      </c>
      <c r="C329" s="2" t="str">
        <f t="shared" si="51"/>
        <v xml:space="preserve"> </v>
      </c>
      <c r="F329" s="2">
        <v>1391</v>
      </c>
      <c r="G329" s="2" t="str">
        <f t="shared" si="52"/>
        <v>P11206</v>
      </c>
      <c r="H329" s="2" t="str">
        <f t="shared" si="53"/>
        <v xml:space="preserve"> </v>
      </c>
      <c r="I329" s="7" t="str">
        <f t="shared" si="49"/>
        <v>Тело кулачков в патроне 1 (6)</v>
      </c>
    </row>
    <row r="330" spans="1:9" x14ac:dyDescent="0.3">
      <c r="A330" s="2">
        <v>392</v>
      </c>
      <c r="B330" s="2" t="str">
        <f t="shared" si="50"/>
        <v>P10207</v>
      </c>
      <c r="C330" s="2" t="str">
        <f t="shared" si="51"/>
        <v xml:space="preserve"> </v>
      </c>
      <c r="F330" s="2">
        <v>1392</v>
      </c>
      <c r="G330" s="2" t="str">
        <f t="shared" si="52"/>
        <v>P11207</v>
      </c>
      <c r="H330" s="2" t="str">
        <f t="shared" si="53"/>
        <v xml:space="preserve"> </v>
      </c>
      <c r="I330" s="7" t="str">
        <f t="shared" si="49"/>
        <v>Тело кулачков в патроне 1 (7)</v>
      </c>
    </row>
    <row r="331" spans="1:9" x14ac:dyDescent="0.3">
      <c r="A331" s="2">
        <v>393</v>
      </c>
      <c r="B331" s="2" t="str">
        <f t="shared" si="50"/>
        <v>P10208</v>
      </c>
      <c r="C331" s="2" t="str">
        <f t="shared" si="51"/>
        <v xml:space="preserve"> </v>
      </c>
      <c r="F331" s="2">
        <v>1393</v>
      </c>
      <c r="G331" s="2" t="str">
        <f t="shared" si="52"/>
        <v>P11208</v>
      </c>
      <c r="H331" s="2" t="str">
        <f t="shared" si="53"/>
        <v xml:space="preserve"> </v>
      </c>
      <c r="I331" s="7" t="str">
        <f t="shared" ref="I331:I338" si="54">"Полная длина кулачков в патроне 2/ ст.перехвата ("&amp;ROW(A1)-ROW($A$1)&amp;")"</f>
        <v>Полная длина кулачков в патроне 2/ ст.перехвата (0)</v>
      </c>
    </row>
    <row r="332" spans="1:9" x14ac:dyDescent="0.3">
      <c r="A332" s="2">
        <v>394</v>
      </c>
      <c r="B332" s="2" t="str">
        <f t="shared" si="50"/>
        <v>P10209</v>
      </c>
      <c r="C332" s="2" t="str">
        <f t="shared" si="51"/>
        <v xml:space="preserve"> </v>
      </c>
      <c r="F332" s="2">
        <v>1394</v>
      </c>
      <c r="G332" s="2" t="str">
        <f t="shared" si="52"/>
        <v>P11209</v>
      </c>
      <c r="H332" s="2" t="str">
        <f t="shared" si="53"/>
        <v xml:space="preserve"> </v>
      </c>
      <c r="I332" s="7" t="str">
        <f t="shared" si="54"/>
        <v>Полная длина кулачков в патроне 2/ ст.перехвата (1)</v>
      </c>
    </row>
    <row r="333" spans="1:9" x14ac:dyDescent="0.3">
      <c r="A333" s="2">
        <v>395</v>
      </c>
      <c r="B333" s="2" t="str">
        <f t="shared" si="50"/>
        <v>P1020A</v>
      </c>
      <c r="C333" s="2" t="str">
        <f t="shared" si="51"/>
        <v xml:space="preserve"> </v>
      </c>
      <c r="F333" s="2">
        <v>1395</v>
      </c>
      <c r="G333" s="2" t="str">
        <f t="shared" si="52"/>
        <v>P1120A</v>
      </c>
      <c r="H333" s="2" t="str">
        <f t="shared" si="53"/>
        <v xml:space="preserve"> </v>
      </c>
      <c r="I333" s="7" t="str">
        <f t="shared" si="54"/>
        <v>Полная длина кулачков в патроне 2/ ст.перехвата (2)</v>
      </c>
    </row>
    <row r="334" spans="1:9" x14ac:dyDescent="0.3">
      <c r="A334" s="2">
        <v>396</v>
      </c>
      <c r="B334" s="2" t="str">
        <f t="shared" si="50"/>
        <v>P1020B</v>
      </c>
      <c r="C334" s="2" t="str">
        <f t="shared" si="51"/>
        <v xml:space="preserve"> </v>
      </c>
      <c r="F334" s="2">
        <v>1396</v>
      </c>
      <c r="G334" s="2" t="str">
        <f t="shared" si="52"/>
        <v>P1120B</v>
      </c>
      <c r="H334" s="2" t="str">
        <f t="shared" si="53"/>
        <v xml:space="preserve"> </v>
      </c>
      <c r="I334" s="7" t="str">
        <f t="shared" si="54"/>
        <v>Полная длина кулачков в патроне 2/ ст.перехвата (3)</v>
      </c>
    </row>
    <row r="335" spans="1:9" x14ac:dyDescent="0.3">
      <c r="A335" s="2">
        <v>397</v>
      </c>
      <c r="B335" s="2" t="str">
        <f t="shared" si="50"/>
        <v>P1020C</v>
      </c>
      <c r="C335" s="2" t="str">
        <f t="shared" si="51"/>
        <v xml:space="preserve"> </v>
      </c>
      <c r="F335" s="2">
        <v>1397</v>
      </c>
      <c r="G335" s="2" t="str">
        <f t="shared" si="52"/>
        <v>P1120C</v>
      </c>
      <c r="H335" s="2" t="str">
        <f t="shared" si="53"/>
        <v xml:space="preserve"> </v>
      </c>
      <c r="I335" s="7" t="str">
        <f t="shared" si="54"/>
        <v>Полная длина кулачков в патроне 2/ ст.перехвата (4)</v>
      </c>
    </row>
    <row r="336" spans="1:9" x14ac:dyDescent="0.3">
      <c r="A336" s="2">
        <v>398</v>
      </c>
      <c r="B336" s="2" t="str">
        <f t="shared" si="50"/>
        <v>P1020D</v>
      </c>
      <c r="C336" s="2" t="str">
        <f t="shared" si="51"/>
        <v xml:space="preserve"> </v>
      </c>
      <c r="F336" s="2">
        <v>1398</v>
      </c>
      <c r="G336" s="2" t="str">
        <f t="shared" si="52"/>
        <v>P1120D</v>
      </c>
      <c r="H336" s="2" t="str">
        <f t="shared" si="53"/>
        <v xml:space="preserve"> </v>
      </c>
      <c r="I336" s="7" t="str">
        <f t="shared" si="54"/>
        <v>Полная длина кулачков в патроне 2/ ст.перехвата (5)</v>
      </c>
    </row>
    <row r="337" spans="1:9" x14ac:dyDescent="0.3">
      <c r="A337" s="2">
        <v>399</v>
      </c>
      <c r="B337" s="2" t="str">
        <f t="shared" si="50"/>
        <v>P1020E</v>
      </c>
      <c r="C337" s="2" t="str">
        <f t="shared" si="51"/>
        <v xml:space="preserve"> </v>
      </c>
      <c r="F337" s="2">
        <v>1399</v>
      </c>
      <c r="G337" s="2" t="str">
        <f t="shared" si="52"/>
        <v>P1120E</v>
      </c>
      <c r="H337" s="2" t="str">
        <f t="shared" si="53"/>
        <v xml:space="preserve"> </v>
      </c>
      <c r="I337" s="7" t="str">
        <f t="shared" si="54"/>
        <v>Полная длина кулачков в патроне 2/ ст.перехвата (6)</v>
      </c>
    </row>
    <row r="338" spans="1:9" x14ac:dyDescent="0.3">
      <c r="A338" s="2">
        <v>400</v>
      </c>
      <c r="B338" s="2" t="str">
        <f t="shared" si="50"/>
        <v>P1020F</v>
      </c>
      <c r="C338" s="2" t="str">
        <f t="shared" si="51"/>
        <v xml:space="preserve"> </v>
      </c>
      <c r="F338" s="2">
        <v>1400</v>
      </c>
      <c r="G338" s="2" t="str">
        <f t="shared" si="52"/>
        <v>P1120F</v>
      </c>
      <c r="H338" s="2" t="str">
        <f t="shared" si="53"/>
        <v xml:space="preserve"> </v>
      </c>
      <c r="I338" s="7" t="str">
        <f t="shared" si="54"/>
        <v>Полная длина кулачков в патроне 2/ ст.перехвата (7)</v>
      </c>
    </row>
    <row r="339" spans="1:9" x14ac:dyDescent="0.3">
      <c r="A339" s="2">
        <v>401</v>
      </c>
      <c r="B339" s="2" t="str">
        <f t="shared" si="50"/>
        <v>P10210</v>
      </c>
      <c r="C339" s="2" t="str">
        <f t="shared" si="51"/>
        <v>P1021</v>
      </c>
      <c r="F339" s="2">
        <v>1401</v>
      </c>
      <c r="G339" s="2" t="str">
        <f t="shared" si="52"/>
        <v>P11210</v>
      </c>
      <c r="H339" s="2" t="str">
        <f t="shared" si="53"/>
        <v>P1121</v>
      </c>
      <c r="I339" s="7" t="str">
        <f t="shared" ref="I339:I346" si="55">"Тело кулачков в патроне 2/ ст.перехвата  ("&amp;ROW(A1)-ROW($A$1)&amp;")"</f>
        <v>Тело кулачков в патроне 2/ ст.перехвата  (0)</v>
      </c>
    </row>
    <row r="340" spans="1:9" x14ac:dyDescent="0.3">
      <c r="A340" s="2">
        <v>402</v>
      </c>
      <c r="B340" s="2" t="str">
        <f t="shared" si="50"/>
        <v>P10211</v>
      </c>
      <c r="C340" s="2" t="str">
        <f t="shared" si="51"/>
        <v xml:space="preserve"> </v>
      </c>
      <c r="F340" s="2">
        <v>1402</v>
      </c>
      <c r="G340" s="2" t="str">
        <f t="shared" si="52"/>
        <v>P11211</v>
      </c>
      <c r="H340" s="2" t="str">
        <f t="shared" si="53"/>
        <v xml:space="preserve"> </v>
      </c>
      <c r="I340" s="7" t="str">
        <f t="shared" si="55"/>
        <v>Тело кулачков в патроне 2/ ст.перехвата  (1)</v>
      </c>
    </row>
    <row r="341" spans="1:9" x14ac:dyDescent="0.3">
      <c r="A341" s="2">
        <v>403</v>
      </c>
      <c r="B341" s="2" t="str">
        <f t="shared" si="50"/>
        <v>P10212</v>
      </c>
      <c r="C341" s="2" t="str">
        <f t="shared" si="51"/>
        <v xml:space="preserve"> </v>
      </c>
      <c r="F341" s="2">
        <v>1403</v>
      </c>
      <c r="G341" s="2" t="str">
        <f t="shared" si="52"/>
        <v>P11212</v>
      </c>
      <c r="H341" s="2" t="str">
        <f t="shared" si="53"/>
        <v xml:space="preserve"> </v>
      </c>
      <c r="I341" s="7" t="str">
        <f t="shared" si="55"/>
        <v>Тело кулачков в патроне 2/ ст.перехвата  (2)</v>
      </c>
    </row>
    <row r="342" spans="1:9" x14ac:dyDescent="0.3">
      <c r="A342" s="2">
        <v>404</v>
      </c>
      <c r="B342" s="2" t="str">
        <f t="shared" si="50"/>
        <v>P10213</v>
      </c>
      <c r="C342" s="2" t="str">
        <f t="shared" si="51"/>
        <v xml:space="preserve"> </v>
      </c>
      <c r="F342" s="2">
        <v>1404</v>
      </c>
      <c r="G342" s="2" t="str">
        <f t="shared" si="52"/>
        <v>P11213</v>
      </c>
      <c r="H342" s="2" t="str">
        <f t="shared" si="53"/>
        <v xml:space="preserve"> </v>
      </c>
      <c r="I342" s="7" t="str">
        <f t="shared" si="55"/>
        <v>Тело кулачков в патроне 2/ ст.перехвата  (3)</v>
      </c>
    </row>
    <row r="343" spans="1:9" x14ac:dyDescent="0.3">
      <c r="A343" s="2">
        <v>405</v>
      </c>
      <c r="B343" s="2" t="str">
        <f t="shared" si="50"/>
        <v>P10214</v>
      </c>
      <c r="C343" s="2" t="str">
        <f t="shared" si="51"/>
        <v xml:space="preserve"> </v>
      </c>
      <c r="F343" s="2">
        <v>1405</v>
      </c>
      <c r="G343" s="2" t="str">
        <f t="shared" si="52"/>
        <v>P11214</v>
      </c>
      <c r="H343" s="2" t="str">
        <f t="shared" si="53"/>
        <v xml:space="preserve"> </v>
      </c>
      <c r="I343" s="7" t="str">
        <f t="shared" si="55"/>
        <v>Тело кулачков в патроне 2/ ст.перехвата  (4)</v>
      </c>
    </row>
    <row r="344" spans="1:9" x14ac:dyDescent="0.3">
      <c r="A344" s="2">
        <v>406</v>
      </c>
      <c r="B344" s="2" t="str">
        <f t="shared" si="50"/>
        <v>P10215</v>
      </c>
      <c r="C344" s="2" t="str">
        <f t="shared" si="51"/>
        <v xml:space="preserve"> </v>
      </c>
      <c r="F344" s="2">
        <v>1406</v>
      </c>
      <c r="G344" s="2" t="str">
        <f t="shared" si="52"/>
        <v>P11215</v>
      </c>
      <c r="H344" s="2" t="str">
        <f t="shared" si="53"/>
        <v xml:space="preserve"> </v>
      </c>
      <c r="I344" s="7" t="str">
        <f t="shared" si="55"/>
        <v>Тело кулачков в патроне 2/ ст.перехвата  (5)</v>
      </c>
    </row>
    <row r="345" spans="1:9" x14ac:dyDescent="0.3">
      <c r="A345" s="2">
        <v>407</v>
      </c>
      <c r="B345" s="2" t="str">
        <f t="shared" si="50"/>
        <v>P10216</v>
      </c>
      <c r="C345" s="2" t="str">
        <f t="shared" si="51"/>
        <v xml:space="preserve"> </v>
      </c>
      <c r="F345" s="2">
        <v>1407</v>
      </c>
      <c r="G345" s="2" t="str">
        <f t="shared" si="52"/>
        <v>P11216</v>
      </c>
      <c r="H345" s="2" t="str">
        <f t="shared" si="53"/>
        <v xml:space="preserve"> </v>
      </c>
      <c r="I345" s="7" t="str">
        <f t="shared" si="55"/>
        <v>Тело кулачков в патроне 2/ ст.перехвата  (6)</v>
      </c>
    </row>
    <row r="346" spans="1:9" x14ac:dyDescent="0.3">
      <c r="A346" s="2">
        <v>408</v>
      </c>
      <c r="B346" s="2" t="str">
        <f t="shared" si="50"/>
        <v>P10217</v>
      </c>
      <c r="C346" s="2" t="str">
        <f t="shared" si="51"/>
        <v xml:space="preserve"> </v>
      </c>
      <c r="F346" s="2">
        <v>1408</v>
      </c>
      <c r="G346" s="2" t="str">
        <f t="shared" si="52"/>
        <v>P11217</v>
      </c>
      <c r="H346" s="2" t="str">
        <f t="shared" si="53"/>
        <v xml:space="preserve"> </v>
      </c>
      <c r="I346" s="7" t="str">
        <f t="shared" si="55"/>
        <v>Тело кулачков в патроне 2/ ст.перехвата  (7)</v>
      </c>
    </row>
    <row r="347" spans="1:9" x14ac:dyDescent="0.3">
      <c r="A347" s="2">
        <v>409</v>
      </c>
      <c r="B347" s="2" t="str">
        <f t="shared" si="50"/>
        <v>P10218</v>
      </c>
      <c r="C347" s="2" t="str">
        <f t="shared" si="51"/>
        <v xml:space="preserve"> </v>
      </c>
      <c r="F347" s="2">
        <v>1409</v>
      </c>
      <c r="G347" s="2" t="str">
        <f t="shared" si="52"/>
        <v>P11218</v>
      </c>
      <c r="H347" s="2" t="str">
        <f t="shared" si="53"/>
        <v xml:space="preserve"> </v>
      </c>
      <c r="I347" s="7" t="str">
        <f>"Количество рядов на пластине ("&amp;ROW(A1)-ROW($A$1)&amp;")"</f>
        <v>Количество рядов на пластине (0)</v>
      </c>
    </row>
    <row r="348" spans="1:9" x14ac:dyDescent="0.3">
      <c r="A348" s="2">
        <v>410</v>
      </c>
      <c r="B348" s="2" t="str">
        <f t="shared" si="50"/>
        <v>P10219</v>
      </c>
      <c r="C348" s="2" t="str">
        <f t="shared" si="51"/>
        <v xml:space="preserve"> </v>
      </c>
      <c r="F348" s="2">
        <v>1410</v>
      </c>
      <c r="G348" s="2" t="str">
        <f t="shared" si="52"/>
        <v>P11219</v>
      </c>
      <c r="H348" s="2" t="str">
        <f t="shared" si="53"/>
        <v xml:space="preserve"> </v>
      </c>
      <c r="I348" s="7" t="str">
        <f>"Количество рядов на пластине ("&amp;ROW(A2)-ROW($A$1)&amp;")"</f>
        <v>Количество рядов на пластине (1)</v>
      </c>
    </row>
    <row r="349" spans="1:9" x14ac:dyDescent="0.3">
      <c r="A349" s="2">
        <v>411</v>
      </c>
      <c r="B349" s="2" t="str">
        <f t="shared" si="50"/>
        <v>P1021A</v>
      </c>
      <c r="C349" s="2" t="str">
        <f t="shared" si="51"/>
        <v xml:space="preserve"> </v>
      </c>
      <c r="F349" s="2">
        <v>1411</v>
      </c>
      <c r="G349" s="2" t="str">
        <f t="shared" si="52"/>
        <v>P1121A</v>
      </c>
      <c r="H349" s="2" t="str">
        <f t="shared" si="53"/>
        <v xml:space="preserve"> </v>
      </c>
      <c r="I349" s="7" t="str">
        <f>"Количество рядов на пластине ("&amp;ROW(A3)-ROW($A$1)&amp;")"</f>
        <v>Количество рядов на пластине (2)</v>
      </c>
    </row>
    <row r="350" spans="1:9" x14ac:dyDescent="0.3">
      <c r="A350" s="2">
        <v>412</v>
      </c>
      <c r="B350" s="2" t="str">
        <f t="shared" si="50"/>
        <v>P1021B</v>
      </c>
      <c r="C350" s="2" t="str">
        <f t="shared" si="51"/>
        <v xml:space="preserve"> </v>
      </c>
      <c r="F350" s="2">
        <v>1412</v>
      </c>
      <c r="G350" s="2" t="str">
        <f t="shared" si="52"/>
        <v>P1121B</v>
      </c>
      <c r="H350" s="2" t="str">
        <f t="shared" si="53"/>
        <v xml:space="preserve"> </v>
      </c>
      <c r="I350" s="7" t="str">
        <f>"Количество рядов на пластине ("&amp;ROW(A4)-ROW($A$1)&amp;")"</f>
        <v>Количество рядов на пластине (3)</v>
      </c>
    </row>
    <row r="351" spans="1:9" x14ac:dyDescent="0.3">
      <c r="A351" s="2">
        <v>413</v>
      </c>
      <c r="B351" s="2" t="str">
        <f t="shared" si="50"/>
        <v>P1021C</v>
      </c>
      <c r="C351" s="2" t="str">
        <f t="shared" si="51"/>
        <v xml:space="preserve"> </v>
      </c>
      <c r="F351" s="2">
        <v>1413</v>
      </c>
      <c r="G351" s="2" t="str">
        <f t="shared" si="52"/>
        <v>P1121C</v>
      </c>
      <c r="H351" s="2" t="str">
        <f t="shared" si="53"/>
        <v xml:space="preserve"> </v>
      </c>
      <c r="I351" s="7">
        <v>1</v>
      </c>
    </row>
    <row r="352" spans="1:9" x14ac:dyDescent="0.3">
      <c r="A352" s="2">
        <v>414</v>
      </c>
      <c r="B352" s="2" t="str">
        <f t="shared" si="50"/>
        <v>P1021D</v>
      </c>
      <c r="C352" s="2" t="str">
        <f t="shared" si="51"/>
        <v xml:space="preserve"> </v>
      </c>
      <c r="F352" s="2">
        <v>1414</v>
      </c>
      <c r="G352" s="2" t="str">
        <f t="shared" si="52"/>
        <v>P1121D</v>
      </c>
      <c r="H352" s="2" t="str">
        <f t="shared" si="53"/>
        <v xml:space="preserve"> </v>
      </c>
      <c r="I352" s="7" t="str">
        <f>"Количество ячеек в нечётных рядах ("&amp;ROW(A2)-ROW($A$1)&amp;")"</f>
        <v>Количество ячеек в нечётных рядах (1)</v>
      </c>
    </row>
    <row r="353" spans="1:9" x14ac:dyDescent="0.3">
      <c r="A353" s="2">
        <v>415</v>
      </c>
      <c r="B353" s="2" t="str">
        <f t="shared" si="50"/>
        <v>P1021E</v>
      </c>
      <c r="C353" s="2" t="str">
        <f t="shared" si="51"/>
        <v xml:space="preserve"> </v>
      </c>
      <c r="F353" s="2">
        <v>1415</v>
      </c>
      <c r="G353" s="2" t="str">
        <f t="shared" si="52"/>
        <v>P1121E</v>
      </c>
      <c r="H353" s="2" t="str">
        <f t="shared" si="53"/>
        <v xml:space="preserve"> </v>
      </c>
      <c r="I353" s="7" t="str">
        <f>"Количество ячеек в нечётных рядах ("&amp;ROW(A3)-ROW($A$1)&amp;")"</f>
        <v>Количество ячеек в нечётных рядах (2)</v>
      </c>
    </row>
    <row r="354" spans="1:9" x14ac:dyDescent="0.3">
      <c r="A354" s="2">
        <v>416</v>
      </c>
      <c r="B354" s="2" t="str">
        <f t="shared" si="50"/>
        <v>P1021F</v>
      </c>
      <c r="C354" s="2" t="str">
        <f t="shared" si="51"/>
        <v xml:space="preserve"> </v>
      </c>
      <c r="F354" s="2">
        <v>1416</v>
      </c>
      <c r="G354" s="2" t="str">
        <f t="shared" si="52"/>
        <v>P1121F</v>
      </c>
      <c r="H354" s="2" t="str">
        <f t="shared" si="53"/>
        <v xml:space="preserve"> </v>
      </c>
      <c r="I354" s="7" t="str">
        <f>"Количество ячеек в нечётных рядах ("&amp;ROW(A4)-ROW($A$1)&amp;")"</f>
        <v>Количество ячеек в нечётных рядах (3)</v>
      </c>
    </row>
    <row r="355" spans="1:9" x14ac:dyDescent="0.3">
      <c r="A355" s="2">
        <v>417</v>
      </c>
      <c r="B355" s="2" t="str">
        <f t="shared" si="50"/>
        <v>P10220</v>
      </c>
      <c r="C355" s="2" t="str">
        <f t="shared" si="51"/>
        <v>P1022</v>
      </c>
      <c r="F355" s="2">
        <v>1417</v>
      </c>
      <c r="G355" s="2" t="str">
        <f t="shared" si="52"/>
        <v>P11220</v>
      </c>
      <c r="H355" s="2" t="str">
        <f t="shared" si="53"/>
        <v>P1122</v>
      </c>
      <c r="I355" s="7" t="str">
        <f>"Количество ячеек в чётных рядах ("&amp;ROW(A1)-ROW($A$1)&amp;")"</f>
        <v>Количество ячеек в чётных рядах (0)</v>
      </c>
    </row>
    <row r="356" spans="1:9" x14ac:dyDescent="0.3">
      <c r="A356" s="2">
        <v>418</v>
      </c>
      <c r="B356" s="2" t="str">
        <f t="shared" si="50"/>
        <v>P10221</v>
      </c>
      <c r="C356" s="2" t="str">
        <f t="shared" si="51"/>
        <v xml:space="preserve"> </v>
      </c>
      <c r="F356" s="2">
        <v>1418</v>
      </c>
      <c r="G356" s="2" t="str">
        <f t="shared" si="52"/>
        <v>P11221</v>
      </c>
      <c r="H356" s="2" t="str">
        <f t="shared" si="53"/>
        <v xml:space="preserve"> </v>
      </c>
      <c r="I356" s="7" t="str">
        <f>"Количество ячеек в чётных рядах ("&amp;ROW(A2)-ROW($A$1)&amp;")"</f>
        <v>Количество ячеек в чётных рядах (1)</v>
      </c>
    </row>
    <row r="357" spans="1:9" x14ac:dyDescent="0.3">
      <c r="A357" s="2">
        <v>419</v>
      </c>
      <c r="B357" s="2" t="str">
        <f t="shared" si="50"/>
        <v>P10222</v>
      </c>
      <c r="C357" s="2" t="str">
        <f t="shared" si="51"/>
        <v xml:space="preserve"> </v>
      </c>
      <c r="F357" s="2">
        <v>1419</v>
      </c>
      <c r="G357" s="2" t="str">
        <f t="shared" si="52"/>
        <v>P11222</v>
      </c>
      <c r="H357" s="2" t="str">
        <f t="shared" si="53"/>
        <v xml:space="preserve"> </v>
      </c>
      <c r="I357" s="7" t="str">
        <f>"Количество ячеек в чётных рядах ("&amp;ROW(A3)-ROW($A$1)&amp;")"</f>
        <v>Количество ячеек в чётных рядах (2)</v>
      </c>
    </row>
    <row r="358" spans="1:9" x14ac:dyDescent="0.3">
      <c r="A358" s="2">
        <v>420</v>
      </c>
      <c r="B358" s="2" t="str">
        <f t="shared" si="50"/>
        <v>P10223</v>
      </c>
      <c r="C358" s="2" t="str">
        <f t="shared" si="51"/>
        <v xml:space="preserve"> </v>
      </c>
      <c r="F358" s="2">
        <v>1420</v>
      </c>
      <c r="G358" s="2" t="str">
        <f t="shared" si="52"/>
        <v>P11223</v>
      </c>
      <c r="H358" s="2" t="str">
        <f t="shared" si="53"/>
        <v xml:space="preserve"> </v>
      </c>
      <c r="I358" s="7" t="str">
        <f>"Количество ячеек в чётных рядах ("&amp;ROW(A4)-ROW($A$1)&amp;")"</f>
        <v>Количество ячеек в чётных рядах (3)</v>
      </c>
    </row>
    <row r="359" spans="1:9" x14ac:dyDescent="0.3">
      <c r="A359" s="2">
        <v>421</v>
      </c>
      <c r="B359" s="2" t="str">
        <f t="shared" si="50"/>
        <v>P10224</v>
      </c>
      <c r="C359" s="2" t="str">
        <f t="shared" si="51"/>
        <v xml:space="preserve"> </v>
      </c>
      <c r="F359" s="2">
        <v>1421</v>
      </c>
      <c r="G359" s="2" t="str">
        <f t="shared" si="52"/>
        <v>P11224</v>
      </c>
      <c r="H359" s="2" t="str">
        <f t="shared" si="53"/>
        <v xml:space="preserve"> </v>
      </c>
      <c r="I359" s="7"/>
    </row>
    <row r="360" spans="1:9" x14ac:dyDescent="0.3">
      <c r="A360" s="2">
        <v>422</v>
      </c>
      <c r="B360" s="2" t="str">
        <f t="shared" si="50"/>
        <v>P10225</v>
      </c>
      <c r="C360" s="2" t="str">
        <f t="shared" si="51"/>
        <v xml:space="preserve"> </v>
      </c>
      <c r="F360" s="2">
        <v>1422</v>
      </c>
      <c r="G360" s="2" t="str">
        <f t="shared" si="52"/>
        <v>P11225</v>
      </c>
      <c r="H360" s="2" t="str">
        <f t="shared" si="53"/>
        <v xml:space="preserve"> </v>
      </c>
      <c r="I360" s="7"/>
    </row>
    <row r="361" spans="1:9" x14ac:dyDescent="0.3">
      <c r="A361" s="2">
        <v>423</v>
      </c>
      <c r="B361" s="2" t="str">
        <f t="shared" si="50"/>
        <v>P10226</v>
      </c>
      <c r="C361" s="2" t="str">
        <f t="shared" si="51"/>
        <v xml:space="preserve"> </v>
      </c>
      <c r="F361" s="2">
        <v>1423</v>
      </c>
      <c r="G361" s="2" t="str">
        <f t="shared" si="52"/>
        <v>P11226</v>
      </c>
      <c r="H361" s="2" t="str">
        <f t="shared" si="53"/>
        <v xml:space="preserve"> </v>
      </c>
      <c r="I361" s="7"/>
    </row>
    <row r="362" spans="1:9" x14ac:dyDescent="0.3">
      <c r="A362" s="2">
        <v>424</v>
      </c>
      <c r="B362" s="2" t="str">
        <f t="shared" si="50"/>
        <v>P10227</v>
      </c>
      <c r="C362" s="2" t="str">
        <f t="shared" si="51"/>
        <v xml:space="preserve"> </v>
      </c>
      <c r="F362" s="2">
        <v>1424</v>
      </c>
      <c r="G362" s="2" t="str">
        <f t="shared" si="52"/>
        <v>P11227</v>
      </c>
      <c r="H362" s="2" t="str">
        <f t="shared" si="53"/>
        <v xml:space="preserve"> </v>
      </c>
      <c r="I362" s="7"/>
    </row>
    <row r="363" spans="1:9" x14ac:dyDescent="0.3">
      <c r="A363" s="2">
        <v>425</v>
      </c>
      <c r="B363" s="2" t="str">
        <f t="shared" si="50"/>
        <v>P10228</v>
      </c>
      <c r="C363" s="2" t="str">
        <f t="shared" si="51"/>
        <v xml:space="preserve"> </v>
      </c>
      <c r="F363" s="2">
        <v>1425</v>
      </c>
      <c r="G363" s="2" t="str">
        <f t="shared" si="52"/>
        <v>P11228</v>
      </c>
      <c r="H363" s="2" t="str">
        <f t="shared" si="53"/>
        <v xml:space="preserve"> </v>
      </c>
      <c r="I363" s="7"/>
    </row>
    <row r="364" spans="1:9" x14ac:dyDescent="0.3">
      <c r="A364" s="2">
        <v>426</v>
      </c>
      <c r="B364" s="2" t="str">
        <f t="shared" si="50"/>
        <v>P10229</v>
      </c>
      <c r="C364" s="2" t="str">
        <f t="shared" si="51"/>
        <v xml:space="preserve"> </v>
      </c>
      <c r="F364" s="2">
        <v>1426</v>
      </c>
      <c r="G364" s="2" t="str">
        <f t="shared" si="52"/>
        <v>P11229</v>
      </c>
      <c r="H364" s="2" t="str">
        <f t="shared" si="53"/>
        <v xml:space="preserve"> </v>
      </c>
      <c r="I364" s="7"/>
    </row>
    <row r="365" spans="1:9" x14ac:dyDescent="0.3">
      <c r="A365" s="2">
        <v>427</v>
      </c>
      <c r="B365" s="2" t="str">
        <f t="shared" si="50"/>
        <v>P1022A</v>
      </c>
      <c r="C365" s="2" t="str">
        <f t="shared" si="51"/>
        <v xml:space="preserve"> </v>
      </c>
      <c r="F365" s="2">
        <v>1427</v>
      </c>
      <c r="G365" s="2" t="str">
        <f t="shared" si="52"/>
        <v>P1122A</v>
      </c>
      <c r="H365" s="2" t="str">
        <f t="shared" si="53"/>
        <v xml:space="preserve"> </v>
      </c>
      <c r="I365" s="7"/>
    </row>
    <row r="366" spans="1:9" x14ac:dyDescent="0.3">
      <c r="A366" s="2">
        <v>428</v>
      </c>
      <c r="B366" s="2" t="str">
        <f t="shared" si="50"/>
        <v>P1022B</v>
      </c>
      <c r="C366" s="2" t="str">
        <f t="shared" si="51"/>
        <v xml:space="preserve"> </v>
      </c>
      <c r="F366" s="2">
        <v>1428</v>
      </c>
      <c r="G366" s="2" t="str">
        <f t="shared" si="52"/>
        <v>P1122B</v>
      </c>
      <c r="H366" s="2" t="str">
        <f t="shared" si="53"/>
        <v xml:space="preserve"> </v>
      </c>
      <c r="I366" s="7"/>
    </row>
    <row r="367" spans="1:9" x14ac:dyDescent="0.3">
      <c r="A367" s="2">
        <v>429</v>
      </c>
      <c r="B367" s="2" t="str">
        <f t="shared" si="50"/>
        <v>P1022C</v>
      </c>
      <c r="C367" s="2" t="str">
        <f t="shared" si="51"/>
        <v xml:space="preserve"> </v>
      </c>
      <c r="F367" s="2">
        <v>1429</v>
      </c>
      <c r="G367" s="2" t="str">
        <f t="shared" si="52"/>
        <v>P1122C</v>
      </c>
      <c r="H367" s="2" t="str">
        <f t="shared" si="53"/>
        <v xml:space="preserve"> </v>
      </c>
      <c r="I367" s="7"/>
    </row>
    <row r="368" spans="1:9" x14ac:dyDescent="0.3">
      <c r="A368" s="2">
        <v>430</v>
      </c>
      <c r="B368" s="2" t="str">
        <f t="shared" si="50"/>
        <v>P1022D</v>
      </c>
      <c r="C368" s="2" t="str">
        <f t="shared" si="51"/>
        <v xml:space="preserve"> </v>
      </c>
      <c r="F368" s="2">
        <v>1430</v>
      </c>
      <c r="G368" s="2" t="str">
        <f t="shared" si="52"/>
        <v>P1122D</v>
      </c>
      <c r="H368" s="2" t="str">
        <f t="shared" si="53"/>
        <v xml:space="preserve"> </v>
      </c>
      <c r="I368" s="7"/>
    </row>
    <row r="369" spans="1:9" x14ac:dyDescent="0.3">
      <c r="A369" s="2">
        <v>431</v>
      </c>
      <c r="B369" s="2" t="str">
        <f t="shared" si="50"/>
        <v>P1022E</v>
      </c>
      <c r="C369" s="2" t="str">
        <f t="shared" si="51"/>
        <v xml:space="preserve"> </v>
      </c>
      <c r="F369" s="2">
        <v>1431</v>
      </c>
      <c r="G369" s="2" t="str">
        <f t="shared" si="52"/>
        <v>P1122E</v>
      </c>
      <c r="H369" s="2" t="str">
        <f t="shared" si="53"/>
        <v xml:space="preserve"> </v>
      </c>
      <c r="I369" s="7"/>
    </row>
    <row r="370" spans="1:9" x14ac:dyDescent="0.3">
      <c r="A370" s="2">
        <v>432</v>
      </c>
      <c r="B370" s="2" t="str">
        <f t="shared" si="50"/>
        <v>P1022F</v>
      </c>
      <c r="C370" s="2" t="str">
        <f t="shared" si="51"/>
        <v xml:space="preserve"> </v>
      </c>
      <c r="F370" s="2">
        <v>1432</v>
      </c>
      <c r="G370" s="2" t="str">
        <f t="shared" si="52"/>
        <v>P1122F</v>
      </c>
      <c r="H370" s="2" t="str">
        <f t="shared" si="53"/>
        <v xml:space="preserve"> </v>
      </c>
      <c r="I370" s="7"/>
    </row>
    <row r="371" spans="1:9" x14ac:dyDescent="0.3">
      <c r="A371" s="2">
        <v>433</v>
      </c>
      <c r="B371" s="2" t="str">
        <f t="shared" si="50"/>
        <v>P10230</v>
      </c>
      <c r="C371" s="2" t="str">
        <f t="shared" si="51"/>
        <v>P1023</v>
      </c>
      <c r="F371" s="2">
        <v>1433</v>
      </c>
      <c r="G371" s="2" t="str">
        <f t="shared" si="52"/>
        <v>P11230</v>
      </c>
      <c r="H371" s="2" t="str">
        <f t="shared" si="53"/>
        <v>P1123</v>
      </c>
      <c r="I371" s="7" t="str">
        <f t="shared" ref="I371:I386" si="56">"Расстояние между ячейками ("&amp;ROW(A1)-ROW($A$1)&amp;")"</f>
        <v>Расстояние между ячейками (0)</v>
      </c>
    </row>
    <row r="372" spans="1:9" x14ac:dyDescent="0.3">
      <c r="A372" s="2">
        <v>434</v>
      </c>
      <c r="B372" s="2" t="str">
        <f t="shared" si="50"/>
        <v>P10231</v>
      </c>
      <c r="C372" s="2" t="str">
        <f t="shared" si="51"/>
        <v xml:space="preserve"> </v>
      </c>
      <c r="F372" s="2">
        <v>1434</v>
      </c>
      <c r="G372" s="2" t="str">
        <f t="shared" si="52"/>
        <v>P11231</v>
      </c>
      <c r="H372" s="2" t="str">
        <f t="shared" si="53"/>
        <v xml:space="preserve"> </v>
      </c>
      <c r="I372" s="7" t="str">
        <f t="shared" si="56"/>
        <v>Расстояние между ячейками (1)</v>
      </c>
    </row>
    <row r="373" spans="1:9" x14ac:dyDescent="0.3">
      <c r="A373" s="2">
        <v>435</v>
      </c>
      <c r="B373" s="2" t="str">
        <f t="shared" si="50"/>
        <v>P10232</v>
      </c>
      <c r="C373" s="2" t="str">
        <f t="shared" si="51"/>
        <v xml:space="preserve"> </v>
      </c>
      <c r="F373" s="2">
        <v>1435</v>
      </c>
      <c r="G373" s="2" t="str">
        <f t="shared" si="52"/>
        <v>P11232</v>
      </c>
      <c r="H373" s="2" t="str">
        <f t="shared" si="53"/>
        <v xml:space="preserve"> </v>
      </c>
      <c r="I373" s="7" t="str">
        <f t="shared" si="56"/>
        <v>Расстояние между ячейками (2)</v>
      </c>
    </row>
    <row r="374" spans="1:9" x14ac:dyDescent="0.3">
      <c r="A374" s="2">
        <v>436</v>
      </c>
      <c r="B374" s="2" t="str">
        <f t="shared" si="50"/>
        <v>P10233</v>
      </c>
      <c r="C374" s="2" t="str">
        <f t="shared" si="51"/>
        <v xml:space="preserve"> </v>
      </c>
      <c r="F374" s="2">
        <v>1436</v>
      </c>
      <c r="G374" s="2" t="str">
        <f t="shared" si="52"/>
        <v>P11233</v>
      </c>
      <c r="H374" s="2" t="str">
        <f t="shared" si="53"/>
        <v xml:space="preserve"> </v>
      </c>
      <c r="I374" s="7" t="str">
        <f t="shared" si="56"/>
        <v>Расстояние между ячейками (3)</v>
      </c>
    </row>
    <row r="375" spans="1:9" x14ac:dyDescent="0.3">
      <c r="A375" s="2">
        <v>437</v>
      </c>
      <c r="B375" s="2" t="str">
        <f t="shared" si="50"/>
        <v>P10234</v>
      </c>
      <c r="C375" s="2" t="str">
        <f t="shared" si="51"/>
        <v xml:space="preserve"> </v>
      </c>
      <c r="F375" s="2">
        <v>1437</v>
      </c>
      <c r="G375" s="2" t="str">
        <f t="shared" si="52"/>
        <v>P11234</v>
      </c>
      <c r="H375" s="2" t="str">
        <f t="shared" si="53"/>
        <v xml:space="preserve"> </v>
      </c>
      <c r="I375" s="7" t="str">
        <f t="shared" si="56"/>
        <v>Расстояние между ячейками (4)</v>
      </c>
    </row>
    <row r="376" spans="1:9" x14ac:dyDescent="0.3">
      <c r="A376" s="2">
        <v>438</v>
      </c>
      <c r="B376" s="2" t="str">
        <f t="shared" si="50"/>
        <v>P10235</v>
      </c>
      <c r="C376" s="2" t="str">
        <f t="shared" si="51"/>
        <v xml:space="preserve"> </v>
      </c>
      <c r="F376" s="2">
        <v>1438</v>
      </c>
      <c r="G376" s="2" t="str">
        <f t="shared" si="52"/>
        <v>P11235</v>
      </c>
      <c r="H376" s="2" t="str">
        <f t="shared" si="53"/>
        <v xml:space="preserve"> </v>
      </c>
      <c r="I376" s="7" t="str">
        <f t="shared" si="56"/>
        <v>Расстояние между ячейками (5)</v>
      </c>
    </row>
    <row r="377" spans="1:9" x14ac:dyDescent="0.3">
      <c r="A377" s="2">
        <v>439</v>
      </c>
      <c r="B377" s="2" t="str">
        <f t="shared" si="50"/>
        <v>P10236</v>
      </c>
      <c r="C377" s="2" t="str">
        <f t="shared" si="51"/>
        <v xml:space="preserve"> </v>
      </c>
      <c r="F377" s="2">
        <v>1439</v>
      </c>
      <c r="G377" s="2" t="str">
        <f t="shared" si="52"/>
        <v>P11236</v>
      </c>
      <c r="H377" s="2" t="str">
        <f t="shared" si="53"/>
        <v xml:space="preserve"> </v>
      </c>
      <c r="I377" s="7" t="str">
        <f t="shared" si="56"/>
        <v>Расстояние между ячейками (6)</v>
      </c>
    </row>
    <row r="378" spans="1:9" x14ac:dyDescent="0.3">
      <c r="A378" s="2">
        <v>440</v>
      </c>
      <c r="B378" s="2" t="str">
        <f t="shared" si="50"/>
        <v>P10237</v>
      </c>
      <c r="C378" s="2" t="str">
        <f t="shared" si="51"/>
        <v xml:space="preserve"> </v>
      </c>
      <c r="F378" s="2">
        <v>1440</v>
      </c>
      <c r="G378" s="2" t="str">
        <f t="shared" si="52"/>
        <v>P11237</v>
      </c>
      <c r="H378" s="2" t="str">
        <f t="shared" si="53"/>
        <v xml:space="preserve"> </v>
      </c>
      <c r="I378" s="7" t="str">
        <f t="shared" si="56"/>
        <v>Расстояние между ячейками (7)</v>
      </c>
    </row>
    <row r="379" spans="1:9" x14ac:dyDescent="0.3">
      <c r="A379" s="2">
        <v>441</v>
      </c>
      <c r="B379" s="2" t="str">
        <f t="shared" si="50"/>
        <v>P10238</v>
      </c>
      <c r="C379" s="2" t="str">
        <f t="shared" si="51"/>
        <v xml:space="preserve"> </v>
      </c>
      <c r="F379" s="2">
        <v>1441</v>
      </c>
      <c r="G379" s="2" t="str">
        <f t="shared" si="52"/>
        <v>P11238</v>
      </c>
      <c r="H379" s="2" t="str">
        <f t="shared" si="53"/>
        <v xml:space="preserve"> </v>
      </c>
      <c r="I379" s="7" t="str">
        <f t="shared" si="56"/>
        <v>Расстояние между ячейками (8)</v>
      </c>
    </row>
    <row r="380" spans="1:9" x14ac:dyDescent="0.3">
      <c r="A380" s="2">
        <v>442</v>
      </c>
      <c r="B380" s="2" t="str">
        <f t="shared" si="50"/>
        <v>P10239</v>
      </c>
      <c r="C380" s="2" t="str">
        <f t="shared" si="51"/>
        <v xml:space="preserve"> </v>
      </c>
      <c r="F380" s="2">
        <v>1442</v>
      </c>
      <c r="G380" s="2" t="str">
        <f t="shared" si="52"/>
        <v>P11239</v>
      </c>
      <c r="H380" s="2" t="str">
        <f t="shared" si="53"/>
        <v xml:space="preserve"> </v>
      </c>
      <c r="I380" s="7" t="str">
        <f t="shared" si="56"/>
        <v>Расстояние между ячейками (9)</v>
      </c>
    </row>
    <row r="381" spans="1:9" x14ac:dyDescent="0.3">
      <c r="A381" s="2">
        <v>443</v>
      </c>
      <c r="B381" s="2" t="str">
        <f t="shared" si="50"/>
        <v>P1023A</v>
      </c>
      <c r="C381" s="2" t="str">
        <f t="shared" si="51"/>
        <v xml:space="preserve"> </v>
      </c>
      <c r="F381" s="2">
        <v>1443</v>
      </c>
      <c r="G381" s="2" t="str">
        <f t="shared" si="52"/>
        <v>P1123A</v>
      </c>
      <c r="H381" s="2" t="str">
        <f t="shared" si="53"/>
        <v xml:space="preserve"> </v>
      </c>
      <c r="I381" s="7" t="str">
        <f t="shared" si="56"/>
        <v>Расстояние между ячейками (10)</v>
      </c>
    </row>
    <row r="382" spans="1:9" x14ac:dyDescent="0.3">
      <c r="A382" s="2">
        <v>444</v>
      </c>
      <c r="B382" s="2" t="str">
        <f t="shared" si="50"/>
        <v>P1023B</v>
      </c>
      <c r="C382" s="2" t="str">
        <f t="shared" si="51"/>
        <v xml:space="preserve"> </v>
      </c>
      <c r="F382" s="2">
        <v>1444</v>
      </c>
      <c r="G382" s="2" t="str">
        <f t="shared" si="52"/>
        <v>P1123B</v>
      </c>
      <c r="H382" s="2" t="str">
        <f t="shared" si="53"/>
        <v xml:space="preserve"> </v>
      </c>
      <c r="I382" s="7" t="str">
        <f t="shared" si="56"/>
        <v>Расстояние между ячейками (11)</v>
      </c>
    </row>
    <row r="383" spans="1:9" x14ac:dyDescent="0.3">
      <c r="A383" s="2">
        <v>445</v>
      </c>
      <c r="B383" s="2" t="str">
        <f t="shared" si="50"/>
        <v>P1023C</v>
      </c>
      <c r="C383" s="2" t="str">
        <f t="shared" si="51"/>
        <v xml:space="preserve"> </v>
      </c>
      <c r="F383" s="2">
        <v>1445</v>
      </c>
      <c r="G383" s="2" t="str">
        <f t="shared" si="52"/>
        <v>P1123C</v>
      </c>
      <c r="H383" s="2" t="str">
        <f t="shared" si="53"/>
        <v xml:space="preserve"> </v>
      </c>
      <c r="I383" s="7" t="str">
        <f t="shared" si="56"/>
        <v>Расстояние между ячейками (12)</v>
      </c>
    </row>
    <row r="384" spans="1:9" x14ac:dyDescent="0.3">
      <c r="A384" s="2">
        <v>446</v>
      </c>
      <c r="B384" s="2" t="str">
        <f t="shared" si="50"/>
        <v>P1023D</v>
      </c>
      <c r="C384" s="2" t="str">
        <f t="shared" si="51"/>
        <v xml:space="preserve"> </v>
      </c>
      <c r="F384" s="2">
        <v>1446</v>
      </c>
      <c r="G384" s="2" t="str">
        <f t="shared" si="52"/>
        <v>P1123D</v>
      </c>
      <c r="H384" s="2" t="str">
        <f t="shared" si="53"/>
        <v xml:space="preserve"> </v>
      </c>
      <c r="I384" s="7" t="str">
        <f t="shared" si="56"/>
        <v>Расстояние между ячейками (13)</v>
      </c>
    </row>
    <row r="385" spans="1:9" x14ac:dyDescent="0.3">
      <c r="A385" s="2">
        <v>447</v>
      </c>
      <c r="B385" s="2" t="str">
        <f t="shared" si="50"/>
        <v>P1023E</v>
      </c>
      <c r="C385" s="2" t="str">
        <f t="shared" si="51"/>
        <v xml:space="preserve"> </v>
      </c>
      <c r="F385" s="2">
        <v>1447</v>
      </c>
      <c r="G385" s="2" t="str">
        <f t="shared" si="52"/>
        <v>P1123E</v>
      </c>
      <c r="H385" s="2" t="str">
        <f t="shared" si="53"/>
        <v xml:space="preserve"> </v>
      </c>
      <c r="I385" s="7" t="str">
        <f t="shared" si="56"/>
        <v>Расстояние между ячейками (14)</v>
      </c>
    </row>
    <row r="386" spans="1:9" x14ac:dyDescent="0.3">
      <c r="A386" s="2">
        <v>448</v>
      </c>
      <c r="B386" s="2" t="str">
        <f t="shared" si="50"/>
        <v>P1023F</v>
      </c>
      <c r="C386" s="2" t="str">
        <f t="shared" si="51"/>
        <v xml:space="preserve"> </v>
      </c>
      <c r="F386" s="2">
        <v>1448</v>
      </c>
      <c r="G386" s="2" t="str">
        <f t="shared" si="52"/>
        <v>P1123F</v>
      </c>
      <c r="H386" s="2" t="str">
        <f t="shared" si="53"/>
        <v xml:space="preserve"> </v>
      </c>
      <c r="I386" s="7" t="str">
        <f t="shared" si="56"/>
        <v>Расстояние между ячейками (15)</v>
      </c>
    </row>
    <row r="387" spans="1:9" x14ac:dyDescent="0.3">
      <c r="A387" s="2">
        <v>449</v>
      </c>
      <c r="B387" s="2" t="str">
        <f t="shared" si="50"/>
        <v>P10240</v>
      </c>
      <c r="C387" s="2" t="str">
        <f t="shared" si="51"/>
        <v>P1024</v>
      </c>
      <c r="F387" s="2">
        <v>1449</v>
      </c>
      <c r="G387" s="2" t="str">
        <f t="shared" si="52"/>
        <v>P11240</v>
      </c>
      <c r="H387" s="2" t="str">
        <f t="shared" si="53"/>
        <v>P1124</v>
      </c>
      <c r="I387" s="7" t="str">
        <f>"Расстояние между рядами ("&amp;ROW(A1)-ROW($A$1)&amp;")"</f>
        <v>Расстояние между рядами (0)</v>
      </c>
    </row>
    <row r="388" spans="1:9" x14ac:dyDescent="0.3">
      <c r="A388" s="2">
        <v>450</v>
      </c>
      <c r="B388" s="2" t="str">
        <f t="shared" ref="B388:B447" si="57">"P"&amp;DEC2HEX(A388+65536-$A$3 +2*96, 5)</f>
        <v>P10241</v>
      </c>
      <c r="C388" s="2" t="str">
        <f t="shared" ref="C388:C450" si="58">IF(RIGHT(B388,1)="0",LEFT(B388,5)," ")</f>
        <v xml:space="preserve"> </v>
      </c>
      <c r="F388" s="2">
        <v>1450</v>
      </c>
      <c r="G388" s="2" t="str">
        <f t="shared" ref="G388:G450" si="59">"P"&amp;DEC2HEX(F388+65536+4096 +2* 96-$F$3, 5)</f>
        <v>P11241</v>
      </c>
      <c r="H388" s="2" t="str">
        <f t="shared" ref="H388:H450" si="60">IF(RIGHT(G388,1)="0",LEFT(G388,5)," ")</f>
        <v xml:space="preserve"> </v>
      </c>
      <c r="I388" s="7" t="str">
        <f t="shared" ref="I388:I402" si="61">"Расстояние между рядами ("&amp;ROW(A2)-ROW($A$1)&amp;")"</f>
        <v>Расстояние между рядами (1)</v>
      </c>
    </row>
    <row r="389" spans="1:9" x14ac:dyDescent="0.3">
      <c r="A389" s="2">
        <v>451</v>
      </c>
      <c r="B389" s="2" t="str">
        <f t="shared" si="57"/>
        <v>P10242</v>
      </c>
      <c r="C389" s="2" t="str">
        <f t="shared" si="58"/>
        <v xml:space="preserve"> </v>
      </c>
      <c r="F389" s="2">
        <v>1451</v>
      </c>
      <c r="G389" s="2" t="str">
        <f t="shared" si="59"/>
        <v>P11242</v>
      </c>
      <c r="H389" s="2" t="str">
        <f t="shared" si="60"/>
        <v xml:space="preserve"> </v>
      </c>
      <c r="I389" s="7" t="str">
        <f t="shared" si="61"/>
        <v>Расстояние между рядами (2)</v>
      </c>
    </row>
    <row r="390" spans="1:9" x14ac:dyDescent="0.3">
      <c r="A390" s="2">
        <v>452</v>
      </c>
      <c r="B390" s="2" t="str">
        <f t="shared" si="57"/>
        <v>P10243</v>
      </c>
      <c r="C390" s="2" t="str">
        <f t="shared" si="58"/>
        <v xml:space="preserve"> </v>
      </c>
      <c r="F390" s="2">
        <v>1452</v>
      </c>
      <c r="G390" s="2" t="str">
        <f t="shared" si="59"/>
        <v>P11243</v>
      </c>
      <c r="H390" s="2" t="str">
        <f t="shared" si="60"/>
        <v xml:space="preserve"> </v>
      </c>
      <c r="I390" s="7" t="str">
        <f t="shared" si="61"/>
        <v>Расстояние между рядами (3)</v>
      </c>
    </row>
    <row r="391" spans="1:9" x14ac:dyDescent="0.3">
      <c r="A391" s="2">
        <v>453</v>
      </c>
      <c r="B391" s="2" t="str">
        <f t="shared" si="57"/>
        <v>P10244</v>
      </c>
      <c r="C391" s="2" t="str">
        <f t="shared" si="58"/>
        <v xml:space="preserve"> </v>
      </c>
      <c r="F391" s="2">
        <v>1453</v>
      </c>
      <c r="G391" s="2" t="str">
        <f t="shared" si="59"/>
        <v>P11244</v>
      </c>
      <c r="H391" s="2" t="str">
        <f t="shared" si="60"/>
        <v xml:space="preserve"> </v>
      </c>
      <c r="I391" s="7" t="str">
        <f t="shared" si="61"/>
        <v>Расстояние между рядами (4)</v>
      </c>
    </row>
    <row r="392" spans="1:9" x14ac:dyDescent="0.3">
      <c r="A392" s="2">
        <v>454</v>
      </c>
      <c r="B392" s="2" t="str">
        <f t="shared" si="57"/>
        <v>P10245</v>
      </c>
      <c r="C392" s="2" t="str">
        <f t="shared" si="58"/>
        <v xml:space="preserve"> </v>
      </c>
      <c r="F392" s="2">
        <v>1454</v>
      </c>
      <c r="G392" s="2" t="str">
        <f t="shared" si="59"/>
        <v>P11245</v>
      </c>
      <c r="H392" s="2" t="str">
        <f t="shared" si="60"/>
        <v xml:space="preserve"> </v>
      </c>
      <c r="I392" s="7" t="str">
        <f t="shared" si="61"/>
        <v>Расстояние между рядами (5)</v>
      </c>
    </row>
    <row r="393" spans="1:9" x14ac:dyDescent="0.3">
      <c r="A393" s="2">
        <v>455</v>
      </c>
      <c r="B393" s="2" t="str">
        <f t="shared" si="57"/>
        <v>P10246</v>
      </c>
      <c r="C393" s="2" t="str">
        <f t="shared" si="58"/>
        <v xml:space="preserve"> </v>
      </c>
      <c r="F393" s="2">
        <v>1455</v>
      </c>
      <c r="G393" s="2" t="str">
        <f t="shared" si="59"/>
        <v>P11246</v>
      </c>
      <c r="H393" s="2" t="str">
        <f t="shared" si="60"/>
        <v xml:space="preserve"> </v>
      </c>
      <c r="I393" s="7" t="str">
        <f t="shared" si="61"/>
        <v>Расстояние между рядами (6)</v>
      </c>
    </row>
    <row r="394" spans="1:9" x14ac:dyDescent="0.3">
      <c r="A394" s="2">
        <v>456</v>
      </c>
      <c r="B394" s="2" t="str">
        <f t="shared" si="57"/>
        <v>P10247</v>
      </c>
      <c r="C394" s="2" t="str">
        <f t="shared" si="58"/>
        <v xml:space="preserve"> </v>
      </c>
      <c r="F394" s="2">
        <v>1456</v>
      </c>
      <c r="G394" s="2" t="str">
        <f t="shared" si="59"/>
        <v>P11247</v>
      </c>
      <c r="H394" s="2" t="str">
        <f t="shared" si="60"/>
        <v xml:space="preserve"> </v>
      </c>
      <c r="I394" s="7" t="str">
        <f t="shared" si="61"/>
        <v>Расстояние между рядами (7)</v>
      </c>
    </row>
    <row r="395" spans="1:9" x14ac:dyDescent="0.3">
      <c r="A395" s="2">
        <v>457</v>
      </c>
      <c r="B395" s="2" t="str">
        <f t="shared" si="57"/>
        <v>P10248</v>
      </c>
      <c r="C395" s="2" t="str">
        <f t="shared" si="58"/>
        <v xml:space="preserve"> </v>
      </c>
      <c r="F395" s="2">
        <v>1457</v>
      </c>
      <c r="G395" s="2" t="str">
        <f t="shared" si="59"/>
        <v>P11248</v>
      </c>
      <c r="H395" s="2" t="str">
        <f t="shared" si="60"/>
        <v xml:space="preserve"> </v>
      </c>
      <c r="I395" s="7" t="str">
        <f t="shared" si="61"/>
        <v>Расстояние между рядами (8)</v>
      </c>
    </row>
    <row r="396" spans="1:9" x14ac:dyDescent="0.3">
      <c r="A396" s="2">
        <v>458</v>
      </c>
      <c r="B396" s="2" t="str">
        <f t="shared" si="57"/>
        <v>P10249</v>
      </c>
      <c r="C396" s="2" t="str">
        <f t="shared" si="58"/>
        <v xml:space="preserve"> </v>
      </c>
      <c r="F396" s="2">
        <v>1458</v>
      </c>
      <c r="G396" s="2" t="str">
        <f t="shared" si="59"/>
        <v>P11249</v>
      </c>
      <c r="H396" s="2" t="str">
        <f t="shared" si="60"/>
        <v xml:space="preserve"> </v>
      </c>
      <c r="I396" s="7" t="str">
        <f t="shared" si="61"/>
        <v>Расстояние между рядами (9)</v>
      </c>
    </row>
    <row r="397" spans="1:9" x14ac:dyDescent="0.3">
      <c r="A397" s="2">
        <v>459</v>
      </c>
      <c r="B397" s="2" t="str">
        <f t="shared" si="57"/>
        <v>P1024A</v>
      </c>
      <c r="C397" s="2" t="str">
        <f t="shared" si="58"/>
        <v xml:space="preserve"> </v>
      </c>
      <c r="F397" s="2">
        <v>1459</v>
      </c>
      <c r="G397" s="2" t="str">
        <f t="shared" si="59"/>
        <v>P1124A</v>
      </c>
      <c r="H397" s="2" t="str">
        <f t="shared" si="60"/>
        <v xml:space="preserve"> </v>
      </c>
      <c r="I397" s="7" t="str">
        <f t="shared" si="61"/>
        <v>Расстояние между рядами (10)</v>
      </c>
    </row>
    <row r="398" spans="1:9" x14ac:dyDescent="0.3">
      <c r="A398" s="2">
        <v>460</v>
      </c>
      <c r="B398" s="2" t="str">
        <f t="shared" si="57"/>
        <v>P1024B</v>
      </c>
      <c r="C398" s="2" t="str">
        <f t="shared" si="58"/>
        <v xml:space="preserve"> </v>
      </c>
      <c r="F398" s="2">
        <v>1460</v>
      </c>
      <c r="G398" s="2" t="str">
        <f t="shared" si="59"/>
        <v>P1124B</v>
      </c>
      <c r="H398" s="2" t="str">
        <f t="shared" si="60"/>
        <v xml:space="preserve"> </v>
      </c>
      <c r="I398" s="7" t="str">
        <f t="shared" si="61"/>
        <v>Расстояние между рядами (11)</v>
      </c>
    </row>
    <row r="399" spans="1:9" x14ac:dyDescent="0.3">
      <c r="A399" s="2">
        <v>461</v>
      </c>
      <c r="B399" s="2" t="str">
        <f t="shared" si="57"/>
        <v>P1024C</v>
      </c>
      <c r="C399" s="2" t="str">
        <f t="shared" si="58"/>
        <v xml:space="preserve"> </v>
      </c>
      <c r="F399" s="2">
        <v>1461</v>
      </c>
      <c r="G399" s="2" t="str">
        <f t="shared" si="59"/>
        <v>P1124C</v>
      </c>
      <c r="H399" s="2" t="str">
        <f t="shared" si="60"/>
        <v xml:space="preserve"> </v>
      </c>
      <c r="I399" s="7" t="str">
        <f t="shared" si="61"/>
        <v>Расстояние между рядами (12)</v>
      </c>
    </row>
    <row r="400" spans="1:9" x14ac:dyDescent="0.3">
      <c r="A400" s="2">
        <v>462</v>
      </c>
      <c r="B400" s="2" t="str">
        <f t="shared" si="57"/>
        <v>P1024D</v>
      </c>
      <c r="C400" s="2" t="str">
        <f t="shared" si="58"/>
        <v xml:space="preserve"> </v>
      </c>
      <c r="F400" s="2">
        <v>1462</v>
      </c>
      <c r="G400" s="2" t="str">
        <f t="shared" si="59"/>
        <v>P1124D</v>
      </c>
      <c r="H400" s="2" t="str">
        <f t="shared" si="60"/>
        <v xml:space="preserve"> </v>
      </c>
      <c r="I400" s="7" t="str">
        <f t="shared" si="61"/>
        <v>Расстояние между рядами (13)</v>
      </c>
    </row>
    <row r="401" spans="1:9" x14ac:dyDescent="0.3">
      <c r="A401" s="2">
        <v>463</v>
      </c>
      <c r="B401" s="2" t="str">
        <f t="shared" si="57"/>
        <v>P1024E</v>
      </c>
      <c r="C401" s="2" t="str">
        <f t="shared" si="58"/>
        <v xml:space="preserve"> </v>
      </c>
      <c r="F401" s="2">
        <v>1463</v>
      </c>
      <c r="G401" s="2" t="str">
        <f t="shared" si="59"/>
        <v>P1124E</v>
      </c>
      <c r="H401" s="2" t="str">
        <f t="shared" si="60"/>
        <v xml:space="preserve"> </v>
      </c>
      <c r="I401" s="7" t="str">
        <f t="shared" si="61"/>
        <v>Расстояние между рядами (14)</v>
      </c>
    </row>
    <row r="402" spans="1:9" x14ac:dyDescent="0.3">
      <c r="A402" s="2">
        <v>464</v>
      </c>
      <c r="B402" s="2" t="str">
        <f t="shared" si="57"/>
        <v>P1024F</v>
      </c>
      <c r="C402" s="2" t="str">
        <f t="shared" si="58"/>
        <v xml:space="preserve"> </v>
      </c>
      <c r="F402" s="2">
        <v>1464</v>
      </c>
      <c r="G402" s="2" t="str">
        <f t="shared" si="59"/>
        <v>P1124F</v>
      </c>
      <c r="H402" s="2" t="str">
        <f t="shared" si="60"/>
        <v xml:space="preserve"> </v>
      </c>
      <c r="I402" s="7" t="str">
        <f t="shared" si="61"/>
        <v>Расстояние между рядами (15)</v>
      </c>
    </row>
    <row r="403" spans="1:9" x14ac:dyDescent="0.3">
      <c r="A403" s="2">
        <v>465</v>
      </c>
      <c r="B403" s="2" t="str">
        <f t="shared" si="57"/>
        <v>P10250</v>
      </c>
      <c r="C403" s="2" t="str">
        <f t="shared" si="58"/>
        <v>P1025</v>
      </c>
      <c r="F403" s="2">
        <v>1465</v>
      </c>
      <c r="G403" s="2" t="str">
        <f t="shared" si="59"/>
        <v>P11250</v>
      </c>
      <c r="H403" s="2" t="str">
        <f t="shared" si="60"/>
        <v>P1125</v>
      </c>
      <c r="I403" s="7" t="str">
        <f>"Смещение чётного ряда ("&amp;ROW(A1)-ROW($A$1)&amp;")"</f>
        <v>Смещение чётного ряда (0)</v>
      </c>
    </row>
    <row r="404" spans="1:9" x14ac:dyDescent="0.3">
      <c r="A404" s="2">
        <v>466</v>
      </c>
      <c r="B404" s="2" t="str">
        <f t="shared" si="57"/>
        <v>P10251</v>
      </c>
      <c r="C404" s="2" t="str">
        <f t="shared" si="58"/>
        <v xml:space="preserve"> </v>
      </c>
      <c r="F404" s="2">
        <v>1466</v>
      </c>
      <c r="G404" s="2" t="str">
        <f t="shared" si="59"/>
        <v>P11251</v>
      </c>
      <c r="H404" s="2" t="str">
        <f t="shared" si="60"/>
        <v xml:space="preserve"> </v>
      </c>
      <c r="I404" s="7" t="str">
        <f t="shared" ref="I404:I418" si="62">"Смещение чётного ряда ("&amp;ROW(A2)-ROW($A$1)&amp;")"</f>
        <v>Смещение чётного ряда (1)</v>
      </c>
    </row>
    <row r="405" spans="1:9" x14ac:dyDescent="0.3">
      <c r="A405" s="2">
        <v>467</v>
      </c>
      <c r="B405" s="2" t="str">
        <f t="shared" si="57"/>
        <v>P10252</v>
      </c>
      <c r="C405" s="2" t="str">
        <f t="shared" si="58"/>
        <v xml:space="preserve"> </v>
      </c>
      <c r="F405" s="2">
        <v>1467</v>
      </c>
      <c r="G405" s="2" t="str">
        <f t="shared" si="59"/>
        <v>P11252</v>
      </c>
      <c r="H405" s="2" t="str">
        <f t="shared" si="60"/>
        <v xml:space="preserve"> </v>
      </c>
      <c r="I405" s="7" t="str">
        <f t="shared" si="62"/>
        <v>Смещение чётного ряда (2)</v>
      </c>
    </row>
    <row r="406" spans="1:9" x14ac:dyDescent="0.3">
      <c r="A406" s="2">
        <v>468</v>
      </c>
      <c r="B406" s="2" t="str">
        <f t="shared" si="57"/>
        <v>P10253</v>
      </c>
      <c r="C406" s="2" t="str">
        <f t="shared" si="58"/>
        <v xml:space="preserve"> </v>
      </c>
      <c r="F406" s="2">
        <v>1468</v>
      </c>
      <c r="G406" s="2" t="str">
        <f t="shared" si="59"/>
        <v>P11253</v>
      </c>
      <c r="H406" s="2" t="str">
        <f t="shared" si="60"/>
        <v xml:space="preserve"> </v>
      </c>
      <c r="I406" s="7" t="str">
        <f t="shared" si="62"/>
        <v>Смещение чётного ряда (3)</v>
      </c>
    </row>
    <row r="407" spans="1:9" x14ac:dyDescent="0.3">
      <c r="A407" s="2">
        <v>469</v>
      </c>
      <c r="B407" s="2" t="str">
        <f t="shared" si="57"/>
        <v>P10254</v>
      </c>
      <c r="C407" s="2" t="str">
        <f t="shared" si="58"/>
        <v xml:space="preserve"> </v>
      </c>
      <c r="F407" s="2">
        <v>1469</v>
      </c>
      <c r="G407" s="2" t="str">
        <f t="shared" si="59"/>
        <v>P11254</v>
      </c>
      <c r="H407" s="2" t="str">
        <f t="shared" si="60"/>
        <v xml:space="preserve"> </v>
      </c>
      <c r="I407" s="7" t="str">
        <f t="shared" si="62"/>
        <v>Смещение чётного ряда (4)</v>
      </c>
    </row>
    <row r="408" spans="1:9" x14ac:dyDescent="0.3">
      <c r="A408" s="2">
        <v>470</v>
      </c>
      <c r="B408" s="2" t="str">
        <f t="shared" si="57"/>
        <v>P10255</v>
      </c>
      <c r="C408" s="2" t="str">
        <f t="shared" si="58"/>
        <v xml:space="preserve"> </v>
      </c>
      <c r="F408" s="2">
        <v>1470</v>
      </c>
      <c r="G408" s="2" t="str">
        <f t="shared" si="59"/>
        <v>P11255</v>
      </c>
      <c r="H408" s="2" t="str">
        <f t="shared" si="60"/>
        <v xml:space="preserve"> </v>
      </c>
      <c r="I408" s="7" t="str">
        <f t="shared" si="62"/>
        <v>Смещение чётного ряда (5)</v>
      </c>
    </row>
    <row r="409" spans="1:9" x14ac:dyDescent="0.3">
      <c r="A409" s="2">
        <v>471</v>
      </c>
      <c r="B409" s="2" t="str">
        <f t="shared" si="57"/>
        <v>P10256</v>
      </c>
      <c r="C409" s="2" t="str">
        <f t="shared" si="58"/>
        <v xml:space="preserve"> </v>
      </c>
      <c r="F409" s="2">
        <v>1471</v>
      </c>
      <c r="G409" s="2" t="str">
        <f t="shared" si="59"/>
        <v>P11256</v>
      </c>
      <c r="H409" s="2" t="str">
        <f t="shared" si="60"/>
        <v xml:space="preserve"> </v>
      </c>
      <c r="I409" s="7" t="str">
        <f t="shared" si="62"/>
        <v>Смещение чётного ряда (6)</v>
      </c>
    </row>
    <row r="410" spans="1:9" x14ac:dyDescent="0.3">
      <c r="A410" s="2">
        <v>472</v>
      </c>
      <c r="B410" s="2" t="str">
        <f t="shared" si="57"/>
        <v>P10257</v>
      </c>
      <c r="C410" s="2" t="str">
        <f t="shared" si="58"/>
        <v xml:space="preserve"> </v>
      </c>
      <c r="F410" s="2">
        <v>1472</v>
      </c>
      <c r="G410" s="2" t="str">
        <f t="shared" si="59"/>
        <v>P11257</v>
      </c>
      <c r="H410" s="2" t="str">
        <f t="shared" si="60"/>
        <v xml:space="preserve"> </v>
      </c>
      <c r="I410" s="7" t="str">
        <f t="shared" si="62"/>
        <v>Смещение чётного ряда (7)</v>
      </c>
    </row>
    <row r="411" spans="1:9" x14ac:dyDescent="0.3">
      <c r="A411" s="2">
        <v>473</v>
      </c>
      <c r="B411" s="2" t="str">
        <f t="shared" si="57"/>
        <v>P10258</v>
      </c>
      <c r="C411" s="2" t="str">
        <f t="shared" si="58"/>
        <v xml:space="preserve"> </v>
      </c>
      <c r="F411" s="2">
        <v>1473</v>
      </c>
      <c r="G411" s="2" t="str">
        <f t="shared" si="59"/>
        <v>P11258</v>
      </c>
      <c r="H411" s="2" t="str">
        <f t="shared" si="60"/>
        <v xml:space="preserve"> </v>
      </c>
      <c r="I411" s="7" t="str">
        <f t="shared" si="62"/>
        <v>Смещение чётного ряда (8)</v>
      </c>
    </row>
    <row r="412" spans="1:9" x14ac:dyDescent="0.3">
      <c r="A412" s="2">
        <v>474</v>
      </c>
      <c r="B412" s="2" t="str">
        <f t="shared" si="57"/>
        <v>P10259</v>
      </c>
      <c r="C412" s="2" t="str">
        <f t="shared" si="58"/>
        <v xml:space="preserve"> </v>
      </c>
      <c r="F412" s="2">
        <v>1474</v>
      </c>
      <c r="G412" s="2" t="str">
        <f t="shared" si="59"/>
        <v>P11259</v>
      </c>
      <c r="H412" s="2" t="str">
        <f t="shared" si="60"/>
        <v xml:space="preserve"> </v>
      </c>
      <c r="I412" s="7" t="str">
        <f t="shared" si="62"/>
        <v>Смещение чётного ряда (9)</v>
      </c>
    </row>
    <row r="413" spans="1:9" x14ac:dyDescent="0.3">
      <c r="A413" s="2">
        <v>475</v>
      </c>
      <c r="B413" s="2" t="str">
        <f t="shared" si="57"/>
        <v>P1025A</v>
      </c>
      <c r="C413" s="2" t="str">
        <f t="shared" si="58"/>
        <v xml:space="preserve"> </v>
      </c>
      <c r="F413" s="2">
        <v>1475</v>
      </c>
      <c r="G413" s="2" t="str">
        <f t="shared" si="59"/>
        <v>P1125A</v>
      </c>
      <c r="H413" s="2" t="str">
        <f t="shared" si="60"/>
        <v xml:space="preserve"> </v>
      </c>
      <c r="I413" s="7" t="str">
        <f t="shared" si="62"/>
        <v>Смещение чётного ряда (10)</v>
      </c>
    </row>
    <row r="414" spans="1:9" x14ac:dyDescent="0.3">
      <c r="A414" s="2">
        <v>476</v>
      </c>
      <c r="B414" s="2" t="str">
        <f t="shared" si="57"/>
        <v>P1025B</v>
      </c>
      <c r="C414" s="2" t="str">
        <f t="shared" si="58"/>
        <v xml:space="preserve"> </v>
      </c>
      <c r="F414" s="2">
        <v>1476</v>
      </c>
      <c r="G414" s="2" t="str">
        <f t="shared" si="59"/>
        <v>P1125B</v>
      </c>
      <c r="H414" s="2" t="str">
        <f t="shared" si="60"/>
        <v xml:space="preserve"> </v>
      </c>
      <c r="I414" s="7" t="str">
        <f t="shared" si="62"/>
        <v>Смещение чётного ряда (11)</v>
      </c>
    </row>
    <row r="415" spans="1:9" x14ac:dyDescent="0.3">
      <c r="A415" s="2">
        <v>477</v>
      </c>
      <c r="B415" s="2" t="str">
        <f t="shared" si="57"/>
        <v>P1025C</v>
      </c>
      <c r="C415" s="2" t="str">
        <f t="shared" si="58"/>
        <v xml:space="preserve"> </v>
      </c>
      <c r="F415" s="2">
        <v>1477</v>
      </c>
      <c r="G415" s="2" t="str">
        <f t="shared" si="59"/>
        <v>P1125C</v>
      </c>
      <c r="H415" s="2" t="str">
        <f t="shared" si="60"/>
        <v xml:space="preserve"> </v>
      </c>
      <c r="I415" s="7" t="str">
        <f t="shared" si="62"/>
        <v>Смещение чётного ряда (12)</v>
      </c>
    </row>
    <row r="416" spans="1:9" x14ac:dyDescent="0.3">
      <c r="A416" s="2">
        <v>478</v>
      </c>
      <c r="B416" s="2" t="str">
        <f t="shared" si="57"/>
        <v>P1025D</v>
      </c>
      <c r="C416" s="2" t="str">
        <f t="shared" si="58"/>
        <v xml:space="preserve"> </v>
      </c>
      <c r="F416" s="2">
        <v>1478</v>
      </c>
      <c r="G416" s="2" t="str">
        <f t="shared" si="59"/>
        <v>P1125D</v>
      </c>
      <c r="H416" s="2" t="str">
        <f t="shared" si="60"/>
        <v xml:space="preserve"> </v>
      </c>
      <c r="I416" s="7" t="str">
        <f t="shared" si="62"/>
        <v>Смещение чётного ряда (13)</v>
      </c>
    </row>
    <row r="417" spans="1:9" x14ac:dyDescent="0.3">
      <c r="A417" s="2">
        <v>479</v>
      </c>
      <c r="B417" s="2" t="str">
        <f t="shared" si="57"/>
        <v>P1025E</v>
      </c>
      <c r="C417" s="2" t="str">
        <f t="shared" si="58"/>
        <v xml:space="preserve"> </v>
      </c>
      <c r="F417" s="2">
        <v>1479</v>
      </c>
      <c r="G417" s="2" t="str">
        <f t="shared" si="59"/>
        <v>P1125E</v>
      </c>
      <c r="H417" s="2" t="str">
        <f t="shared" si="60"/>
        <v xml:space="preserve"> </v>
      </c>
      <c r="I417" s="7" t="str">
        <f t="shared" si="62"/>
        <v>Смещение чётного ряда (14)</v>
      </c>
    </row>
    <row r="418" spans="1:9" x14ac:dyDescent="0.3">
      <c r="A418" s="2">
        <v>480</v>
      </c>
      <c r="B418" s="2" t="str">
        <f t="shared" si="57"/>
        <v>P1025F</v>
      </c>
      <c r="C418" s="2" t="str">
        <f t="shared" si="58"/>
        <v xml:space="preserve"> </v>
      </c>
      <c r="F418" s="2">
        <v>1480</v>
      </c>
      <c r="G418" s="2" t="str">
        <f t="shared" si="59"/>
        <v>P1125F</v>
      </c>
      <c r="H418" s="2" t="str">
        <f t="shared" si="60"/>
        <v xml:space="preserve"> </v>
      </c>
      <c r="I418" s="7" t="str">
        <f t="shared" si="62"/>
        <v>Смещение чётного ряда (15)</v>
      </c>
    </row>
    <row r="419" spans="1:9" x14ac:dyDescent="0.3">
      <c r="A419" s="2">
        <v>481</v>
      </c>
      <c r="B419" s="2" t="str">
        <f t="shared" si="57"/>
        <v>P10260</v>
      </c>
      <c r="C419" s="2" t="str">
        <f t="shared" si="58"/>
        <v>P1026</v>
      </c>
      <c r="F419" s="2">
        <v>1481</v>
      </c>
      <c r="G419" s="2" t="str">
        <f t="shared" si="59"/>
        <v>P11260</v>
      </c>
      <c r="H419" s="2" t="str">
        <f t="shared" si="60"/>
        <v>P1126</v>
      </c>
      <c r="I419" s="7" t="str">
        <f>"Смещение первого ряда относительно нуля Х ("&amp;ROW(A1)-ROW($A$1)&amp;")"</f>
        <v>Смещение первого ряда относительно нуля Х (0)</v>
      </c>
    </row>
    <row r="420" spans="1:9" x14ac:dyDescent="0.3">
      <c r="A420" s="2">
        <v>482</v>
      </c>
      <c r="B420" s="2" t="str">
        <f t="shared" si="57"/>
        <v>P10261</v>
      </c>
      <c r="C420" s="2" t="str">
        <f t="shared" si="58"/>
        <v xml:space="preserve"> </v>
      </c>
      <c r="F420" s="2">
        <v>1482</v>
      </c>
      <c r="G420" s="2" t="str">
        <f t="shared" si="59"/>
        <v>P11261</v>
      </c>
      <c r="H420" s="2" t="str">
        <f t="shared" si="60"/>
        <v xml:space="preserve"> </v>
      </c>
      <c r="I420" s="7" t="str">
        <f t="shared" ref="I420:I434" si="63">"Смещение первого ряда относительно нуля Х ("&amp;ROW(A2)-ROW($A$1)&amp;")"</f>
        <v>Смещение первого ряда относительно нуля Х (1)</v>
      </c>
    </row>
    <row r="421" spans="1:9" x14ac:dyDescent="0.3">
      <c r="A421" s="2">
        <v>483</v>
      </c>
      <c r="B421" s="2" t="str">
        <f t="shared" si="57"/>
        <v>P10262</v>
      </c>
      <c r="C421" s="2" t="str">
        <f t="shared" si="58"/>
        <v xml:space="preserve"> </v>
      </c>
      <c r="F421" s="2">
        <v>1483</v>
      </c>
      <c r="G421" s="2" t="str">
        <f t="shared" si="59"/>
        <v>P11262</v>
      </c>
      <c r="H421" s="2" t="str">
        <f t="shared" si="60"/>
        <v xml:space="preserve"> </v>
      </c>
      <c r="I421" s="7" t="str">
        <f t="shared" si="63"/>
        <v>Смещение первого ряда относительно нуля Х (2)</v>
      </c>
    </row>
    <row r="422" spans="1:9" x14ac:dyDescent="0.3">
      <c r="A422" s="2">
        <v>484</v>
      </c>
      <c r="B422" s="2" t="str">
        <f t="shared" si="57"/>
        <v>P10263</v>
      </c>
      <c r="C422" s="2" t="str">
        <f t="shared" si="58"/>
        <v xml:space="preserve"> </v>
      </c>
      <c r="F422" s="2">
        <v>1484</v>
      </c>
      <c r="G422" s="2" t="str">
        <f t="shared" si="59"/>
        <v>P11263</v>
      </c>
      <c r="H422" s="2" t="str">
        <f t="shared" si="60"/>
        <v xml:space="preserve"> </v>
      </c>
      <c r="I422" s="7" t="str">
        <f t="shared" si="63"/>
        <v>Смещение первого ряда относительно нуля Х (3)</v>
      </c>
    </row>
    <row r="423" spans="1:9" x14ac:dyDescent="0.3">
      <c r="A423" s="2">
        <v>485</v>
      </c>
      <c r="B423" s="2" t="str">
        <f t="shared" si="57"/>
        <v>P10264</v>
      </c>
      <c r="C423" s="2" t="str">
        <f t="shared" si="58"/>
        <v xml:space="preserve"> </v>
      </c>
      <c r="F423" s="2">
        <v>1485</v>
      </c>
      <c r="G423" s="2" t="str">
        <f t="shared" si="59"/>
        <v>P11264</v>
      </c>
      <c r="H423" s="2" t="str">
        <f t="shared" si="60"/>
        <v xml:space="preserve"> </v>
      </c>
      <c r="I423" s="7" t="str">
        <f t="shared" si="63"/>
        <v>Смещение первого ряда относительно нуля Х (4)</v>
      </c>
    </row>
    <row r="424" spans="1:9" x14ac:dyDescent="0.3">
      <c r="A424" s="2">
        <v>486</v>
      </c>
      <c r="B424" s="2" t="str">
        <f t="shared" si="57"/>
        <v>P10265</v>
      </c>
      <c r="C424" s="2" t="str">
        <f t="shared" si="58"/>
        <v xml:space="preserve"> </v>
      </c>
      <c r="F424" s="2">
        <v>1486</v>
      </c>
      <c r="G424" s="2" t="str">
        <f t="shared" si="59"/>
        <v>P11265</v>
      </c>
      <c r="H424" s="2" t="str">
        <f t="shared" si="60"/>
        <v xml:space="preserve"> </v>
      </c>
      <c r="I424" s="7" t="str">
        <f t="shared" si="63"/>
        <v>Смещение первого ряда относительно нуля Х (5)</v>
      </c>
    </row>
    <row r="425" spans="1:9" x14ac:dyDescent="0.3">
      <c r="A425" s="2">
        <v>487</v>
      </c>
      <c r="B425" s="2" t="str">
        <f t="shared" si="57"/>
        <v>P10266</v>
      </c>
      <c r="C425" s="2" t="str">
        <f t="shared" si="58"/>
        <v xml:space="preserve"> </v>
      </c>
      <c r="F425" s="2">
        <v>1487</v>
      </c>
      <c r="G425" s="2" t="str">
        <f t="shared" si="59"/>
        <v>P11266</v>
      </c>
      <c r="H425" s="2" t="str">
        <f t="shared" si="60"/>
        <v xml:space="preserve"> </v>
      </c>
      <c r="I425" s="7" t="str">
        <f t="shared" si="63"/>
        <v>Смещение первого ряда относительно нуля Х (6)</v>
      </c>
    </row>
    <row r="426" spans="1:9" x14ac:dyDescent="0.3">
      <c r="A426" s="2">
        <v>488</v>
      </c>
      <c r="B426" s="2" t="str">
        <f t="shared" si="57"/>
        <v>P10267</v>
      </c>
      <c r="C426" s="2" t="str">
        <f t="shared" si="58"/>
        <v xml:space="preserve"> </v>
      </c>
      <c r="F426" s="2">
        <v>1488</v>
      </c>
      <c r="G426" s="2" t="str">
        <f t="shared" si="59"/>
        <v>P11267</v>
      </c>
      <c r="H426" s="2" t="str">
        <f t="shared" si="60"/>
        <v xml:space="preserve"> </v>
      </c>
      <c r="I426" s="7" t="str">
        <f t="shared" si="63"/>
        <v>Смещение первого ряда относительно нуля Х (7)</v>
      </c>
    </row>
    <row r="427" spans="1:9" x14ac:dyDescent="0.3">
      <c r="A427" s="2">
        <v>489</v>
      </c>
      <c r="B427" s="2" t="str">
        <f t="shared" si="57"/>
        <v>P10268</v>
      </c>
      <c r="C427" s="2" t="str">
        <f t="shared" si="58"/>
        <v xml:space="preserve"> </v>
      </c>
      <c r="F427" s="2">
        <v>1489</v>
      </c>
      <c r="G427" s="2" t="str">
        <f t="shared" si="59"/>
        <v>P11268</v>
      </c>
      <c r="H427" s="2" t="str">
        <f t="shared" si="60"/>
        <v xml:space="preserve"> </v>
      </c>
      <c r="I427" s="7" t="str">
        <f t="shared" si="63"/>
        <v>Смещение первого ряда относительно нуля Х (8)</v>
      </c>
    </row>
    <row r="428" spans="1:9" x14ac:dyDescent="0.3">
      <c r="A428" s="2">
        <v>490</v>
      </c>
      <c r="B428" s="2" t="str">
        <f t="shared" si="57"/>
        <v>P10269</v>
      </c>
      <c r="C428" s="2" t="str">
        <f t="shared" si="58"/>
        <v xml:space="preserve"> </v>
      </c>
      <c r="F428" s="2">
        <v>1490</v>
      </c>
      <c r="G428" s="2" t="str">
        <f t="shared" si="59"/>
        <v>P11269</v>
      </c>
      <c r="H428" s="2" t="str">
        <f t="shared" si="60"/>
        <v xml:space="preserve"> </v>
      </c>
      <c r="I428" s="7" t="str">
        <f t="shared" si="63"/>
        <v>Смещение первого ряда относительно нуля Х (9)</v>
      </c>
    </row>
    <row r="429" spans="1:9" x14ac:dyDescent="0.3">
      <c r="A429" s="2">
        <v>491</v>
      </c>
      <c r="B429" s="2" t="str">
        <f t="shared" si="57"/>
        <v>P1026A</v>
      </c>
      <c r="C429" s="2" t="str">
        <f t="shared" si="58"/>
        <v xml:space="preserve"> </v>
      </c>
      <c r="F429" s="2">
        <v>1491</v>
      </c>
      <c r="G429" s="2" t="str">
        <f t="shared" si="59"/>
        <v>P1126A</v>
      </c>
      <c r="H429" s="2" t="str">
        <f t="shared" si="60"/>
        <v xml:space="preserve"> </v>
      </c>
      <c r="I429" s="7" t="str">
        <f t="shared" si="63"/>
        <v>Смещение первого ряда относительно нуля Х (10)</v>
      </c>
    </row>
    <row r="430" spans="1:9" x14ac:dyDescent="0.3">
      <c r="A430" s="2">
        <v>492</v>
      </c>
      <c r="B430" s="2" t="str">
        <f t="shared" si="57"/>
        <v>P1026B</v>
      </c>
      <c r="C430" s="2" t="str">
        <f t="shared" si="58"/>
        <v xml:space="preserve"> </v>
      </c>
      <c r="F430" s="2">
        <v>1492</v>
      </c>
      <c r="G430" s="2" t="str">
        <f t="shared" si="59"/>
        <v>P1126B</v>
      </c>
      <c r="H430" s="2" t="str">
        <f t="shared" si="60"/>
        <v xml:space="preserve"> </v>
      </c>
      <c r="I430" s="7" t="str">
        <f t="shared" si="63"/>
        <v>Смещение первого ряда относительно нуля Х (11)</v>
      </c>
    </row>
    <row r="431" spans="1:9" x14ac:dyDescent="0.3">
      <c r="A431" s="2">
        <v>493</v>
      </c>
      <c r="B431" s="2" t="str">
        <f t="shared" si="57"/>
        <v>P1026C</v>
      </c>
      <c r="C431" s="2" t="str">
        <f t="shared" si="58"/>
        <v xml:space="preserve"> </v>
      </c>
      <c r="F431" s="2">
        <v>1493</v>
      </c>
      <c r="G431" s="2" t="str">
        <f t="shared" si="59"/>
        <v>P1126C</v>
      </c>
      <c r="H431" s="2" t="str">
        <f t="shared" si="60"/>
        <v xml:space="preserve"> </v>
      </c>
      <c r="I431" s="7" t="str">
        <f t="shared" si="63"/>
        <v>Смещение первого ряда относительно нуля Х (12)</v>
      </c>
    </row>
    <row r="432" spans="1:9" x14ac:dyDescent="0.3">
      <c r="A432" s="2">
        <v>494</v>
      </c>
      <c r="B432" s="2" t="str">
        <f t="shared" si="57"/>
        <v>P1026D</v>
      </c>
      <c r="C432" s="2" t="str">
        <f t="shared" si="58"/>
        <v xml:space="preserve"> </v>
      </c>
      <c r="F432" s="2">
        <v>1494</v>
      </c>
      <c r="G432" s="2" t="str">
        <f t="shared" si="59"/>
        <v>P1126D</v>
      </c>
      <c r="H432" s="2" t="str">
        <f t="shared" si="60"/>
        <v xml:space="preserve"> </v>
      </c>
      <c r="I432" s="7" t="str">
        <f t="shared" si="63"/>
        <v>Смещение первого ряда относительно нуля Х (13)</v>
      </c>
    </row>
    <row r="433" spans="1:9" x14ac:dyDescent="0.3">
      <c r="A433" s="2">
        <v>495</v>
      </c>
      <c r="B433" s="2" t="str">
        <f t="shared" si="57"/>
        <v>P1026E</v>
      </c>
      <c r="C433" s="2" t="str">
        <f t="shared" si="58"/>
        <v xml:space="preserve"> </v>
      </c>
      <c r="F433" s="2">
        <v>1495</v>
      </c>
      <c r="G433" s="2" t="str">
        <f t="shared" si="59"/>
        <v>P1126E</v>
      </c>
      <c r="H433" s="2" t="str">
        <f t="shared" si="60"/>
        <v xml:space="preserve"> </v>
      </c>
      <c r="I433" s="7" t="str">
        <f t="shared" si="63"/>
        <v>Смещение первого ряда относительно нуля Х (14)</v>
      </c>
    </row>
    <row r="434" spans="1:9" x14ac:dyDescent="0.3">
      <c r="A434" s="2">
        <v>496</v>
      </c>
      <c r="B434" s="2" t="str">
        <f t="shared" si="57"/>
        <v>P1026F</v>
      </c>
      <c r="C434" s="2" t="str">
        <f t="shared" si="58"/>
        <v xml:space="preserve"> </v>
      </c>
      <c r="F434" s="2">
        <v>1496</v>
      </c>
      <c r="G434" s="2" t="str">
        <f t="shared" si="59"/>
        <v>P1126F</v>
      </c>
      <c r="H434" s="2" t="str">
        <f t="shared" si="60"/>
        <v xml:space="preserve"> </v>
      </c>
      <c r="I434" s="7" t="str">
        <f t="shared" si="63"/>
        <v>Смещение первого ряда относительно нуля Х (15)</v>
      </c>
    </row>
    <row r="435" spans="1:9" x14ac:dyDescent="0.3">
      <c r="A435" s="2">
        <v>497</v>
      </c>
      <c r="B435" s="2" t="str">
        <f t="shared" si="57"/>
        <v>P10270</v>
      </c>
      <c r="C435" s="2" t="str">
        <f t="shared" si="58"/>
        <v>P1027</v>
      </c>
      <c r="F435" s="2">
        <v>1497</v>
      </c>
      <c r="G435" s="2" t="str">
        <f t="shared" si="59"/>
        <v>P11270</v>
      </c>
      <c r="H435" s="2" t="str">
        <f t="shared" si="60"/>
        <v>P1127</v>
      </c>
      <c r="I435" s="7" t="str">
        <f>"Смещение первого ряда относительно нуля Y ("&amp;ROW(A1)-ROW($A$1)&amp;")"</f>
        <v>Смещение первого ряда относительно нуля Y (0)</v>
      </c>
    </row>
    <row r="436" spans="1:9" x14ac:dyDescent="0.3">
      <c r="A436" s="2">
        <v>498</v>
      </c>
      <c r="B436" s="2" t="str">
        <f t="shared" si="57"/>
        <v>P10271</v>
      </c>
      <c r="C436" s="2" t="str">
        <f t="shared" si="58"/>
        <v xml:space="preserve"> </v>
      </c>
      <c r="F436" s="2">
        <v>1498</v>
      </c>
      <c r="G436" s="2" t="str">
        <f t="shared" si="59"/>
        <v>P11271</v>
      </c>
      <c r="H436" s="2" t="str">
        <f t="shared" si="60"/>
        <v xml:space="preserve"> </v>
      </c>
      <c r="I436" s="7" t="str">
        <f t="shared" ref="I436:I450" si="64">"Смещение первого ряда относительно нуля Y ("&amp;ROW(A2)-ROW($A$1)&amp;")"</f>
        <v>Смещение первого ряда относительно нуля Y (1)</v>
      </c>
    </row>
    <row r="437" spans="1:9" x14ac:dyDescent="0.3">
      <c r="A437" s="2">
        <v>499</v>
      </c>
      <c r="B437" s="2" t="str">
        <f t="shared" si="57"/>
        <v>P10272</v>
      </c>
      <c r="C437" s="2" t="str">
        <f t="shared" si="58"/>
        <v xml:space="preserve"> </v>
      </c>
      <c r="F437" s="2">
        <v>1499</v>
      </c>
      <c r="G437" s="2" t="str">
        <f t="shared" si="59"/>
        <v>P11272</v>
      </c>
      <c r="H437" s="2" t="str">
        <f t="shared" si="60"/>
        <v xml:space="preserve"> </v>
      </c>
      <c r="I437" s="7" t="str">
        <f t="shared" si="64"/>
        <v>Смещение первого ряда относительно нуля Y (2)</v>
      </c>
    </row>
    <row r="438" spans="1:9" x14ac:dyDescent="0.3">
      <c r="A438" s="2">
        <v>500</v>
      </c>
      <c r="B438" s="2" t="str">
        <f t="shared" si="57"/>
        <v>P10273</v>
      </c>
      <c r="C438" s="2" t="str">
        <f t="shared" si="58"/>
        <v xml:space="preserve"> </v>
      </c>
      <c r="F438" s="2">
        <v>1500</v>
      </c>
      <c r="G438" s="2" t="str">
        <f t="shared" si="59"/>
        <v>P11273</v>
      </c>
      <c r="H438" s="2" t="str">
        <f t="shared" si="60"/>
        <v xml:space="preserve"> </v>
      </c>
      <c r="I438" s="7" t="str">
        <f t="shared" si="64"/>
        <v>Смещение первого ряда относительно нуля Y (3)</v>
      </c>
    </row>
    <row r="439" spans="1:9" x14ac:dyDescent="0.3">
      <c r="A439" s="2">
        <v>501</v>
      </c>
      <c r="B439" s="2" t="str">
        <f t="shared" si="57"/>
        <v>P10274</v>
      </c>
      <c r="C439" s="2" t="str">
        <f t="shared" si="58"/>
        <v xml:space="preserve"> </v>
      </c>
      <c r="F439" s="2">
        <v>1501</v>
      </c>
      <c r="G439" s="2" t="str">
        <f t="shared" si="59"/>
        <v>P11274</v>
      </c>
      <c r="H439" s="2" t="str">
        <f t="shared" si="60"/>
        <v xml:space="preserve"> </v>
      </c>
      <c r="I439" s="7" t="str">
        <f t="shared" si="64"/>
        <v>Смещение первого ряда относительно нуля Y (4)</v>
      </c>
    </row>
    <row r="440" spans="1:9" x14ac:dyDescent="0.3">
      <c r="A440" s="2">
        <v>502</v>
      </c>
      <c r="B440" s="2" t="str">
        <f t="shared" si="57"/>
        <v>P10275</v>
      </c>
      <c r="C440" s="2" t="str">
        <f t="shared" si="58"/>
        <v xml:space="preserve"> </v>
      </c>
      <c r="F440" s="2">
        <v>1502</v>
      </c>
      <c r="G440" s="2" t="str">
        <f t="shared" si="59"/>
        <v>P11275</v>
      </c>
      <c r="H440" s="2" t="str">
        <f t="shared" si="60"/>
        <v xml:space="preserve"> </v>
      </c>
      <c r="I440" s="7" t="str">
        <f t="shared" si="64"/>
        <v>Смещение первого ряда относительно нуля Y (5)</v>
      </c>
    </row>
    <row r="441" spans="1:9" x14ac:dyDescent="0.3">
      <c r="A441" s="2">
        <v>503</v>
      </c>
      <c r="B441" s="2" t="str">
        <f t="shared" si="57"/>
        <v>P10276</v>
      </c>
      <c r="C441" s="2" t="str">
        <f t="shared" si="58"/>
        <v xml:space="preserve"> </v>
      </c>
      <c r="F441" s="2">
        <v>1503</v>
      </c>
      <c r="G441" s="2" t="str">
        <f t="shared" si="59"/>
        <v>P11276</v>
      </c>
      <c r="H441" s="2" t="str">
        <f t="shared" si="60"/>
        <v xml:space="preserve"> </v>
      </c>
      <c r="I441" s="7" t="str">
        <f t="shared" si="64"/>
        <v>Смещение первого ряда относительно нуля Y (6)</v>
      </c>
    </row>
    <row r="442" spans="1:9" x14ac:dyDescent="0.3">
      <c r="A442" s="2">
        <v>504</v>
      </c>
      <c r="B442" s="2" t="str">
        <f t="shared" si="57"/>
        <v>P10277</v>
      </c>
      <c r="C442" s="2" t="str">
        <f t="shared" si="58"/>
        <v xml:space="preserve"> </v>
      </c>
      <c r="F442" s="2">
        <v>1504</v>
      </c>
      <c r="G442" s="2" t="str">
        <f t="shared" si="59"/>
        <v>P11277</v>
      </c>
      <c r="H442" s="2" t="str">
        <f t="shared" si="60"/>
        <v xml:space="preserve"> </v>
      </c>
      <c r="I442" s="7" t="str">
        <f t="shared" si="64"/>
        <v>Смещение первого ряда относительно нуля Y (7)</v>
      </c>
    </row>
    <row r="443" spans="1:9" x14ac:dyDescent="0.3">
      <c r="A443" s="2">
        <v>505</v>
      </c>
      <c r="B443" s="2" t="str">
        <f t="shared" si="57"/>
        <v>P10278</v>
      </c>
      <c r="C443" s="2" t="str">
        <f t="shared" si="58"/>
        <v xml:space="preserve"> </v>
      </c>
      <c r="F443" s="2">
        <v>1505</v>
      </c>
      <c r="G443" s="2" t="str">
        <f t="shared" si="59"/>
        <v>P11278</v>
      </c>
      <c r="H443" s="2" t="str">
        <f t="shared" si="60"/>
        <v xml:space="preserve"> </v>
      </c>
      <c r="I443" s="7" t="str">
        <f t="shared" si="64"/>
        <v>Смещение первого ряда относительно нуля Y (8)</v>
      </c>
    </row>
    <row r="444" spans="1:9" x14ac:dyDescent="0.3">
      <c r="A444" s="2">
        <v>506</v>
      </c>
      <c r="B444" s="2" t="str">
        <f t="shared" si="57"/>
        <v>P10279</v>
      </c>
      <c r="C444" s="2" t="str">
        <f t="shared" si="58"/>
        <v xml:space="preserve"> </v>
      </c>
      <c r="F444" s="2">
        <v>1506</v>
      </c>
      <c r="G444" s="2" t="str">
        <f t="shared" si="59"/>
        <v>P11279</v>
      </c>
      <c r="H444" s="2" t="str">
        <f t="shared" si="60"/>
        <v xml:space="preserve"> </v>
      </c>
      <c r="I444" s="7" t="str">
        <f t="shared" si="64"/>
        <v>Смещение первого ряда относительно нуля Y (9)</v>
      </c>
    </row>
    <row r="445" spans="1:9" x14ac:dyDescent="0.3">
      <c r="A445" s="2">
        <v>507</v>
      </c>
      <c r="B445" s="2" t="str">
        <f t="shared" si="57"/>
        <v>P1027A</v>
      </c>
      <c r="C445" s="2" t="str">
        <f t="shared" si="58"/>
        <v xml:space="preserve"> </v>
      </c>
      <c r="F445" s="2">
        <v>1507</v>
      </c>
      <c r="G445" s="2" t="str">
        <f t="shared" si="59"/>
        <v>P1127A</v>
      </c>
      <c r="H445" s="2" t="str">
        <f t="shared" si="60"/>
        <v xml:space="preserve"> </v>
      </c>
      <c r="I445" s="7" t="str">
        <f t="shared" si="64"/>
        <v>Смещение первого ряда относительно нуля Y (10)</v>
      </c>
    </row>
    <row r="446" spans="1:9" x14ac:dyDescent="0.3">
      <c r="A446" s="2">
        <v>508</v>
      </c>
      <c r="B446" s="2" t="str">
        <f t="shared" si="57"/>
        <v>P1027B</v>
      </c>
      <c r="C446" s="2" t="str">
        <f t="shared" si="58"/>
        <v xml:space="preserve"> </v>
      </c>
      <c r="F446" s="2">
        <v>1508</v>
      </c>
      <c r="G446" s="2" t="str">
        <f t="shared" si="59"/>
        <v>P1127B</v>
      </c>
      <c r="H446" s="2" t="str">
        <f t="shared" si="60"/>
        <v xml:space="preserve"> </v>
      </c>
      <c r="I446" s="7" t="str">
        <f t="shared" si="64"/>
        <v>Смещение первого ряда относительно нуля Y (11)</v>
      </c>
    </row>
    <row r="447" spans="1:9" x14ac:dyDescent="0.3">
      <c r="A447" s="2">
        <v>509</v>
      </c>
      <c r="B447" s="2" t="str">
        <f t="shared" si="57"/>
        <v>P1027C</v>
      </c>
      <c r="C447" s="2" t="str">
        <f t="shared" si="58"/>
        <v xml:space="preserve"> </v>
      </c>
      <c r="F447" s="2">
        <v>1509</v>
      </c>
      <c r="G447" s="2" t="str">
        <f t="shared" si="59"/>
        <v>P1127C</v>
      </c>
      <c r="H447" s="2" t="str">
        <f t="shared" si="60"/>
        <v xml:space="preserve"> </v>
      </c>
      <c r="I447" s="7" t="str">
        <f t="shared" si="64"/>
        <v>Смещение первого ряда относительно нуля Y (12)</v>
      </c>
    </row>
    <row r="448" spans="1:9" x14ac:dyDescent="0.3">
      <c r="A448" s="2">
        <v>510</v>
      </c>
      <c r="B448" s="2" t="str">
        <f>"P"&amp;DEC2HEX(A448+65536-$A$3 +2*96, 5)</f>
        <v>P1027D</v>
      </c>
      <c r="C448" s="2" t="str">
        <f t="shared" si="58"/>
        <v xml:space="preserve"> </v>
      </c>
      <c r="F448" s="2">
        <v>1510</v>
      </c>
      <c r="G448" s="2" t="str">
        <f t="shared" si="59"/>
        <v>P1127D</v>
      </c>
      <c r="H448" s="2" t="str">
        <f t="shared" si="60"/>
        <v xml:space="preserve"> </v>
      </c>
      <c r="I448" s="7" t="str">
        <f t="shared" si="64"/>
        <v>Смещение первого ряда относительно нуля Y (13)</v>
      </c>
    </row>
    <row r="449" spans="1:11" x14ac:dyDescent="0.3">
      <c r="A449" s="2">
        <v>511</v>
      </c>
      <c r="B449" s="2" t="str">
        <f t="shared" ref="B449:B450" si="65">"P"&amp;DEC2HEX(A449+65536-$A$3 +2*96, 5)</f>
        <v>P1027E</v>
      </c>
      <c r="C449" s="2" t="str">
        <f t="shared" si="58"/>
        <v xml:space="preserve"> </v>
      </c>
      <c r="F449" s="2">
        <v>1511</v>
      </c>
      <c r="G449" s="2" t="str">
        <f t="shared" si="59"/>
        <v>P1127E</v>
      </c>
      <c r="H449" s="2" t="str">
        <f t="shared" si="60"/>
        <v xml:space="preserve"> </v>
      </c>
      <c r="I449" s="7" t="str">
        <f t="shared" si="64"/>
        <v>Смещение первого ряда относительно нуля Y (14)</v>
      </c>
    </row>
    <row r="450" spans="1:11" x14ac:dyDescent="0.3">
      <c r="A450" s="2">
        <v>512</v>
      </c>
      <c r="B450" s="2" t="str">
        <f t="shared" si="65"/>
        <v>P1027F</v>
      </c>
      <c r="C450" s="2" t="str">
        <f t="shared" si="58"/>
        <v xml:space="preserve"> </v>
      </c>
      <c r="F450" s="2">
        <v>1512</v>
      </c>
      <c r="G450" s="2" t="str">
        <f t="shared" si="59"/>
        <v>P1127F</v>
      </c>
      <c r="H450" s="2" t="str">
        <f t="shared" si="60"/>
        <v xml:space="preserve"> </v>
      </c>
      <c r="I450" s="7" t="str">
        <f t="shared" si="64"/>
        <v>Смещение первого ряда относительно нуля Y (15)</v>
      </c>
    </row>
    <row r="451" spans="1:11" x14ac:dyDescent="0.3">
      <c r="A451" s="2">
        <v>513</v>
      </c>
      <c r="B451" s="2" t="str">
        <f t="shared" ref="B451:B482" si="66">"P"&amp;DEC2HEX(A451+65536-$A$3 +2*96, 5)</f>
        <v>P10280</v>
      </c>
      <c r="C451" s="2" t="str">
        <f t="shared" ref="C451:C514" si="67">IF(RIGHT(B451,1)="0",LEFT(B451,5)," ")</f>
        <v>P1028</v>
      </c>
      <c r="F451" s="2">
        <v>1513</v>
      </c>
      <c r="G451" s="2" t="str">
        <f t="shared" ref="G451:G454" si="68">"P"&amp;DEC2HEX(F451+65536+4096 +2* 96-$F$3, 5)</f>
        <v>P11280</v>
      </c>
      <c r="H451" s="2" t="str">
        <f t="shared" ref="H451:H454" si="69">IF(RIGHT(G451,1)="0",LEFT(G451,5)," ")</f>
        <v>P1128</v>
      </c>
      <c r="I451" s="7" t="s">
        <v>10552</v>
      </c>
    </row>
    <row r="452" spans="1:11" x14ac:dyDescent="0.3">
      <c r="A452" s="2">
        <v>514</v>
      </c>
      <c r="B452" s="2" t="str">
        <f t="shared" si="66"/>
        <v>P10281</v>
      </c>
      <c r="C452" s="2" t="str">
        <f t="shared" si="67"/>
        <v xml:space="preserve"> </v>
      </c>
      <c r="F452" s="2">
        <v>1514</v>
      </c>
      <c r="G452" s="2" t="str">
        <f t="shared" si="68"/>
        <v>P11281</v>
      </c>
      <c r="H452" s="2" t="str">
        <f t="shared" si="69"/>
        <v xml:space="preserve"> </v>
      </c>
      <c r="I452" s="7" t="str">
        <f t="shared" ref="I452:I458" si="70">"Номер программы на станке ("&amp;ROW(A2)-ROW($A$1)&amp;")"</f>
        <v>Номер программы на станке (1)</v>
      </c>
    </row>
    <row r="453" spans="1:11" x14ac:dyDescent="0.3">
      <c r="A453" s="2">
        <v>515</v>
      </c>
      <c r="B453" s="2" t="str">
        <f t="shared" si="66"/>
        <v>P10282</v>
      </c>
      <c r="C453" s="2" t="str">
        <f t="shared" si="67"/>
        <v xml:space="preserve"> </v>
      </c>
      <c r="F453" s="2">
        <v>1515</v>
      </c>
      <c r="G453" s="2" t="str">
        <f t="shared" si="68"/>
        <v>P11282</v>
      </c>
      <c r="H453" s="2" t="str">
        <f t="shared" si="69"/>
        <v xml:space="preserve"> </v>
      </c>
      <c r="I453" s="7" t="str">
        <f t="shared" si="70"/>
        <v>Номер программы на станке (2)</v>
      </c>
      <c r="K453" s="9"/>
    </row>
    <row r="454" spans="1:11" x14ac:dyDescent="0.3">
      <c r="A454" s="2">
        <v>516</v>
      </c>
      <c r="B454" s="2" t="str">
        <f t="shared" si="66"/>
        <v>P10283</v>
      </c>
      <c r="C454" s="2" t="str">
        <f t="shared" si="67"/>
        <v xml:space="preserve"> </v>
      </c>
      <c r="F454" s="2">
        <v>1516</v>
      </c>
      <c r="G454" s="2" t="str">
        <f t="shared" si="68"/>
        <v>P11283</v>
      </c>
      <c r="H454" s="2" t="str">
        <f t="shared" si="69"/>
        <v xml:space="preserve"> </v>
      </c>
      <c r="I454" s="7" t="str">
        <f t="shared" si="70"/>
        <v>Номер программы на станке (3)</v>
      </c>
      <c r="K454" s="7"/>
    </row>
    <row r="455" spans="1:11" x14ac:dyDescent="0.3">
      <c r="A455" s="2">
        <v>517</v>
      </c>
      <c r="B455" s="2" t="str">
        <f t="shared" si="66"/>
        <v>P10284</v>
      </c>
      <c r="C455" s="2" t="str">
        <f t="shared" si="67"/>
        <v xml:space="preserve"> </v>
      </c>
      <c r="F455" s="2">
        <v>1517</v>
      </c>
      <c r="G455" s="2" t="str">
        <f t="shared" ref="G455:G482" si="71">"P"&amp;DEC2HEX(F455+65536+4096 +2* 96-$F$3, 5)</f>
        <v>P11284</v>
      </c>
      <c r="H455" s="2" t="str">
        <f t="shared" ref="H455:H518" si="72">IF(RIGHT(G455,1)="0",LEFT(G455,5)," ")</f>
        <v xml:space="preserve"> </v>
      </c>
      <c r="I455" s="7" t="str">
        <f t="shared" si="70"/>
        <v>Номер программы на станке (4)</v>
      </c>
      <c r="K455" s="9"/>
    </row>
    <row r="456" spans="1:11" x14ac:dyDescent="0.3">
      <c r="A456" s="2">
        <v>518</v>
      </c>
      <c r="B456" s="2" t="str">
        <f t="shared" si="66"/>
        <v>P10285</v>
      </c>
      <c r="C456" s="2" t="str">
        <f t="shared" si="67"/>
        <v xml:space="preserve"> </v>
      </c>
      <c r="F456" s="2">
        <v>1518</v>
      </c>
      <c r="G456" s="2" t="str">
        <f t="shared" si="71"/>
        <v>P11285</v>
      </c>
      <c r="H456" s="2" t="str">
        <f t="shared" si="72"/>
        <v xml:space="preserve"> </v>
      </c>
      <c r="I456" s="7" t="str">
        <f t="shared" si="70"/>
        <v>Номер программы на станке (5)</v>
      </c>
      <c r="K456" s="7"/>
    </row>
    <row r="457" spans="1:11" x14ac:dyDescent="0.3">
      <c r="A457" s="2">
        <v>519</v>
      </c>
      <c r="B457" s="2" t="str">
        <f t="shared" si="66"/>
        <v>P10286</v>
      </c>
      <c r="C457" s="2" t="str">
        <f t="shared" si="67"/>
        <v xml:space="preserve"> </v>
      </c>
      <c r="F457" s="2">
        <v>1519</v>
      </c>
      <c r="G457" s="2" t="str">
        <f t="shared" si="71"/>
        <v>P11286</v>
      </c>
      <c r="H457" s="2" t="str">
        <f t="shared" si="72"/>
        <v xml:space="preserve"> </v>
      </c>
      <c r="I457" s="7" t="str">
        <f t="shared" si="70"/>
        <v>Номер программы на станке (6)</v>
      </c>
    </row>
    <row r="458" spans="1:11" x14ac:dyDescent="0.3">
      <c r="A458" s="2">
        <v>520</v>
      </c>
      <c r="B458" s="2" t="str">
        <f t="shared" si="66"/>
        <v>P10287</v>
      </c>
      <c r="C458" s="2" t="str">
        <f t="shared" si="67"/>
        <v xml:space="preserve"> </v>
      </c>
      <c r="F458" s="2">
        <v>1520</v>
      </c>
      <c r="G458" s="2" t="str">
        <f t="shared" si="71"/>
        <v>P11287</v>
      </c>
      <c r="H458" s="2" t="str">
        <f t="shared" si="72"/>
        <v xml:space="preserve"> </v>
      </c>
      <c r="I458" s="7" t="str">
        <f t="shared" si="70"/>
        <v>Номер программы на станке (7)</v>
      </c>
    </row>
    <row r="459" spans="1:11" x14ac:dyDescent="0.3">
      <c r="A459" s="2">
        <v>521</v>
      </c>
      <c r="B459" s="2" t="str">
        <f t="shared" si="66"/>
        <v>P10288</v>
      </c>
      <c r="C459" s="2" t="str">
        <f t="shared" si="67"/>
        <v xml:space="preserve"> </v>
      </c>
      <c r="F459" s="2">
        <v>1521</v>
      </c>
      <c r="G459" s="2" t="str">
        <f t="shared" si="71"/>
        <v>P11288</v>
      </c>
      <c r="H459" s="2" t="str">
        <f t="shared" si="72"/>
        <v xml:space="preserve"> </v>
      </c>
      <c r="I459" s="7" t="str">
        <f>"Номер кастомной программы перехвата 1 ("&amp;ROW(A1)-ROW($A$1)&amp;")"</f>
        <v>Номер кастомной программы перехвата 1 (0)</v>
      </c>
    </row>
    <row r="460" spans="1:11" x14ac:dyDescent="0.3">
      <c r="A460" s="2">
        <v>522</v>
      </c>
      <c r="B460" s="2" t="str">
        <f t="shared" si="66"/>
        <v>P10289</v>
      </c>
      <c r="C460" s="2" t="str">
        <f t="shared" si="67"/>
        <v xml:space="preserve"> </v>
      </c>
      <c r="F460" s="2">
        <v>1522</v>
      </c>
      <c r="G460" s="2" t="str">
        <f t="shared" si="71"/>
        <v>P11289</v>
      </c>
      <c r="H460" s="2" t="str">
        <f t="shared" si="72"/>
        <v xml:space="preserve"> </v>
      </c>
      <c r="I460" s="7" t="str">
        <f t="shared" ref="I460:I466" si="73">"Номер кастомной программы перехвата 1 ("&amp;ROW(A2)-ROW($A$1)&amp;")"</f>
        <v>Номер кастомной программы перехвата 1 (1)</v>
      </c>
    </row>
    <row r="461" spans="1:11" x14ac:dyDescent="0.3">
      <c r="A461" s="2">
        <v>523</v>
      </c>
      <c r="B461" s="2" t="str">
        <f t="shared" si="66"/>
        <v>P1028A</v>
      </c>
      <c r="C461" s="2" t="str">
        <f t="shared" si="67"/>
        <v xml:space="preserve"> </v>
      </c>
      <c r="F461" s="2">
        <v>1523</v>
      </c>
      <c r="G461" s="2" t="str">
        <f t="shared" si="71"/>
        <v>P1128A</v>
      </c>
      <c r="H461" s="2" t="str">
        <f t="shared" si="72"/>
        <v xml:space="preserve"> </v>
      </c>
      <c r="I461" s="7" t="str">
        <f t="shared" si="73"/>
        <v>Номер кастомной программы перехвата 1 (2)</v>
      </c>
    </row>
    <row r="462" spans="1:11" x14ac:dyDescent="0.3">
      <c r="A462" s="2">
        <v>524</v>
      </c>
      <c r="B462" s="2" t="str">
        <f t="shared" si="66"/>
        <v>P1028B</v>
      </c>
      <c r="C462" s="2" t="str">
        <f t="shared" si="67"/>
        <v xml:space="preserve"> </v>
      </c>
      <c r="F462" s="2">
        <v>1524</v>
      </c>
      <c r="G462" s="2" t="str">
        <f t="shared" si="71"/>
        <v>P1128B</v>
      </c>
      <c r="H462" s="2" t="str">
        <f t="shared" si="72"/>
        <v xml:space="preserve"> </v>
      </c>
      <c r="I462" s="7" t="str">
        <f t="shared" si="73"/>
        <v>Номер кастомной программы перехвата 1 (3)</v>
      </c>
    </row>
    <row r="463" spans="1:11" x14ac:dyDescent="0.3">
      <c r="A463" s="2">
        <v>525</v>
      </c>
      <c r="B463" s="2" t="str">
        <f t="shared" si="66"/>
        <v>P1028C</v>
      </c>
      <c r="C463" s="2" t="str">
        <f t="shared" si="67"/>
        <v xml:space="preserve"> </v>
      </c>
      <c r="F463" s="2">
        <v>1525</v>
      </c>
      <c r="G463" s="2" t="str">
        <f t="shared" si="71"/>
        <v>P1128C</v>
      </c>
      <c r="H463" s="2" t="str">
        <f t="shared" si="72"/>
        <v xml:space="preserve"> </v>
      </c>
      <c r="I463" s="7" t="str">
        <f t="shared" si="73"/>
        <v>Номер кастомной программы перехвата 1 (4)</v>
      </c>
    </row>
    <row r="464" spans="1:11" x14ac:dyDescent="0.3">
      <c r="A464" s="2">
        <v>526</v>
      </c>
      <c r="B464" s="2" t="str">
        <f t="shared" si="66"/>
        <v>P1028D</v>
      </c>
      <c r="C464" s="2" t="str">
        <f t="shared" si="67"/>
        <v xml:space="preserve"> </v>
      </c>
      <c r="F464" s="2">
        <v>1526</v>
      </c>
      <c r="G464" s="2" t="str">
        <f t="shared" si="71"/>
        <v>P1128D</v>
      </c>
      <c r="H464" s="2" t="str">
        <f t="shared" si="72"/>
        <v xml:space="preserve"> </v>
      </c>
      <c r="I464" s="7" t="str">
        <f t="shared" si="73"/>
        <v>Номер кастомной программы перехвата 1 (5)</v>
      </c>
    </row>
    <row r="465" spans="1:9" x14ac:dyDescent="0.3">
      <c r="A465" s="2">
        <v>527</v>
      </c>
      <c r="B465" s="2" t="str">
        <f t="shared" si="66"/>
        <v>P1028E</v>
      </c>
      <c r="C465" s="2" t="str">
        <f t="shared" si="67"/>
        <v xml:space="preserve"> </v>
      </c>
      <c r="F465" s="2">
        <v>1527</v>
      </c>
      <c r="G465" s="2" t="str">
        <f t="shared" si="71"/>
        <v>P1128E</v>
      </c>
      <c r="H465" s="2" t="str">
        <f t="shared" si="72"/>
        <v xml:space="preserve"> </v>
      </c>
      <c r="I465" s="7" t="str">
        <f t="shared" si="73"/>
        <v>Номер кастомной программы перехвата 1 (6)</v>
      </c>
    </row>
    <row r="466" spans="1:9" x14ac:dyDescent="0.3">
      <c r="A466" s="2">
        <v>528</v>
      </c>
      <c r="B466" s="2" t="str">
        <f t="shared" si="66"/>
        <v>P1028F</v>
      </c>
      <c r="C466" s="2" t="str">
        <f t="shared" si="67"/>
        <v xml:space="preserve"> </v>
      </c>
      <c r="F466" s="2">
        <v>1528</v>
      </c>
      <c r="G466" s="2" t="str">
        <f t="shared" si="71"/>
        <v>P1128F</v>
      </c>
      <c r="H466" s="2" t="str">
        <f t="shared" si="72"/>
        <v xml:space="preserve"> </v>
      </c>
      <c r="I466" s="7" t="str">
        <f t="shared" si="73"/>
        <v>Номер кастомной программы перехвата 1 (7)</v>
      </c>
    </row>
    <row r="467" spans="1:9" x14ac:dyDescent="0.3">
      <c r="A467" s="2">
        <v>529</v>
      </c>
      <c r="B467" s="2" t="str">
        <f t="shared" si="66"/>
        <v>P10290</v>
      </c>
      <c r="C467" s="2" t="str">
        <f t="shared" si="67"/>
        <v>P1029</v>
      </c>
      <c r="F467" s="2">
        <v>1529</v>
      </c>
      <c r="G467" s="2" t="str">
        <f t="shared" si="71"/>
        <v>P11290</v>
      </c>
      <c r="H467" s="2" t="str">
        <f t="shared" si="72"/>
        <v>P1129</v>
      </c>
      <c r="I467" s="7" t="str">
        <f>"Номер программы обдува 1 ("&amp;ROW(A1)-ROW($A$1)&amp;")"</f>
        <v>Номер программы обдува 1 (0)</v>
      </c>
    </row>
    <row r="468" spans="1:9" x14ac:dyDescent="0.3">
      <c r="A468" s="2">
        <v>530</v>
      </c>
      <c r="B468" s="2" t="str">
        <f t="shared" si="66"/>
        <v>P10291</v>
      </c>
      <c r="C468" s="2" t="str">
        <f t="shared" si="67"/>
        <v xml:space="preserve"> </v>
      </c>
      <c r="F468" s="2">
        <v>1530</v>
      </c>
      <c r="G468" s="2" t="str">
        <f t="shared" si="71"/>
        <v>P11291</v>
      </c>
      <c r="H468" s="2" t="str">
        <f t="shared" si="72"/>
        <v xml:space="preserve"> </v>
      </c>
      <c r="I468" s="7" t="str">
        <f t="shared" ref="I468:I474" si="74">"Номер программы обдува 1 ("&amp;ROW(A2)-ROW($A$1)&amp;")"</f>
        <v>Номер программы обдува 1 (1)</v>
      </c>
    </row>
    <row r="469" spans="1:9" x14ac:dyDescent="0.3">
      <c r="A469" s="2">
        <v>531</v>
      </c>
      <c r="B469" s="2" t="str">
        <f t="shared" si="66"/>
        <v>P10292</v>
      </c>
      <c r="C469" s="2" t="str">
        <f t="shared" si="67"/>
        <v xml:space="preserve"> </v>
      </c>
      <c r="F469" s="2">
        <v>1531</v>
      </c>
      <c r="G469" s="2" t="str">
        <f t="shared" si="71"/>
        <v>P11292</v>
      </c>
      <c r="H469" s="2" t="str">
        <f t="shared" si="72"/>
        <v xml:space="preserve"> </v>
      </c>
      <c r="I469" s="7" t="str">
        <f t="shared" si="74"/>
        <v>Номер программы обдува 1 (2)</v>
      </c>
    </row>
    <row r="470" spans="1:9" x14ac:dyDescent="0.3">
      <c r="A470" s="2">
        <v>532</v>
      </c>
      <c r="B470" s="2" t="str">
        <f t="shared" si="66"/>
        <v>P10293</v>
      </c>
      <c r="C470" s="2" t="str">
        <f t="shared" si="67"/>
        <v xml:space="preserve"> </v>
      </c>
      <c r="F470" s="2">
        <v>1532</v>
      </c>
      <c r="G470" s="2" t="str">
        <f t="shared" si="71"/>
        <v>P11293</v>
      </c>
      <c r="H470" s="2" t="str">
        <f t="shared" si="72"/>
        <v xml:space="preserve"> </v>
      </c>
      <c r="I470" s="7" t="str">
        <f t="shared" si="74"/>
        <v>Номер программы обдува 1 (3)</v>
      </c>
    </row>
    <row r="471" spans="1:9" x14ac:dyDescent="0.3">
      <c r="A471" s="2">
        <v>533</v>
      </c>
      <c r="B471" s="2" t="str">
        <f t="shared" si="66"/>
        <v>P10294</v>
      </c>
      <c r="C471" s="2" t="str">
        <f t="shared" si="67"/>
        <v xml:space="preserve"> </v>
      </c>
      <c r="F471" s="2">
        <v>1533</v>
      </c>
      <c r="G471" s="2" t="str">
        <f t="shared" si="71"/>
        <v>P11294</v>
      </c>
      <c r="H471" s="2" t="str">
        <f t="shared" si="72"/>
        <v xml:space="preserve"> </v>
      </c>
      <c r="I471" s="7" t="str">
        <f t="shared" si="74"/>
        <v>Номер программы обдува 1 (4)</v>
      </c>
    </row>
    <row r="472" spans="1:9" x14ac:dyDescent="0.3">
      <c r="A472" s="2">
        <v>534</v>
      </c>
      <c r="B472" s="2" t="str">
        <f t="shared" si="66"/>
        <v>P10295</v>
      </c>
      <c r="C472" s="2" t="str">
        <f t="shared" si="67"/>
        <v xml:space="preserve"> </v>
      </c>
      <c r="F472" s="2">
        <v>1534</v>
      </c>
      <c r="G472" s="2" t="str">
        <f t="shared" si="71"/>
        <v>P11295</v>
      </c>
      <c r="H472" s="2" t="str">
        <f t="shared" si="72"/>
        <v xml:space="preserve"> </v>
      </c>
      <c r="I472" s="7" t="str">
        <f t="shared" si="74"/>
        <v>Номер программы обдува 1 (5)</v>
      </c>
    </row>
    <row r="473" spans="1:9" x14ac:dyDescent="0.3">
      <c r="A473" s="2">
        <v>535</v>
      </c>
      <c r="B473" s="2" t="str">
        <f t="shared" si="66"/>
        <v>P10296</v>
      </c>
      <c r="C473" s="2" t="str">
        <f t="shared" si="67"/>
        <v xml:space="preserve"> </v>
      </c>
      <c r="F473" s="2">
        <v>1535</v>
      </c>
      <c r="G473" s="2" t="str">
        <f t="shared" si="71"/>
        <v>P11296</v>
      </c>
      <c r="H473" s="2" t="str">
        <f t="shared" si="72"/>
        <v xml:space="preserve"> </v>
      </c>
      <c r="I473" s="7" t="str">
        <f t="shared" si="74"/>
        <v>Номер программы обдува 1 (6)</v>
      </c>
    </row>
    <row r="474" spans="1:9" x14ac:dyDescent="0.3">
      <c r="A474" s="2">
        <v>536</v>
      </c>
      <c r="B474" s="2" t="str">
        <f t="shared" si="66"/>
        <v>P10297</v>
      </c>
      <c r="C474" s="2" t="str">
        <f t="shared" si="67"/>
        <v xml:space="preserve"> </v>
      </c>
      <c r="F474" s="2">
        <v>1536</v>
      </c>
      <c r="G474" s="2" t="str">
        <f t="shared" si="71"/>
        <v>P11297</v>
      </c>
      <c r="H474" s="2" t="str">
        <f t="shared" si="72"/>
        <v xml:space="preserve"> </v>
      </c>
      <c r="I474" s="7" t="str">
        <f t="shared" si="74"/>
        <v>Номер программы обдува 1 (7)</v>
      </c>
    </row>
    <row r="475" spans="1:9" x14ac:dyDescent="0.3">
      <c r="A475" s="2">
        <v>537</v>
      </c>
      <c r="B475" s="2" t="str">
        <f t="shared" si="66"/>
        <v>P10298</v>
      </c>
      <c r="C475" s="2" t="str">
        <f t="shared" si="67"/>
        <v xml:space="preserve"> </v>
      </c>
      <c r="F475" s="2">
        <v>1537</v>
      </c>
      <c r="G475" s="2" t="str">
        <f t="shared" si="71"/>
        <v>P11298</v>
      </c>
      <c r="H475" s="2" t="str">
        <f t="shared" si="72"/>
        <v xml:space="preserve"> </v>
      </c>
      <c r="I475" s="7" t="str">
        <f>"Номер программы обдува 2 ("&amp;ROW(A1)-ROW($A$1)&amp;")"</f>
        <v>Номер программы обдува 2 (0)</v>
      </c>
    </row>
    <row r="476" spans="1:9" x14ac:dyDescent="0.3">
      <c r="A476" s="2">
        <v>538</v>
      </c>
      <c r="B476" s="2" t="str">
        <f t="shared" si="66"/>
        <v>P10299</v>
      </c>
      <c r="C476" s="2" t="str">
        <f t="shared" si="67"/>
        <v xml:space="preserve"> </v>
      </c>
      <c r="F476" s="2">
        <v>1538</v>
      </c>
      <c r="G476" s="2" t="str">
        <f t="shared" si="71"/>
        <v>P11299</v>
      </c>
      <c r="H476" s="2" t="str">
        <f t="shared" si="72"/>
        <v xml:space="preserve"> </v>
      </c>
      <c r="I476" s="7" t="str">
        <f t="shared" ref="I476:I482" si="75">"Номер программы обдува 2 ("&amp;ROW(A2)-ROW($A$1)&amp;")"</f>
        <v>Номер программы обдува 2 (1)</v>
      </c>
    </row>
    <row r="477" spans="1:9" x14ac:dyDescent="0.3">
      <c r="A477" s="2">
        <v>539</v>
      </c>
      <c r="B477" s="2" t="str">
        <f t="shared" si="66"/>
        <v>P1029A</v>
      </c>
      <c r="C477" s="2" t="str">
        <f t="shared" si="67"/>
        <v xml:space="preserve"> </v>
      </c>
      <c r="F477" s="2">
        <v>1539</v>
      </c>
      <c r="G477" s="2" t="str">
        <f t="shared" si="71"/>
        <v>P1129A</v>
      </c>
      <c r="H477" s="2" t="str">
        <f t="shared" si="72"/>
        <v xml:space="preserve"> </v>
      </c>
      <c r="I477" s="7" t="str">
        <f t="shared" si="75"/>
        <v>Номер программы обдува 2 (2)</v>
      </c>
    </row>
    <row r="478" spans="1:9" x14ac:dyDescent="0.3">
      <c r="A478" s="2">
        <v>540</v>
      </c>
      <c r="B478" s="2" t="str">
        <f t="shared" si="66"/>
        <v>P1029B</v>
      </c>
      <c r="C478" s="2" t="str">
        <f t="shared" si="67"/>
        <v xml:space="preserve"> </v>
      </c>
      <c r="F478" s="2">
        <v>1540</v>
      </c>
      <c r="G478" s="2" t="str">
        <f t="shared" si="71"/>
        <v>P1129B</v>
      </c>
      <c r="H478" s="2" t="str">
        <f t="shared" si="72"/>
        <v xml:space="preserve"> </v>
      </c>
      <c r="I478" s="7" t="str">
        <f t="shared" si="75"/>
        <v>Номер программы обдува 2 (3)</v>
      </c>
    </row>
    <row r="479" spans="1:9" x14ac:dyDescent="0.3">
      <c r="A479" s="2">
        <v>541</v>
      </c>
      <c r="B479" s="2" t="str">
        <f t="shared" si="66"/>
        <v>P1029C</v>
      </c>
      <c r="C479" s="2" t="str">
        <f t="shared" si="67"/>
        <v xml:space="preserve"> </v>
      </c>
      <c r="F479" s="2">
        <v>1541</v>
      </c>
      <c r="G479" s="2" t="str">
        <f t="shared" si="71"/>
        <v>P1129C</v>
      </c>
      <c r="H479" s="2" t="str">
        <f t="shared" si="72"/>
        <v xml:space="preserve"> </v>
      </c>
      <c r="I479" s="7" t="str">
        <f t="shared" si="75"/>
        <v>Номер программы обдува 2 (4)</v>
      </c>
    </row>
    <row r="480" spans="1:9" x14ac:dyDescent="0.3">
      <c r="A480" s="2">
        <v>542</v>
      </c>
      <c r="B480" s="2" t="str">
        <f t="shared" si="66"/>
        <v>P1029D</v>
      </c>
      <c r="C480" s="2" t="str">
        <f t="shared" si="67"/>
        <v xml:space="preserve"> </v>
      </c>
      <c r="F480" s="2">
        <v>1542</v>
      </c>
      <c r="G480" s="2" t="str">
        <f t="shared" si="71"/>
        <v>P1129D</v>
      </c>
      <c r="H480" s="2" t="str">
        <f t="shared" si="72"/>
        <v xml:space="preserve"> </v>
      </c>
      <c r="I480" s="7" t="str">
        <f t="shared" si="75"/>
        <v>Номер программы обдува 2 (5)</v>
      </c>
    </row>
    <row r="481" spans="1:9" x14ac:dyDescent="0.3">
      <c r="A481" s="2">
        <v>543</v>
      </c>
      <c r="B481" s="2" t="str">
        <f t="shared" si="66"/>
        <v>P1029E</v>
      </c>
      <c r="C481" s="2" t="str">
        <f t="shared" si="67"/>
        <v xml:space="preserve"> </v>
      </c>
      <c r="F481" s="2">
        <v>1543</v>
      </c>
      <c r="G481" s="2" t="str">
        <f t="shared" si="71"/>
        <v>P1129E</v>
      </c>
      <c r="H481" s="2" t="str">
        <f t="shared" si="72"/>
        <v xml:space="preserve"> </v>
      </c>
      <c r="I481" s="7" t="str">
        <f t="shared" si="75"/>
        <v>Номер программы обдува 2 (6)</v>
      </c>
    </row>
    <row r="482" spans="1:9" x14ac:dyDescent="0.3">
      <c r="A482" s="2">
        <v>544</v>
      </c>
      <c r="B482" s="2" t="str">
        <f t="shared" si="66"/>
        <v>P1029F</v>
      </c>
      <c r="C482" s="2" t="str">
        <f t="shared" si="67"/>
        <v xml:space="preserve"> </v>
      </c>
      <c r="F482" s="2">
        <v>1544</v>
      </c>
      <c r="G482" s="2" t="str">
        <f t="shared" si="71"/>
        <v>P1129F</v>
      </c>
      <c r="H482" s="2" t="str">
        <f t="shared" si="72"/>
        <v xml:space="preserve"> </v>
      </c>
      <c r="I482" s="7" t="str">
        <f t="shared" si="75"/>
        <v>Номер программы обдува 2 (7)</v>
      </c>
    </row>
    <row r="483" spans="1:9" x14ac:dyDescent="0.3">
      <c r="A483" s="2">
        <v>545</v>
      </c>
      <c r="B483" s="2" t="str">
        <f>"P"&amp;DEC2HEX(A483+65536-$A$3 +3*96, 5)</f>
        <v>P10300</v>
      </c>
      <c r="C483" s="2" t="str">
        <f t="shared" si="67"/>
        <v>P1030</v>
      </c>
      <c r="F483" s="2">
        <v>1545</v>
      </c>
      <c r="G483" s="2" t="str">
        <f>"P"&amp;DEC2HEX(F483+65536+4096 +3* 96-$F$3, 5)</f>
        <v>P11300</v>
      </c>
      <c r="H483" s="2" t="str">
        <f t="shared" si="72"/>
        <v>P1130</v>
      </c>
      <c r="I483" s="7" t="str">
        <f>"Загружено ячеек ("&amp;ROW(A1)-ROW($A$1)&amp;")"</f>
        <v>Загружено ячеек (0)</v>
      </c>
    </row>
    <row r="484" spans="1:9" x14ac:dyDescent="0.3">
      <c r="A484" s="2">
        <v>546</v>
      </c>
      <c r="B484" s="2" t="str">
        <f t="shared" ref="B484:B547" si="76">"P"&amp;DEC2HEX(A484+65536-$A$3 +3*96, 5)</f>
        <v>P10301</v>
      </c>
      <c r="C484" s="2" t="str">
        <f t="shared" si="67"/>
        <v xml:space="preserve"> </v>
      </c>
      <c r="F484" s="2">
        <v>1546</v>
      </c>
      <c r="G484" s="2" t="str">
        <f t="shared" ref="G484:G547" si="77">"P"&amp;DEC2HEX(F484+65536+4096 +3* 96-$F$3, 5)</f>
        <v>P11301</v>
      </c>
      <c r="H484" s="2" t="str">
        <f t="shared" si="72"/>
        <v xml:space="preserve"> </v>
      </c>
      <c r="I484" s="7" t="str">
        <f t="shared" ref="I484:I491" si="78">"Загружено ячеек ("&amp;ROW(A2)-ROW($A$1)&amp;")"</f>
        <v>Загружено ячеек (1)</v>
      </c>
    </row>
    <row r="485" spans="1:9" x14ac:dyDescent="0.3">
      <c r="A485" s="2">
        <v>547</v>
      </c>
      <c r="B485" s="2" t="str">
        <f t="shared" si="76"/>
        <v>P10302</v>
      </c>
      <c r="C485" s="2" t="str">
        <f t="shared" si="67"/>
        <v xml:space="preserve"> </v>
      </c>
      <c r="F485" s="2">
        <v>1547</v>
      </c>
      <c r="G485" s="2" t="str">
        <f t="shared" si="77"/>
        <v>P11302</v>
      </c>
      <c r="H485" s="2" t="str">
        <f t="shared" si="72"/>
        <v xml:space="preserve"> </v>
      </c>
      <c r="I485" s="7" t="str">
        <f t="shared" si="78"/>
        <v>Загружено ячеек (2)</v>
      </c>
    </row>
    <row r="486" spans="1:9" x14ac:dyDescent="0.3">
      <c r="A486" s="2">
        <v>548</v>
      </c>
      <c r="B486" s="2" t="str">
        <f t="shared" si="76"/>
        <v>P10303</v>
      </c>
      <c r="C486" s="2" t="str">
        <f t="shared" si="67"/>
        <v xml:space="preserve"> </v>
      </c>
      <c r="F486" s="2">
        <v>1548</v>
      </c>
      <c r="G486" s="2" t="str">
        <f t="shared" si="77"/>
        <v>P11303</v>
      </c>
      <c r="H486" s="2" t="str">
        <f t="shared" si="72"/>
        <v xml:space="preserve"> </v>
      </c>
      <c r="I486" s="7" t="str">
        <f t="shared" si="78"/>
        <v>Загружено ячеек (3)</v>
      </c>
    </row>
    <row r="487" spans="1:9" x14ac:dyDescent="0.3">
      <c r="A487" s="2">
        <v>549</v>
      </c>
      <c r="B487" s="2" t="str">
        <f t="shared" si="76"/>
        <v>P10304</v>
      </c>
      <c r="C487" s="2" t="str">
        <f t="shared" si="67"/>
        <v xml:space="preserve"> </v>
      </c>
      <c r="F487" s="2">
        <v>1549</v>
      </c>
      <c r="G487" s="2" t="str">
        <f t="shared" si="77"/>
        <v>P11304</v>
      </c>
      <c r="H487" s="2" t="str">
        <f t="shared" si="72"/>
        <v xml:space="preserve"> </v>
      </c>
      <c r="I487" s="7" t="str">
        <f t="shared" si="78"/>
        <v>Загружено ячеек (4)</v>
      </c>
    </row>
    <row r="488" spans="1:9" x14ac:dyDescent="0.3">
      <c r="A488" s="2">
        <v>550</v>
      </c>
      <c r="B488" s="2" t="str">
        <f t="shared" si="76"/>
        <v>P10305</v>
      </c>
      <c r="C488" s="2" t="str">
        <f t="shared" si="67"/>
        <v xml:space="preserve"> </v>
      </c>
      <c r="F488" s="2">
        <v>1550</v>
      </c>
      <c r="G488" s="2" t="str">
        <f t="shared" si="77"/>
        <v>P11305</v>
      </c>
      <c r="H488" s="2" t="str">
        <f t="shared" si="72"/>
        <v xml:space="preserve"> </v>
      </c>
      <c r="I488" s="7" t="str">
        <f t="shared" si="78"/>
        <v>Загружено ячеек (5)</v>
      </c>
    </row>
    <row r="489" spans="1:9" x14ac:dyDescent="0.3">
      <c r="A489" s="2">
        <v>551</v>
      </c>
      <c r="B489" s="2" t="str">
        <f t="shared" si="76"/>
        <v>P10306</v>
      </c>
      <c r="C489" s="2" t="str">
        <f t="shared" si="67"/>
        <v xml:space="preserve"> </v>
      </c>
      <c r="F489" s="2">
        <v>1551</v>
      </c>
      <c r="G489" s="2" t="str">
        <f t="shared" si="77"/>
        <v>P11306</v>
      </c>
      <c r="H489" s="2" t="str">
        <f t="shared" si="72"/>
        <v xml:space="preserve"> </v>
      </c>
      <c r="I489" s="7" t="str">
        <f t="shared" si="78"/>
        <v>Загружено ячеек (6)</v>
      </c>
    </row>
    <row r="490" spans="1:9" x14ac:dyDescent="0.3">
      <c r="A490" s="2">
        <v>552</v>
      </c>
      <c r="B490" s="2" t="str">
        <f t="shared" si="76"/>
        <v>P10307</v>
      </c>
      <c r="C490" s="2" t="str">
        <f t="shared" si="67"/>
        <v xml:space="preserve"> </v>
      </c>
      <c r="F490" s="2">
        <v>1552</v>
      </c>
      <c r="G490" s="2" t="str">
        <f t="shared" si="77"/>
        <v>P11307</v>
      </c>
      <c r="H490" s="2" t="str">
        <f t="shared" si="72"/>
        <v xml:space="preserve"> </v>
      </c>
      <c r="I490" s="7" t="str">
        <f t="shared" si="78"/>
        <v>Загружено ячеек (7)</v>
      </c>
    </row>
    <row r="491" spans="1:9" x14ac:dyDescent="0.3">
      <c r="A491" s="2">
        <v>553</v>
      </c>
      <c r="B491" s="2" t="str">
        <f t="shared" si="76"/>
        <v>P10308</v>
      </c>
      <c r="C491" s="2" t="str">
        <f t="shared" si="67"/>
        <v xml:space="preserve"> </v>
      </c>
      <c r="F491" s="2">
        <v>1553</v>
      </c>
      <c r="G491" s="2" t="str">
        <f t="shared" si="77"/>
        <v>P11308</v>
      </c>
      <c r="H491" s="2" t="str">
        <f t="shared" si="72"/>
        <v xml:space="preserve"> </v>
      </c>
      <c r="I491" s="7" t="str">
        <f t="shared" si="78"/>
        <v>Загружено ячеек (8)</v>
      </c>
    </row>
    <row r="492" spans="1:9" x14ac:dyDescent="0.3">
      <c r="A492" s="2">
        <v>554</v>
      </c>
      <c r="B492" s="2" t="str">
        <f t="shared" si="76"/>
        <v>P10309</v>
      </c>
      <c r="C492" s="2" t="str">
        <f t="shared" si="67"/>
        <v xml:space="preserve"> </v>
      </c>
      <c r="F492" s="2">
        <v>1554</v>
      </c>
      <c r="G492" s="2" t="str">
        <f t="shared" si="77"/>
        <v>P11309</v>
      </c>
      <c r="H492" s="2" t="str">
        <f t="shared" si="72"/>
        <v xml:space="preserve"> </v>
      </c>
      <c r="I492" s="7"/>
    </row>
    <row r="493" spans="1:9" x14ac:dyDescent="0.3">
      <c r="A493" s="2">
        <v>555</v>
      </c>
      <c r="B493" s="2" t="str">
        <f t="shared" si="76"/>
        <v>P1030A</v>
      </c>
      <c r="C493" s="2" t="str">
        <f t="shared" si="67"/>
        <v xml:space="preserve"> </v>
      </c>
      <c r="F493" s="2">
        <v>1555</v>
      </c>
      <c r="G493" s="2" t="str">
        <f t="shared" si="77"/>
        <v>P1130A</v>
      </c>
      <c r="H493" s="2" t="str">
        <f t="shared" si="72"/>
        <v xml:space="preserve"> </v>
      </c>
      <c r="I493" s="7"/>
    </row>
    <row r="494" spans="1:9" x14ac:dyDescent="0.3">
      <c r="A494" s="2">
        <v>556</v>
      </c>
      <c r="B494" s="2" t="str">
        <f t="shared" si="76"/>
        <v>P1030B</v>
      </c>
      <c r="C494" s="2" t="str">
        <f t="shared" si="67"/>
        <v xml:space="preserve"> </v>
      </c>
      <c r="F494" s="2">
        <v>1556</v>
      </c>
      <c r="G494" s="2" t="str">
        <f t="shared" si="77"/>
        <v>P1130B</v>
      </c>
      <c r="H494" s="2" t="str">
        <f t="shared" si="72"/>
        <v xml:space="preserve"> </v>
      </c>
      <c r="I494" s="7"/>
    </row>
    <row r="495" spans="1:9" x14ac:dyDescent="0.3">
      <c r="A495" s="2">
        <v>557</v>
      </c>
      <c r="B495" s="2" t="str">
        <f t="shared" si="76"/>
        <v>P1030C</v>
      </c>
      <c r="C495" s="2" t="str">
        <f t="shared" si="67"/>
        <v xml:space="preserve"> </v>
      </c>
      <c r="F495" s="2">
        <v>1557</v>
      </c>
      <c r="G495" s="2" t="str">
        <f t="shared" si="77"/>
        <v>P1130C</v>
      </c>
      <c r="H495" s="2" t="str">
        <f t="shared" si="72"/>
        <v xml:space="preserve"> </v>
      </c>
      <c r="I495" s="7"/>
    </row>
    <row r="496" spans="1:9" x14ac:dyDescent="0.3">
      <c r="A496" s="2">
        <v>558</v>
      </c>
      <c r="B496" s="2" t="str">
        <f t="shared" si="76"/>
        <v>P1030D</v>
      </c>
      <c r="C496" s="2" t="str">
        <f t="shared" si="67"/>
        <v xml:space="preserve"> </v>
      </c>
      <c r="F496" s="2">
        <v>1558</v>
      </c>
      <c r="G496" s="2" t="str">
        <f t="shared" si="77"/>
        <v>P1130D</v>
      </c>
      <c r="H496" s="2" t="str">
        <f t="shared" si="72"/>
        <v xml:space="preserve"> </v>
      </c>
      <c r="I496" s="7"/>
    </row>
    <row r="497" spans="1:9" x14ac:dyDescent="0.3">
      <c r="A497" s="2">
        <v>559</v>
      </c>
      <c r="B497" s="2" t="str">
        <f t="shared" si="76"/>
        <v>P1030E</v>
      </c>
      <c r="C497" s="2" t="str">
        <f t="shared" si="67"/>
        <v xml:space="preserve"> </v>
      </c>
      <c r="F497" s="2">
        <v>1559</v>
      </c>
      <c r="G497" s="2" t="str">
        <f t="shared" si="77"/>
        <v>P1130E</v>
      </c>
      <c r="H497" s="2" t="str">
        <f t="shared" si="72"/>
        <v xml:space="preserve"> </v>
      </c>
      <c r="I497" s="7"/>
    </row>
    <row r="498" spans="1:9" x14ac:dyDescent="0.3">
      <c r="A498" s="2">
        <v>560</v>
      </c>
      <c r="B498" s="2" t="str">
        <f t="shared" si="76"/>
        <v>P1030F</v>
      </c>
      <c r="C498" s="2" t="str">
        <f t="shared" si="67"/>
        <v xml:space="preserve"> </v>
      </c>
      <c r="F498" s="2">
        <v>1560</v>
      </c>
      <c r="G498" s="2" t="str">
        <f t="shared" si="77"/>
        <v>P1130F</v>
      </c>
      <c r="H498" s="2" t="str">
        <f t="shared" si="72"/>
        <v xml:space="preserve"> </v>
      </c>
      <c r="I498" s="7"/>
    </row>
    <row r="499" spans="1:9" x14ac:dyDescent="0.3">
      <c r="A499" s="2">
        <v>561</v>
      </c>
      <c r="B499" s="2" t="str">
        <f t="shared" si="76"/>
        <v>P10310</v>
      </c>
      <c r="C499" s="2" t="str">
        <f t="shared" si="67"/>
        <v>P1031</v>
      </c>
      <c r="F499" s="2">
        <v>1561</v>
      </c>
      <c r="G499" s="2" t="str">
        <f t="shared" si="77"/>
        <v>P11310</v>
      </c>
      <c r="H499" s="2" t="str">
        <f t="shared" si="72"/>
        <v>P1131</v>
      </c>
      <c r="I499" s="9" t="s">
        <v>437</v>
      </c>
    </row>
    <row r="500" spans="1:9" x14ac:dyDescent="0.3">
      <c r="A500" s="2">
        <v>562</v>
      </c>
      <c r="B500" s="2" t="str">
        <f t="shared" si="76"/>
        <v>P10311</v>
      </c>
      <c r="C500" s="2" t="str">
        <f t="shared" si="67"/>
        <v xml:space="preserve"> </v>
      </c>
      <c r="F500" s="2">
        <v>1562</v>
      </c>
      <c r="G500" s="2" t="str">
        <f t="shared" si="77"/>
        <v>P11311</v>
      </c>
      <c r="H500" s="2" t="str">
        <f t="shared" si="72"/>
        <v xml:space="preserve"> </v>
      </c>
      <c r="I500" s="7" t="s">
        <v>438</v>
      </c>
    </row>
    <row r="501" spans="1:9" x14ac:dyDescent="0.3">
      <c r="A501" s="2">
        <v>563</v>
      </c>
      <c r="B501" s="2" t="str">
        <f t="shared" si="76"/>
        <v>P10312</v>
      </c>
      <c r="C501" s="2" t="str">
        <f t="shared" si="67"/>
        <v xml:space="preserve"> </v>
      </c>
      <c r="F501" s="2">
        <v>1563</v>
      </c>
      <c r="G501" s="2" t="str">
        <f t="shared" si="77"/>
        <v>P11312</v>
      </c>
      <c r="H501" s="2" t="str">
        <f t="shared" si="72"/>
        <v xml:space="preserve"> </v>
      </c>
      <c r="I501" s="9" t="s">
        <v>429</v>
      </c>
    </row>
    <row r="502" spans="1:9" x14ac:dyDescent="0.3">
      <c r="A502" s="2">
        <v>564</v>
      </c>
      <c r="B502" s="2" t="str">
        <f t="shared" si="76"/>
        <v>P10313</v>
      </c>
      <c r="C502" s="2" t="str">
        <f t="shared" si="67"/>
        <v xml:space="preserve"> </v>
      </c>
      <c r="F502" s="2">
        <v>1564</v>
      </c>
      <c r="G502" s="2" t="str">
        <f t="shared" si="77"/>
        <v>P11313</v>
      </c>
      <c r="H502" s="2" t="str">
        <f t="shared" si="72"/>
        <v xml:space="preserve"> </v>
      </c>
      <c r="I502" s="7" t="s">
        <v>432</v>
      </c>
    </row>
    <row r="503" spans="1:9" x14ac:dyDescent="0.3">
      <c r="A503" s="2">
        <v>565</v>
      </c>
      <c r="B503" s="2" t="str">
        <f t="shared" si="76"/>
        <v>P10314</v>
      </c>
      <c r="C503" s="2" t="str">
        <f t="shared" si="67"/>
        <v xml:space="preserve"> </v>
      </c>
      <c r="F503" s="2">
        <v>1565</v>
      </c>
      <c r="G503" s="2" t="str">
        <f t="shared" si="77"/>
        <v>P11314</v>
      </c>
      <c r="H503" s="2" t="str">
        <f t="shared" si="72"/>
        <v xml:space="preserve"> </v>
      </c>
      <c r="I503" s="9" t="s">
        <v>433</v>
      </c>
    </row>
    <row r="504" spans="1:9" x14ac:dyDescent="0.3">
      <c r="A504" s="2">
        <v>566</v>
      </c>
      <c r="B504" s="2" t="str">
        <f t="shared" si="76"/>
        <v>P10315</v>
      </c>
      <c r="C504" s="2" t="str">
        <f t="shared" si="67"/>
        <v xml:space="preserve"> </v>
      </c>
      <c r="F504" s="2">
        <v>1566</v>
      </c>
      <c r="G504" s="2" t="str">
        <f t="shared" si="77"/>
        <v>P11315</v>
      </c>
      <c r="H504" s="2" t="str">
        <f t="shared" si="72"/>
        <v xml:space="preserve"> </v>
      </c>
      <c r="I504" s="7" t="s">
        <v>430</v>
      </c>
    </row>
    <row r="505" spans="1:9" x14ac:dyDescent="0.3">
      <c r="A505" s="2">
        <v>567</v>
      </c>
      <c r="B505" s="2" t="str">
        <f t="shared" si="76"/>
        <v>P10316</v>
      </c>
      <c r="C505" s="2" t="str">
        <f t="shared" si="67"/>
        <v xml:space="preserve"> </v>
      </c>
      <c r="F505" s="2">
        <v>1567</v>
      </c>
      <c r="G505" s="2" t="str">
        <f t="shared" si="77"/>
        <v>P11316</v>
      </c>
      <c r="H505" s="2" t="str">
        <f t="shared" si="72"/>
        <v xml:space="preserve"> </v>
      </c>
      <c r="I505" s="9" t="s">
        <v>431</v>
      </c>
    </row>
    <row r="506" spans="1:9" x14ac:dyDescent="0.3">
      <c r="A506" s="2">
        <v>568</v>
      </c>
      <c r="B506" s="2" t="str">
        <f t="shared" si="76"/>
        <v>P10317</v>
      </c>
      <c r="C506" s="2" t="str">
        <f t="shared" si="67"/>
        <v xml:space="preserve"> </v>
      </c>
      <c r="F506" s="2">
        <v>1568</v>
      </c>
      <c r="G506" s="2" t="str">
        <f t="shared" si="77"/>
        <v>P11317</v>
      </c>
      <c r="H506" s="2" t="str">
        <f t="shared" si="72"/>
        <v xml:space="preserve"> </v>
      </c>
      <c r="I506" s="7" t="s">
        <v>434</v>
      </c>
    </row>
    <row r="507" spans="1:9" x14ac:dyDescent="0.3">
      <c r="A507" s="2">
        <v>569</v>
      </c>
      <c r="B507" s="2" t="str">
        <f t="shared" si="76"/>
        <v>P10318</v>
      </c>
      <c r="C507" s="2" t="str">
        <f t="shared" si="67"/>
        <v xml:space="preserve"> </v>
      </c>
      <c r="F507" s="2">
        <v>1569</v>
      </c>
      <c r="G507" s="2" t="str">
        <f t="shared" si="77"/>
        <v>P11318</v>
      </c>
      <c r="H507" s="2" t="str">
        <f t="shared" si="72"/>
        <v xml:space="preserve"> </v>
      </c>
      <c r="I507" s="9" t="s">
        <v>435</v>
      </c>
    </row>
    <row r="508" spans="1:9" x14ac:dyDescent="0.3">
      <c r="A508" s="2">
        <v>570</v>
      </c>
      <c r="B508" s="2" t="str">
        <f t="shared" si="76"/>
        <v>P10319</v>
      </c>
      <c r="C508" s="2" t="str">
        <f t="shared" si="67"/>
        <v xml:space="preserve"> </v>
      </c>
      <c r="F508" s="2">
        <v>1570</v>
      </c>
      <c r="G508" s="2" t="str">
        <f t="shared" si="77"/>
        <v>P11319</v>
      </c>
      <c r="H508" s="2" t="str">
        <f t="shared" si="72"/>
        <v xml:space="preserve"> </v>
      </c>
      <c r="I508" s="7" t="s">
        <v>442</v>
      </c>
    </row>
    <row r="509" spans="1:9" x14ac:dyDescent="0.3">
      <c r="A509" s="2">
        <v>571</v>
      </c>
      <c r="B509" s="2" t="str">
        <f t="shared" si="76"/>
        <v>P1031A</v>
      </c>
      <c r="C509" s="2" t="str">
        <f t="shared" si="67"/>
        <v xml:space="preserve"> </v>
      </c>
      <c r="F509" s="2">
        <v>1571</v>
      </c>
      <c r="G509" s="2" t="str">
        <f t="shared" si="77"/>
        <v>P1131A</v>
      </c>
      <c r="H509" s="2" t="str">
        <f t="shared" si="72"/>
        <v xml:space="preserve"> </v>
      </c>
      <c r="I509" s="9" t="s">
        <v>443</v>
      </c>
    </row>
    <row r="510" spans="1:9" x14ac:dyDescent="0.3">
      <c r="A510" s="2">
        <v>572</v>
      </c>
      <c r="B510" s="2" t="str">
        <f t="shared" si="76"/>
        <v>P1031B</v>
      </c>
      <c r="C510" s="2" t="str">
        <f t="shared" si="67"/>
        <v xml:space="preserve"> </v>
      </c>
      <c r="F510" s="2">
        <v>1572</v>
      </c>
      <c r="G510" s="2" t="str">
        <f t="shared" si="77"/>
        <v>P1131B</v>
      </c>
      <c r="H510" s="2" t="str">
        <f t="shared" si="72"/>
        <v xml:space="preserve"> </v>
      </c>
      <c r="I510" s="7"/>
    </row>
    <row r="511" spans="1:9" x14ac:dyDescent="0.3">
      <c r="A511" s="2">
        <v>573</v>
      </c>
      <c r="B511" s="2" t="str">
        <f t="shared" si="76"/>
        <v>P1031C</v>
      </c>
      <c r="C511" s="2" t="str">
        <f t="shared" si="67"/>
        <v xml:space="preserve"> </v>
      </c>
      <c r="F511" s="2">
        <v>1573</v>
      </c>
      <c r="G511" s="2" t="str">
        <f t="shared" si="77"/>
        <v>P1131C</v>
      </c>
      <c r="H511" s="2" t="str">
        <f t="shared" si="72"/>
        <v xml:space="preserve"> </v>
      </c>
      <c r="I511" s="7"/>
    </row>
    <row r="512" spans="1:9" x14ac:dyDescent="0.3">
      <c r="A512" s="2">
        <v>574</v>
      </c>
      <c r="B512" s="2" t="str">
        <f t="shared" si="76"/>
        <v>P1031D</v>
      </c>
      <c r="C512" s="2" t="str">
        <f t="shared" si="67"/>
        <v xml:space="preserve"> </v>
      </c>
      <c r="F512" s="2">
        <v>1574</v>
      </c>
      <c r="G512" s="2" t="str">
        <f t="shared" si="77"/>
        <v>P1131D</v>
      </c>
      <c r="H512" s="2" t="str">
        <f t="shared" si="72"/>
        <v xml:space="preserve"> </v>
      </c>
      <c r="I512" s="7"/>
    </row>
    <row r="513" spans="1:9" x14ac:dyDescent="0.3">
      <c r="A513" s="2">
        <v>575</v>
      </c>
      <c r="B513" s="2" t="str">
        <f t="shared" si="76"/>
        <v>P1031E</v>
      </c>
      <c r="C513" s="2" t="str">
        <f t="shared" si="67"/>
        <v xml:space="preserve"> </v>
      </c>
      <c r="F513" s="2">
        <v>1575</v>
      </c>
      <c r="G513" s="2" t="str">
        <f t="shared" si="77"/>
        <v>P1131E</v>
      </c>
      <c r="H513" s="2" t="str">
        <f t="shared" si="72"/>
        <v xml:space="preserve"> </v>
      </c>
      <c r="I513" s="7"/>
    </row>
    <row r="514" spans="1:9" x14ac:dyDescent="0.3">
      <c r="A514" s="2">
        <v>576</v>
      </c>
      <c r="B514" s="2" t="str">
        <f t="shared" si="76"/>
        <v>P1031F</v>
      </c>
      <c r="C514" s="2" t="str">
        <f t="shared" si="67"/>
        <v xml:space="preserve"> </v>
      </c>
      <c r="F514" s="2">
        <v>1576</v>
      </c>
      <c r="G514" s="2" t="str">
        <f t="shared" si="77"/>
        <v>P1131F</v>
      </c>
      <c r="H514" s="2" t="str">
        <f t="shared" si="72"/>
        <v xml:space="preserve"> </v>
      </c>
      <c r="I514" s="7"/>
    </row>
    <row r="515" spans="1:9" x14ac:dyDescent="0.3">
      <c r="A515" s="2">
        <v>577</v>
      </c>
      <c r="B515" s="2" t="str">
        <f t="shared" si="76"/>
        <v>P10320</v>
      </c>
      <c r="C515" s="2" t="str">
        <f t="shared" ref="C515:C578" si="79">IF(RIGHT(B515,1)="0",LEFT(B515,5)," ")</f>
        <v>P1032</v>
      </c>
      <c r="F515" s="2">
        <v>1577</v>
      </c>
      <c r="G515" s="2" t="str">
        <f t="shared" si="77"/>
        <v>P11320</v>
      </c>
      <c r="H515" s="2" t="str">
        <f t="shared" si="72"/>
        <v>P1132</v>
      </c>
      <c r="I515" s="9" t="s">
        <v>458</v>
      </c>
    </row>
    <row r="516" spans="1:9" x14ac:dyDescent="0.3">
      <c r="A516" s="2">
        <v>578</v>
      </c>
      <c r="B516" s="2" t="str">
        <f t="shared" si="76"/>
        <v>P10321</v>
      </c>
      <c r="C516" s="2" t="str">
        <f t="shared" si="79"/>
        <v xml:space="preserve"> </v>
      </c>
      <c r="F516" s="2">
        <v>1578</v>
      </c>
      <c r="G516" s="2" t="str">
        <f t="shared" si="77"/>
        <v>P11321</v>
      </c>
      <c r="H516" s="2" t="str">
        <f t="shared" si="72"/>
        <v xml:space="preserve"> </v>
      </c>
      <c r="I516" s="7" t="s">
        <v>459</v>
      </c>
    </row>
    <row r="517" spans="1:9" x14ac:dyDescent="0.3">
      <c r="A517" s="2">
        <v>579</v>
      </c>
      <c r="B517" s="2" t="str">
        <f t="shared" si="76"/>
        <v>P10322</v>
      </c>
      <c r="C517" s="2" t="str">
        <f t="shared" si="79"/>
        <v xml:space="preserve"> </v>
      </c>
      <c r="F517" s="2">
        <v>1579</v>
      </c>
      <c r="G517" s="2" t="str">
        <f t="shared" si="77"/>
        <v>P11322</v>
      </c>
      <c r="H517" s="2" t="str">
        <f t="shared" si="72"/>
        <v xml:space="preserve"> </v>
      </c>
      <c r="I517" s="7" t="s">
        <v>460</v>
      </c>
    </row>
    <row r="518" spans="1:9" x14ac:dyDescent="0.3">
      <c r="A518" s="2">
        <v>580</v>
      </c>
      <c r="B518" s="2" t="str">
        <f t="shared" si="76"/>
        <v>P10323</v>
      </c>
      <c r="C518" s="2" t="str">
        <f t="shared" si="79"/>
        <v xml:space="preserve"> </v>
      </c>
      <c r="F518" s="2">
        <v>1580</v>
      </c>
      <c r="G518" s="2" t="str">
        <f t="shared" si="77"/>
        <v>P11323</v>
      </c>
      <c r="H518" s="2" t="str">
        <f t="shared" si="72"/>
        <v xml:space="preserve"> </v>
      </c>
      <c r="I518" s="7" t="s">
        <v>462</v>
      </c>
    </row>
    <row r="519" spans="1:9" x14ac:dyDescent="0.3">
      <c r="A519" s="2">
        <v>581</v>
      </c>
      <c r="B519" s="2" t="str">
        <f t="shared" si="76"/>
        <v>P10324</v>
      </c>
      <c r="C519" s="2" t="str">
        <f t="shared" si="79"/>
        <v xml:space="preserve"> </v>
      </c>
      <c r="F519" s="2">
        <v>1581</v>
      </c>
      <c r="G519" s="2" t="str">
        <f t="shared" si="77"/>
        <v>P11324</v>
      </c>
      <c r="H519" s="2" t="str">
        <f t="shared" ref="H519:H582" si="80">IF(RIGHT(G519,1)="0",LEFT(G519,5)," ")</f>
        <v xml:space="preserve"> </v>
      </c>
      <c r="I519" s="9" t="s">
        <v>461</v>
      </c>
    </row>
    <row r="520" spans="1:9" x14ac:dyDescent="0.3">
      <c r="A520" s="2">
        <v>582</v>
      </c>
      <c r="B520" s="2" t="str">
        <f t="shared" si="76"/>
        <v>P10325</v>
      </c>
      <c r="C520" s="2" t="str">
        <f t="shared" si="79"/>
        <v xml:space="preserve"> </v>
      </c>
      <c r="F520" s="2">
        <v>1582</v>
      </c>
      <c r="G520" s="2" t="str">
        <f t="shared" si="77"/>
        <v>P11325</v>
      </c>
      <c r="H520" s="2" t="str">
        <f t="shared" si="80"/>
        <v xml:space="preserve"> </v>
      </c>
      <c r="I520" s="7" t="s">
        <v>463</v>
      </c>
    </row>
    <row r="521" spans="1:9" x14ac:dyDescent="0.3">
      <c r="A521" s="2">
        <v>583</v>
      </c>
      <c r="B521" s="2" t="str">
        <f t="shared" si="76"/>
        <v>P10326</v>
      </c>
      <c r="C521" s="2" t="str">
        <f t="shared" si="79"/>
        <v xml:space="preserve"> </v>
      </c>
      <c r="F521" s="2">
        <v>1583</v>
      </c>
      <c r="G521" s="2" t="str">
        <f t="shared" si="77"/>
        <v>P11326</v>
      </c>
      <c r="H521" s="2" t="str">
        <f t="shared" si="80"/>
        <v xml:space="preserve"> </v>
      </c>
      <c r="I521" s="7"/>
    </row>
    <row r="522" spans="1:9" x14ac:dyDescent="0.3">
      <c r="A522" s="2">
        <v>584</v>
      </c>
      <c r="B522" s="2" t="str">
        <f t="shared" si="76"/>
        <v>P10327</v>
      </c>
      <c r="C522" s="2" t="str">
        <f t="shared" si="79"/>
        <v xml:space="preserve"> </v>
      </c>
      <c r="F522" s="2">
        <v>1584</v>
      </c>
      <c r="G522" s="2" t="str">
        <f t="shared" si="77"/>
        <v>P11327</v>
      </c>
      <c r="H522" s="2" t="str">
        <f t="shared" si="80"/>
        <v xml:space="preserve"> </v>
      </c>
      <c r="I522" s="7"/>
    </row>
    <row r="523" spans="1:9" x14ac:dyDescent="0.3">
      <c r="A523" s="2">
        <v>585</v>
      </c>
      <c r="B523" s="2" t="str">
        <f t="shared" si="76"/>
        <v>P10328</v>
      </c>
      <c r="C523" s="2" t="str">
        <f t="shared" si="79"/>
        <v xml:space="preserve"> </v>
      </c>
      <c r="F523" s="2">
        <v>1585</v>
      </c>
      <c r="G523" s="2" t="str">
        <f t="shared" si="77"/>
        <v>P11328</v>
      </c>
      <c r="H523" s="2" t="str">
        <f t="shared" si="80"/>
        <v xml:space="preserve"> </v>
      </c>
      <c r="I523" s="7"/>
    </row>
    <row r="524" spans="1:9" x14ac:dyDescent="0.3">
      <c r="A524" s="2">
        <v>586</v>
      </c>
      <c r="B524" s="2" t="str">
        <f t="shared" si="76"/>
        <v>P10329</v>
      </c>
      <c r="C524" s="2" t="str">
        <f t="shared" si="79"/>
        <v xml:space="preserve"> </v>
      </c>
      <c r="F524" s="2">
        <v>1586</v>
      </c>
      <c r="G524" s="2" t="str">
        <f t="shared" si="77"/>
        <v>P11329</v>
      </c>
      <c r="H524" s="2" t="str">
        <f t="shared" si="80"/>
        <v xml:space="preserve"> </v>
      </c>
      <c r="I524" s="7"/>
    </row>
    <row r="525" spans="1:9" x14ac:dyDescent="0.3">
      <c r="A525" s="2">
        <v>587</v>
      </c>
      <c r="B525" s="2" t="str">
        <f t="shared" si="76"/>
        <v>P1032A</v>
      </c>
      <c r="C525" s="2" t="str">
        <f t="shared" si="79"/>
        <v xml:space="preserve"> </v>
      </c>
      <c r="F525" s="2">
        <v>1587</v>
      </c>
      <c r="G525" s="2" t="str">
        <f t="shared" si="77"/>
        <v>P1132A</v>
      </c>
      <c r="H525" s="2" t="str">
        <f t="shared" si="80"/>
        <v xml:space="preserve"> </v>
      </c>
      <c r="I525" s="7"/>
    </row>
    <row r="526" spans="1:9" x14ac:dyDescent="0.3">
      <c r="A526" s="2">
        <v>588</v>
      </c>
      <c r="B526" s="2" t="str">
        <f t="shared" si="76"/>
        <v>P1032B</v>
      </c>
      <c r="C526" s="2" t="str">
        <f t="shared" si="79"/>
        <v xml:space="preserve"> </v>
      </c>
      <c r="F526" s="2">
        <v>1588</v>
      </c>
      <c r="G526" s="2" t="str">
        <f t="shared" si="77"/>
        <v>P1132B</v>
      </c>
      <c r="H526" s="2" t="str">
        <f t="shared" si="80"/>
        <v xml:space="preserve"> </v>
      </c>
      <c r="I526" s="7"/>
    </row>
    <row r="527" spans="1:9" x14ac:dyDescent="0.3">
      <c r="A527" s="2">
        <v>589</v>
      </c>
      <c r="B527" s="2" t="str">
        <f t="shared" si="76"/>
        <v>P1032C</v>
      </c>
      <c r="C527" s="2" t="str">
        <f t="shared" si="79"/>
        <v xml:space="preserve"> </v>
      </c>
      <c r="F527" s="2">
        <v>1589</v>
      </c>
      <c r="G527" s="2" t="str">
        <f t="shared" si="77"/>
        <v>P1132C</v>
      </c>
      <c r="H527" s="2" t="str">
        <f t="shared" si="80"/>
        <v xml:space="preserve"> </v>
      </c>
      <c r="I527" s="7"/>
    </row>
    <row r="528" spans="1:9" x14ac:dyDescent="0.3">
      <c r="A528" s="2">
        <v>590</v>
      </c>
      <c r="B528" s="2" t="str">
        <f t="shared" si="76"/>
        <v>P1032D</v>
      </c>
      <c r="C528" s="2" t="str">
        <f t="shared" si="79"/>
        <v xml:space="preserve"> </v>
      </c>
      <c r="F528" s="2">
        <v>1590</v>
      </c>
      <c r="G528" s="2" t="str">
        <f t="shared" si="77"/>
        <v>P1132D</v>
      </c>
      <c r="H528" s="2" t="str">
        <f t="shared" si="80"/>
        <v xml:space="preserve"> </v>
      </c>
      <c r="I528" s="7"/>
    </row>
    <row r="529" spans="1:9" x14ac:dyDescent="0.3">
      <c r="A529" s="2">
        <v>591</v>
      </c>
      <c r="B529" s="2" t="str">
        <f t="shared" si="76"/>
        <v>P1032E</v>
      </c>
      <c r="C529" s="2" t="str">
        <f t="shared" si="79"/>
        <v xml:space="preserve"> </v>
      </c>
      <c r="F529" s="2">
        <v>1591</v>
      </c>
      <c r="G529" s="2" t="str">
        <f t="shared" si="77"/>
        <v>P1132E</v>
      </c>
      <c r="H529" s="2" t="str">
        <f t="shared" si="80"/>
        <v xml:space="preserve"> </v>
      </c>
      <c r="I529" s="7"/>
    </row>
    <row r="530" spans="1:9" x14ac:dyDescent="0.3">
      <c r="A530" s="2">
        <v>592</v>
      </c>
      <c r="B530" s="2" t="str">
        <f t="shared" si="76"/>
        <v>P1032F</v>
      </c>
      <c r="C530" s="2" t="str">
        <f t="shared" si="79"/>
        <v xml:space="preserve"> </v>
      </c>
      <c r="F530" s="2">
        <v>1592</v>
      </c>
      <c r="G530" s="2" t="str">
        <f t="shared" si="77"/>
        <v>P1132F</v>
      </c>
      <c r="H530" s="2" t="str">
        <f t="shared" si="80"/>
        <v xml:space="preserve"> </v>
      </c>
      <c r="I530" s="7"/>
    </row>
    <row r="531" spans="1:9" x14ac:dyDescent="0.3">
      <c r="A531" s="2">
        <v>593</v>
      </c>
      <c r="B531" s="2" t="str">
        <f t="shared" si="76"/>
        <v>P10330</v>
      </c>
      <c r="C531" s="2" t="str">
        <f t="shared" si="79"/>
        <v>P1033</v>
      </c>
      <c r="F531" s="2">
        <v>1593</v>
      </c>
      <c r="G531" s="2" t="str">
        <f t="shared" si="77"/>
        <v>P11330</v>
      </c>
      <c r="H531" s="2" t="str">
        <f t="shared" si="80"/>
        <v>P1133</v>
      </c>
      <c r="I531" s="7"/>
    </row>
    <row r="532" spans="1:9" x14ac:dyDescent="0.3">
      <c r="A532" s="2">
        <v>594</v>
      </c>
      <c r="B532" s="2" t="str">
        <f t="shared" si="76"/>
        <v>P10331</v>
      </c>
      <c r="C532" s="2" t="str">
        <f t="shared" si="79"/>
        <v xml:space="preserve"> </v>
      </c>
      <c r="F532" s="2">
        <v>1594</v>
      </c>
      <c r="G532" s="2" t="str">
        <f t="shared" si="77"/>
        <v>P11331</v>
      </c>
      <c r="H532" s="2" t="str">
        <f t="shared" si="80"/>
        <v xml:space="preserve"> </v>
      </c>
      <c r="I532" s="7"/>
    </row>
    <row r="533" spans="1:9" x14ac:dyDescent="0.3">
      <c r="A533" s="2">
        <v>595</v>
      </c>
      <c r="B533" s="2" t="str">
        <f t="shared" si="76"/>
        <v>P10332</v>
      </c>
      <c r="C533" s="2" t="str">
        <f t="shared" si="79"/>
        <v xml:space="preserve"> </v>
      </c>
      <c r="F533" s="2">
        <v>1595</v>
      </c>
      <c r="G533" s="2" t="str">
        <f t="shared" si="77"/>
        <v>P11332</v>
      </c>
      <c r="H533" s="2" t="str">
        <f t="shared" si="80"/>
        <v xml:space="preserve"> </v>
      </c>
      <c r="I533" s="7"/>
    </row>
    <row r="534" spans="1:9" x14ac:dyDescent="0.3">
      <c r="A534" s="2">
        <v>596</v>
      </c>
      <c r="B534" s="2" t="str">
        <f t="shared" si="76"/>
        <v>P10333</v>
      </c>
      <c r="C534" s="2" t="str">
        <f t="shared" si="79"/>
        <v xml:space="preserve"> </v>
      </c>
      <c r="F534" s="2">
        <v>1596</v>
      </c>
      <c r="G534" s="2" t="str">
        <f t="shared" si="77"/>
        <v>P11333</v>
      </c>
      <c r="H534" s="2" t="str">
        <f t="shared" si="80"/>
        <v xml:space="preserve"> </v>
      </c>
      <c r="I534" s="7"/>
    </row>
    <row r="535" spans="1:9" x14ac:dyDescent="0.3">
      <c r="A535" s="2">
        <v>597</v>
      </c>
      <c r="B535" s="2" t="str">
        <f t="shared" si="76"/>
        <v>P10334</v>
      </c>
      <c r="C535" s="2" t="str">
        <f t="shared" si="79"/>
        <v xml:space="preserve"> </v>
      </c>
      <c r="F535" s="2">
        <v>1597</v>
      </c>
      <c r="G535" s="2" t="str">
        <f t="shared" si="77"/>
        <v>P11334</v>
      </c>
      <c r="H535" s="2" t="str">
        <f t="shared" si="80"/>
        <v xml:space="preserve"> </v>
      </c>
      <c r="I535" s="7"/>
    </row>
    <row r="536" spans="1:9" x14ac:dyDescent="0.3">
      <c r="A536" s="2">
        <v>598</v>
      </c>
      <c r="B536" s="2" t="str">
        <f t="shared" si="76"/>
        <v>P10335</v>
      </c>
      <c r="C536" s="2" t="str">
        <f t="shared" si="79"/>
        <v xml:space="preserve"> </v>
      </c>
      <c r="F536" s="2">
        <v>1598</v>
      </c>
      <c r="G536" s="2" t="str">
        <f t="shared" si="77"/>
        <v>P11335</v>
      </c>
      <c r="H536" s="2" t="str">
        <f t="shared" si="80"/>
        <v xml:space="preserve"> </v>
      </c>
      <c r="I536" s="7"/>
    </row>
    <row r="537" spans="1:9" x14ac:dyDescent="0.3">
      <c r="A537" s="2">
        <v>599</v>
      </c>
      <c r="B537" s="2" t="str">
        <f t="shared" si="76"/>
        <v>P10336</v>
      </c>
      <c r="C537" s="2" t="str">
        <f t="shared" si="79"/>
        <v xml:space="preserve"> </v>
      </c>
      <c r="F537" s="2">
        <v>1599</v>
      </c>
      <c r="G537" s="2" t="str">
        <f t="shared" si="77"/>
        <v>P11336</v>
      </c>
      <c r="H537" s="2" t="str">
        <f t="shared" si="80"/>
        <v xml:space="preserve"> </v>
      </c>
      <c r="I537" s="7"/>
    </row>
    <row r="538" spans="1:9" x14ac:dyDescent="0.3">
      <c r="A538" s="2">
        <v>600</v>
      </c>
      <c r="B538" s="2" t="str">
        <f t="shared" si="76"/>
        <v>P10337</v>
      </c>
      <c r="C538" s="2" t="str">
        <f t="shared" si="79"/>
        <v xml:space="preserve"> </v>
      </c>
      <c r="F538" s="2">
        <v>1600</v>
      </c>
      <c r="G538" s="2" t="str">
        <f t="shared" si="77"/>
        <v>P11337</v>
      </c>
      <c r="H538" s="2" t="str">
        <f t="shared" si="80"/>
        <v xml:space="preserve"> </v>
      </c>
      <c r="I538" s="7"/>
    </row>
    <row r="539" spans="1:9" x14ac:dyDescent="0.3">
      <c r="A539" s="2">
        <v>601</v>
      </c>
      <c r="B539" s="2" t="str">
        <f t="shared" si="76"/>
        <v>P10338</v>
      </c>
      <c r="C539" s="2" t="str">
        <f t="shared" si="79"/>
        <v xml:space="preserve"> </v>
      </c>
      <c r="F539" s="2">
        <v>1601</v>
      </c>
      <c r="G539" s="2" t="str">
        <f t="shared" si="77"/>
        <v>P11338</v>
      </c>
      <c r="H539" s="2" t="str">
        <f t="shared" si="80"/>
        <v xml:space="preserve"> </v>
      </c>
      <c r="I539" s="7"/>
    </row>
    <row r="540" spans="1:9" x14ac:dyDescent="0.3">
      <c r="A540" s="2">
        <v>602</v>
      </c>
      <c r="B540" s="2" t="str">
        <f t="shared" si="76"/>
        <v>P10339</v>
      </c>
      <c r="C540" s="2" t="str">
        <f t="shared" si="79"/>
        <v xml:space="preserve"> </v>
      </c>
      <c r="F540" s="2">
        <v>1602</v>
      </c>
      <c r="G540" s="2" t="str">
        <f t="shared" si="77"/>
        <v>P11339</v>
      </c>
      <c r="H540" s="2" t="str">
        <f t="shared" si="80"/>
        <v xml:space="preserve"> </v>
      </c>
      <c r="I540" s="7"/>
    </row>
    <row r="541" spans="1:9" x14ac:dyDescent="0.3">
      <c r="A541" s="2">
        <v>603</v>
      </c>
      <c r="B541" s="2" t="str">
        <f t="shared" si="76"/>
        <v>P1033A</v>
      </c>
      <c r="C541" s="2" t="str">
        <f t="shared" si="79"/>
        <v xml:space="preserve"> </v>
      </c>
      <c r="F541" s="2">
        <v>1603</v>
      </c>
      <c r="G541" s="2" t="str">
        <f t="shared" si="77"/>
        <v>P1133A</v>
      </c>
      <c r="H541" s="2" t="str">
        <f t="shared" si="80"/>
        <v xml:space="preserve"> </v>
      </c>
      <c r="I541" s="7"/>
    </row>
    <row r="542" spans="1:9" x14ac:dyDescent="0.3">
      <c r="A542" s="2">
        <v>604</v>
      </c>
      <c r="B542" s="2" t="str">
        <f t="shared" si="76"/>
        <v>P1033B</v>
      </c>
      <c r="C542" s="2" t="str">
        <f t="shared" si="79"/>
        <v xml:space="preserve"> </v>
      </c>
      <c r="F542" s="2">
        <v>1604</v>
      </c>
      <c r="G542" s="2" t="str">
        <f t="shared" si="77"/>
        <v>P1133B</v>
      </c>
      <c r="H542" s="2" t="str">
        <f t="shared" si="80"/>
        <v xml:space="preserve"> </v>
      </c>
      <c r="I542" s="7"/>
    </row>
    <row r="543" spans="1:9" x14ac:dyDescent="0.3">
      <c r="A543" s="2">
        <v>605</v>
      </c>
      <c r="B543" s="2" t="str">
        <f t="shared" si="76"/>
        <v>P1033C</v>
      </c>
      <c r="C543" s="2" t="str">
        <f t="shared" si="79"/>
        <v xml:space="preserve"> </v>
      </c>
      <c r="F543" s="2">
        <v>1605</v>
      </c>
      <c r="G543" s="2" t="str">
        <f t="shared" si="77"/>
        <v>P1133C</v>
      </c>
      <c r="H543" s="2" t="str">
        <f t="shared" si="80"/>
        <v xml:space="preserve"> </v>
      </c>
      <c r="I543" s="7"/>
    </row>
    <row r="544" spans="1:9" x14ac:dyDescent="0.3">
      <c r="A544" s="2">
        <v>606</v>
      </c>
      <c r="B544" s="2" t="str">
        <f t="shared" si="76"/>
        <v>P1033D</v>
      </c>
      <c r="C544" s="2" t="str">
        <f t="shared" si="79"/>
        <v xml:space="preserve"> </v>
      </c>
      <c r="F544" s="2">
        <v>1606</v>
      </c>
      <c r="G544" s="2" t="str">
        <f t="shared" si="77"/>
        <v>P1133D</v>
      </c>
      <c r="H544" s="2" t="str">
        <f t="shared" si="80"/>
        <v xml:space="preserve"> </v>
      </c>
      <c r="I544" s="7"/>
    </row>
    <row r="545" spans="1:9" x14ac:dyDescent="0.3">
      <c r="A545" s="2">
        <v>607</v>
      </c>
      <c r="B545" s="2" t="str">
        <f t="shared" si="76"/>
        <v>P1033E</v>
      </c>
      <c r="C545" s="2" t="str">
        <f t="shared" si="79"/>
        <v xml:space="preserve"> </v>
      </c>
      <c r="F545" s="2">
        <v>1607</v>
      </c>
      <c r="G545" s="2" t="str">
        <f t="shared" si="77"/>
        <v>P1133E</v>
      </c>
      <c r="H545" s="2" t="str">
        <f t="shared" si="80"/>
        <v xml:space="preserve"> </v>
      </c>
      <c r="I545" s="7"/>
    </row>
    <row r="546" spans="1:9" x14ac:dyDescent="0.3">
      <c r="A546" s="2">
        <v>608</v>
      </c>
      <c r="B546" s="2" t="str">
        <f t="shared" si="76"/>
        <v>P1033F</v>
      </c>
      <c r="C546" s="2" t="str">
        <f t="shared" si="79"/>
        <v xml:space="preserve"> </v>
      </c>
      <c r="F546" s="2">
        <v>1608</v>
      </c>
      <c r="G546" s="2" t="str">
        <f t="shared" si="77"/>
        <v>P1133F</v>
      </c>
      <c r="H546" s="2" t="str">
        <f t="shared" si="80"/>
        <v xml:space="preserve"> </v>
      </c>
      <c r="I546" s="7"/>
    </row>
    <row r="547" spans="1:9" x14ac:dyDescent="0.3">
      <c r="A547" s="2">
        <v>609</v>
      </c>
      <c r="B547" s="2" t="str">
        <f t="shared" si="76"/>
        <v>P10340</v>
      </c>
      <c r="C547" s="2" t="str">
        <f t="shared" si="79"/>
        <v>P1034</v>
      </c>
      <c r="F547" s="2">
        <v>1609</v>
      </c>
      <c r="G547" s="2" t="str">
        <f t="shared" si="77"/>
        <v>P11340</v>
      </c>
      <c r="H547" s="2" t="str">
        <f t="shared" si="80"/>
        <v>P1134</v>
      </c>
      <c r="I547" s="7"/>
    </row>
    <row r="548" spans="1:9" x14ac:dyDescent="0.3">
      <c r="A548" s="2">
        <v>610</v>
      </c>
      <c r="B548" s="2" t="str">
        <f t="shared" ref="B548:B611" si="81">"P"&amp;DEC2HEX(A548+65536-$A$3 +3*96, 5)</f>
        <v>P10341</v>
      </c>
      <c r="C548" s="2" t="str">
        <f t="shared" si="79"/>
        <v xml:space="preserve"> </v>
      </c>
      <c r="F548" s="2">
        <v>1610</v>
      </c>
      <c r="G548" s="2" t="str">
        <f t="shared" ref="G548:G611" si="82">"P"&amp;DEC2HEX(F548+65536+4096 +3* 96-$F$3, 5)</f>
        <v>P11341</v>
      </c>
      <c r="H548" s="2" t="str">
        <f t="shared" si="80"/>
        <v xml:space="preserve"> </v>
      </c>
      <c r="I548" s="7"/>
    </row>
    <row r="549" spans="1:9" x14ac:dyDescent="0.3">
      <c r="A549" s="2">
        <v>611</v>
      </c>
      <c r="B549" s="2" t="str">
        <f t="shared" si="81"/>
        <v>P10342</v>
      </c>
      <c r="C549" s="2" t="str">
        <f t="shared" si="79"/>
        <v xml:space="preserve"> </v>
      </c>
      <c r="F549" s="2">
        <v>1611</v>
      </c>
      <c r="G549" s="2" t="str">
        <f t="shared" si="82"/>
        <v>P11342</v>
      </c>
      <c r="H549" s="2" t="str">
        <f t="shared" si="80"/>
        <v xml:space="preserve"> </v>
      </c>
      <c r="I549" s="7"/>
    </row>
    <row r="550" spans="1:9" x14ac:dyDescent="0.3">
      <c r="A550" s="2">
        <v>612</v>
      </c>
      <c r="B550" s="2" t="str">
        <f t="shared" si="81"/>
        <v>P10343</v>
      </c>
      <c r="C550" s="2" t="str">
        <f t="shared" si="79"/>
        <v xml:space="preserve"> </v>
      </c>
      <c r="F550" s="2">
        <v>1612</v>
      </c>
      <c r="G550" s="2" t="str">
        <f t="shared" si="82"/>
        <v>P11343</v>
      </c>
      <c r="H550" s="2" t="str">
        <f t="shared" si="80"/>
        <v xml:space="preserve"> </v>
      </c>
      <c r="I550" s="7"/>
    </row>
    <row r="551" spans="1:9" x14ac:dyDescent="0.3">
      <c r="A551" s="2">
        <v>613</v>
      </c>
      <c r="B551" s="2" t="str">
        <f t="shared" si="81"/>
        <v>P10344</v>
      </c>
      <c r="C551" s="2" t="str">
        <f t="shared" si="79"/>
        <v xml:space="preserve"> </v>
      </c>
      <c r="F551" s="2">
        <v>1613</v>
      </c>
      <c r="G551" s="2" t="str">
        <f t="shared" si="82"/>
        <v>P11344</v>
      </c>
      <c r="H551" s="2" t="str">
        <f t="shared" si="80"/>
        <v xml:space="preserve"> </v>
      </c>
      <c r="I551" s="7"/>
    </row>
    <row r="552" spans="1:9" x14ac:dyDescent="0.3">
      <c r="A552" s="2">
        <v>614</v>
      </c>
      <c r="B552" s="2" t="str">
        <f t="shared" si="81"/>
        <v>P10345</v>
      </c>
      <c r="C552" s="2" t="str">
        <f t="shared" si="79"/>
        <v xml:space="preserve"> </v>
      </c>
      <c r="F552" s="2">
        <v>1614</v>
      </c>
      <c r="G552" s="2" t="str">
        <f t="shared" si="82"/>
        <v>P11345</v>
      </c>
      <c r="H552" s="2" t="str">
        <f t="shared" si="80"/>
        <v xml:space="preserve"> </v>
      </c>
      <c r="I552" s="7"/>
    </row>
    <row r="553" spans="1:9" x14ac:dyDescent="0.3">
      <c r="A553" s="2">
        <v>615</v>
      </c>
      <c r="B553" s="2" t="str">
        <f t="shared" si="81"/>
        <v>P10346</v>
      </c>
      <c r="C553" s="2" t="str">
        <f t="shared" si="79"/>
        <v xml:space="preserve"> </v>
      </c>
      <c r="F553" s="2">
        <v>1615</v>
      </c>
      <c r="G553" s="2" t="str">
        <f t="shared" si="82"/>
        <v>P11346</v>
      </c>
      <c r="H553" s="2" t="str">
        <f t="shared" si="80"/>
        <v xml:space="preserve"> </v>
      </c>
      <c r="I553" s="7"/>
    </row>
    <row r="554" spans="1:9" x14ac:dyDescent="0.3">
      <c r="A554" s="2">
        <v>616</v>
      </c>
      <c r="B554" s="2" t="str">
        <f t="shared" si="81"/>
        <v>P10347</v>
      </c>
      <c r="C554" s="2" t="str">
        <f t="shared" si="79"/>
        <v xml:space="preserve"> </v>
      </c>
      <c r="F554" s="2">
        <v>1616</v>
      </c>
      <c r="G554" s="2" t="str">
        <f t="shared" si="82"/>
        <v>P11347</v>
      </c>
      <c r="H554" s="2" t="str">
        <f t="shared" si="80"/>
        <v xml:space="preserve"> </v>
      </c>
      <c r="I554" s="7"/>
    </row>
    <row r="555" spans="1:9" x14ac:dyDescent="0.3">
      <c r="A555" s="2">
        <v>617</v>
      </c>
      <c r="B555" s="2" t="str">
        <f t="shared" si="81"/>
        <v>P10348</v>
      </c>
      <c r="C555" s="2" t="str">
        <f t="shared" si="79"/>
        <v xml:space="preserve"> </v>
      </c>
      <c r="F555" s="2">
        <v>1617</v>
      </c>
      <c r="G555" s="2" t="str">
        <f t="shared" si="82"/>
        <v>P11348</v>
      </c>
      <c r="H555" s="2" t="str">
        <f t="shared" si="80"/>
        <v xml:space="preserve"> </v>
      </c>
      <c r="I555" s="7"/>
    </row>
    <row r="556" spans="1:9" x14ac:dyDescent="0.3">
      <c r="A556" s="2">
        <v>618</v>
      </c>
      <c r="B556" s="2" t="str">
        <f t="shared" si="81"/>
        <v>P10349</v>
      </c>
      <c r="C556" s="2" t="str">
        <f t="shared" si="79"/>
        <v xml:space="preserve"> </v>
      </c>
      <c r="F556" s="2">
        <v>1618</v>
      </c>
      <c r="G556" s="2" t="str">
        <f t="shared" si="82"/>
        <v>P11349</v>
      </c>
      <c r="H556" s="2" t="str">
        <f t="shared" si="80"/>
        <v xml:space="preserve"> </v>
      </c>
      <c r="I556" s="7"/>
    </row>
    <row r="557" spans="1:9" x14ac:dyDescent="0.3">
      <c r="A557" s="2">
        <v>619</v>
      </c>
      <c r="B557" s="2" t="str">
        <f t="shared" si="81"/>
        <v>P1034A</v>
      </c>
      <c r="C557" s="2" t="str">
        <f t="shared" si="79"/>
        <v xml:space="preserve"> </v>
      </c>
      <c r="F557" s="2">
        <v>1619</v>
      </c>
      <c r="G557" s="2" t="str">
        <f t="shared" si="82"/>
        <v>P1134A</v>
      </c>
      <c r="H557" s="2" t="str">
        <f t="shared" si="80"/>
        <v xml:space="preserve"> </v>
      </c>
      <c r="I557" s="7"/>
    </row>
    <row r="558" spans="1:9" x14ac:dyDescent="0.3">
      <c r="A558" s="2">
        <v>620</v>
      </c>
      <c r="B558" s="2" t="str">
        <f t="shared" si="81"/>
        <v>P1034B</v>
      </c>
      <c r="C558" s="2" t="str">
        <f t="shared" si="79"/>
        <v xml:space="preserve"> </v>
      </c>
      <c r="F558" s="2">
        <v>1620</v>
      </c>
      <c r="G558" s="2" t="str">
        <f t="shared" si="82"/>
        <v>P1134B</v>
      </c>
      <c r="H558" s="2" t="str">
        <f t="shared" si="80"/>
        <v xml:space="preserve"> </v>
      </c>
      <c r="I558" s="7"/>
    </row>
    <row r="559" spans="1:9" x14ac:dyDescent="0.3">
      <c r="A559" s="2">
        <v>621</v>
      </c>
      <c r="B559" s="2" t="str">
        <f t="shared" si="81"/>
        <v>P1034C</v>
      </c>
      <c r="C559" s="2" t="str">
        <f t="shared" si="79"/>
        <v xml:space="preserve"> </v>
      </c>
      <c r="F559" s="2">
        <v>1621</v>
      </c>
      <c r="G559" s="2" t="str">
        <f t="shared" si="82"/>
        <v>P1134C</v>
      </c>
      <c r="H559" s="2" t="str">
        <f t="shared" si="80"/>
        <v xml:space="preserve"> </v>
      </c>
      <c r="I559" s="7"/>
    </row>
    <row r="560" spans="1:9" x14ac:dyDescent="0.3">
      <c r="A560" s="2">
        <v>622</v>
      </c>
      <c r="B560" s="2" t="str">
        <f t="shared" si="81"/>
        <v>P1034D</v>
      </c>
      <c r="C560" s="2" t="str">
        <f t="shared" si="79"/>
        <v xml:space="preserve"> </v>
      </c>
      <c r="F560" s="2">
        <v>1622</v>
      </c>
      <c r="G560" s="2" t="str">
        <f t="shared" si="82"/>
        <v>P1134D</v>
      </c>
      <c r="H560" s="2" t="str">
        <f t="shared" si="80"/>
        <v xml:space="preserve"> </v>
      </c>
      <c r="I560" s="7"/>
    </row>
    <row r="561" spans="1:9" x14ac:dyDescent="0.3">
      <c r="A561" s="2">
        <v>623</v>
      </c>
      <c r="B561" s="2" t="str">
        <f t="shared" si="81"/>
        <v>P1034E</v>
      </c>
      <c r="C561" s="2" t="str">
        <f t="shared" si="79"/>
        <v xml:space="preserve"> </v>
      </c>
      <c r="F561" s="2">
        <v>1623</v>
      </c>
      <c r="G561" s="2" t="str">
        <f t="shared" si="82"/>
        <v>P1134E</v>
      </c>
      <c r="H561" s="2" t="str">
        <f t="shared" si="80"/>
        <v xml:space="preserve"> </v>
      </c>
      <c r="I561" s="7"/>
    </row>
    <row r="562" spans="1:9" x14ac:dyDescent="0.3">
      <c r="A562" s="2">
        <v>624</v>
      </c>
      <c r="B562" s="2" t="str">
        <f t="shared" si="81"/>
        <v>P1034F</v>
      </c>
      <c r="C562" s="2" t="str">
        <f t="shared" si="79"/>
        <v xml:space="preserve"> </v>
      </c>
      <c r="F562" s="2">
        <v>1624</v>
      </c>
      <c r="G562" s="2" t="str">
        <f t="shared" si="82"/>
        <v>P1134F</v>
      </c>
      <c r="H562" s="2" t="str">
        <f t="shared" si="80"/>
        <v xml:space="preserve"> </v>
      </c>
      <c r="I562" s="7"/>
    </row>
    <row r="563" spans="1:9" x14ac:dyDescent="0.3">
      <c r="A563" s="2">
        <v>625</v>
      </c>
      <c r="B563" s="2" t="str">
        <f t="shared" si="81"/>
        <v>P10350</v>
      </c>
      <c r="C563" s="2" t="str">
        <f t="shared" si="79"/>
        <v>P1035</v>
      </c>
      <c r="F563" s="2">
        <v>1625</v>
      </c>
      <c r="G563" s="2" t="str">
        <f t="shared" si="82"/>
        <v>P11350</v>
      </c>
      <c r="H563" s="2" t="str">
        <f t="shared" si="80"/>
        <v>P1135</v>
      </c>
      <c r="I563" s="7"/>
    </row>
    <row r="564" spans="1:9" x14ac:dyDescent="0.3">
      <c r="A564" s="2">
        <v>626</v>
      </c>
      <c r="B564" s="2" t="str">
        <f t="shared" si="81"/>
        <v>P10351</v>
      </c>
      <c r="C564" s="2" t="str">
        <f t="shared" si="79"/>
        <v xml:space="preserve"> </v>
      </c>
      <c r="F564" s="2">
        <v>1626</v>
      </c>
      <c r="G564" s="2" t="str">
        <f t="shared" si="82"/>
        <v>P11351</v>
      </c>
      <c r="H564" s="2" t="str">
        <f t="shared" si="80"/>
        <v xml:space="preserve"> </v>
      </c>
      <c r="I564" s="7"/>
    </row>
    <row r="565" spans="1:9" x14ac:dyDescent="0.3">
      <c r="A565" s="2">
        <v>627</v>
      </c>
      <c r="B565" s="2" t="str">
        <f t="shared" si="81"/>
        <v>P10352</v>
      </c>
      <c r="C565" s="2" t="str">
        <f t="shared" si="79"/>
        <v xml:space="preserve"> </v>
      </c>
      <c r="F565" s="2">
        <v>1627</v>
      </c>
      <c r="G565" s="2" t="str">
        <f t="shared" si="82"/>
        <v>P11352</v>
      </c>
      <c r="H565" s="2" t="str">
        <f t="shared" si="80"/>
        <v xml:space="preserve"> </v>
      </c>
      <c r="I565" s="7"/>
    </row>
    <row r="566" spans="1:9" x14ac:dyDescent="0.3">
      <c r="A566" s="2">
        <v>628</v>
      </c>
      <c r="B566" s="2" t="str">
        <f t="shared" si="81"/>
        <v>P10353</v>
      </c>
      <c r="C566" s="2" t="str">
        <f t="shared" si="79"/>
        <v xml:space="preserve"> </v>
      </c>
      <c r="F566" s="2">
        <v>1628</v>
      </c>
      <c r="G566" s="2" t="str">
        <f t="shared" si="82"/>
        <v>P11353</v>
      </c>
      <c r="H566" s="2" t="str">
        <f t="shared" si="80"/>
        <v xml:space="preserve"> </v>
      </c>
      <c r="I566" s="7"/>
    </row>
    <row r="567" spans="1:9" x14ac:dyDescent="0.3">
      <c r="A567" s="2">
        <v>629</v>
      </c>
      <c r="B567" s="2" t="str">
        <f t="shared" si="81"/>
        <v>P10354</v>
      </c>
      <c r="C567" s="2" t="str">
        <f t="shared" si="79"/>
        <v xml:space="preserve"> </v>
      </c>
      <c r="F567" s="2">
        <v>1629</v>
      </c>
      <c r="G567" s="2" t="str">
        <f t="shared" si="82"/>
        <v>P11354</v>
      </c>
      <c r="H567" s="2" t="str">
        <f t="shared" si="80"/>
        <v xml:space="preserve"> </v>
      </c>
      <c r="I567" s="7"/>
    </row>
    <row r="568" spans="1:9" x14ac:dyDescent="0.3">
      <c r="A568" s="2">
        <v>630</v>
      </c>
      <c r="B568" s="2" t="str">
        <f t="shared" si="81"/>
        <v>P10355</v>
      </c>
      <c r="C568" s="2" t="str">
        <f t="shared" si="79"/>
        <v xml:space="preserve"> </v>
      </c>
      <c r="F568" s="2">
        <v>1630</v>
      </c>
      <c r="G568" s="2" t="str">
        <f t="shared" si="82"/>
        <v>P11355</v>
      </c>
      <c r="H568" s="2" t="str">
        <f t="shared" si="80"/>
        <v xml:space="preserve"> </v>
      </c>
      <c r="I568" s="7"/>
    </row>
    <row r="569" spans="1:9" x14ac:dyDescent="0.3">
      <c r="A569" s="2">
        <v>631</v>
      </c>
      <c r="B569" s="2" t="str">
        <f t="shared" si="81"/>
        <v>P10356</v>
      </c>
      <c r="C569" s="2" t="str">
        <f t="shared" si="79"/>
        <v xml:space="preserve"> </v>
      </c>
      <c r="F569" s="2">
        <v>1631</v>
      </c>
      <c r="G569" s="2" t="str">
        <f t="shared" si="82"/>
        <v>P11356</v>
      </c>
      <c r="H569" s="2" t="str">
        <f t="shared" si="80"/>
        <v xml:space="preserve"> </v>
      </c>
      <c r="I569" s="7"/>
    </row>
    <row r="570" spans="1:9" x14ac:dyDescent="0.3">
      <c r="A570" s="2">
        <v>632</v>
      </c>
      <c r="B570" s="2" t="str">
        <f t="shared" si="81"/>
        <v>P10357</v>
      </c>
      <c r="C570" s="2" t="str">
        <f t="shared" si="79"/>
        <v xml:space="preserve"> </v>
      </c>
      <c r="F570" s="2">
        <v>1632</v>
      </c>
      <c r="G570" s="2" t="str">
        <f t="shared" si="82"/>
        <v>P11357</v>
      </c>
      <c r="H570" s="2" t="str">
        <f t="shared" si="80"/>
        <v xml:space="preserve"> </v>
      </c>
      <c r="I570" s="7"/>
    </row>
    <row r="571" spans="1:9" x14ac:dyDescent="0.3">
      <c r="A571" s="2">
        <v>633</v>
      </c>
      <c r="B571" s="2" t="str">
        <f t="shared" si="81"/>
        <v>P10358</v>
      </c>
      <c r="C571" s="2" t="str">
        <f t="shared" si="79"/>
        <v xml:space="preserve"> </v>
      </c>
      <c r="F571" s="2">
        <v>1633</v>
      </c>
      <c r="G571" s="2" t="str">
        <f t="shared" si="82"/>
        <v>P11358</v>
      </c>
      <c r="H571" s="2" t="str">
        <f t="shared" si="80"/>
        <v xml:space="preserve"> </v>
      </c>
      <c r="I571" s="7"/>
    </row>
    <row r="572" spans="1:9" x14ac:dyDescent="0.3">
      <c r="A572" s="2">
        <v>634</v>
      </c>
      <c r="B572" s="2" t="str">
        <f t="shared" si="81"/>
        <v>P10359</v>
      </c>
      <c r="C572" s="2" t="str">
        <f t="shared" si="79"/>
        <v xml:space="preserve"> </v>
      </c>
      <c r="F572" s="2">
        <v>1634</v>
      </c>
      <c r="G572" s="2" t="str">
        <f t="shared" si="82"/>
        <v>P11359</v>
      </c>
      <c r="H572" s="2" t="str">
        <f t="shared" si="80"/>
        <v xml:space="preserve"> </v>
      </c>
      <c r="I572" s="7"/>
    </row>
    <row r="573" spans="1:9" x14ac:dyDescent="0.3">
      <c r="A573" s="2">
        <v>635</v>
      </c>
      <c r="B573" s="2" t="str">
        <f t="shared" si="81"/>
        <v>P1035A</v>
      </c>
      <c r="C573" s="2" t="str">
        <f t="shared" si="79"/>
        <v xml:space="preserve"> </v>
      </c>
      <c r="F573" s="2">
        <v>1635</v>
      </c>
      <c r="G573" s="2" t="str">
        <f t="shared" si="82"/>
        <v>P1135A</v>
      </c>
      <c r="H573" s="2" t="str">
        <f t="shared" si="80"/>
        <v xml:space="preserve"> </v>
      </c>
      <c r="I573" s="7"/>
    </row>
    <row r="574" spans="1:9" x14ac:dyDescent="0.3">
      <c r="A574" s="2">
        <v>636</v>
      </c>
      <c r="B574" s="2" t="str">
        <f t="shared" si="81"/>
        <v>P1035B</v>
      </c>
      <c r="C574" s="2" t="str">
        <f t="shared" si="79"/>
        <v xml:space="preserve"> </v>
      </c>
      <c r="F574" s="2">
        <v>1636</v>
      </c>
      <c r="G574" s="2" t="str">
        <f t="shared" si="82"/>
        <v>P1135B</v>
      </c>
      <c r="H574" s="2" t="str">
        <f t="shared" si="80"/>
        <v xml:space="preserve"> </v>
      </c>
      <c r="I574" s="7"/>
    </row>
    <row r="575" spans="1:9" x14ac:dyDescent="0.3">
      <c r="A575" s="2">
        <v>637</v>
      </c>
      <c r="B575" s="2" t="str">
        <f t="shared" si="81"/>
        <v>P1035C</v>
      </c>
      <c r="C575" s="2" t="str">
        <f t="shared" si="79"/>
        <v xml:space="preserve"> </v>
      </c>
      <c r="F575" s="2">
        <v>1637</v>
      </c>
      <c r="G575" s="2" t="str">
        <f t="shared" si="82"/>
        <v>P1135C</v>
      </c>
      <c r="H575" s="2" t="str">
        <f t="shared" si="80"/>
        <v xml:space="preserve"> </v>
      </c>
      <c r="I575" s="7"/>
    </row>
    <row r="576" spans="1:9" x14ac:dyDescent="0.3">
      <c r="A576" s="2">
        <v>638</v>
      </c>
      <c r="B576" s="2" t="str">
        <f t="shared" si="81"/>
        <v>P1035D</v>
      </c>
      <c r="C576" s="2" t="str">
        <f t="shared" si="79"/>
        <v xml:space="preserve"> </v>
      </c>
      <c r="F576" s="2">
        <v>1638</v>
      </c>
      <c r="G576" s="2" t="str">
        <f t="shared" si="82"/>
        <v>P1135D</v>
      </c>
      <c r="H576" s="2" t="str">
        <f t="shared" si="80"/>
        <v xml:space="preserve"> </v>
      </c>
      <c r="I576" s="7"/>
    </row>
    <row r="577" spans="1:9" x14ac:dyDescent="0.3">
      <c r="A577" s="2">
        <v>639</v>
      </c>
      <c r="B577" s="2" t="str">
        <f t="shared" si="81"/>
        <v>P1035E</v>
      </c>
      <c r="C577" s="2" t="str">
        <f t="shared" si="79"/>
        <v xml:space="preserve"> </v>
      </c>
      <c r="F577" s="2">
        <v>1639</v>
      </c>
      <c r="G577" s="2" t="str">
        <f t="shared" si="82"/>
        <v>P1135E</v>
      </c>
      <c r="H577" s="2" t="str">
        <f t="shared" si="80"/>
        <v xml:space="preserve"> </v>
      </c>
      <c r="I577" s="7"/>
    </row>
    <row r="578" spans="1:9" x14ac:dyDescent="0.3">
      <c r="A578" s="2">
        <v>640</v>
      </c>
      <c r="B578" s="2" t="str">
        <f t="shared" si="81"/>
        <v>P1035F</v>
      </c>
      <c r="C578" s="2" t="str">
        <f t="shared" si="79"/>
        <v xml:space="preserve"> </v>
      </c>
      <c r="F578" s="2">
        <v>1640</v>
      </c>
      <c r="G578" s="2" t="str">
        <f t="shared" si="82"/>
        <v>P1135F</v>
      </c>
      <c r="H578" s="2" t="str">
        <f t="shared" si="80"/>
        <v xml:space="preserve"> </v>
      </c>
      <c r="I578" s="7"/>
    </row>
    <row r="579" spans="1:9" x14ac:dyDescent="0.3">
      <c r="A579" s="2">
        <v>641</v>
      </c>
      <c r="B579" s="2" t="str">
        <f t="shared" si="81"/>
        <v>P10360</v>
      </c>
      <c r="C579" s="2" t="str">
        <f t="shared" ref="C579:C642" si="83">IF(RIGHT(B579,1)="0",LEFT(B579,5)," ")</f>
        <v>P1036</v>
      </c>
      <c r="F579" s="2">
        <v>1641</v>
      </c>
      <c r="G579" s="2" t="str">
        <f t="shared" si="82"/>
        <v>P11360</v>
      </c>
      <c r="H579" s="2" t="str">
        <f t="shared" si="80"/>
        <v>P1136</v>
      </c>
      <c r="I579" s="7"/>
    </row>
    <row r="580" spans="1:9" x14ac:dyDescent="0.3">
      <c r="A580" s="2">
        <v>642</v>
      </c>
      <c r="B580" s="2" t="str">
        <f t="shared" si="81"/>
        <v>P10361</v>
      </c>
      <c r="C580" s="2" t="str">
        <f t="shared" si="83"/>
        <v xml:space="preserve"> </v>
      </c>
      <c r="F580" s="2">
        <v>1642</v>
      </c>
      <c r="G580" s="2" t="str">
        <f t="shared" si="82"/>
        <v>P11361</v>
      </c>
      <c r="H580" s="2" t="str">
        <f t="shared" si="80"/>
        <v xml:space="preserve"> </v>
      </c>
      <c r="I580" s="7"/>
    </row>
    <row r="581" spans="1:9" x14ac:dyDescent="0.3">
      <c r="A581" s="2">
        <v>643</v>
      </c>
      <c r="B581" s="2" t="str">
        <f t="shared" si="81"/>
        <v>P10362</v>
      </c>
      <c r="C581" s="2" t="str">
        <f t="shared" si="83"/>
        <v xml:space="preserve"> </v>
      </c>
      <c r="F581" s="2">
        <v>1643</v>
      </c>
      <c r="G581" s="2" t="str">
        <f t="shared" si="82"/>
        <v>P11362</v>
      </c>
      <c r="H581" s="2" t="str">
        <f t="shared" si="80"/>
        <v xml:space="preserve"> </v>
      </c>
      <c r="I581" s="7"/>
    </row>
    <row r="582" spans="1:9" x14ac:dyDescent="0.3">
      <c r="A582" s="2">
        <v>644</v>
      </c>
      <c r="B582" s="2" t="str">
        <f t="shared" si="81"/>
        <v>P10363</v>
      </c>
      <c r="C582" s="2" t="str">
        <f t="shared" si="83"/>
        <v xml:space="preserve"> </v>
      </c>
      <c r="F582" s="2">
        <v>1644</v>
      </c>
      <c r="G582" s="2" t="str">
        <f t="shared" si="82"/>
        <v>P11363</v>
      </c>
      <c r="H582" s="2" t="str">
        <f t="shared" si="80"/>
        <v xml:space="preserve"> </v>
      </c>
      <c r="I582" s="7"/>
    </row>
    <row r="583" spans="1:9" x14ac:dyDescent="0.3">
      <c r="A583" s="2">
        <v>645</v>
      </c>
      <c r="B583" s="2" t="str">
        <f t="shared" si="81"/>
        <v>P10364</v>
      </c>
      <c r="C583" s="2" t="str">
        <f t="shared" si="83"/>
        <v xml:space="preserve"> </v>
      </c>
      <c r="F583" s="2">
        <v>1645</v>
      </c>
      <c r="G583" s="2" t="str">
        <f t="shared" si="82"/>
        <v>P11364</v>
      </c>
      <c r="H583" s="2" t="str">
        <f t="shared" ref="H583:H646" si="84">IF(RIGHT(G583,1)="0",LEFT(G583,5)," ")</f>
        <v xml:space="preserve"> </v>
      </c>
      <c r="I583" s="7"/>
    </row>
    <row r="584" spans="1:9" x14ac:dyDescent="0.3">
      <c r="A584" s="2">
        <v>646</v>
      </c>
      <c r="B584" s="2" t="str">
        <f t="shared" si="81"/>
        <v>P10365</v>
      </c>
      <c r="C584" s="2" t="str">
        <f t="shared" si="83"/>
        <v xml:space="preserve"> </v>
      </c>
      <c r="F584" s="2">
        <v>1646</v>
      </c>
      <c r="G584" s="2" t="str">
        <f t="shared" si="82"/>
        <v>P11365</v>
      </c>
      <c r="H584" s="2" t="str">
        <f t="shared" si="84"/>
        <v xml:space="preserve"> </v>
      </c>
      <c r="I584" s="7"/>
    </row>
    <row r="585" spans="1:9" x14ac:dyDescent="0.3">
      <c r="A585" s="2">
        <v>647</v>
      </c>
      <c r="B585" s="2" t="str">
        <f t="shared" si="81"/>
        <v>P10366</v>
      </c>
      <c r="C585" s="2" t="str">
        <f t="shared" si="83"/>
        <v xml:space="preserve"> </v>
      </c>
      <c r="F585" s="2">
        <v>1647</v>
      </c>
      <c r="G585" s="2" t="str">
        <f t="shared" si="82"/>
        <v>P11366</v>
      </c>
      <c r="H585" s="2" t="str">
        <f t="shared" si="84"/>
        <v xml:space="preserve"> </v>
      </c>
      <c r="I585" s="7"/>
    </row>
    <row r="586" spans="1:9" x14ac:dyDescent="0.3">
      <c r="A586" s="2">
        <v>648</v>
      </c>
      <c r="B586" s="2" t="str">
        <f t="shared" si="81"/>
        <v>P10367</v>
      </c>
      <c r="C586" s="2" t="str">
        <f t="shared" si="83"/>
        <v xml:space="preserve"> </v>
      </c>
      <c r="F586" s="2">
        <v>1648</v>
      </c>
      <c r="G586" s="2" t="str">
        <f t="shared" si="82"/>
        <v>P11367</v>
      </c>
      <c r="H586" s="2" t="str">
        <f t="shared" si="84"/>
        <v xml:space="preserve"> </v>
      </c>
      <c r="I586" s="7"/>
    </row>
    <row r="587" spans="1:9" x14ac:dyDescent="0.3">
      <c r="A587" s="2">
        <v>649</v>
      </c>
      <c r="B587" s="2" t="str">
        <f t="shared" si="81"/>
        <v>P10368</v>
      </c>
      <c r="C587" s="2" t="str">
        <f t="shared" si="83"/>
        <v xml:space="preserve"> </v>
      </c>
      <c r="F587" s="2">
        <v>1649</v>
      </c>
      <c r="G587" s="2" t="str">
        <f t="shared" si="82"/>
        <v>P11368</v>
      </c>
      <c r="H587" s="2" t="str">
        <f t="shared" si="84"/>
        <v xml:space="preserve"> </v>
      </c>
      <c r="I587" s="7"/>
    </row>
    <row r="588" spans="1:9" x14ac:dyDescent="0.3">
      <c r="A588" s="2">
        <v>650</v>
      </c>
      <c r="B588" s="2" t="str">
        <f t="shared" si="81"/>
        <v>P10369</v>
      </c>
      <c r="C588" s="2" t="str">
        <f t="shared" si="83"/>
        <v xml:space="preserve"> </v>
      </c>
      <c r="F588" s="2">
        <v>1650</v>
      </c>
      <c r="G588" s="2" t="str">
        <f t="shared" si="82"/>
        <v>P11369</v>
      </c>
      <c r="H588" s="2" t="str">
        <f t="shared" si="84"/>
        <v xml:space="preserve"> </v>
      </c>
      <c r="I588" s="7"/>
    </row>
    <row r="589" spans="1:9" x14ac:dyDescent="0.3">
      <c r="A589" s="2">
        <v>651</v>
      </c>
      <c r="B589" s="2" t="str">
        <f t="shared" si="81"/>
        <v>P1036A</v>
      </c>
      <c r="C589" s="2" t="str">
        <f t="shared" si="83"/>
        <v xml:space="preserve"> </v>
      </c>
      <c r="F589" s="2">
        <v>1651</v>
      </c>
      <c r="G589" s="2" t="str">
        <f t="shared" si="82"/>
        <v>P1136A</v>
      </c>
      <c r="H589" s="2" t="str">
        <f t="shared" si="84"/>
        <v xml:space="preserve"> </v>
      </c>
      <c r="I589" s="7"/>
    </row>
    <row r="590" spans="1:9" x14ac:dyDescent="0.3">
      <c r="A590" s="2">
        <v>652</v>
      </c>
      <c r="B590" s="2" t="str">
        <f t="shared" si="81"/>
        <v>P1036B</v>
      </c>
      <c r="C590" s="2" t="str">
        <f t="shared" si="83"/>
        <v xml:space="preserve"> </v>
      </c>
      <c r="F590" s="2">
        <v>1652</v>
      </c>
      <c r="G590" s="2" t="str">
        <f t="shared" si="82"/>
        <v>P1136B</v>
      </c>
      <c r="H590" s="2" t="str">
        <f t="shared" si="84"/>
        <v xml:space="preserve"> </v>
      </c>
      <c r="I590" s="7"/>
    </row>
    <row r="591" spans="1:9" x14ac:dyDescent="0.3">
      <c r="A591" s="2">
        <v>653</v>
      </c>
      <c r="B591" s="2" t="str">
        <f t="shared" si="81"/>
        <v>P1036C</v>
      </c>
      <c r="C591" s="2" t="str">
        <f t="shared" si="83"/>
        <v xml:space="preserve"> </v>
      </c>
      <c r="F591" s="2">
        <v>1653</v>
      </c>
      <c r="G591" s="2" t="str">
        <f t="shared" si="82"/>
        <v>P1136C</v>
      </c>
      <c r="H591" s="2" t="str">
        <f t="shared" si="84"/>
        <v xml:space="preserve"> </v>
      </c>
      <c r="I591" s="7"/>
    </row>
    <row r="592" spans="1:9" x14ac:dyDescent="0.3">
      <c r="A592" s="2">
        <v>654</v>
      </c>
      <c r="B592" s="2" t="str">
        <f t="shared" si="81"/>
        <v>P1036D</v>
      </c>
      <c r="C592" s="2" t="str">
        <f t="shared" si="83"/>
        <v xml:space="preserve"> </v>
      </c>
      <c r="F592" s="2">
        <v>1654</v>
      </c>
      <c r="G592" s="2" t="str">
        <f t="shared" si="82"/>
        <v>P1136D</v>
      </c>
      <c r="H592" s="2" t="str">
        <f t="shared" si="84"/>
        <v xml:space="preserve"> </v>
      </c>
      <c r="I592" s="7"/>
    </row>
    <row r="593" spans="1:9" x14ac:dyDescent="0.3">
      <c r="A593" s="2">
        <v>655</v>
      </c>
      <c r="B593" s="2" t="str">
        <f t="shared" si="81"/>
        <v>P1036E</v>
      </c>
      <c r="C593" s="2" t="str">
        <f t="shared" si="83"/>
        <v xml:space="preserve"> </v>
      </c>
      <c r="F593" s="2">
        <v>1655</v>
      </c>
      <c r="G593" s="2" t="str">
        <f t="shared" si="82"/>
        <v>P1136E</v>
      </c>
      <c r="H593" s="2" t="str">
        <f t="shared" si="84"/>
        <v xml:space="preserve"> </v>
      </c>
      <c r="I593" s="7"/>
    </row>
    <row r="594" spans="1:9" x14ac:dyDescent="0.3">
      <c r="A594" s="2">
        <v>656</v>
      </c>
      <c r="B594" s="2" t="str">
        <f t="shared" si="81"/>
        <v>P1036F</v>
      </c>
      <c r="C594" s="2" t="str">
        <f t="shared" si="83"/>
        <v xml:space="preserve"> </v>
      </c>
      <c r="F594" s="2">
        <v>1656</v>
      </c>
      <c r="G594" s="2" t="str">
        <f t="shared" si="82"/>
        <v>P1136F</v>
      </c>
      <c r="H594" s="2" t="str">
        <f t="shared" si="84"/>
        <v xml:space="preserve"> </v>
      </c>
      <c r="I594" s="7"/>
    </row>
    <row r="595" spans="1:9" x14ac:dyDescent="0.3">
      <c r="A595" s="2">
        <v>657</v>
      </c>
      <c r="B595" s="2" t="str">
        <f t="shared" si="81"/>
        <v>P10370</v>
      </c>
      <c r="C595" s="2" t="str">
        <f t="shared" si="83"/>
        <v>P1037</v>
      </c>
      <c r="F595" s="2">
        <v>1657</v>
      </c>
      <c r="G595" s="2" t="str">
        <f t="shared" si="82"/>
        <v>P11370</v>
      </c>
      <c r="H595" s="2" t="str">
        <f t="shared" si="84"/>
        <v>P1137</v>
      </c>
      <c r="I595" s="7"/>
    </row>
    <row r="596" spans="1:9" x14ac:dyDescent="0.3">
      <c r="A596" s="2">
        <v>658</v>
      </c>
      <c r="B596" s="2" t="str">
        <f t="shared" si="81"/>
        <v>P10371</v>
      </c>
      <c r="C596" s="2" t="str">
        <f t="shared" si="83"/>
        <v xml:space="preserve"> </v>
      </c>
      <c r="F596" s="2">
        <v>1658</v>
      </c>
      <c r="G596" s="2" t="str">
        <f t="shared" si="82"/>
        <v>P11371</v>
      </c>
      <c r="H596" s="2" t="str">
        <f t="shared" si="84"/>
        <v xml:space="preserve"> </v>
      </c>
      <c r="I596" s="7"/>
    </row>
    <row r="597" spans="1:9" x14ac:dyDescent="0.3">
      <c r="A597" s="2">
        <v>659</v>
      </c>
      <c r="B597" s="2" t="str">
        <f t="shared" si="81"/>
        <v>P10372</v>
      </c>
      <c r="C597" s="2" t="str">
        <f t="shared" si="83"/>
        <v xml:space="preserve"> </v>
      </c>
      <c r="F597" s="2">
        <v>1659</v>
      </c>
      <c r="G597" s="2" t="str">
        <f t="shared" si="82"/>
        <v>P11372</v>
      </c>
      <c r="H597" s="2" t="str">
        <f t="shared" si="84"/>
        <v xml:space="preserve"> </v>
      </c>
      <c r="I597" s="7"/>
    </row>
    <row r="598" spans="1:9" x14ac:dyDescent="0.3">
      <c r="A598" s="2">
        <v>660</v>
      </c>
      <c r="B598" s="2" t="str">
        <f t="shared" si="81"/>
        <v>P10373</v>
      </c>
      <c r="C598" s="2" t="str">
        <f t="shared" si="83"/>
        <v xml:space="preserve"> </v>
      </c>
      <c r="F598" s="2">
        <v>1660</v>
      </c>
      <c r="G598" s="2" t="str">
        <f t="shared" si="82"/>
        <v>P11373</v>
      </c>
      <c r="H598" s="2" t="str">
        <f t="shared" si="84"/>
        <v xml:space="preserve"> </v>
      </c>
      <c r="I598" s="7"/>
    </row>
    <row r="599" spans="1:9" x14ac:dyDescent="0.3">
      <c r="A599" s="2">
        <v>661</v>
      </c>
      <c r="B599" s="2" t="str">
        <f t="shared" si="81"/>
        <v>P10374</v>
      </c>
      <c r="C599" s="2" t="str">
        <f t="shared" si="83"/>
        <v xml:space="preserve"> </v>
      </c>
      <c r="F599" s="2">
        <v>1661</v>
      </c>
      <c r="G599" s="2" t="str">
        <f t="shared" si="82"/>
        <v>P11374</v>
      </c>
      <c r="H599" s="2" t="str">
        <f t="shared" si="84"/>
        <v xml:space="preserve"> </v>
      </c>
      <c r="I599" s="7"/>
    </row>
    <row r="600" spans="1:9" x14ac:dyDescent="0.3">
      <c r="A600" s="2">
        <v>662</v>
      </c>
      <c r="B600" s="2" t="str">
        <f t="shared" si="81"/>
        <v>P10375</v>
      </c>
      <c r="C600" s="2" t="str">
        <f t="shared" si="83"/>
        <v xml:space="preserve"> </v>
      </c>
      <c r="F600" s="2">
        <v>1662</v>
      </c>
      <c r="G600" s="2" t="str">
        <f t="shared" si="82"/>
        <v>P11375</v>
      </c>
      <c r="H600" s="2" t="str">
        <f t="shared" si="84"/>
        <v xml:space="preserve"> </v>
      </c>
      <c r="I600" s="7"/>
    </row>
    <row r="601" spans="1:9" x14ac:dyDescent="0.3">
      <c r="A601" s="2">
        <v>663</v>
      </c>
      <c r="B601" s="2" t="str">
        <f t="shared" si="81"/>
        <v>P10376</v>
      </c>
      <c r="C601" s="2" t="str">
        <f t="shared" si="83"/>
        <v xml:space="preserve"> </v>
      </c>
      <c r="F601" s="2">
        <v>1663</v>
      </c>
      <c r="G601" s="2" t="str">
        <f t="shared" si="82"/>
        <v>P11376</v>
      </c>
      <c r="H601" s="2" t="str">
        <f t="shared" si="84"/>
        <v xml:space="preserve"> </v>
      </c>
      <c r="I601" s="7"/>
    </row>
    <row r="602" spans="1:9" x14ac:dyDescent="0.3">
      <c r="A602" s="2">
        <v>664</v>
      </c>
      <c r="B602" s="2" t="str">
        <f t="shared" si="81"/>
        <v>P10377</v>
      </c>
      <c r="C602" s="2" t="str">
        <f t="shared" si="83"/>
        <v xml:space="preserve"> </v>
      </c>
      <c r="F602" s="2">
        <v>1664</v>
      </c>
      <c r="G602" s="2" t="str">
        <f t="shared" si="82"/>
        <v>P11377</v>
      </c>
      <c r="H602" s="2" t="str">
        <f t="shared" si="84"/>
        <v xml:space="preserve"> </v>
      </c>
      <c r="I602" s="7"/>
    </row>
    <row r="603" spans="1:9" x14ac:dyDescent="0.3">
      <c r="A603" s="2">
        <v>665</v>
      </c>
      <c r="B603" s="2" t="str">
        <f t="shared" si="81"/>
        <v>P10378</v>
      </c>
      <c r="C603" s="2" t="str">
        <f t="shared" si="83"/>
        <v xml:space="preserve"> </v>
      </c>
      <c r="F603" s="2">
        <v>1665</v>
      </c>
      <c r="G603" s="2" t="str">
        <f t="shared" si="82"/>
        <v>P11378</v>
      </c>
      <c r="H603" s="2" t="str">
        <f t="shared" si="84"/>
        <v xml:space="preserve"> </v>
      </c>
      <c r="I603" s="7"/>
    </row>
    <row r="604" spans="1:9" x14ac:dyDescent="0.3">
      <c r="A604" s="2">
        <v>666</v>
      </c>
      <c r="B604" s="2" t="str">
        <f t="shared" si="81"/>
        <v>P10379</v>
      </c>
      <c r="C604" s="2" t="str">
        <f t="shared" si="83"/>
        <v xml:space="preserve"> </v>
      </c>
      <c r="F604" s="2">
        <v>1666</v>
      </c>
      <c r="G604" s="2" t="str">
        <f t="shared" si="82"/>
        <v>P11379</v>
      </c>
      <c r="H604" s="2" t="str">
        <f t="shared" si="84"/>
        <v xml:space="preserve"> </v>
      </c>
      <c r="I604" s="7"/>
    </row>
    <row r="605" spans="1:9" x14ac:dyDescent="0.3">
      <c r="A605" s="2">
        <v>667</v>
      </c>
      <c r="B605" s="2" t="str">
        <f t="shared" si="81"/>
        <v>P1037A</v>
      </c>
      <c r="C605" s="2" t="str">
        <f t="shared" si="83"/>
        <v xml:space="preserve"> </v>
      </c>
      <c r="F605" s="2">
        <v>1667</v>
      </c>
      <c r="G605" s="2" t="str">
        <f t="shared" si="82"/>
        <v>P1137A</v>
      </c>
      <c r="H605" s="2" t="str">
        <f t="shared" si="84"/>
        <v xml:space="preserve"> </v>
      </c>
      <c r="I605" s="7"/>
    </row>
    <row r="606" spans="1:9" x14ac:dyDescent="0.3">
      <c r="A606" s="2">
        <v>668</v>
      </c>
      <c r="B606" s="2" t="str">
        <f t="shared" si="81"/>
        <v>P1037B</v>
      </c>
      <c r="C606" s="2" t="str">
        <f t="shared" si="83"/>
        <v xml:space="preserve"> </v>
      </c>
      <c r="F606" s="2">
        <v>1668</v>
      </c>
      <c r="G606" s="2" t="str">
        <f t="shared" si="82"/>
        <v>P1137B</v>
      </c>
      <c r="H606" s="2" t="str">
        <f t="shared" si="84"/>
        <v xml:space="preserve"> </v>
      </c>
      <c r="I606" s="7"/>
    </row>
    <row r="607" spans="1:9" x14ac:dyDescent="0.3">
      <c r="A607" s="2">
        <v>669</v>
      </c>
      <c r="B607" s="2" t="str">
        <f t="shared" si="81"/>
        <v>P1037C</v>
      </c>
      <c r="C607" s="2" t="str">
        <f t="shared" si="83"/>
        <v xml:space="preserve"> </v>
      </c>
      <c r="F607" s="2">
        <v>1669</v>
      </c>
      <c r="G607" s="2" t="str">
        <f t="shared" si="82"/>
        <v>P1137C</v>
      </c>
      <c r="H607" s="2" t="str">
        <f t="shared" si="84"/>
        <v xml:space="preserve"> </v>
      </c>
      <c r="I607" s="7"/>
    </row>
    <row r="608" spans="1:9" x14ac:dyDescent="0.3">
      <c r="A608" s="2">
        <v>670</v>
      </c>
      <c r="B608" s="2" t="str">
        <f t="shared" si="81"/>
        <v>P1037D</v>
      </c>
      <c r="C608" s="2" t="str">
        <f t="shared" si="83"/>
        <v xml:space="preserve"> </v>
      </c>
      <c r="F608" s="2">
        <v>1670</v>
      </c>
      <c r="G608" s="2" t="str">
        <f t="shared" si="82"/>
        <v>P1137D</v>
      </c>
      <c r="H608" s="2" t="str">
        <f t="shared" si="84"/>
        <v xml:space="preserve"> </v>
      </c>
      <c r="I608" s="7"/>
    </row>
    <row r="609" spans="1:9" x14ac:dyDescent="0.3">
      <c r="A609" s="2">
        <v>671</v>
      </c>
      <c r="B609" s="2" t="str">
        <f t="shared" si="81"/>
        <v>P1037E</v>
      </c>
      <c r="C609" s="2" t="str">
        <f t="shared" si="83"/>
        <v xml:space="preserve"> </v>
      </c>
      <c r="F609" s="2">
        <v>1671</v>
      </c>
      <c r="G609" s="2" t="str">
        <f t="shared" si="82"/>
        <v>P1137E</v>
      </c>
      <c r="H609" s="2" t="str">
        <f t="shared" si="84"/>
        <v xml:space="preserve"> </v>
      </c>
      <c r="I609" s="7"/>
    </row>
    <row r="610" spans="1:9" x14ac:dyDescent="0.3">
      <c r="A610" s="2">
        <v>672</v>
      </c>
      <c r="B610" s="2" t="str">
        <f t="shared" si="81"/>
        <v>P1037F</v>
      </c>
      <c r="C610" s="2" t="str">
        <f t="shared" si="83"/>
        <v xml:space="preserve"> </v>
      </c>
      <c r="F610" s="2">
        <v>1672</v>
      </c>
      <c r="G610" s="2" t="str">
        <f t="shared" si="82"/>
        <v>P1137F</v>
      </c>
      <c r="H610" s="2" t="str">
        <f t="shared" si="84"/>
        <v xml:space="preserve"> </v>
      </c>
      <c r="I610" s="7"/>
    </row>
    <row r="611" spans="1:9" x14ac:dyDescent="0.3">
      <c r="A611" s="2">
        <v>673</v>
      </c>
      <c r="B611" s="2" t="str">
        <f t="shared" si="81"/>
        <v>P10380</v>
      </c>
      <c r="C611" s="2" t="str">
        <f t="shared" si="83"/>
        <v>P1038</v>
      </c>
      <c r="F611" s="2">
        <v>1673</v>
      </c>
      <c r="G611" s="2" t="str">
        <f t="shared" si="82"/>
        <v>P11380</v>
      </c>
      <c r="H611" s="2" t="str">
        <f t="shared" si="84"/>
        <v>P1138</v>
      </c>
      <c r="I611" s="7"/>
    </row>
    <row r="612" spans="1:9" x14ac:dyDescent="0.3">
      <c r="A612" s="2">
        <v>674</v>
      </c>
      <c r="B612" s="2" t="str">
        <f t="shared" ref="B612:B642" si="85">"P"&amp;DEC2HEX(A612+65536-$A$3 +3*96, 5)</f>
        <v>P10381</v>
      </c>
      <c r="C612" s="2" t="str">
        <f t="shared" si="83"/>
        <v xml:space="preserve"> </v>
      </c>
      <c r="F612" s="2">
        <v>1674</v>
      </c>
      <c r="G612" s="2" t="str">
        <f t="shared" ref="G612:G642" si="86">"P"&amp;DEC2HEX(F612+65536+4096 +3* 96-$F$3, 5)</f>
        <v>P11381</v>
      </c>
      <c r="H612" s="2" t="str">
        <f t="shared" si="84"/>
        <v xml:space="preserve"> </v>
      </c>
      <c r="I612" s="7"/>
    </row>
    <row r="613" spans="1:9" x14ac:dyDescent="0.3">
      <c r="A613" s="2">
        <v>675</v>
      </c>
      <c r="B613" s="2" t="str">
        <f t="shared" si="85"/>
        <v>P10382</v>
      </c>
      <c r="C613" s="2" t="str">
        <f t="shared" si="83"/>
        <v xml:space="preserve"> </v>
      </c>
      <c r="F613" s="2">
        <v>1675</v>
      </c>
      <c r="G613" s="2" t="str">
        <f t="shared" si="86"/>
        <v>P11382</v>
      </c>
      <c r="H613" s="2" t="str">
        <f t="shared" si="84"/>
        <v xml:space="preserve"> </v>
      </c>
      <c r="I613" s="7"/>
    </row>
    <row r="614" spans="1:9" x14ac:dyDescent="0.3">
      <c r="A614" s="2">
        <v>676</v>
      </c>
      <c r="B614" s="2" t="str">
        <f t="shared" si="85"/>
        <v>P10383</v>
      </c>
      <c r="C614" s="2" t="str">
        <f t="shared" si="83"/>
        <v xml:space="preserve"> </v>
      </c>
      <c r="F614" s="2">
        <v>1676</v>
      </c>
      <c r="G614" s="2" t="str">
        <f t="shared" si="86"/>
        <v>P11383</v>
      </c>
      <c r="H614" s="2" t="str">
        <f t="shared" si="84"/>
        <v xml:space="preserve"> </v>
      </c>
      <c r="I614" s="7"/>
    </row>
    <row r="615" spans="1:9" x14ac:dyDescent="0.3">
      <c r="A615" s="2">
        <v>677</v>
      </c>
      <c r="B615" s="2" t="str">
        <f t="shared" si="85"/>
        <v>P10384</v>
      </c>
      <c r="C615" s="2" t="str">
        <f t="shared" si="83"/>
        <v xml:space="preserve"> </v>
      </c>
      <c r="F615" s="2">
        <v>1677</v>
      </c>
      <c r="G615" s="2" t="str">
        <f t="shared" si="86"/>
        <v>P11384</v>
      </c>
      <c r="H615" s="2" t="str">
        <f t="shared" si="84"/>
        <v xml:space="preserve"> </v>
      </c>
      <c r="I615" s="7"/>
    </row>
    <row r="616" spans="1:9" x14ac:dyDescent="0.3">
      <c r="A616" s="2">
        <v>678</v>
      </c>
      <c r="B616" s="2" t="str">
        <f t="shared" si="85"/>
        <v>P10385</v>
      </c>
      <c r="C616" s="2" t="str">
        <f t="shared" si="83"/>
        <v xml:space="preserve"> </v>
      </c>
      <c r="F616" s="2">
        <v>1678</v>
      </c>
      <c r="G616" s="2" t="str">
        <f t="shared" si="86"/>
        <v>P11385</v>
      </c>
      <c r="H616" s="2" t="str">
        <f t="shared" si="84"/>
        <v xml:space="preserve"> </v>
      </c>
      <c r="I616" s="7"/>
    </row>
    <row r="617" spans="1:9" x14ac:dyDescent="0.3">
      <c r="A617" s="2">
        <v>679</v>
      </c>
      <c r="B617" s="2" t="str">
        <f t="shared" si="85"/>
        <v>P10386</v>
      </c>
      <c r="C617" s="2" t="str">
        <f t="shared" si="83"/>
        <v xml:space="preserve"> </v>
      </c>
      <c r="F617" s="2">
        <v>1679</v>
      </c>
      <c r="G617" s="2" t="str">
        <f t="shared" si="86"/>
        <v>P11386</v>
      </c>
      <c r="H617" s="2" t="str">
        <f t="shared" si="84"/>
        <v xml:space="preserve"> </v>
      </c>
      <c r="I617" s="7"/>
    </row>
    <row r="618" spans="1:9" x14ac:dyDescent="0.3">
      <c r="A618" s="2">
        <v>680</v>
      </c>
      <c r="B618" s="2" t="str">
        <f t="shared" si="85"/>
        <v>P10387</v>
      </c>
      <c r="C618" s="2" t="str">
        <f t="shared" si="83"/>
        <v xml:space="preserve"> </v>
      </c>
      <c r="F618" s="2">
        <v>1680</v>
      </c>
      <c r="G618" s="2" t="str">
        <f t="shared" si="86"/>
        <v>P11387</v>
      </c>
      <c r="H618" s="2" t="str">
        <f t="shared" si="84"/>
        <v xml:space="preserve"> </v>
      </c>
      <c r="I618" s="7"/>
    </row>
    <row r="619" spans="1:9" x14ac:dyDescent="0.3">
      <c r="A619" s="2">
        <v>681</v>
      </c>
      <c r="B619" s="2" t="str">
        <f t="shared" si="85"/>
        <v>P10388</v>
      </c>
      <c r="C619" s="2" t="str">
        <f t="shared" si="83"/>
        <v xml:space="preserve"> </v>
      </c>
      <c r="F619" s="2">
        <v>1681</v>
      </c>
      <c r="G619" s="2" t="str">
        <f t="shared" si="86"/>
        <v>P11388</v>
      </c>
      <c r="H619" s="2" t="str">
        <f t="shared" si="84"/>
        <v xml:space="preserve"> </v>
      </c>
      <c r="I619" s="7"/>
    </row>
    <row r="620" spans="1:9" x14ac:dyDescent="0.3">
      <c r="A620" s="2">
        <v>682</v>
      </c>
      <c r="B620" s="2" t="str">
        <f t="shared" si="85"/>
        <v>P10389</v>
      </c>
      <c r="C620" s="2" t="str">
        <f t="shared" si="83"/>
        <v xml:space="preserve"> </v>
      </c>
      <c r="F620" s="2">
        <v>1682</v>
      </c>
      <c r="G620" s="2" t="str">
        <f t="shared" si="86"/>
        <v>P11389</v>
      </c>
      <c r="H620" s="2" t="str">
        <f t="shared" si="84"/>
        <v xml:space="preserve"> </v>
      </c>
      <c r="I620" s="7"/>
    </row>
    <row r="621" spans="1:9" x14ac:dyDescent="0.3">
      <c r="A621" s="2">
        <v>683</v>
      </c>
      <c r="B621" s="2" t="str">
        <f t="shared" si="85"/>
        <v>P1038A</v>
      </c>
      <c r="C621" s="2" t="str">
        <f t="shared" si="83"/>
        <v xml:space="preserve"> </v>
      </c>
      <c r="F621" s="2">
        <v>1683</v>
      </c>
      <c r="G621" s="2" t="str">
        <f t="shared" si="86"/>
        <v>P1138A</v>
      </c>
      <c r="H621" s="2" t="str">
        <f t="shared" si="84"/>
        <v xml:space="preserve"> </v>
      </c>
      <c r="I621" s="7"/>
    </row>
    <row r="622" spans="1:9" x14ac:dyDescent="0.3">
      <c r="A622" s="2">
        <v>684</v>
      </c>
      <c r="B622" s="2" t="str">
        <f t="shared" si="85"/>
        <v>P1038B</v>
      </c>
      <c r="C622" s="2" t="str">
        <f t="shared" si="83"/>
        <v xml:space="preserve"> </v>
      </c>
      <c r="F622" s="2">
        <v>1684</v>
      </c>
      <c r="G622" s="2" t="str">
        <f t="shared" si="86"/>
        <v>P1138B</v>
      </c>
      <c r="H622" s="2" t="str">
        <f t="shared" si="84"/>
        <v xml:space="preserve"> </v>
      </c>
      <c r="I622" s="7"/>
    </row>
    <row r="623" spans="1:9" x14ac:dyDescent="0.3">
      <c r="A623" s="2">
        <v>685</v>
      </c>
      <c r="B623" s="2" t="str">
        <f t="shared" si="85"/>
        <v>P1038C</v>
      </c>
      <c r="C623" s="2" t="str">
        <f t="shared" si="83"/>
        <v xml:space="preserve"> </v>
      </c>
      <c r="F623" s="2">
        <v>1685</v>
      </c>
      <c r="G623" s="2" t="str">
        <f t="shared" si="86"/>
        <v>P1138C</v>
      </c>
      <c r="H623" s="2" t="str">
        <f t="shared" si="84"/>
        <v xml:space="preserve"> </v>
      </c>
      <c r="I623" s="7"/>
    </row>
    <row r="624" spans="1:9" x14ac:dyDescent="0.3">
      <c r="A624" s="2">
        <v>686</v>
      </c>
      <c r="B624" s="2" t="str">
        <f t="shared" si="85"/>
        <v>P1038D</v>
      </c>
      <c r="C624" s="2" t="str">
        <f t="shared" si="83"/>
        <v xml:space="preserve"> </v>
      </c>
      <c r="F624" s="2">
        <v>1686</v>
      </c>
      <c r="G624" s="2" t="str">
        <f t="shared" si="86"/>
        <v>P1138D</v>
      </c>
      <c r="H624" s="2" t="str">
        <f t="shared" si="84"/>
        <v xml:space="preserve"> </v>
      </c>
      <c r="I624" s="7"/>
    </row>
    <row r="625" spans="1:9" x14ac:dyDescent="0.3">
      <c r="A625" s="2">
        <v>687</v>
      </c>
      <c r="B625" s="2" t="str">
        <f t="shared" si="85"/>
        <v>P1038E</v>
      </c>
      <c r="C625" s="2" t="str">
        <f t="shared" si="83"/>
        <v xml:space="preserve"> </v>
      </c>
      <c r="F625" s="2">
        <v>1687</v>
      </c>
      <c r="G625" s="2" t="str">
        <f t="shared" si="86"/>
        <v>P1138E</v>
      </c>
      <c r="H625" s="2" t="str">
        <f t="shared" si="84"/>
        <v xml:space="preserve"> </v>
      </c>
      <c r="I625" s="7"/>
    </row>
    <row r="626" spans="1:9" x14ac:dyDescent="0.3">
      <c r="A626" s="2">
        <v>688</v>
      </c>
      <c r="B626" s="2" t="str">
        <f t="shared" si="85"/>
        <v>P1038F</v>
      </c>
      <c r="C626" s="2" t="str">
        <f t="shared" si="83"/>
        <v xml:space="preserve"> </v>
      </c>
      <c r="F626" s="2">
        <v>1688</v>
      </c>
      <c r="G626" s="2" t="str">
        <f t="shared" si="86"/>
        <v>P1138F</v>
      </c>
      <c r="H626" s="2" t="str">
        <f t="shared" si="84"/>
        <v xml:space="preserve"> </v>
      </c>
      <c r="I626" s="7"/>
    </row>
    <row r="627" spans="1:9" x14ac:dyDescent="0.3">
      <c r="A627" s="2">
        <v>689</v>
      </c>
      <c r="B627" s="2" t="str">
        <f t="shared" si="85"/>
        <v>P10390</v>
      </c>
      <c r="C627" s="2" t="str">
        <f t="shared" si="83"/>
        <v>P1039</v>
      </c>
      <c r="F627" s="2">
        <v>1689</v>
      </c>
      <c r="G627" s="2" t="str">
        <f t="shared" si="86"/>
        <v>P11390</v>
      </c>
      <c r="H627" s="2" t="str">
        <f t="shared" si="84"/>
        <v>P1139</v>
      </c>
      <c r="I627" s="7"/>
    </row>
    <row r="628" spans="1:9" x14ac:dyDescent="0.3">
      <c r="A628" s="2">
        <v>690</v>
      </c>
      <c r="B628" s="2" t="str">
        <f t="shared" si="85"/>
        <v>P10391</v>
      </c>
      <c r="C628" s="2" t="str">
        <f t="shared" si="83"/>
        <v xml:space="preserve"> </v>
      </c>
      <c r="F628" s="2">
        <v>1690</v>
      </c>
      <c r="G628" s="2" t="str">
        <f t="shared" si="86"/>
        <v>P11391</v>
      </c>
      <c r="H628" s="2" t="str">
        <f t="shared" si="84"/>
        <v xml:space="preserve"> </v>
      </c>
      <c r="I628" s="7"/>
    </row>
    <row r="629" spans="1:9" x14ac:dyDescent="0.3">
      <c r="A629" s="2">
        <v>691</v>
      </c>
      <c r="B629" s="2" t="str">
        <f t="shared" si="85"/>
        <v>P10392</v>
      </c>
      <c r="C629" s="2" t="str">
        <f t="shared" si="83"/>
        <v xml:space="preserve"> </v>
      </c>
      <c r="F629" s="2">
        <v>1691</v>
      </c>
      <c r="G629" s="2" t="str">
        <f t="shared" si="86"/>
        <v>P11392</v>
      </c>
      <c r="H629" s="2" t="str">
        <f t="shared" si="84"/>
        <v xml:space="preserve"> </v>
      </c>
      <c r="I629" s="7"/>
    </row>
    <row r="630" spans="1:9" x14ac:dyDescent="0.3">
      <c r="A630" s="2">
        <v>692</v>
      </c>
      <c r="B630" s="2" t="str">
        <f t="shared" si="85"/>
        <v>P10393</v>
      </c>
      <c r="C630" s="2" t="str">
        <f t="shared" si="83"/>
        <v xml:space="preserve"> </v>
      </c>
      <c r="F630" s="2">
        <v>1692</v>
      </c>
      <c r="G630" s="2" t="str">
        <f t="shared" si="86"/>
        <v>P11393</v>
      </c>
      <c r="H630" s="2" t="str">
        <f t="shared" si="84"/>
        <v xml:space="preserve"> </v>
      </c>
      <c r="I630" s="7"/>
    </row>
    <row r="631" spans="1:9" x14ac:dyDescent="0.3">
      <c r="A631" s="2">
        <v>693</v>
      </c>
      <c r="B631" s="2" t="str">
        <f t="shared" si="85"/>
        <v>P10394</v>
      </c>
      <c r="C631" s="2" t="str">
        <f t="shared" si="83"/>
        <v xml:space="preserve"> </v>
      </c>
      <c r="F631" s="2">
        <v>1693</v>
      </c>
      <c r="G631" s="2" t="str">
        <f t="shared" si="86"/>
        <v>P11394</v>
      </c>
      <c r="H631" s="2" t="str">
        <f t="shared" si="84"/>
        <v xml:space="preserve"> </v>
      </c>
      <c r="I631" s="7"/>
    </row>
    <row r="632" spans="1:9" x14ac:dyDescent="0.3">
      <c r="A632" s="2">
        <v>694</v>
      </c>
      <c r="B632" s="2" t="str">
        <f t="shared" si="85"/>
        <v>P10395</v>
      </c>
      <c r="C632" s="2" t="str">
        <f t="shared" si="83"/>
        <v xml:space="preserve"> </v>
      </c>
      <c r="F632" s="2">
        <v>1694</v>
      </c>
      <c r="G632" s="2" t="str">
        <f t="shared" si="86"/>
        <v>P11395</v>
      </c>
      <c r="H632" s="2" t="str">
        <f t="shared" si="84"/>
        <v xml:space="preserve"> </v>
      </c>
      <c r="I632" s="7"/>
    </row>
    <row r="633" spans="1:9" x14ac:dyDescent="0.3">
      <c r="A633" s="2">
        <v>695</v>
      </c>
      <c r="B633" s="2" t="str">
        <f t="shared" si="85"/>
        <v>P10396</v>
      </c>
      <c r="C633" s="2" t="str">
        <f t="shared" si="83"/>
        <v xml:space="preserve"> </v>
      </c>
      <c r="F633" s="2">
        <v>1695</v>
      </c>
      <c r="G633" s="2" t="str">
        <f t="shared" si="86"/>
        <v>P11396</v>
      </c>
      <c r="H633" s="2" t="str">
        <f t="shared" si="84"/>
        <v xml:space="preserve"> </v>
      </c>
      <c r="I633" s="7"/>
    </row>
    <row r="634" spans="1:9" x14ac:dyDescent="0.3">
      <c r="A634" s="2">
        <v>696</v>
      </c>
      <c r="B634" s="2" t="str">
        <f t="shared" si="85"/>
        <v>P10397</v>
      </c>
      <c r="C634" s="2" t="str">
        <f t="shared" si="83"/>
        <v xml:space="preserve"> </v>
      </c>
      <c r="F634" s="2">
        <v>1696</v>
      </c>
      <c r="G634" s="2" t="str">
        <f t="shared" si="86"/>
        <v>P11397</v>
      </c>
      <c r="H634" s="2" t="str">
        <f t="shared" si="84"/>
        <v xml:space="preserve"> </v>
      </c>
      <c r="I634" s="7"/>
    </row>
    <row r="635" spans="1:9" x14ac:dyDescent="0.3">
      <c r="A635" s="2">
        <v>697</v>
      </c>
      <c r="B635" s="2" t="str">
        <f t="shared" si="85"/>
        <v>P10398</v>
      </c>
      <c r="C635" s="2" t="str">
        <f t="shared" si="83"/>
        <v xml:space="preserve"> </v>
      </c>
      <c r="F635" s="2">
        <v>1697</v>
      </c>
      <c r="G635" s="2" t="str">
        <f t="shared" si="86"/>
        <v>P11398</v>
      </c>
      <c r="H635" s="2" t="str">
        <f t="shared" si="84"/>
        <v xml:space="preserve"> </v>
      </c>
      <c r="I635" s="7"/>
    </row>
    <row r="636" spans="1:9" x14ac:dyDescent="0.3">
      <c r="A636" s="2">
        <v>698</v>
      </c>
      <c r="B636" s="2" t="str">
        <f t="shared" si="85"/>
        <v>P10399</v>
      </c>
      <c r="C636" s="2" t="str">
        <f t="shared" si="83"/>
        <v xml:space="preserve"> </v>
      </c>
      <c r="F636" s="2">
        <v>1698</v>
      </c>
      <c r="G636" s="2" t="str">
        <f t="shared" si="86"/>
        <v>P11399</v>
      </c>
      <c r="H636" s="2" t="str">
        <f t="shared" si="84"/>
        <v xml:space="preserve"> </v>
      </c>
      <c r="I636" s="7"/>
    </row>
    <row r="637" spans="1:9" x14ac:dyDescent="0.3">
      <c r="A637" s="2">
        <v>699</v>
      </c>
      <c r="B637" s="2" t="str">
        <f t="shared" si="85"/>
        <v>P1039A</v>
      </c>
      <c r="C637" s="2" t="str">
        <f t="shared" si="83"/>
        <v xml:space="preserve"> </v>
      </c>
      <c r="F637" s="2">
        <v>1699</v>
      </c>
      <c r="G637" s="2" t="str">
        <f t="shared" si="86"/>
        <v>P1139A</v>
      </c>
      <c r="H637" s="2" t="str">
        <f t="shared" si="84"/>
        <v xml:space="preserve"> </v>
      </c>
      <c r="I637" s="7"/>
    </row>
    <row r="638" spans="1:9" x14ac:dyDescent="0.3">
      <c r="A638" s="2">
        <v>700</v>
      </c>
      <c r="B638" s="2" t="str">
        <f t="shared" si="85"/>
        <v>P1039B</v>
      </c>
      <c r="C638" s="2" t="str">
        <f t="shared" si="83"/>
        <v xml:space="preserve"> </v>
      </c>
      <c r="F638" s="2">
        <v>1700</v>
      </c>
      <c r="G638" s="2" t="str">
        <f t="shared" si="86"/>
        <v>P1139B</v>
      </c>
      <c r="H638" s="2" t="str">
        <f t="shared" si="84"/>
        <v xml:space="preserve"> </v>
      </c>
      <c r="I638" s="7"/>
    </row>
    <row r="639" spans="1:9" x14ac:dyDescent="0.3">
      <c r="A639" s="2">
        <v>701</v>
      </c>
      <c r="B639" s="2" t="str">
        <f t="shared" si="85"/>
        <v>P1039C</v>
      </c>
      <c r="C639" s="2" t="str">
        <f t="shared" si="83"/>
        <v xml:space="preserve"> </v>
      </c>
      <c r="F639" s="2">
        <v>1701</v>
      </c>
      <c r="G639" s="2" t="str">
        <f t="shared" si="86"/>
        <v>P1139C</v>
      </c>
      <c r="H639" s="2" t="str">
        <f t="shared" si="84"/>
        <v xml:space="preserve"> </v>
      </c>
      <c r="I639" s="7"/>
    </row>
    <row r="640" spans="1:9" x14ac:dyDescent="0.3">
      <c r="A640" s="2">
        <v>702</v>
      </c>
      <c r="B640" s="2" t="str">
        <f t="shared" si="85"/>
        <v>P1039D</v>
      </c>
      <c r="C640" s="2" t="str">
        <f t="shared" si="83"/>
        <v xml:space="preserve"> </v>
      </c>
      <c r="F640" s="2">
        <v>1702</v>
      </c>
      <c r="G640" s="2" t="str">
        <f t="shared" si="86"/>
        <v>P1139D</v>
      </c>
      <c r="H640" s="2" t="str">
        <f t="shared" si="84"/>
        <v xml:space="preserve"> </v>
      </c>
      <c r="I640" s="7"/>
    </row>
    <row r="641" spans="1:9" x14ac:dyDescent="0.3">
      <c r="A641" s="2">
        <v>703</v>
      </c>
      <c r="B641" s="2" t="str">
        <f t="shared" si="85"/>
        <v>P1039E</v>
      </c>
      <c r="C641" s="2" t="str">
        <f t="shared" si="83"/>
        <v xml:space="preserve"> </v>
      </c>
      <c r="F641" s="2">
        <v>1703</v>
      </c>
      <c r="G641" s="2" t="str">
        <f t="shared" si="86"/>
        <v>P1139E</v>
      </c>
      <c r="H641" s="2" t="str">
        <f t="shared" si="84"/>
        <v xml:space="preserve"> </v>
      </c>
      <c r="I641" s="7"/>
    </row>
    <row r="642" spans="1:9" x14ac:dyDescent="0.3">
      <c r="A642" s="2">
        <v>704</v>
      </c>
      <c r="B642" s="2" t="str">
        <f t="shared" si="85"/>
        <v>P1039F</v>
      </c>
      <c r="C642" s="2" t="str">
        <f t="shared" si="83"/>
        <v xml:space="preserve"> </v>
      </c>
      <c r="F642" s="2">
        <v>1704</v>
      </c>
      <c r="G642" s="2" t="str">
        <f t="shared" si="86"/>
        <v>P1139F</v>
      </c>
      <c r="H642" s="2" t="str">
        <f t="shared" si="84"/>
        <v xml:space="preserve"> </v>
      </c>
      <c r="I642" s="7"/>
    </row>
    <row r="643" spans="1:9" x14ac:dyDescent="0.3">
      <c r="A643" s="2">
        <v>705</v>
      </c>
      <c r="B643" s="2" t="str">
        <f>"P"&amp;DEC2HEX(A643+65536-$A$3 +4*96, 5)</f>
        <v>P10400</v>
      </c>
      <c r="C643" s="2" t="str">
        <f t="shared" ref="C643:C706" si="87">IF(RIGHT(B643,1)="0",LEFT(B643,5)," ")</f>
        <v>P1040</v>
      </c>
      <c r="F643" s="2">
        <v>1705</v>
      </c>
      <c r="G643" s="2" t="str">
        <f>"P"&amp;DEC2HEX(F643+65536+4096 +4* 96-$F$3, 5)</f>
        <v>P11400</v>
      </c>
      <c r="H643" s="2" t="str">
        <f t="shared" si="84"/>
        <v>P1140</v>
      </c>
      <c r="I643" s="7"/>
    </row>
    <row r="644" spans="1:9" x14ac:dyDescent="0.3">
      <c r="A644" s="2">
        <v>706</v>
      </c>
      <c r="B644" s="2" t="str">
        <f t="shared" ref="B644:B707" si="88">"P"&amp;DEC2HEX(A644+65536-$A$3 +4*96, 5)</f>
        <v>P10401</v>
      </c>
      <c r="C644" s="2" t="str">
        <f t="shared" si="87"/>
        <v xml:space="preserve"> </v>
      </c>
      <c r="F644" s="2">
        <v>1706</v>
      </c>
      <c r="G644" s="2" t="str">
        <f t="shared" ref="G644:G707" si="89">"P"&amp;DEC2HEX(F644+65536+4096 +4* 96-$F$3, 5)</f>
        <v>P11401</v>
      </c>
      <c r="H644" s="2" t="str">
        <f t="shared" si="84"/>
        <v xml:space="preserve"> </v>
      </c>
      <c r="I644" s="7"/>
    </row>
    <row r="645" spans="1:9" x14ac:dyDescent="0.3">
      <c r="A645" s="2">
        <v>707</v>
      </c>
      <c r="B645" s="2" t="str">
        <f t="shared" si="88"/>
        <v>P10402</v>
      </c>
      <c r="C645" s="2" t="str">
        <f t="shared" si="87"/>
        <v xml:space="preserve"> </v>
      </c>
      <c r="F645" s="2">
        <v>1707</v>
      </c>
      <c r="G645" s="2" t="str">
        <f t="shared" si="89"/>
        <v>P11402</v>
      </c>
      <c r="H645" s="2" t="str">
        <f t="shared" si="84"/>
        <v xml:space="preserve"> </v>
      </c>
      <c r="I645" s="7"/>
    </row>
    <row r="646" spans="1:9" x14ac:dyDescent="0.3">
      <c r="A646" s="2">
        <v>708</v>
      </c>
      <c r="B646" s="2" t="str">
        <f t="shared" si="88"/>
        <v>P10403</v>
      </c>
      <c r="C646" s="2" t="str">
        <f t="shared" si="87"/>
        <v xml:space="preserve"> </v>
      </c>
      <c r="F646" s="2">
        <v>1708</v>
      </c>
      <c r="G646" s="2" t="str">
        <f t="shared" si="89"/>
        <v>P11403</v>
      </c>
      <c r="H646" s="2" t="str">
        <f t="shared" si="84"/>
        <v xml:space="preserve"> </v>
      </c>
      <c r="I646" s="7"/>
    </row>
    <row r="647" spans="1:9" x14ac:dyDescent="0.3">
      <c r="A647" s="2">
        <v>709</v>
      </c>
      <c r="B647" s="2" t="str">
        <f t="shared" si="88"/>
        <v>P10404</v>
      </c>
      <c r="C647" s="2" t="str">
        <f t="shared" si="87"/>
        <v xml:space="preserve"> </v>
      </c>
      <c r="F647" s="2">
        <v>1709</v>
      </c>
      <c r="G647" s="2" t="str">
        <f t="shared" si="89"/>
        <v>P11404</v>
      </c>
      <c r="H647" s="2" t="str">
        <f t="shared" ref="H647:H710" si="90">IF(RIGHT(G647,1)="0",LEFT(G647,5)," ")</f>
        <v xml:space="preserve"> </v>
      </c>
      <c r="I647" s="7"/>
    </row>
    <row r="648" spans="1:9" x14ac:dyDescent="0.3">
      <c r="A648" s="2">
        <v>710</v>
      </c>
      <c r="B648" s="2" t="str">
        <f t="shared" si="88"/>
        <v>P10405</v>
      </c>
      <c r="C648" s="2" t="str">
        <f t="shared" si="87"/>
        <v xml:space="preserve"> </v>
      </c>
      <c r="F648" s="2">
        <v>1710</v>
      </c>
      <c r="G648" s="2" t="str">
        <f t="shared" si="89"/>
        <v>P11405</v>
      </c>
      <c r="H648" s="2" t="str">
        <f t="shared" si="90"/>
        <v xml:space="preserve"> </v>
      </c>
      <c r="I648" s="7"/>
    </row>
    <row r="649" spans="1:9" x14ac:dyDescent="0.3">
      <c r="A649" s="2">
        <v>711</v>
      </c>
      <c r="B649" s="2" t="str">
        <f t="shared" si="88"/>
        <v>P10406</v>
      </c>
      <c r="C649" s="2" t="str">
        <f t="shared" si="87"/>
        <v xml:space="preserve"> </v>
      </c>
      <c r="F649" s="2">
        <v>1711</v>
      </c>
      <c r="G649" s="2" t="str">
        <f t="shared" si="89"/>
        <v>P11406</v>
      </c>
      <c r="H649" s="2" t="str">
        <f t="shared" si="90"/>
        <v xml:space="preserve"> </v>
      </c>
      <c r="I649" s="7"/>
    </row>
    <row r="650" spans="1:9" x14ac:dyDescent="0.3">
      <c r="A650" s="2">
        <v>712</v>
      </c>
      <c r="B650" s="2" t="str">
        <f t="shared" si="88"/>
        <v>P10407</v>
      </c>
      <c r="C650" s="2" t="str">
        <f t="shared" si="87"/>
        <v xml:space="preserve"> </v>
      </c>
      <c r="F650" s="2">
        <v>1712</v>
      </c>
      <c r="G650" s="2" t="str">
        <f t="shared" si="89"/>
        <v>P11407</v>
      </c>
      <c r="H650" s="2" t="str">
        <f t="shared" si="90"/>
        <v xml:space="preserve"> </v>
      </c>
      <c r="I650" s="7"/>
    </row>
    <row r="651" spans="1:9" x14ac:dyDescent="0.3">
      <c r="A651" s="2">
        <v>713</v>
      </c>
      <c r="B651" s="2" t="str">
        <f t="shared" si="88"/>
        <v>P10408</v>
      </c>
      <c r="C651" s="2" t="str">
        <f t="shared" si="87"/>
        <v xml:space="preserve"> </v>
      </c>
      <c r="F651" s="2">
        <v>1713</v>
      </c>
      <c r="G651" s="2" t="str">
        <f t="shared" si="89"/>
        <v>P11408</v>
      </c>
      <c r="H651" s="2" t="str">
        <f t="shared" si="90"/>
        <v xml:space="preserve"> </v>
      </c>
      <c r="I651" s="7"/>
    </row>
    <row r="652" spans="1:9" x14ac:dyDescent="0.3">
      <c r="A652" s="2">
        <v>714</v>
      </c>
      <c r="B652" s="2" t="str">
        <f t="shared" si="88"/>
        <v>P10409</v>
      </c>
      <c r="C652" s="2" t="str">
        <f t="shared" si="87"/>
        <v xml:space="preserve"> </v>
      </c>
      <c r="F652" s="2">
        <v>1714</v>
      </c>
      <c r="G652" s="2" t="str">
        <f t="shared" si="89"/>
        <v>P11409</v>
      </c>
      <c r="H652" s="2" t="str">
        <f t="shared" si="90"/>
        <v xml:space="preserve"> </v>
      </c>
      <c r="I652" s="7"/>
    </row>
    <row r="653" spans="1:9" x14ac:dyDescent="0.3">
      <c r="A653" s="2">
        <v>715</v>
      </c>
      <c r="B653" s="2" t="str">
        <f t="shared" si="88"/>
        <v>P1040A</v>
      </c>
      <c r="C653" s="2" t="str">
        <f t="shared" si="87"/>
        <v xml:space="preserve"> </v>
      </c>
      <c r="F653" s="2">
        <v>1715</v>
      </c>
      <c r="G653" s="2" t="str">
        <f t="shared" si="89"/>
        <v>P1140A</v>
      </c>
      <c r="H653" s="2" t="str">
        <f t="shared" si="90"/>
        <v xml:space="preserve"> </v>
      </c>
      <c r="I653" s="7"/>
    </row>
    <row r="654" spans="1:9" x14ac:dyDescent="0.3">
      <c r="A654" s="2">
        <v>716</v>
      </c>
      <c r="B654" s="2" t="str">
        <f t="shared" si="88"/>
        <v>P1040B</v>
      </c>
      <c r="C654" s="2" t="str">
        <f t="shared" si="87"/>
        <v xml:space="preserve"> </v>
      </c>
      <c r="F654" s="2">
        <v>1716</v>
      </c>
      <c r="G654" s="2" t="str">
        <f t="shared" si="89"/>
        <v>P1140B</v>
      </c>
      <c r="H654" s="2" t="str">
        <f t="shared" si="90"/>
        <v xml:space="preserve"> </v>
      </c>
      <c r="I654" s="7"/>
    </row>
    <row r="655" spans="1:9" x14ac:dyDescent="0.3">
      <c r="A655" s="2">
        <v>717</v>
      </c>
      <c r="B655" s="2" t="str">
        <f t="shared" si="88"/>
        <v>P1040C</v>
      </c>
      <c r="C655" s="2" t="str">
        <f t="shared" si="87"/>
        <v xml:space="preserve"> </v>
      </c>
      <c r="F655" s="2">
        <v>1717</v>
      </c>
      <c r="G655" s="2" t="str">
        <f t="shared" si="89"/>
        <v>P1140C</v>
      </c>
      <c r="H655" s="2" t="str">
        <f t="shared" si="90"/>
        <v xml:space="preserve"> </v>
      </c>
      <c r="I655" s="7"/>
    </row>
    <row r="656" spans="1:9" x14ac:dyDescent="0.3">
      <c r="A656" s="2">
        <v>718</v>
      </c>
      <c r="B656" s="2" t="str">
        <f t="shared" si="88"/>
        <v>P1040D</v>
      </c>
      <c r="C656" s="2" t="str">
        <f t="shared" si="87"/>
        <v xml:space="preserve"> </v>
      </c>
      <c r="F656" s="2">
        <v>1718</v>
      </c>
      <c r="G656" s="2" t="str">
        <f t="shared" si="89"/>
        <v>P1140D</v>
      </c>
      <c r="H656" s="2" t="str">
        <f t="shared" si="90"/>
        <v xml:space="preserve"> </v>
      </c>
      <c r="I656" s="7"/>
    </row>
    <row r="657" spans="1:9" x14ac:dyDescent="0.3">
      <c r="A657" s="2">
        <v>719</v>
      </c>
      <c r="B657" s="2" t="str">
        <f t="shared" si="88"/>
        <v>P1040E</v>
      </c>
      <c r="C657" s="2" t="str">
        <f t="shared" si="87"/>
        <v xml:space="preserve"> </v>
      </c>
      <c r="F657" s="2">
        <v>1719</v>
      </c>
      <c r="G657" s="2" t="str">
        <f t="shared" si="89"/>
        <v>P1140E</v>
      </c>
      <c r="H657" s="2" t="str">
        <f t="shared" si="90"/>
        <v xml:space="preserve"> </v>
      </c>
      <c r="I657" s="7"/>
    </row>
    <row r="658" spans="1:9" x14ac:dyDescent="0.3">
      <c r="A658" s="2">
        <v>720</v>
      </c>
      <c r="B658" s="2" t="str">
        <f t="shared" si="88"/>
        <v>P1040F</v>
      </c>
      <c r="C658" s="2" t="str">
        <f t="shared" si="87"/>
        <v xml:space="preserve"> </v>
      </c>
      <c r="F658" s="2">
        <v>1720</v>
      </c>
      <c r="G658" s="2" t="str">
        <f t="shared" si="89"/>
        <v>P1140F</v>
      </c>
      <c r="H658" s="2" t="str">
        <f t="shared" si="90"/>
        <v xml:space="preserve"> </v>
      </c>
      <c r="I658" s="7"/>
    </row>
    <row r="659" spans="1:9" x14ac:dyDescent="0.3">
      <c r="A659" s="2">
        <v>721</v>
      </c>
      <c r="B659" s="2" t="str">
        <f t="shared" si="88"/>
        <v>P10410</v>
      </c>
      <c r="C659" s="2" t="str">
        <f t="shared" si="87"/>
        <v>P1041</v>
      </c>
      <c r="F659" s="2">
        <v>1721</v>
      </c>
      <c r="G659" s="2" t="str">
        <f t="shared" si="89"/>
        <v>P11410</v>
      </c>
      <c r="H659" s="2" t="str">
        <f t="shared" si="90"/>
        <v>P1141</v>
      </c>
      <c r="I659" s="7"/>
    </row>
    <row r="660" spans="1:9" x14ac:dyDescent="0.3">
      <c r="A660" s="2">
        <v>722</v>
      </c>
      <c r="B660" s="2" t="str">
        <f t="shared" si="88"/>
        <v>P10411</v>
      </c>
      <c r="C660" s="2" t="str">
        <f t="shared" si="87"/>
        <v xml:space="preserve"> </v>
      </c>
      <c r="F660" s="2">
        <v>1722</v>
      </c>
      <c r="G660" s="2" t="str">
        <f t="shared" si="89"/>
        <v>P11411</v>
      </c>
      <c r="H660" s="2" t="str">
        <f t="shared" si="90"/>
        <v xml:space="preserve"> </v>
      </c>
      <c r="I660" s="7"/>
    </row>
    <row r="661" spans="1:9" x14ac:dyDescent="0.3">
      <c r="A661" s="2">
        <v>723</v>
      </c>
      <c r="B661" s="2" t="str">
        <f t="shared" si="88"/>
        <v>P10412</v>
      </c>
      <c r="C661" s="2" t="str">
        <f t="shared" si="87"/>
        <v xml:space="preserve"> </v>
      </c>
      <c r="F661" s="2">
        <v>1723</v>
      </c>
      <c r="G661" s="2" t="str">
        <f t="shared" si="89"/>
        <v>P11412</v>
      </c>
      <c r="H661" s="2" t="str">
        <f t="shared" si="90"/>
        <v xml:space="preserve"> </v>
      </c>
      <c r="I661" s="7"/>
    </row>
    <row r="662" spans="1:9" x14ac:dyDescent="0.3">
      <c r="A662" s="2">
        <v>724</v>
      </c>
      <c r="B662" s="2" t="str">
        <f t="shared" si="88"/>
        <v>P10413</v>
      </c>
      <c r="C662" s="2" t="str">
        <f t="shared" si="87"/>
        <v xml:space="preserve"> </v>
      </c>
      <c r="F662" s="2">
        <v>1724</v>
      </c>
      <c r="G662" s="2" t="str">
        <f t="shared" si="89"/>
        <v>P11413</v>
      </c>
      <c r="H662" s="2" t="str">
        <f t="shared" si="90"/>
        <v xml:space="preserve"> </v>
      </c>
      <c r="I662" s="7"/>
    </row>
    <row r="663" spans="1:9" x14ac:dyDescent="0.3">
      <c r="A663" s="2">
        <v>725</v>
      </c>
      <c r="B663" s="2" t="str">
        <f t="shared" si="88"/>
        <v>P10414</v>
      </c>
      <c r="C663" s="2" t="str">
        <f t="shared" si="87"/>
        <v xml:space="preserve"> </v>
      </c>
      <c r="F663" s="2">
        <v>1725</v>
      </c>
      <c r="G663" s="2" t="str">
        <f t="shared" si="89"/>
        <v>P11414</v>
      </c>
      <c r="H663" s="2" t="str">
        <f t="shared" si="90"/>
        <v xml:space="preserve"> </v>
      </c>
      <c r="I663" s="7"/>
    </row>
    <row r="664" spans="1:9" x14ac:dyDescent="0.3">
      <c r="A664" s="2">
        <v>726</v>
      </c>
      <c r="B664" s="2" t="str">
        <f t="shared" si="88"/>
        <v>P10415</v>
      </c>
      <c r="C664" s="2" t="str">
        <f t="shared" si="87"/>
        <v xml:space="preserve"> </v>
      </c>
      <c r="F664" s="2">
        <v>1726</v>
      </c>
      <c r="G664" s="2" t="str">
        <f t="shared" si="89"/>
        <v>P11415</v>
      </c>
      <c r="H664" s="2" t="str">
        <f t="shared" si="90"/>
        <v xml:space="preserve"> </v>
      </c>
      <c r="I664" s="7"/>
    </row>
    <row r="665" spans="1:9" x14ac:dyDescent="0.3">
      <c r="A665" s="2">
        <v>727</v>
      </c>
      <c r="B665" s="2" t="str">
        <f t="shared" si="88"/>
        <v>P10416</v>
      </c>
      <c r="C665" s="2" t="str">
        <f t="shared" si="87"/>
        <v xml:space="preserve"> </v>
      </c>
      <c r="F665" s="2">
        <v>1727</v>
      </c>
      <c r="G665" s="2" t="str">
        <f t="shared" si="89"/>
        <v>P11416</v>
      </c>
      <c r="H665" s="2" t="str">
        <f t="shared" si="90"/>
        <v xml:space="preserve"> </v>
      </c>
      <c r="I665" s="7"/>
    </row>
    <row r="666" spans="1:9" x14ac:dyDescent="0.3">
      <c r="A666" s="2">
        <v>728</v>
      </c>
      <c r="B666" s="2" t="str">
        <f t="shared" si="88"/>
        <v>P10417</v>
      </c>
      <c r="C666" s="2" t="str">
        <f t="shared" si="87"/>
        <v xml:space="preserve"> </v>
      </c>
      <c r="F666" s="2">
        <v>1728</v>
      </c>
      <c r="G666" s="2" t="str">
        <f t="shared" si="89"/>
        <v>P11417</v>
      </c>
      <c r="H666" s="2" t="str">
        <f t="shared" si="90"/>
        <v xml:space="preserve"> </v>
      </c>
      <c r="I666" s="7"/>
    </row>
    <row r="667" spans="1:9" x14ac:dyDescent="0.3">
      <c r="A667" s="2">
        <v>729</v>
      </c>
      <c r="B667" s="2" t="str">
        <f t="shared" si="88"/>
        <v>P10418</v>
      </c>
      <c r="C667" s="2" t="str">
        <f t="shared" si="87"/>
        <v xml:space="preserve"> </v>
      </c>
      <c r="F667" s="2">
        <v>1729</v>
      </c>
      <c r="G667" s="2" t="str">
        <f t="shared" si="89"/>
        <v>P11418</v>
      </c>
      <c r="H667" s="2" t="str">
        <f t="shared" si="90"/>
        <v xml:space="preserve"> </v>
      </c>
      <c r="I667" s="7"/>
    </row>
    <row r="668" spans="1:9" x14ac:dyDescent="0.3">
      <c r="A668" s="2">
        <v>730</v>
      </c>
      <c r="B668" s="2" t="str">
        <f t="shared" si="88"/>
        <v>P10419</v>
      </c>
      <c r="C668" s="2" t="str">
        <f t="shared" si="87"/>
        <v xml:space="preserve"> </v>
      </c>
      <c r="F668" s="2">
        <v>1730</v>
      </c>
      <c r="G668" s="2" t="str">
        <f t="shared" si="89"/>
        <v>P11419</v>
      </c>
      <c r="H668" s="2" t="str">
        <f t="shared" si="90"/>
        <v xml:space="preserve"> </v>
      </c>
      <c r="I668" s="7"/>
    </row>
    <row r="669" spans="1:9" x14ac:dyDescent="0.3">
      <c r="A669" s="2">
        <v>731</v>
      </c>
      <c r="B669" s="2" t="str">
        <f t="shared" si="88"/>
        <v>P1041A</v>
      </c>
      <c r="C669" s="2" t="str">
        <f t="shared" si="87"/>
        <v xml:space="preserve"> </v>
      </c>
      <c r="F669" s="2">
        <v>1731</v>
      </c>
      <c r="G669" s="2" t="str">
        <f t="shared" si="89"/>
        <v>P1141A</v>
      </c>
      <c r="H669" s="2" t="str">
        <f t="shared" si="90"/>
        <v xml:space="preserve"> </v>
      </c>
      <c r="I669" s="7"/>
    </row>
    <row r="670" spans="1:9" x14ac:dyDescent="0.3">
      <c r="A670" s="2">
        <v>732</v>
      </c>
      <c r="B670" s="2" t="str">
        <f t="shared" si="88"/>
        <v>P1041B</v>
      </c>
      <c r="C670" s="2" t="str">
        <f t="shared" si="87"/>
        <v xml:space="preserve"> </v>
      </c>
      <c r="F670" s="2">
        <v>1732</v>
      </c>
      <c r="G670" s="2" t="str">
        <f t="shared" si="89"/>
        <v>P1141B</v>
      </c>
      <c r="H670" s="2" t="str">
        <f t="shared" si="90"/>
        <v xml:space="preserve"> </v>
      </c>
      <c r="I670" s="7"/>
    </row>
    <row r="671" spans="1:9" x14ac:dyDescent="0.3">
      <c r="A671" s="2">
        <v>733</v>
      </c>
      <c r="B671" s="2" t="str">
        <f t="shared" si="88"/>
        <v>P1041C</v>
      </c>
      <c r="C671" s="2" t="str">
        <f t="shared" si="87"/>
        <v xml:space="preserve"> </v>
      </c>
      <c r="F671" s="2">
        <v>1733</v>
      </c>
      <c r="G671" s="2" t="str">
        <f t="shared" si="89"/>
        <v>P1141C</v>
      </c>
      <c r="H671" s="2" t="str">
        <f t="shared" si="90"/>
        <v xml:space="preserve"> </v>
      </c>
      <c r="I671" s="7"/>
    </row>
    <row r="672" spans="1:9" x14ac:dyDescent="0.3">
      <c r="A672" s="2">
        <v>734</v>
      </c>
      <c r="B672" s="2" t="str">
        <f t="shared" si="88"/>
        <v>P1041D</v>
      </c>
      <c r="C672" s="2" t="str">
        <f t="shared" si="87"/>
        <v xml:space="preserve"> </v>
      </c>
      <c r="F672" s="2">
        <v>1734</v>
      </c>
      <c r="G672" s="2" t="str">
        <f t="shared" si="89"/>
        <v>P1141D</v>
      </c>
      <c r="H672" s="2" t="str">
        <f t="shared" si="90"/>
        <v xml:space="preserve"> </v>
      </c>
      <c r="I672" s="7"/>
    </row>
    <row r="673" spans="1:9" x14ac:dyDescent="0.3">
      <c r="A673" s="2">
        <v>735</v>
      </c>
      <c r="B673" s="2" t="str">
        <f t="shared" si="88"/>
        <v>P1041E</v>
      </c>
      <c r="C673" s="2" t="str">
        <f t="shared" si="87"/>
        <v xml:space="preserve"> </v>
      </c>
      <c r="F673" s="2">
        <v>1735</v>
      </c>
      <c r="G673" s="2" t="str">
        <f t="shared" si="89"/>
        <v>P1141E</v>
      </c>
      <c r="H673" s="2" t="str">
        <f t="shared" si="90"/>
        <v xml:space="preserve"> </v>
      </c>
      <c r="I673" s="7"/>
    </row>
    <row r="674" spans="1:9" x14ac:dyDescent="0.3">
      <c r="A674" s="2">
        <v>736</v>
      </c>
      <c r="B674" s="2" t="str">
        <f t="shared" si="88"/>
        <v>P1041F</v>
      </c>
      <c r="C674" s="2" t="str">
        <f t="shared" si="87"/>
        <v xml:space="preserve"> </v>
      </c>
      <c r="F674" s="2">
        <v>1736</v>
      </c>
      <c r="G674" s="2" t="str">
        <f t="shared" si="89"/>
        <v>P1141F</v>
      </c>
      <c r="H674" s="2" t="str">
        <f t="shared" si="90"/>
        <v xml:space="preserve"> </v>
      </c>
      <c r="I674" s="7"/>
    </row>
    <row r="675" spans="1:9" x14ac:dyDescent="0.3">
      <c r="A675" s="2">
        <v>737</v>
      </c>
      <c r="B675" s="2" t="str">
        <f t="shared" si="88"/>
        <v>P10420</v>
      </c>
      <c r="C675" s="2" t="str">
        <f t="shared" si="87"/>
        <v>P1042</v>
      </c>
      <c r="F675" s="2">
        <v>1737</v>
      </c>
      <c r="G675" s="2" t="str">
        <f t="shared" si="89"/>
        <v>P11420</v>
      </c>
      <c r="H675" s="2" t="str">
        <f t="shared" si="90"/>
        <v>P1142</v>
      </c>
      <c r="I675" s="7"/>
    </row>
    <row r="676" spans="1:9" x14ac:dyDescent="0.3">
      <c r="A676" s="2">
        <v>738</v>
      </c>
      <c r="B676" s="2" t="str">
        <f t="shared" si="88"/>
        <v>P10421</v>
      </c>
      <c r="C676" s="2" t="str">
        <f t="shared" si="87"/>
        <v xml:space="preserve"> </v>
      </c>
      <c r="F676" s="2">
        <v>1738</v>
      </c>
      <c r="G676" s="2" t="str">
        <f t="shared" si="89"/>
        <v>P11421</v>
      </c>
      <c r="H676" s="2" t="str">
        <f t="shared" si="90"/>
        <v xml:space="preserve"> </v>
      </c>
      <c r="I676" s="7"/>
    </row>
    <row r="677" spans="1:9" x14ac:dyDescent="0.3">
      <c r="A677" s="2">
        <v>739</v>
      </c>
      <c r="B677" s="2" t="str">
        <f t="shared" si="88"/>
        <v>P10422</v>
      </c>
      <c r="C677" s="2" t="str">
        <f t="shared" si="87"/>
        <v xml:space="preserve"> </v>
      </c>
      <c r="F677" s="2">
        <v>1739</v>
      </c>
      <c r="G677" s="2" t="str">
        <f t="shared" si="89"/>
        <v>P11422</v>
      </c>
      <c r="H677" s="2" t="str">
        <f t="shared" si="90"/>
        <v xml:space="preserve"> </v>
      </c>
      <c r="I677" s="7"/>
    </row>
    <row r="678" spans="1:9" x14ac:dyDescent="0.3">
      <c r="A678" s="2">
        <v>740</v>
      </c>
      <c r="B678" s="2" t="str">
        <f t="shared" si="88"/>
        <v>P10423</v>
      </c>
      <c r="C678" s="2" t="str">
        <f t="shared" si="87"/>
        <v xml:space="preserve"> </v>
      </c>
      <c r="F678" s="2">
        <v>1740</v>
      </c>
      <c r="G678" s="2" t="str">
        <f t="shared" si="89"/>
        <v>P11423</v>
      </c>
      <c r="H678" s="2" t="str">
        <f t="shared" si="90"/>
        <v xml:space="preserve"> </v>
      </c>
      <c r="I678" s="7"/>
    </row>
    <row r="679" spans="1:9" x14ac:dyDescent="0.3">
      <c r="A679" s="2">
        <v>741</v>
      </c>
      <c r="B679" s="2" t="str">
        <f t="shared" si="88"/>
        <v>P10424</v>
      </c>
      <c r="C679" s="2" t="str">
        <f t="shared" si="87"/>
        <v xml:space="preserve"> </v>
      </c>
      <c r="F679" s="2">
        <v>1741</v>
      </c>
      <c r="G679" s="2" t="str">
        <f t="shared" si="89"/>
        <v>P11424</v>
      </c>
      <c r="H679" s="2" t="str">
        <f t="shared" si="90"/>
        <v xml:space="preserve"> </v>
      </c>
      <c r="I679" s="7"/>
    </row>
    <row r="680" spans="1:9" x14ac:dyDescent="0.3">
      <c r="A680" s="2">
        <v>742</v>
      </c>
      <c r="B680" s="2" t="str">
        <f t="shared" si="88"/>
        <v>P10425</v>
      </c>
      <c r="C680" s="2" t="str">
        <f t="shared" si="87"/>
        <v xml:space="preserve"> </v>
      </c>
      <c r="F680" s="2">
        <v>1742</v>
      </c>
      <c r="G680" s="2" t="str">
        <f t="shared" si="89"/>
        <v>P11425</v>
      </c>
      <c r="H680" s="2" t="str">
        <f t="shared" si="90"/>
        <v xml:space="preserve"> </v>
      </c>
      <c r="I680" s="7"/>
    </row>
    <row r="681" spans="1:9" x14ac:dyDescent="0.3">
      <c r="A681" s="2">
        <v>743</v>
      </c>
      <c r="B681" s="2" t="str">
        <f t="shared" si="88"/>
        <v>P10426</v>
      </c>
      <c r="C681" s="2" t="str">
        <f t="shared" si="87"/>
        <v xml:space="preserve"> </v>
      </c>
      <c r="F681" s="2">
        <v>1743</v>
      </c>
      <c r="G681" s="2" t="str">
        <f t="shared" si="89"/>
        <v>P11426</v>
      </c>
      <c r="H681" s="2" t="str">
        <f t="shared" si="90"/>
        <v xml:space="preserve"> </v>
      </c>
      <c r="I681" s="7"/>
    </row>
    <row r="682" spans="1:9" x14ac:dyDescent="0.3">
      <c r="A682" s="2">
        <v>744</v>
      </c>
      <c r="B682" s="2" t="str">
        <f t="shared" si="88"/>
        <v>P10427</v>
      </c>
      <c r="C682" s="2" t="str">
        <f t="shared" si="87"/>
        <v xml:space="preserve"> </v>
      </c>
      <c r="F682" s="2">
        <v>1744</v>
      </c>
      <c r="G682" s="2" t="str">
        <f t="shared" si="89"/>
        <v>P11427</v>
      </c>
      <c r="H682" s="2" t="str">
        <f t="shared" si="90"/>
        <v xml:space="preserve"> </v>
      </c>
      <c r="I682" s="7"/>
    </row>
    <row r="683" spans="1:9" x14ac:dyDescent="0.3">
      <c r="A683" s="2">
        <v>745</v>
      </c>
      <c r="B683" s="2" t="str">
        <f t="shared" si="88"/>
        <v>P10428</v>
      </c>
      <c r="C683" s="2" t="str">
        <f t="shared" si="87"/>
        <v xml:space="preserve"> </v>
      </c>
      <c r="F683" s="2">
        <v>1745</v>
      </c>
      <c r="G683" s="2" t="str">
        <f t="shared" si="89"/>
        <v>P11428</v>
      </c>
      <c r="H683" s="2" t="str">
        <f t="shared" si="90"/>
        <v xml:space="preserve"> </v>
      </c>
      <c r="I683" s="7"/>
    </row>
    <row r="684" spans="1:9" x14ac:dyDescent="0.3">
      <c r="A684" s="2">
        <v>746</v>
      </c>
      <c r="B684" s="2" t="str">
        <f t="shared" si="88"/>
        <v>P10429</v>
      </c>
      <c r="C684" s="2" t="str">
        <f t="shared" si="87"/>
        <v xml:space="preserve"> </v>
      </c>
      <c r="F684" s="2">
        <v>1746</v>
      </c>
      <c r="G684" s="2" t="str">
        <f t="shared" si="89"/>
        <v>P11429</v>
      </c>
      <c r="H684" s="2" t="str">
        <f t="shared" si="90"/>
        <v xml:space="preserve"> </v>
      </c>
      <c r="I684" s="7"/>
    </row>
    <row r="685" spans="1:9" x14ac:dyDescent="0.3">
      <c r="A685" s="2">
        <v>747</v>
      </c>
      <c r="B685" s="2" t="str">
        <f t="shared" si="88"/>
        <v>P1042A</v>
      </c>
      <c r="C685" s="2" t="str">
        <f t="shared" si="87"/>
        <v xml:space="preserve"> </v>
      </c>
      <c r="F685" s="2">
        <v>1747</v>
      </c>
      <c r="G685" s="2" t="str">
        <f t="shared" si="89"/>
        <v>P1142A</v>
      </c>
      <c r="H685" s="2" t="str">
        <f t="shared" si="90"/>
        <v xml:space="preserve"> </v>
      </c>
      <c r="I685" s="7"/>
    </row>
    <row r="686" spans="1:9" x14ac:dyDescent="0.3">
      <c r="A686" s="2">
        <v>748</v>
      </c>
      <c r="B686" s="2" t="str">
        <f t="shared" si="88"/>
        <v>P1042B</v>
      </c>
      <c r="C686" s="2" t="str">
        <f t="shared" si="87"/>
        <v xml:space="preserve"> </v>
      </c>
      <c r="F686" s="2">
        <v>1748</v>
      </c>
      <c r="G686" s="2" t="str">
        <f t="shared" si="89"/>
        <v>P1142B</v>
      </c>
      <c r="H686" s="2" t="str">
        <f t="shared" si="90"/>
        <v xml:space="preserve"> </v>
      </c>
      <c r="I686" s="7"/>
    </row>
    <row r="687" spans="1:9" x14ac:dyDescent="0.3">
      <c r="A687" s="2">
        <v>749</v>
      </c>
      <c r="B687" s="2" t="str">
        <f t="shared" si="88"/>
        <v>P1042C</v>
      </c>
      <c r="C687" s="2" t="str">
        <f t="shared" si="87"/>
        <v xml:space="preserve"> </v>
      </c>
      <c r="F687" s="2">
        <v>1749</v>
      </c>
      <c r="G687" s="2" t="str">
        <f t="shared" si="89"/>
        <v>P1142C</v>
      </c>
      <c r="H687" s="2" t="str">
        <f t="shared" si="90"/>
        <v xml:space="preserve"> </v>
      </c>
      <c r="I687" s="7"/>
    </row>
    <row r="688" spans="1:9" x14ac:dyDescent="0.3">
      <c r="A688" s="2">
        <v>750</v>
      </c>
      <c r="B688" s="2" t="str">
        <f t="shared" si="88"/>
        <v>P1042D</v>
      </c>
      <c r="C688" s="2" t="str">
        <f t="shared" si="87"/>
        <v xml:space="preserve"> </v>
      </c>
      <c r="F688" s="2">
        <v>1750</v>
      </c>
      <c r="G688" s="2" t="str">
        <f t="shared" si="89"/>
        <v>P1142D</v>
      </c>
      <c r="H688" s="2" t="str">
        <f t="shared" si="90"/>
        <v xml:space="preserve"> </v>
      </c>
      <c r="I688" s="7"/>
    </row>
    <row r="689" spans="1:9" x14ac:dyDescent="0.3">
      <c r="A689" s="2">
        <v>751</v>
      </c>
      <c r="B689" s="2" t="str">
        <f t="shared" si="88"/>
        <v>P1042E</v>
      </c>
      <c r="C689" s="2" t="str">
        <f t="shared" si="87"/>
        <v xml:space="preserve"> </v>
      </c>
      <c r="F689" s="2">
        <v>1751</v>
      </c>
      <c r="G689" s="2" t="str">
        <f t="shared" si="89"/>
        <v>P1142E</v>
      </c>
      <c r="H689" s="2" t="str">
        <f t="shared" si="90"/>
        <v xml:space="preserve"> </v>
      </c>
      <c r="I689" s="7"/>
    </row>
    <row r="690" spans="1:9" x14ac:dyDescent="0.3">
      <c r="A690" s="2">
        <v>752</v>
      </c>
      <c r="B690" s="2" t="str">
        <f t="shared" si="88"/>
        <v>P1042F</v>
      </c>
      <c r="C690" s="2" t="str">
        <f t="shared" si="87"/>
        <v xml:space="preserve"> </v>
      </c>
      <c r="F690" s="2">
        <v>1752</v>
      </c>
      <c r="G690" s="2" t="str">
        <f t="shared" si="89"/>
        <v>P1142F</v>
      </c>
      <c r="H690" s="2" t="str">
        <f t="shared" si="90"/>
        <v xml:space="preserve"> </v>
      </c>
      <c r="I690" s="7"/>
    </row>
    <row r="691" spans="1:9" x14ac:dyDescent="0.3">
      <c r="A691" s="2">
        <v>753</v>
      </c>
      <c r="B691" s="2" t="str">
        <f t="shared" si="88"/>
        <v>P10430</v>
      </c>
      <c r="C691" s="2" t="str">
        <f t="shared" si="87"/>
        <v>P1043</v>
      </c>
      <c r="F691" s="2">
        <v>1753</v>
      </c>
      <c r="G691" s="2" t="str">
        <f t="shared" si="89"/>
        <v>P11430</v>
      </c>
      <c r="H691" s="2" t="str">
        <f t="shared" si="90"/>
        <v>P1143</v>
      </c>
      <c r="I691" s="7"/>
    </row>
    <row r="692" spans="1:9" x14ac:dyDescent="0.3">
      <c r="A692" s="2">
        <v>754</v>
      </c>
      <c r="B692" s="2" t="str">
        <f t="shared" si="88"/>
        <v>P10431</v>
      </c>
      <c r="C692" s="2" t="str">
        <f t="shared" si="87"/>
        <v xml:space="preserve"> </v>
      </c>
      <c r="F692" s="2">
        <v>1754</v>
      </c>
      <c r="G692" s="2" t="str">
        <f t="shared" si="89"/>
        <v>P11431</v>
      </c>
      <c r="H692" s="2" t="str">
        <f t="shared" si="90"/>
        <v xml:space="preserve"> </v>
      </c>
      <c r="I692" s="7"/>
    </row>
    <row r="693" spans="1:9" x14ac:dyDescent="0.3">
      <c r="A693" s="2">
        <v>755</v>
      </c>
      <c r="B693" s="2" t="str">
        <f t="shared" si="88"/>
        <v>P10432</v>
      </c>
      <c r="C693" s="2" t="str">
        <f t="shared" si="87"/>
        <v xml:space="preserve"> </v>
      </c>
      <c r="F693" s="2">
        <v>1755</v>
      </c>
      <c r="G693" s="2" t="str">
        <f t="shared" si="89"/>
        <v>P11432</v>
      </c>
      <c r="H693" s="2" t="str">
        <f t="shared" si="90"/>
        <v xml:space="preserve"> </v>
      </c>
      <c r="I693" s="7"/>
    </row>
    <row r="694" spans="1:9" x14ac:dyDescent="0.3">
      <c r="A694" s="2">
        <v>756</v>
      </c>
      <c r="B694" s="2" t="str">
        <f t="shared" si="88"/>
        <v>P10433</v>
      </c>
      <c r="C694" s="2" t="str">
        <f t="shared" si="87"/>
        <v xml:space="preserve"> </v>
      </c>
      <c r="F694" s="2">
        <v>1756</v>
      </c>
      <c r="G694" s="2" t="str">
        <f t="shared" si="89"/>
        <v>P11433</v>
      </c>
      <c r="H694" s="2" t="str">
        <f t="shared" si="90"/>
        <v xml:space="preserve"> </v>
      </c>
      <c r="I694" s="7"/>
    </row>
    <row r="695" spans="1:9" x14ac:dyDescent="0.3">
      <c r="A695" s="2">
        <v>757</v>
      </c>
      <c r="B695" s="2" t="str">
        <f t="shared" si="88"/>
        <v>P10434</v>
      </c>
      <c r="C695" s="2" t="str">
        <f t="shared" si="87"/>
        <v xml:space="preserve"> </v>
      </c>
      <c r="F695" s="2">
        <v>1757</v>
      </c>
      <c r="G695" s="2" t="str">
        <f t="shared" si="89"/>
        <v>P11434</v>
      </c>
      <c r="H695" s="2" t="str">
        <f t="shared" si="90"/>
        <v xml:space="preserve"> </v>
      </c>
      <c r="I695" s="7"/>
    </row>
    <row r="696" spans="1:9" x14ac:dyDescent="0.3">
      <c r="A696" s="2">
        <v>758</v>
      </c>
      <c r="B696" s="2" t="str">
        <f t="shared" si="88"/>
        <v>P10435</v>
      </c>
      <c r="C696" s="2" t="str">
        <f t="shared" si="87"/>
        <v xml:space="preserve"> </v>
      </c>
      <c r="F696" s="2">
        <v>1758</v>
      </c>
      <c r="G696" s="2" t="str">
        <f t="shared" si="89"/>
        <v>P11435</v>
      </c>
      <c r="H696" s="2" t="str">
        <f t="shared" si="90"/>
        <v xml:space="preserve"> </v>
      </c>
      <c r="I696" s="7"/>
    </row>
    <row r="697" spans="1:9" x14ac:dyDescent="0.3">
      <c r="A697" s="2">
        <v>759</v>
      </c>
      <c r="B697" s="2" t="str">
        <f t="shared" si="88"/>
        <v>P10436</v>
      </c>
      <c r="C697" s="2" t="str">
        <f t="shared" si="87"/>
        <v xml:space="preserve"> </v>
      </c>
      <c r="F697" s="2">
        <v>1759</v>
      </c>
      <c r="G697" s="2" t="str">
        <f t="shared" si="89"/>
        <v>P11436</v>
      </c>
      <c r="H697" s="2" t="str">
        <f t="shared" si="90"/>
        <v xml:space="preserve"> </v>
      </c>
      <c r="I697" s="7"/>
    </row>
    <row r="698" spans="1:9" x14ac:dyDescent="0.3">
      <c r="A698" s="2">
        <v>760</v>
      </c>
      <c r="B698" s="2" t="str">
        <f t="shared" si="88"/>
        <v>P10437</v>
      </c>
      <c r="C698" s="2" t="str">
        <f t="shared" si="87"/>
        <v xml:space="preserve"> </v>
      </c>
      <c r="F698" s="2">
        <v>1760</v>
      </c>
      <c r="G698" s="2" t="str">
        <f t="shared" si="89"/>
        <v>P11437</v>
      </c>
      <c r="H698" s="2" t="str">
        <f t="shared" si="90"/>
        <v xml:space="preserve"> </v>
      </c>
      <c r="I698" s="7"/>
    </row>
    <row r="699" spans="1:9" x14ac:dyDescent="0.3">
      <c r="A699" s="2">
        <v>761</v>
      </c>
      <c r="B699" s="2" t="str">
        <f t="shared" si="88"/>
        <v>P10438</v>
      </c>
      <c r="C699" s="2" t="str">
        <f t="shared" si="87"/>
        <v xml:space="preserve"> </v>
      </c>
      <c r="F699" s="2">
        <v>1761</v>
      </c>
      <c r="G699" s="2" t="str">
        <f t="shared" si="89"/>
        <v>P11438</v>
      </c>
      <c r="H699" s="2" t="str">
        <f t="shared" si="90"/>
        <v xml:space="preserve"> </v>
      </c>
      <c r="I699" s="7"/>
    </row>
    <row r="700" spans="1:9" x14ac:dyDescent="0.3">
      <c r="A700" s="2">
        <v>762</v>
      </c>
      <c r="B700" s="2" t="str">
        <f t="shared" si="88"/>
        <v>P10439</v>
      </c>
      <c r="C700" s="2" t="str">
        <f t="shared" si="87"/>
        <v xml:space="preserve"> </v>
      </c>
      <c r="F700" s="2">
        <v>1762</v>
      </c>
      <c r="G700" s="2" t="str">
        <f t="shared" si="89"/>
        <v>P11439</v>
      </c>
      <c r="H700" s="2" t="str">
        <f t="shared" si="90"/>
        <v xml:space="preserve"> </v>
      </c>
      <c r="I700" s="7"/>
    </row>
    <row r="701" spans="1:9" x14ac:dyDescent="0.3">
      <c r="A701" s="2">
        <v>763</v>
      </c>
      <c r="B701" s="2" t="str">
        <f t="shared" si="88"/>
        <v>P1043A</v>
      </c>
      <c r="C701" s="2" t="str">
        <f t="shared" si="87"/>
        <v xml:space="preserve"> </v>
      </c>
      <c r="F701" s="2">
        <v>1763</v>
      </c>
      <c r="G701" s="2" t="str">
        <f t="shared" si="89"/>
        <v>P1143A</v>
      </c>
      <c r="H701" s="2" t="str">
        <f t="shared" si="90"/>
        <v xml:space="preserve"> </v>
      </c>
      <c r="I701" s="7"/>
    </row>
    <row r="702" spans="1:9" x14ac:dyDescent="0.3">
      <c r="A702" s="2">
        <v>764</v>
      </c>
      <c r="B702" s="2" t="str">
        <f t="shared" si="88"/>
        <v>P1043B</v>
      </c>
      <c r="C702" s="2" t="str">
        <f t="shared" si="87"/>
        <v xml:space="preserve"> </v>
      </c>
      <c r="F702" s="2">
        <v>1764</v>
      </c>
      <c r="G702" s="2" t="str">
        <f t="shared" si="89"/>
        <v>P1143B</v>
      </c>
      <c r="H702" s="2" t="str">
        <f t="shared" si="90"/>
        <v xml:space="preserve"> </v>
      </c>
      <c r="I702" s="7"/>
    </row>
    <row r="703" spans="1:9" x14ac:dyDescent="0.3">
      <c r="A703" s="2">
        <v>765</v>
      </c>
      <c r="B703" s="2" t="str">
        <f t="shared" si="88"/>
        <v>P1043C</v>
      </c>
      <c r="C703" s="2" t="str">
        <f t="shared" si="87"/>
        <v xml:space="preserve"> </v>
      </c>
      <c r="F703" s="2">
        <v>1765</v>
      </c>
      <c r="G703" s="2" t="str">
        <f t="shared" si="89"/>
        <v>P1143C</v>
      </c>
      <c r="H703" s="2" t="str">
        <f t="shared" si="90"/>
        <v xml:space="preserve"> </v>
      </c>
      <c r="I703" s="7"/>
    </row>
    <row r="704" spans="1:9" x14ac:dyDescent="0.3">
      <c r="A704" s="2">
        <v>766</v>
      </c>
      <c r="B704" s="2" t="str">
        <f t="shared" si="88"/>
        <v>P1043D</v>
      </c>
      <c r="C704" s="2" t="str">
        <f t="shared" si="87"/>
        <v xml:space="preserve"> </v>
      </c>
      <c r="F704" s="2">
        <v>1766</v>
      </c>
      <c r="G704" s="2" t="str">
        <f t="shared" si="89"/>
        <v>P1143D</v>
      </c>
      <c r="H704" s="2" t="str">
        <f t="shared" si="90"/>
        <v xml:space="preserve"> </v>
      </c>
      <c r="I704" s="7"/>
    </row>
    <row r="705" spans="1:9" x14ac:dyDescent="0.3">
      <c r="A705" s="2">
        <v>767</v>
      </c>
      <c r="B705" s="2" t="str">
        <f t="shared" si="88"/>
        <v>P1043E</v>
      </c>
      <c r="C705" s="2" t="str">
        <f t="shared" si="87"/>
        <v xml:space="preserve"> </v>
      </c>
      <c r="F705" s="2">
        <v>1767</v>
      </c>
      <c r="G705" s="2" t="str">
        <f t="shared" si="89"/>
        <v>P1143E</v>
      </c>
      <c r="H705" s="2" t="str">
        <f t="shared" si="90"/>
        <v xml:space="preserve"> </v>
      </c>
      <c r="I705" s="7"/>
    </row>
    <row r="706" spans="1:9" x14ac:dyDescent="0.3">
      <c r="A706" s="2">
        <v>768</v>
      </c>
      <c r="B706" s="2" t="str">
        <f t="shared" si="88"/>
        <v>P1043F</v>
      </c>
      <c r="C706" s="2" t="str">
        <f t="shared" si="87"/>
        <v xml:space="preserve"> </v>
      </c>
      <c r="F706" s="2">
        <v>1768</v>
      </c>
      <c r="G706" s="2" t="str">
        <f t="shared" si="89"/>
        <v>P1143F</v>
      </c>
      <c r="H706" s="2" t="str">
        <f t="shared" si="90"/>
        <v xml:space="preserve"> </v>
      </c>
      <c r="I706" s="7"/>
    </row>
    <row r="707" spans="1:9" x14ac:dyDescent="0.3">
      <c r="A707" s="2">
        <v>769</v>
      </c>
      <c r="B707" s="2" t="str">
        <f t="shared" si="88"/>
        <v>P10440</v>
      </c>
      <c r="C707" s="2" t="str">
        <f t="shared" ref="C707:C770" si="91">IF(RIGHT(B707,1)="0",LEFT(B707,5)," ")</f>
        <v>P1044</v>
      </c>
      <c r="F707" s="2">
        <v>1769</v>
      </c>
      <c r="G707" s="2" t="str">
        <f t="shared" si="89"/>
        <v>P11440</v>
      </c>
      <c r="H707" s="2" t="str">
        <f t="shared" si="90"/>
        <v>P1144</v>
      </c>
      <c r="I707" s="7"/>
    </row>
    <row r="708" spans="1:9" x14ac:dyDescent="0.3">
      <c r="A708" s="2">
        <v>770</v>
      </c>
      <c r="B708" s="2" t="str">
        <f t="shared" ref="B708:B771" si="92">"P"&amp;DEC2HEX(A708+65536-$A$3 +4*96, 5)</f>
        <v>P10441</v>
      </c>
      <c r="C708" s="2" t="str">
        <f t="shared" si="91"/>
        <v xml:space="preserve"> </v>
      </c>
      <c r="F708" s="2">
        <v>1770</v>
      </c>
      <c r="G708" s="2" t="str">
        <f t="shared" ref="G708:G771" si="93">"P"&amp;DEC2HEX(F708+65536+4096 +4* 96-$F$3, 5)</f>
        <v>P11441</v>
      </c>
      <c r="H708" s="2" t="str">
        <f t="shared" si="90"/>
        <v xml:space="preserve"> </v>
      </c>
      <c r="I708" s="7"/>
    </row>
    <row r="709" spans="1:9" x14ac:dyDescent="0.3">
      <c r="A709" s="2">
        <v>771</v>
      </c>
      <c r="B709" s="2" t="str">
        <f t="shared" si="92"/>
        <v>P10442</v>
      </c>
      <c r="C709" s="2" t="str">
        <f t="shared" si="91"/>
        <v xml:space="preserve"> </v>
      </c>
      <c r="F709" s="2">
        <v>1771</v>
      </c>
      <c r="G709" s="2" t="str">
        <f t="shared" si="93"/>
        <v>P11442</v>
      </c>
      <c r="H709" s="2" t="str">
        <f t="shared" si="90"/>
        <v xml:space="preserve"> </v>
      </c>
      <c r="I709" s="7"/>
    </row>
    <row r="710" spans="1:9" x14ac:dyDescent="0.3">
      <c r="A710" s="2">
        <v>772</v>
      </c>
      <c r="B710" s="2" t="str">
        <f t="shared" si="92"/>
        <v>P10443</v>
      </c>
      <c r="C710" s="2" t="str">
        <f t="shared" si="91"/>
        <v xml:space="preserve"> </v>
      </c>
      <c r="F710" s="2">
        <v>1772</v>
      </c>
      <c r="G710" s="2" t="str">
        <f t="shared" si="93"/>
        <v>P11443</v>
      </c>
      <c r="H710" s="2" t="str">
        <f t="shared" si="90"/>
        <v xml:space="preserve"> </v>
      </c>
      <c r="I710" s="7"/>
    </row>
    <row r="711" spans="1:9" x14ac:dyDescent="0.3">
      <c r="A711" s="2">
        <v>773</v>
      </c>
      <c r="B711" s="2" t="str">
        <f t="shared" si="92"/>
        <v>P10444</v>
      </c>
      <c r="C711" s="2" t="str">
        <f t="shared" si="91"/>
        <v xml:space="preserve"> </v>
      </c>
      <c r="F711" s="2">
        <v>1773</v>
      </c>
      <c r="G711" s="2" t="str">
        <f t="shared" si="93"/>
        <v>P11444</v>
      </c>
      <c r="H711" s="2" t="str">
        <f t="shared" ref="H711:H774" si="94">IF(RIGHT(G711,1)="0",LEFT(G711,5)," ")</f>
        <v xml:space="preserve"> </v>
      </c>
      <c r="I711" s="7"/>
    </row>
    <row r="712" spans="1:9" x14ac:dyDescent="0.3">
      <c r="A712" s="2">
        <v>774</v>
      </c>
      <c r="B712" s="2" t="str">
        <f t="shared" si="92"/>
        <v>P10445</v>
      </c>
      <c r="C712" s="2" t="str">
        <f t="shared" si="91"/>
        <v xml:space="preserve"> </v>
      </c>
      <c r="F712" s="2">
        <v>1774</v>
      </c>
      <c r="G712" s="2" t="str">
        <f t="shared" si="93"/>
        <v>P11445</v>
      </c>
      <c r="H712" s="2" t="str">
        <f t="shared" si="94"/>
        <v xml:space="preserve"> </v>
      </c>
      <c r="I712" s="7"/>
    </row>
    <row r="713" spans="1:9" x14ac:dyDescent="0.3">
      <c r="A713" s="2">
        <v>775</v>
      </c>
      <c r="B713" s="2" t="str">
        <f t="shared" si="92"/>
        <v>P10446</v>
      </c>
      <c r="C713" s="2" t="str">
        <f t="shared" si="91"/>
        <v xml:space="preserve"> </v>
      </c>
      <c r="F713" s="2">
        <v>1775</v>
      </c>
      <c r="G713" s="2" t="str">
        <f t="shared" si="93"/>
        <v>P11446</v>
      </c>
      <c r="H713" s="2" t="str">
        <f t="shared" si="94"/>
        <v xml:space="preserve"> </v>
      </c>
      <c r="I713" s="7"/>
    </row>
    <row r="714" spans="1:9" x14ac:dyDescent="0.3">
      <c r="A714" s="2">
        <v>776</v>
      </c>
      <c r="B714" s="2" t="str">
        <f t="shared" si="92"/>
        <v>P10447</v>
      </c>
      <c r="C714" s="2" t="str">
        <f t="shared" si="91"/>
        <v xml:space="preserve"> </v>
      </c>
      <c r="F714" s="2">
        <v>1776</v>
      </c>
      <c r="G714" s="2" t="str">
        <f t="shared" si="93"/>
        <v>P11447</v>
      </c>
      <c r="H714" s="2" t="str">
        <f t="shared" si="94"/>
        <v xml:space="preserve"> </v>
      </c>
      <c r="I714" s="7"/>
    </row>
    <row r="715" spans="1:9" x14ac:dyDescent="0.3">
      <c r="A715" s="2">
        <v>777</v>
      </c>
      <c r="B715" s="2" t="str">
        <f t="shared" si="92"/>
        <v>P10448</v>
      </c>
      <c r="C715" s="2" t="str">
        <f t="shared" si="91"/>
        <v xml:space="preserve"> </v>
      </c>
      <c r="F715" s="2">
        <v>1777</v>
      </c>
      <c r="G715" s="2" t="str">
        <f t="shared" si="93"/>
        <v>P11448</v>
      </c>
      <c r="H715" s="2" t="str">
        <f t="shared" si="94"/>
        <v xml:space="preserve"> </v>
      </c>
      <c r="I715" s="7"/>
    </row>
    <row r="716" spans="1:9" x14ac:dyDescent="0.3">
      <c r="A716" s="2">
        <v>778</v>
      </c>
      <c r="B716" s="2" t="str">
        <f t="shared" si="92"/>
        <v>P10449</v>
      </c>
      <c r="C716" s="2" t="str">
        <f t="shared" si="91"/>
        <v xml:space="preserve"> </v>
      </c>
      <c r="F716" s="2">
        <v>1778</v>
      </c>
      <c r="G716" s="2" t="str">
        <f t="shared" si="93"/>
        <v>P11449</v>
      </c>
      <c r="H716" s="2" t="str">
        <f t="shared" si="94"/>
        <v xml:space="preserve"> </v>
      </c>
      <c r="I716" s="7"/>
    </row>
    <row r="717" spans="1:9" x14ac:dyDescent="0.3">
      <c r="A717" s="2">
        <v>779</v>
      </c>
      <c r="B717" s="2" t="str">
        <f t="shared" si="92"/>
        <v>P1044A</v>
      </c>
      <c r="C717" s="2" t="str">
        <f t="shared" si="91"/>
        <v xml:space="preserve"> </v>
      </c>
      <c r="F717" s="2">
        <v>1779</v>
      </c>
      <c r="G717" s="2" t="str">
        <f t="shared" si="93"/>
        <v>P1144A</v>
      </c>
      <c r="H717" s="2" t="str">
        <f t="shared" si="94"/>
        <v xml:space="preserve"> </v>
      </c>
      <c r="I717" s="7"/>
    </row>
    <row r="718" spans="1:9" x14ac:dyDescent="0.3">
      <c r="A718" s="2">
        <v>780</v>
      </c>
      <c r="B718" s="2" t="str">
        <f t="shared" si="92"/>
        <v>P1044B</v>
      </c>
      <c r="C718" s="2" t="str">
        <f t="shared" si="91"/>
        <v xml:space="preserve"> </v>
      </c>
      <c r="F718" s="2">
        <v>1780</v>
      </c>
      <c r="G718" s="2" t="str">
        <f t="shared" si="93"/>
        <v>P1144B</v>
      </c>
      <c r="H718" s="2" t="str">
        <f t="shared" si="94"/>
        <v xml:space="preserve"> </v>
      </c>
      <c r="I718" s="7"/>
    </row>
    <row r="719" spans="1:9" x14ac:dyDescent="0.3">
      <c r="A719" s="2">
        <v>781</v>
      </c>
      <c r="B719" s="2" t="str">
        <f t="shared" si="92"/>
        <v>P1044C</v>
      </c>
      <c r="C719" s="2" t="str">
        <f t="shared" si="91"/>
        <v xml:space="preserve"> </v>
      </c>
      <c r="F719" s="2">
        <v>1781</v>
      </c>
      <c r="G719" s="2" t="str">
        <f t="shared" si="93"/>
        <v>P1144C</v>
      </c>
      <c r="H719" s="2" t="str">
        <f t="shared" si="94"/>
        <v xml:space="preserve"> </v>
      </c>
      <c r="I719" s="7"/>
    </row>
    <row r="720" spans="1:9" x14ac:dyDescent="0.3">
      <c r="A720" s="2">
        <v>782</v>
      </c>
      <c r="B720" s="2" t="str">
        <f t="shared" si="92"/>
        <v>P1044D</v>
      </c>
      <c r="C720" s="2" t="str">
        <f t="shared" si="91"/>
        <v xml:space="preserve"> </v>
      </c>
      <c r="F720" s="2">
        <v>1782</v>
      </c>
      <c r="G720" s="2" t="str">
        <f t="shared" si="93"/>
        <v>P1144D</v>
      </c>
      <c r="H720" s="2" t="str">
        <f t="shared" si="94"/>
        <v xml:space="preserve"> </v>
      </c>
      <c r="I720" s="7"/>
    </row>
    <row r="721" spans="1:9" x14ac:dyDescent="0.3">
      <c r="A721" s="2">
        <v>783</v>
      </c>
      <c r="B721" s="2" t="str">
        <f t="shared" si="92"/>
        <v>P1044E</v>
      </c>
      <c r="C721" s="2" t="str">
        <f t="shared" si="91"/>
        <v xml:space="preserve"> </v>
      </c>
      <c r="F721" s="2">
        <v>1783</v>
      </c>
      <c r="G721" s="2" t="str">
        <f t="shared" si="93"/>
        <v>P1144E</v>
      </c>
      <c r="H721" s="2" t="str">
        <f t="shared" si="94"/>
        <v xml:space="preserve"> </v>
      </c>
      <c r="I721" s="7"/>
    </row>
    <row r="722" spans="1:9" x14ac:dyDescent="0.3">
      <c r="A722" s="2">
        <v>784</v>
      </c>
      <c r="B722" s="2" t="str">
        <f t="shared" si="92"/>
        <v>P1044F</v>
      </c>
      <c r="C722" s="2" t="str">
        <f t="shared" si="91"/>
        <v xml:space="preserve"> </v>
      </c>
      <c r="F722" s="2">
        <v>1784</v>
      </c>
      <c r="G722" s="2" t="str">
        <f t="shared" si="93"/>
        <v>P1144F</v>
      </c>
      <c r="H722" s="2" t="str">
        <f t="shared" si="94"/>
        <v xml:space="preserve"> </v>
      </c>
      <c r="I722" s="7"/>
    </row>
    <row r="723" spans="1:9" x14ac:dyDescent="0.3">
      <c r="A723" s="2">
        <v>785</v>
      </c>
      <c r="B723" s="2" t="str">
        <f t="shared" si="92"/>
        <v>P10450</v>
      </c>
      <c r="C723" s="2" t="str">
        <f t="shared" si="91"/>
        <v>P1045</v>
      </c>
      <c r="F723" s="2">
        <v>1785</v>
      </c>
      <c r="G723" s="2" t="str">
        <f t="shared" si="93"/>
        <v>P11450</v>
      </c>
      <c r="H723" s="2" t="str">
        <f t="shared" si="94"/>
        <v>P1145</v>
      </c>
      <c r="I723" s="7"/>
    </row>
    <row r="724" spans="1:9" x14ac:dyDescent="0.3">
      <c r="A724" s="2">
        <v>786</v>
      </c>
      <c r="B724" s="2" t="str">
        <f t="shared" si="92"/>
        <v>P10451</v>
      </c>
      <c r="C724" s="2" t="str">
        <f t="shared" si="91"/>
        <v xml:space="preserve"> </v>
      </c>
      <c r="F724" s="2">
        <v>1786</v>
      </c>
      <c r="G724" s="2" t="str">
        <f t="shared" si="93"/>
        <v>P11451</v>
      </c>
      <c r="H724" s="2" t="str">
        <f t="shared" si="94"/>
        <v xml:space="preserve"> </v>
      </c>
      <c r="I724" s="7"/>
    </row>
    <row r="725" spans="1:9" x14ac:dyDescent="0.3">
      <c r="A725" s="2">
        <v>787</v>
      </c>
      <c r="B725" s="2" t="str">
        <f t="shared" si="92"/>
        <v>P10452</v>
      </c>
      <c r="C725" s="2" t="str">
        <f t="shared" si="91"/>
        <v xml:space="preserve"> </v>
      </c>
      <c r="F725" s="2">
        <v>1787</v>
      </c>
      <c r="G725" s="2" t="str">
        <f t="shared" si="93"/>
        <v>P11452</v>
      </c>
      <c r="H725" s="2" t="str">
        <f t="shared" si="94"/>
        <v xml:space="preserve"> </v>
      </c>
      <c r="I725" s="7"/>
    </row>
    <row r="726" spans="1:9" x14ac:dyDescent="0.3">
      <c r="A726" s="2">
        <v>788</v>
      </c>
      <c r="B726" s="2" t="str">
        <f t="shared" si="92"/>
        <v>P10453</v>
      </c>
      <c r="C726" s="2" t="str">
        <f t="shared" si="91"/>
        <v xml:space="preserve"> </v>
      </c>
      <c r="F726" s="2">
        <v>1788</v>
      </c>
      <c r="G726" s="2" t="str">
        <f t="shared" si="93"/>
        <v>P11453</v>
      </c>
      <c r="H726" s="2" t="str">
        <f t="shared" si="94"/>
        <v xml:space="preserve"> </v>
      </c>
      <c r="I726" s="7"/>
    </row>
    <row r="727" spans="1:9" x14ac:dyDescent="0.3">
      <c r="A727" s="2">
        <v>789</v>
      </c>
      <c r="B727" s="2" t="str">
        <f t="shared" si="92"/>
        <v>P10454</v>
      </c>
      <c r="C727" s="2" t="str">
        <f t="shared" si="91"/>
        <v xml:space="preserve"> </v>
      </c>
      <c r="F727" s="2">
        <v>1789</v>
      </c>
      <c r="G727" s="2" t="str">
        <f t="shared" si="93"/>
        <v>P11454</v>
      </c>
      <c r="H727" s="2" t="str">
        <f t="shared" si="94"/>
        <v xml:space="preserve"> </v>
      </c>
      <c r="I727" s="7"/>
    </row>
    <row r="728" spans="1:9" x14ac:dyDescent="0.3">
      <c r="A728" s="2">
        <v>790</v>
      </c>
      <c r="B728" s="2" t="str">
        <f t="shared" si="92"/>
        <v>P10455</v>
      </c>
      <c r="C728" s="2" t="str">
        <f t="shared" si="91"/>
        <v xml:space="preserve"> </v>
      </c>
      <c r="F728" s="2">
        <v>1790</v>
      </c>
      <c r="G728" s="2" t="str">
        <f t="shared" si="93"/>
        <v>P11455</v>
      </c>
      <c r="H728" s="2" t="str">
        <f t="shared" si="94"/>
        <v xml:space="preserve"> </v>
      </c>
      <c r="I728" s="7"/>
    </row>
    <row r="729" spans="1:9" x14ac:dyDescent="0.3">
      <c r="A729" s="2">
        <v>791</v>
      </c>
      <c r="B729" s="2" t="str">
        <f t="shared" si="92"/>
        <v>P10456</v>
      </c>
      <c r="C729" s="2" t="str">
        <f t="shared" si="91"/>
        <v xml:space="preserve"> </v>
      </c>
      <c r="F729" s="2">
        <v>1791</v>
      </c>
      <c r="G729" s="2" t="str">
        <f t="shared" si="93"/>
        <v>P11456</v>
      </c>
      <c r="H729" s="2" t="str">
        <f t="shared" si="94"/>
        <v xml:space="preserve"> </v>
      </c>
      <c r="I729" s="7"/>
    </row>
    <row r="730" spans="1:9" x14ac:dyDescent="0.3">
      <c r="A730" s="2">
        <v>792</v>
      </c>
      <c r="B730" s="2" t="str">
        <f t="shared" si="92"/>
        <v>P10457</v>
      </c>
      <c r="C730" s="2" t="str">
        <f t="shared" si="91"/>
        <v xml:space="preserve"> </v>
      </c>
      <c r="F730" s="2">
        <v>1792</v>
      </c>
      <c r="G730" s="2" t="str">
        <f t="shared" si="93"/>
        <v>P11457</v>
      </c>
      <c r="H730" s="2" t="str">
        <f t="shared" si="94"/>
        <v xml:space="preserve"> </v>
      </c>
      <c r="I730" s="7"/>
    </row>
    <row r="731" spans="1:9" x14ac:dyDescent="0.3">
      <c r="A731" s="2">
        <v>793</v>
      </c>
      <c r="B731" s="2" t="str">
        <f t="shared" si="92"/>
        <v>P10458</v>
      </c>
      <c r="C731" s="2" t="str">
        <f t="shared" si="91"/>
        <v xml:space="preserve"> </v>
      </c>
      <c r="F731" s="2">
        <v>1793</v>
      </c>
      <c r="G731" s="2" t="str">
        <f t="shared" si="93"/>
        <v>P11458</v>
      </c>
      <c r="H731" s="2" t="str">
        <f t="shared" si="94"/>
        <v xml:space="preserve"> </v>
      </c>
      <c r="I731" s="7"/>
    </row>
    <row r="732" spans="1:9" x14ac:dyDescent="0.3">
      <c r="A732" s="2">
        <v>794</v>
      </c>
      <c r="B732" s="2" t="str">
        <f t="shared" si="92"/>
        <v>P10459</v>
      </c>
      <c r="C732" s="2" t="str">
        <f t="shared" si="91"/>
        <v xml:space="preserve"> </v>
      </c>
      <c r="F732" s="2">
        <v>1794</v>
      </c>
      <c r="G732" s="2" t="str">
        <f t="shared" si="93"/>
        <v>P11459</v>
      </c>
      <c r="H732" s="2" t="str">
        <f t="shared" si="94"/>
        <v xml:space="preserve"> </v>
      </c>
      <c r="I732" s="7"/>
    </row>
    <row r="733" spans="1:9" x14ac:dyDescent="0.3">
      <c r="A733" s="2">
        <v>795</v>
      </c>
      <c r="B733" s="2" t="str">
        <f t="shared" si="92"/>
        <v>P1045A</v>
      </c>
      <c r="C733" s="2" t="str">
        <f t="shared" si="91"/>
        <v xml:space="preserve"> </v>
      </c>
      <c r="F733" s="2">
        <v>1795</v>
      </c>
      <c r="G733" s="2" t="str">
        <f t="shared" si="93"/>
        <v>P1145A</v>
      </c>
      <c r="H733" s="2" t="str">
        <f t="shared" si="94"/>
        <v xml:space="preserve"> </v>
      </c>
      <c r="I733" s="7"/>
    </row>
    <row r="734" spans="1:9" x14ac:dyDescent="0.3">
      <c r="A734" s="2">
        <v>796</v>
      </c>
      <c r="B734" s="2" t="str">
        <f t="shared" si="92"/>
        <v>P1045B</v>
      </c>
      <c r="C734" s="2" t="str">
        <f t="shared" si="91"/>
        <v xml:space="preserve"> </v>
      </c>
      <c r="F734" s="2">
        <v>1796</v>
      </c>
      <c r="G734" s="2" t="str">
        <f t="shared" si="93"/>
        <v>P1145B</v>
      </c>
      <c r="H734" s="2" t="str">
        <f t="shared" si="94"/>
        <v xml:space="preserve"> </v>
      </c>
      <c r="I734" s="7"/>
    </row>
    <row r="735" spans="1:9" x14ac:dyDescent="0.3">
      <c r="A735" s="2">
        <v>797</v>
      </c>
      <c r="B735" s="2" t="str">
        <f t="shared" si="92"/>
        <v>P1045C</v>
      </c>
      <c r="C735" s="2" t="str">
        <f t="shared" si="91"/>
        <v xml:space="preserve"> </v>
      </c>
      <c r="F735" s="2">
        <v>1797</v>
      </c>
      <c r="G735" s="2" t="str">
        <f t="shared" si="93"/>
        <v>P1145C</v>
      </c>
      <c r="H735" s="2" t="str">
        <f t="shared" si="94"/>
        <v xml:space="preserve"> </v>
      </c>
      <c r="I735" s="7"/>
    </row>
    <row r="736" spans="1:9" x14ac:dyDescent="0.3">
      <c r="A736" s="2">
        <v>798</v>
      </c>
      <c r="B736" s="2" t="str">
        <f t="shared" si="92"/>
        <v>P1045D</v>
      </c>
      <c r="C736" s="2" t="str">
        <f t="shared" si="91"/>
        <v xml:space="preserve"> </v>
      </c>
      <c r="F736" s="2">
        <v>1798</v>
      </c>
      <c r="G736" s="2" t="str">
        <f t="shared" si="93"/>
        <v>P1145D</v>
      </c>
      <c r="H736" s="2" t="str">
        <f t="shared" si="94"/>
        <v xml:space="preserve"> </v>
      </c>
      <c r="I736" s="7"/>
    </row>
    <row r="737" spans="1:9" x14ac:dyDescent="0.3">
      <c r="A737" s="2">
        <v>799</v>
      </c>
      <c r="B737" s="2" t="str">
        <f t="shared" si="92"/>
        <v>P1045E</v>
      </c>
      <c r="C737" s="2" t="str">
        <f t="shared" si="91"/>
        <v xml:space="preserve"> </v>
      </c>
      <c r="F737" s="2">
        <v>1799</v>
      </c>
      <c r="G737" s="2" t="str">
        <f t="shared" si="93"/>
        <v>P1145E</v>
      </c>
      <c r="H737" s="2" t="str">
        <f t="shared" si="94"/>
        <v xml:space="preserve"> </v>
      </c>
      <c r="I737" s="7"/>
    </row>
    <row r="738" spans="1:9" x14ac:dyDescent="0.3">
      <c r="A738" s="2">
        <v>800</v>
      </c>
      <c r="B738" s="2" t="str">
        <f t="shared" si="92"/>
        <v>P1045F</v>
      </c>
      <c r="C738" s="2" t="str">
        <f t="shared" si="91"/>
        <v xml:space="preserve"> </v>
      </c>
      <c r="F738" s="2">
        <v>1800</v>
      </c>
      <c r="G738" s="2" t="str">
        <f t="shared" si="93"/>
        <v>P1145F</v>
      </c>
      <c r="H738" s="2" t="str">
        <f t="shared" si="94"/>
        <v xml:space="preserve"> </v>
      </c>
      <c r="I738" s="7"/>
    </row>
    <row r="739" spans="1:9" x14ac:dyDescent="0.3">
      <c r="A739" s="2">
        <v>801</v>
      </c>
      <c r="B739" s="2" t="str">
        <f t="shared" si="92"/>
        <v>P10460</v>
      </c>
      <c r="C739" s="2" t="str">
        <f t="shared" si="91"/>
        <v>P1046</v>
      </c>
      <c r="F739" s="2">
        <v>1801</v>
      </c>
      <c r="G739" s="2" t="str">
        <f t="shared" si="93"/>
        <v>P11460</v>
      </c>
      <c r="H739" s="2" t="str">
        <f t="shared" si="94"/>
        <v>P1146</v>
      </c>
      <c r="I739" s="7"/>
    </row>
    <row r="740" spans="1:9" x14ac:dyDescent="0.3">
      <c r="A740" s="2">
        <v>802</v>
      </c>
      <c r="B740" s="2" t="str">
        <f t="shared" si="92"/>
        <v>P10461</v>
      </c>
      <c r="C740" s="2" t="str">
        <f t="shared" si="91"/>
        <v xml:space="preserve"> </v>
      </c>
      <c r="F740" s="2">
        <v>1802</v>
      </c>
      <c r="G740" s="2" t="str">
        <f t="shared" si="93"/>
        <v>P11461</v>
      </c>
      <c r="H740" s="2" t="str">
        <f t="shared" si="94"/>
        <v xml:space="preserve"> </v>
      </c>
      <c r="I740" s="7"/>
    </row>
    <row r="741" spans="1:9" x14ac:dyDescent="0.3">
      <c r="A741" s="2">
        <v>803</v>
      </c>
      <c r="B741" s="2" t="str">
        <f t="shared" si="92"/>
        <v>P10462</v>
      </c>
      <c r="C741" s="2" t="str">
        <f t="shared" si="91"/>
        <v xml:space="preserve"> </v>
      </c>
      <c r="F741" s="2">
        <v>1803</v>
      </c>
      <c r="G741" s="2" t="str">
        <f t="shared" si="93"/>
        <v>P11462</v>
      </c>
      <c r="H741" s="2" t="str">
        <f t="shared" si="94"/>
        <v xml:space="preserve"> </v>
      </c>
      <c r="I741" s="7"/>
    </row>
    <row r="742" spans="1:9" x14ac:dyDescent="0.3">
      <c r="A742" s="2">
        <v>804</v>
      </c>
      <c r="B742" s="2" t="str">
        <f t="shared" si="92"/>
        <v>P10463</v>
      </c>
      <c r="C742" s="2" t="str">
        <f t="shared" si="91"/>
        <v xml:space="preserve"> </v>
      </c>
      <c r="F742" s="2">
        <v>1804</v>
      </c>
      <c r="G742" s="2" t="str">
        <f t="shared" si="93"/>
        <v>P11463</v>
      </c>
      <c r="H742" s="2" t="str">
        <f t="shared" si="94"/>
        <v xml:space="preserve"> </v>
      </c>
      <c r="I742" s="7"/>
    </row>
    <row r="743" spans="1:9" x14ac:dyDescent="0.3">
      <c r="A743" s="2">
        <v>805</v>
      </c>
      <c r="B743" s="2" t="str">
        <f t="shared" si="92"/>
        <v>P10464</v>
      </c>
      <c r="C743" s="2" t="str">
        <f t="shared" si="91"/>
        <v xml:space="preserve"> </v>
      </c>
      <c r="F743" s="2">
        <v>1805</v>
      </c>
      <c r="G743" s="2" t="str">
        <f t="shared" si="93"/>
        <v>P11464</v>
      </c>
      <c r="H743" s="2" t="str">
        <f t="shared" si="94"/>
        <v xml:space="preserve"> </v>
      </c>
      <c r="I743" s="7"/>
    </row>
    <row r="744" spans="1:9" x14ac:dyDescent="0.3">
      <c r="A744" s="2">
        <v>806</v>
      </c>
      <c r="B744" s="2" t="str">
        <f t="shared" si="92"/>
        <v>P10465</v>
      </c>
      <c r="C744" s="2" t="str">
        <f t="shared" si="91"/>
        <v xml:space="preserve"> </v>
      </c>
      <c r="F744" s="2">
        <v>1806</v>
      </c>
      <c r="G744" s="2" t="str">
        <f t="shared" si="93"/>
        <v>P11465</v>
      </c>
      <c r="H744" s="2" t="str">
        <f t="shared" si="94"/>
        <v xml:space="preserve"> </v>
      </c>
      <c r="I744" s="7"/>
    </row>
    <row r="745" spans="1:9" x14ac:dyDescent="0.3">
      <c r="A745" s="2">
        <v>807</v>
      </c>
      <c r="B745" s="2" t="str">
        <f t="shared" si="92"/>
        <v>P10466</v>
      </c>
      <c r="C745" s="2" t="str">
        <f t="shared" si="91"/>
        <v xml:space="preserve"> </v>
      </c>
      <c r="F745" s="2">
        <v>1807</v>
      </c>
      <c r="G745" s="2" t="str">
        <f t="shared" si="93"/>
        <v>P11466</v>
      </c>
      <c r="H745" s="2" t="str">
        <f t="shared" si="94"/>
        <v xml:space="preserve"> </v>
      </c>
      <c r="I745" s="7"/>
    </row>
    <row r="746" spans="1:9" x14ac:dyDescent="0.3">
      <c r="A746" s="2">
        <v>808</v>
      </c>
      <c r="B746" s="2" t="str">
        <f t="shared" si="92"/>
        <v>P10467</v>
      </c>
      <c r="C746" s="2" t="str">
        <f t="shared" si="91"/>
        <v xml:space="preserve"> </v>
      </c>
      <c r="F746" s="2">
        <v>1808</v>
      </c>
      <c r="G746" s="2" t="str">
        <f t="shared" si="93"/>
        <v>P11467</v>
      </c>
      <c r="H746" s="2" t="str">
        <f t="shared" si="94"/>
        <v xml:space="preserve"> </v>
      </c>
      <c r="I746" s="7"/>
    </row>
    <row r="747" spans="1:9" x14ac:dyDescent="0.3">
      <c r="A747" s="2">
        <v>809</v>
      </c>
      <c r="B747" s="2" t="str">
        <f t="shared" si="92"/>
        <v>P10468</v>
      </c>
      <c r="C747" s="2" t="str">
        <f t="shared" si="91"/>
        <v xml:space="preserve"> </v>
      </c>
      <c r="F747" s="2">
        <v>1809</v>
      </c>
      <c r="G747" s="2" t="str">
        <f t="shared" si="93"/>
        <v>P11468</v>
      </c>
      <c r="H747" s="2" t="str">
        <f t="shared" si="94"/>
        <v xml:space="preserve"> </v>
      </c>
      <c r="I747" s="7"/>
    </row>
    <row r="748" spans="1:9" x14ac:dyDescent="0.3">
      <c r="A748" s="2">
        <v>810</v>
      </c>
      <c r="B748" s="2" t="str">
        <f t="shared" si="92"/>
        <v>P10469</v>
      </c>
      <c r="C748" s="2" t="str">
        <f t="shared" si="91"/>
        <v xml:space="preserve"> </v>
      </c>
      <c r="F748" s="2">
        <v>1810</v>
      </c>
      <c r="G748" s="2" t="str">
        <f t="shared" si="93"/>
        <v>P11469</v>
      </c>
      <c r="H748" s="2" t="str">
        <f t="shared" si="94"/>
        <v xml:space="preserve"> </v>
      </c>
      <c r="I748" s="7"/>
    </row>
    <row r="749" spans="1:9" x14ac:dyDescent="0.3">
      <c r="A749" s="2">
        <v>811</v>
      </c>
      <c r="B749" s="2" t="str">
        <f t="shared" si="92"/>
        <v>P1046A</v>
      </c>
      <c r="C749" s="2" t="str">
        <f t="shared" si="91"/>
        <v xml:space="preserve"> </v>
      </c>
      <c r="F749" s="2">
        <v>1811</v>
      </c>
      <c r="G749" s="2" t="str">
        <f t="shared" si="93"/>
        <v>P1146A</v>
      </c>
      <c r="H749" s="2" t="str">
        <f t="shared" si="94"/>
        <v xml:space="preserve"> </v>
      </c>
      <c r="I749" s="7"/>
    </row>
    <row r="750" spans="1:9" x14ac:dyDescent="0.3">
      <c r="A750" s="2">
        <v>812</v>
      </c>
      <c r="B750" s="2" t="str">
        <f t="shared" si="92"/>
        <v>P1046B</v>
      </c>
      <c r="C750" s="2" t="str">
        <f t="shared" si="91"/>
        <v xml:space="preserve"> </v>
      </c>
      <c r="F750" s="2">
        <v>1812</v>
      </c>
      <c r="G750" s="2" t="str">
        <f t="shared" si="93"/>
        <v>P1146B</v>
      </c>
      <c r="H750" s="2" t="str">
        <f t="shared" si="94"/>
        <v xml:space="preserve"> </v>
      </c>
      <c r="I750" s="7"/>
    </row>
    <row r="751" spans="1:9" x14ac:dyDescent="0.3">
      <c r="A751" s="2">
        <v>813</v>
      </c>
      <c r="B751" s="2" t="str">
        <f t="shared" si="92"/>
        <v>P1046C</v>
      </c>
      <c r="C751" s="2" t="str">
        <f t="shared" si="91"/>
        <v xml:space="preserve"> </v>
      </c>
      <c r="F751" s="2">
        <v>1813</v>
      </c>
      <c r="G751" s="2" t="str">
        <f t="shared" si="93"/>
        <v>P1146C</v>
      </c>
      <c r="H751" s="2" t="str">
        <f t="shared" si="94"/>
        <v xml:space="preserve"> </v>
      </c>
      <c r="I751" s="7"/>
    </row>
    <row r="752" spans="1:9" x14ac:dyDescent="0.3">
      <c r="A752" s="2">
        <v>814</v>
      </c>
      <c r="B752" s="2" t="str">
        <f t="shared" si="92"/>
        <v>P1046D</v>
      </c>
      <c r="C752" s="2" t="str">
        <f t="shared" si="91"/>
        <v xml:space="preserve"> </v>
      </c>
      <c r="F752" s="2">
        <v>1814</v>
      </c>
      <c r="G752" s="2" t="str">
        <f t="shared" si="93"/>
        <v>P1146D</v>
      </c>
      <c r="H752" s="2" t="str">
        <f t="shared" si="94"/>
        <v xml:space="preserve"> </v>
      </c>
      <c r="I752" s="7"/>
    </row>
    <row r="753" spans="1:9" x14ac:dyDescent="0.3">
      <c r="A753" s="2">
        <v>815</v>
      </c>
      <c r="B753" s="2" t="str">
        <f t="shared" si="92"/>
        <v>P1046E</v>
      </c>
      <c r="C753" s="2" t="str">
        <f t="shared" si="91"/>
        <v xml:space="preserve"> </v>
      </c>
      <c r="F753" s="2">
        <v>1815</v>
      </c>
      <c r="G753" s="2" t="str">
        <f t="shared" si="93"/>
        <v>P1146E</v>
      </c>
      <c r="H753" s="2" t="str">
        <f t="shared" si="94"/>
        <v xml:space="preserve"> </v>
      </c>
      <c r="I753" s="7"/>
    </row>
    <row r="754" spans="1:9" x14ac:dyDescent="0.3">
      <c r="A754" s="2">
        <v>816</v>
      </c>
      <c r="B754" s="2" t="str">
        <f t="shared" si="92"/>
        <v>P1046F</v>
      </c>
      <c r="C754" s="2" t="str">
        <f t="shared" si="91"/>
        <v xml:space="preserve"> </v>
      </c>
      <c r="F754" s="2">
        <v>1816</v>
      </c>
      <c r="G754" s="2" t="str">
        <f t="shared" si="93"/>
        <v>P1146F</v>
      </c>
      <c r="H754" s="2" t="str">
        <f t="shared" si="94"/>
        <v xml:space="preserve"> </v>
      </c>
      <c r="I754" s="7"/>
    </row>
    <row r="755" spans="1:9" x14ac:dyDescent="0.3">
      <c r="A755" s="2">
        <v>817</v>
      </c>
      <c r="B755" s="2" t="str">
        <f t="shared" si="92"/>
        <v>P10470</v>
      </c>
      <c r="C755" s="2" t="str">
        <f t="shared" si="91"/>
        <v>P1047</v>
      </c>
      <c r="F755" s="2">
        <v>1817</v>
      </c>
      <c r="G755" s="2" t="str">
        <f t="shared" si="93"/>
        <v>P11470</v>
      </c>
      <c r="H755" s="2" t="str">
        <f t="shared" si="94"/>
        <v>P1147</v>
      </c>
      <c r="I755" s="7"/>
    </row>
    <row r="756" spans="1:9" x14ac:dyDescent="0.3">
      <c r="A756" s="2">
        <v>818</v>
      </c>
      <c r="B756" s="2" t="str">
        <f t="shared" si="92"/>
        <v>P10471</v>
      </c>
      <c r="C756" s="2" t="str">
        <f t="shared" si="91"/>
        <v xml:space="preserve"> </v>
      </c>
      <c r="F756" s="2">
        <v>1818</v>
      </c>
      <c r="G756" s="2" t="str">
        <f t="shared" si="93"/>
        <v>P11471</v>
      </c>
      <c r="H756" s="2" t="str">
        <f t="shared" si="94"/>
        <v xml:space="preserve"> </v>
      </c>
      <c r="I756" s="7"/>
    </row>
    <row r="757" spans="1:9" x14ac:dyDescent="0.3">
      <c r="A757" s="2">
        <v>819</v>
      </c>
      <c r="B757" s="2" t="str">
        <f t="shared" si="92"/>
        <v>P10472</v>
      </c>
      <c r="C757" s="2" t="str">
        <f t="shared" si="91"/>
        <v xml:space="preserve"> </v>
      </c>
      <c r="F757" s="2">
        <v>1819</v>
      </c>
      <c r="G757" s="2" t="str">
        <f t="shared" si="93"/>
        <v>P11472</v>
      </c>
      <c r="H757" s="2" t="str">
        <f t="shared" si="94"/>
        <v xml:space="preserve"> </v>
      </c>
      <c r="I757" s="7"/>
    </row>
    <row r="758" spans="1:9" x14ac:dyDescent="0.3">
      <c r="A758" s="2">
        <v>820</v>
      </c>
      <c r="B758" s="2" t="str">
        <f t="shared" si="92"/>
        <v>P10473</v>
      </c>
      <c r="C758" s="2" t="str">
        <f t="shared" si="91"/>
        <v xml:space="preserve"> </v>
      </c>
      <c r="F758" s="2">
        <v>1820</v>
      </c>
      <c r="G758" s="2" t="str">
        <f t="shared" si="93"/>
        <v>P11473</v>
      </c>
      <c r="H758" s="2" t="str">
        <f t="shared" si="94"/>
        <v xml:space="preserve"> </v>
      </c>
      <c r="I758" s="7"/>
    </row>
    <row r="759" spans="1:9" x14ac:dyDescent="0.3">
      <c r="A759" s="2">
        <v>821</v>
      </c>
      <c r="B759" s="2" t="str">
        <f t="shared" si="92"/>
        <v>P10474</v>
      </c>
      <c r="C759" s="2" t="str">
        <f t="shared" si="91"/>
        <v xml:space="preserve"> </v>
      </c>
      <c r="F759" s="2">
        <v>1821</v>
      </c>
      <c r="G759" s="2" t="str">
        <f t="shared" si="93"/>
        <v>P11474</v>
      </c>
      <c r="H759" s="2" t="str">
        <f t="shared" si="94"/>
        <v xml:space="preserve"> </v>
      </c>
      <c r="I759" s="7"/>
    </row>
    <row r="760" spans="1:9" x14ac:dyDescent="0.3">
      <c r="A760" s="2">
        <v>822</v>
      </c>
      <c r="B760" s="2" t="str">
        <f t="shared" si="92"/>
        <v>P10475</v>
      </c>
      <c r="C760" s="2" t="str">
        <f t="shared" si="91"/>
        <v xml:space="preserve"> </v>
      </c>
      <c r="F760" s="2">
        <v>1822</v>
      </c>
      <c r="G760" s="2" t="str">
        <f t="shared" si="93"/>
        <v>P11475</v>
      </c>
      <c r="H760" s="2" t="str">
        <f t="shared" si="94"/>
        <v xml:space="preserve"> </v>
      </c>
      <c r="I760" s="7"/>
    </row>
    <row r="761" spans="1:9" x14ac:dyDescent="0.3">
      <c r="A761" s="2">
        <v>823</v>
      </c>
      <c r="B761" s="2" t="str">
        <f t="shared" si="92"/>
        <v>P10476</v>
      </c>
      <c r="C761" s="2" t="str">
        <f t="shared" si="91"/>
        <v xml:space="preserve"> </v>
      </c>
      <c r="F761" s="2">
        <v>1823</v>
      </c>
      <c r="G761" s="2" t="str">
        <f t="shared" si="93"/>
        <v>P11476</v>
      </c>
      <c r="H761" s="2" t="str">
        <f t="shared" si="94"/>
        <v xml:space="preserve"> </v>
      </c>
      <c r="I761" s="7"/>
    </row>
    <row r="762" spans="1:9" x14ac:dyDescent="0.3">
      <c r="A762" s="2">
        <v>824</v>
      </c>
      <c r="B762" s="2" t="str">
        <f t="shared" si="92"/>
        <v>P10477</v>
      </c>
      <c r="C762" s="2" t="str">
        <f t="shared" si="91"/>
        <v xml:space="preserve"> </v>
      </c>
      <c r="F762" s="2">
        <v>1824</v>
      </c>
      <c r="G762" s="2" t="str">
        <f t="shared" si="93"/>
        <v>P11477</v>
      </c>
      <c r="H762" s="2" t="str">
        <f t="shared" si="94"/>
        <v xml:space="preserve"> </v>
      </c>
      <c r="I762" s="7"/>
    </row>
    <row r="763" spans="1:9" x14ac:dyDescent="0.3">
      <c r="A763" s="2">
        <v>825</v>
      </c>
      <c r="B763" s="2" t="str">
        <f t="shared" si="92"/>
        <v>P10478</v>
      </c>
      <c r="C763" s="2" t="str">
        <f t="shared" si="91"/>
        <v xml:space="preserve"> </v>
      </c>
      <c r="F763" s="2">
        <v>1825</v>
      </c>
      <c r="G763" s="2" t="str">
        <f t="shared" si="93"/>
        <v>P11478</v>
      </c>
      <c r="H763" s="2" t="str">
        <f t="shared" si="94"/>
        <v xml:space="preserve"> </v>
      </c>
      <c r="I763" s="7"/>
    </row>
    <row r="764" spans="1:9" x14ac:dyDescent="0.3">
      <c r="A764" s="2">
        <v>826</v>
      </c>
      <c r="B764" s="2" t="str">
        <f t="shared" si="92"/>
        <v>P10479</v>
      </c>
      <c r="C764" s="2" t="str">
        <f t="shared" si="91"/>
        <v xml:space="preserve"> </v>
      </c>
      <c r="F764" s="2">
        <v>1826</v>
      </c>
      <c r="G764" s="2" t="str">
        <f t="shared" si="93"/>
        <v>P11479</v>
      </c>
      <c r="H764" s="2" t="str">
        <f t="shared" si="94"/>
        <v xml:space="preserve"> </v>
      </c>
      <c r="I764" s="7"/>
    </row>
    <row r="765" spans="1:9" x14ac:dyDescent="0.3">
      <c r="A765" s="2">
        <v>827</v>
      </c>
      <c r="B765" s="2" t="str">
        <f t="shared" si="92"/>
        <v>P1047A</v>
      </c>
      <c r="C765" s="2" t="str">
        <f t="shared" si="91"/>
        <v xml:space="preserve"> </v>
      </c>
      <c r="F765" s="2">
        <v>1827</v>
      </c>
      <c r="G765" s="2" t="str">
        <f t="shared" si="93"/>
        <v>P1147A</v>
      </c>
      <c r="H765" s="2" t="str">
        <f t="shared" si="94"/>
        <v xml:space="preserve"> </v>
      </c>
      <c r="I765" s="7"/>
    </row>
    <row r="766" spans="1:9" x14ac:dyDescent="0.3">
      <c r="A766" s="2">
        <v>828</v>
      </c>
      <c r="B766" s="2" t="str">
        <f t="shared" si="92"/>
        <v>P1047B</v>
      </c>
      <c r="C766" s="2" t="str">
        <f t="shared" si="91"/>
        <v xml:space="preserve"> </v>
      </c>
      <c r="F766" s="2">
        <v>1828</v>
      </c>
      <c r="G766" s="2" t="str">
        <f t="shared" si="93"/>
        <v>P1147B</v>
      </c>
      <c r="H766" s="2" t="str">
        <f t="shared" si="94"/>
        <v xml:space="preserve"> </v>
      </c>
      <c r="I766" s="7"/>
    </row>
    <row r="767" spans="1:9" x14ac:dyDescent="0.3">
      <c r="A767" s="2">
        <v>829</v>
      </c>
      <c r="B767" s="2" t="str">
        <f t="shared" si="92"/>
        <v>P1047C</v>
      </c>
      <c r="C767" s="2" t="str">
        <f t="shared" si="91"/>
        <v xml:space="preserve"> </v>
      </c>
      <c r="F767" s="2">
        <v>1829</v>
      </c>
      <c r="G767" s="2" t="str">
        <f t="shared" si="93"/>
        <v>P1147C</v>
      </c>
      <c r="H767" s="2" t="str">
        <f t="shared" si="94"/>
        <v xml:space="preserve"> </v>
      </c>
      <c r="I767" s="7"/>
    </row>
    <row r="768" spans="1:9" x14ac:dyDescent="0.3">
      <c r="A768" s="2">
        <v>830</v>
      </c>
      <c r="B768" s="2" t="str">
        <f t="shared" si="92"/>
        <v>P1047D</v>
      </c>
      <c r="C768" s="2" t="str">
        <f t="shared" si="91"/>
        <v xml:space="preserve"> </v>
      </c>
      <c r="F768" s="2">
        <v>1830</v>
      </c>
      <c r="G768" s="2" t="str">
        <f t="shared" si="93"/>
        <v>P1147D</v>
      </c>
      <c r="H768" s="2" t="str">
        <f t="shared" si="94"/>
        <v xml:space="preserve"> </v>
      </c>
      <c r="I768" s="7"/>
    </row>
    <row r="769" spans="1:9" x14ac:dyDescent="0.3">
      <c r="A769" s="2">
        <v>831</v>
      </c>
      <c r="B769" s="2" t="str">
        <f t="shared" si="92"/>
        <v>P1047E</v>
      </c>
      <c r="C769" s="2" t="str">
        <f t="shared" si="91"/>
        <v xml:space="preserve"> </v>
      </c>
      <c r="F769" s="2">
        <v>1831</v>
      </c>
      <c r="G769" s="2" t="str">
        <f t="shared" si="93"/>
        <v>P1147E</v>
      </c>
      <c r="H769" s="2" t="str">
        <f t="shared" si="94"/>
        <v xml:space="preserve"> </v>
      </c>
      <c r="I769" s="7"/>
    </row>
    <row r="770" spans="1:9" x14ac:dyDescent="0.3">
      <c r="A770" s="2">
        <v>832</v>
      </c>
      <c r="B770" s="2" t="str">
        <f t="shared" si="92"/>
        <v>P1047F</v>
      </c>
      <c r="C770" s="2" t="str">
        <f t="shared" si="91"/>
        <v xml:space="preserve"> </v>
      </c>
      <c r="F770" s="2">
        <v>1832</v>
      </c>
      <c r="G770" s="2" t="str">
        <f t="shared" si="93"/>
        <v>P1147F</v>
      </c>
      <c r="H770" s="2" t="str">
        <f t="shared" si="94"/>
        <v xml:space="preserve"> </v>
      </c>
      <c r="I770" s="7"/>
    </row>
    <row r="771" spans="1:9" x14ac:dyDescent="0.3">
      <c r="A771" s="2">
        <v>833</v>
      </c>
      <c r="B771" s="2" t="str">
        <f t="shared" si="92"/>
        <v>P10480</v>
      </c>
      <c r="C771" s="2" t="str">
        <f t="shared" ref="C771:C834" si="95">IF(RIGHT(B771,1)="0",LEFT(B771,5)," ")</f>
        <v>P1048</v>
      </c>
      <c r="F771" s="2">
        <v>1833</v>
      </c>
      <c r="G771" s="2" t="str">
        <f t="shared" si="93"/>
        <v>P11480</v>
      </c>
      <c r="H771" s="2" t="str">
        <f t="shared" si="94"/>
        <v>P1148</v>
      </c>
      <c r="I771" s="7"/>
    </row>
    <row r="772" spans="1:9" x14ac:dyDescent="0.3">
      <c r="A772" s="2">
        <v>834</v>
      </c>
      <c r="B772" s="2" t="str">
        <f t="shared" ref="B772:B802" si="96">"P"&amp;DEC2HEX(A772+65536-$A$3 +4*96, 5)</f>
        <v>P10481</v>
      </c>
      <c r="C772" s="2" t="str">
        <f t="shared" si="95"/>
        <v xml:space="preserve"> </v>
      </c>
      <c r="F772" s="2">
        <v>1834</v>
      </c>
      <c r="G772" s="2" t="str">
        <f t="shared" ref="G772:G802" si="97">"P"&amp;DEC2HEX(F772+65536+4096 +4* 96-$F$3, 5)</f>
        <v>P11481</v>
      </c>
      <c r="H772" s="2" t="str">
        <f t="shared" si="94"/>
        <v xml:space="preserve"> </v>
      </c>
      <c r="I772" s="7"/>
    </row>
    <row r="773" spans="1:9" x14ac:dyDescent="0.3">
      <c r="A773" s="2">
        <v>835</v>
      </c>
      <c r="B773" s="2" t="str">
        <f t="shared" si="96"/>
        <v>P10482</v>
      </c>
      <c r="C773" s="2" t="str">
        <f t="shared" si="95"/>
        <v xml:space="preserve"> </v>
      </c>
      <c r="F773" s="2">
        <v>1835</v>
      </c>
      <c r="G773" s="2" t="str">
        <f t="shared" si="97"/>
        <v>P11482</v>
      </c>
      <c r="H773" s="2" t="str">
        <f t="shared" si="94"/>
        <v xml:space="preserve"> </v>
      </c>
      <c r="I773" s="7"/>
    </row>
    <row r="774" spans="1:9" x14ac:dyDescent="0.3">
      <c r="A774" s="2">
        <v>836</v>
      </c>
      <c r="B774" s="2" t="str">
        <f t="shared" si="96"/>
        <v>P10483</v>
      </c>
      <c r="C774" s="2" t="str">
        <f t="shared" si="95"/>
        <v xml:space="preserve"> </v>
      </c>
      <c r="F774" s="2">
        <v>1836</v>
      </c>
      <c r="G774" s="2" t="str">
        <f t="shared" si="97"/>
        <v>P11483</v>
      </c>
      <c r="H774" s="2" t="str">
        <f t="shared" si="94"/>
        <v xml:space="preserve"> </v>
      </c>
      <c r="I774" s="7"/>
    </row>
    <row r="775" spans="1:9" x14ac:dyDescent="0.3">
      <c r="A775" s="2">
        <v>837</v>
      </c>
      <c r="B775" s="2" t="str">
        <f t="shared" si="96"/>
        <v>P10484</v>
      </c>
      <c r="C775" s="2" t="str">
        <f t="shared" si="95"/>
        <v xml:space="preserve"> </v>
      </c>
      <c r="F775" s="2">
        <v>1837</v>
      </c>
      <c r="G775" s="2" t="str">
        <f t="shared" si="97"/>
        <v>P11484</v>
      </c>
      <c r="H775" s="2" t="str">
        <f t="shared" ref="H775:H838" si="98">IF(RIGHT(G775,1)="0",LEFT(G775,5)," ")</f>
        <v xml:space="preserve"> </v>
      </c>
      <c r="I775" s="7"/>
    </row>
    <row r="776" spans="1:9" x14ac:dyDescent="0.3">
      <c r="A776" s="2">
        <v>838</v>
      </c>
      <c r="B776" s="2" t="str">
        <f t="shared" si="96"/>
        <v>P10485</v>
      </c>
      <c r="C776" s="2" t="str">
        <f t="shared" si="95"/>
        <v xml:space="preserve"> </v>
      </c>
      <c r="F776" s="2">
        <v>1838</v>
      </c>
      <c r="G776" s="2" t="str">
        <f t="shared" si="97"/>
        <v>P11485</v>
      </c>
      <c r="H776" s="2" t="str">
        <f t="shared" si="98"/>
        <v xml:space="preserve"> </v>
      </c>
      <c r="I776" s="7"/>
    </row>
    <row r="777" spans="1:9" x14ac:dyDescent="0.3">
      <c r="A777" s="2">
        <v>839</v>
      </c>
      <c r="B777" s="2" t="str">
        <f t="shared" si="96"/>
        <v>P10486</v>
      </c>
      <c r="C777" s="2" t="str">
        <f t="shared" si="95"/>
        <v xml:space="preserve"> </v>
      </c>
      <c r="F777" s="2">
        <v>1839</v>
      </c>
      <c r="G777" s="2" t="str">
        <f t="shared" si="97"/>
        <v>P11486</v>
      </c>
      <c r="H777" s="2" t="str">
        <f t="shared" si="98"/>
        <v xml:space="preserve"> </v>
      </c>
      <c r="I777" s="7"/>
    </row>
    <row r="778" spans="1:9" x14ac:dyDescent="0.3">
      <c r="A778" s="2">
        <v>840</v>
      </c>
      <c r="B778" s="2" t="str">
        <f t="shared" si="96"/>
        <v>P10487</v>
      </c>
      <c r="C778" s="2" t="str">
        <f t="shared" si="95"/>
        <v xml:space="preserve"> </v>
      </c>
      <c r="F778" s="2">
        <v>1840</v>
      </c>
      <c r="G778" s="2" t="str">
        <f t="shared" si="97"/>
        <v>P11487</v>
      </c>
      <c r="H778" s="2" t="str">
        <f t="shared" si="98"/>
        <v xml:space="preserve"> </v>
      </c>
      <c r="I778" s="7"/>
    </row>
    <row r="779" spans="1:9" x14ac:dyDescent="0.3">
      <c r="A779" s="2">
        <v>841</v>
      </c>
      <c r="B779" s="2" t="str">
        <f t="shared" si="96"/>
        <v>P10488</v>
      </c>
      <c r="C779" s="2" t="str">
        <f t="shared" si="95"/>
        <v xml:space="preserve"> </v>
      </c>
      <c r="F779" s="2">
        <v>1841</v>
      </c>
      <c r="G779" s="2" t="str">
        <f t="shared" si="97"/>
        <v>P11488</v>
      </c>
      <c r="H779" s="2" t="str">
        <f t="shared" si="98"/>
        <v xml:space="preserve"> </v>
      </c>
      <c r="I779" s="7"/>
    </row>
    <row r="780" spans="1:9" x14ac:dyDescent="0.3">
      <c r="A780" s="2">
        <v>842</v>
      </c>
      <c r="B780" s="2" t="str">
        <f t="shared" si="96"/>
        <v>P10489</v>
      </c>
      <c r="C780" s="2" t="str">
        <f t="shared" si="95"/>
        <v xml:space="preserve"> </v>
      </c>
      <c r="F780" s="2">
        <v>1842</v>
      </c>
      <c r="G780" s="2" t="str">
        <f t="shared" si="97"/>
        <v>P11489</v>
      </c>
      <c r="H780" s="2" t="str">
        <f t="shared" si="98"/>
        <v xml:space="preserve"> </v>
      </c>
      <c r="I780" s="7"/>
    </row>
    <row r="781" spans="1:9" x14ac:dyDescent="0.3">
      <c r="A781" s="2">
        <v>843</v>
      </c>
      <c r="B781" s="2" t="str">
        <f t="shared" si="96"/>
        <v>P1048A</v>
      </c>
      <c r="C781" s="2" t="str">
        <f t="shared" si="95"/>
        <v xml:space="preserve"> </v>
      </c>
      <c r="F781" s="2">
        <v>1843</v>
      </c>
      <c r="G781" s="2" t="str">
        <f t="shared" si="97"/>
        <v>P1148A</v>
      </c>
      <c r="H781" s="2" t="str">
        <f t="shared" si="98"/>
        <v xml:space="preserve"> </v>
      </c>
      <c r="I781" s="7"/>
    </row>
    <row r="782" spans="1:9" x14ac:dyDescent="0.3">
      <c r="A782" s="2">
        <v>844</v>
      </c>
      <c r="B782" s="2" t="str">
        <f t="shared" si="96"/>
        <v>P1048B</v>
      </c>
      <c r="C782" s="2" t="str">
        <f t="shared" si="95"/>
        <v xml:space="preserve"> </v>
      </c>
      <c r="F782" s="2">
        <v>1844</v>
      </c>
      <c r="G782" s="2" t="str">
        <f t="shared" si="97"/>
        <v>P1148B</v>
      </c>
      <c r="H782" s="2" t="str">
        <f t="shared" si="98"/>
        <v xml:space="preserve"> </v>
      </c>
      <c r="I782" s="7"/>
    </row>
    <row r="783" spans="1:9" x14ac:dyDescent="0.3">
      <c r="A783" s="2">
        <v>845</v>
      </c>
      <c r="B783" s="2" t="str">
        <f t="shared" si="96"/>
        <v>P1048C</v>
      </c>
      <c r="C783" s="2" t="str">
        <f t="shared" si="95"/>
        <v xml:space="preserve"> </v>
      </c>
      <c r="F783" s="2">
        <v>1845</v>
      </c>
      <c r="G783" s="2" t="str">
        <f t="shared" si="97"/>
        <v>P1148C</v>
      </c>
      <c r="H783" s="2" t="str">
        <f t="shared" si="98"/>
        <v xml:space="preserve"> </v>
      </c>
      <c r="I783" s="7"/>
    </row>
    <row r="784" spans="1:9" x14ac:dyDescent="0.3">
      <c r="A784" s="2">
        <v>846</v>
      </c>
      <c r="B784" s="2" t="str">
        <f t="shared" si="96"/>
        <v>P1048D</v>
      </c>
      <c r="C784" s="2" t="str">
        <f t="shared" si="95"/>
        <v xml:space="preserve"> </v>
      </c>
      <c r="F784" s="2">
        <v>1846</v>
      </c>
      <c r="G784" s="2" t="str">
        <f t="shared" si="97"/>
        <v>P1148D</v>
      </c>
      <c r="H784" s="2" t="str">
        <f t="shared" si="98"/>
        <v xml:space="preserve"> </v>
      </c>
      <c r="I784" s="7"/>
    </row>
    <row r="785" spans="1:9" x14ac:dyDescent="0.3">
      <c r="A785" s="2">
        <v>847</v>
      </c>
      <c r="B785" s="2" t="str">
        <f t="shared" si="96"/>
        <v>P1048E</v>
      </c>
      <c r="C785" s="2" t="str">
        <f t="shared" si="95"/>
        <v xml:space="preserve"> </v>
      </c>
      <c r="F785" s="2">
        <v>1847</v>
      </c>
      <c r="G785" s="2" t="str">
        <f t="shared" si="97"/>
        <v>P1148E</v>
      </c>
      <c r="H785" s="2" t="str">
        <f t="shared" si="98"/>
        <v xml:space="preserve"> </v>
      </c>
      <c r="I785" s="7"/>
    </row>
    <row r="786" spans="1:9" x14ac:dyDescent="0.3">
      <c r="A786" s="2">
        <v>848</v>
      </c>
      <c r="B786" s="2" t="str">
        <f t="shared" si="96"/>
        <v>P1048F</v>
      </c>
      <c r="C786" s="2" t="str">
        <f t="shared" si="95"/>
        <v xml:space="preserve"> </v>
      </c>
      <c r="F786" s="2">
        <v>1848</v>
      </c>
      <c r="G786" s="2" t="str">
        <f t="shared" si="97"/>
        <v>P1148F</v>
      </c>
      <c r="H786" s="2" t="str">
        <f t="shared" si="98"/>
        <v xml:space="preserve"> </v>
      </c>
      <c r="I786" s="7"/>
    </row>
    <row r="787" spans="1:9" x14ac:dyDescent="0.3">
      <c r="A787" s="2">
        <v>849</v>
      </c>
      <c r="B787" s="2" t="str">
        <f t="shared" si="96"/>
        <v>P10490</v>
      </c>
      <c r="C787" s="2" t="str">
        <f t="shared" si="95"/>
        <v>P1049</v>
      </c>
      <c r="F787" s="2">
        <v>1849</v>
      </c>
      <c r="G787" s="2" t="str">
        <f t="shared" si="97"/>
        <v>P11490</v>
      </c>
      <c r="H787" s="2" t="str">
        <f t="shared" si="98"/>
        <v>P1149</v>
      </c>
      <c r="I787" s="7"/>
    </row>
    <row r="788" spans="1:9" x14ac:dyDescent="0.3">
      <c r="A788" s="2">
        <v>850</v>
      </c>
      <c r="B788" s="2" t="str">
        <f t="shared" si="96"/>
        <v>P10491</v>
      </c>
      <c r="C788" s="2" t="str">
        <f t="shared" si="95"/>
        <v xml:space="preserve"> </v>
      </c>
      <c r="F788" s="2">
        <v>1850</v>
      </c>
      <c r="G788" s="2" t="str">
        <f t="shared" si="97"/>
        <v>P11491</v>
      </c>
      <c r="H788" s="2" t="str">
        <f t="shared" si="98"/>
        <v xml:space="preserve"> </v>
      </c>
      <c r="I788" s="7"/>
    </row>
    <row r="789" spans="1:9" x14ac:dyDescent="0.3">
      <c r="A789" s="2">
        <v>851</v>
      </c>
      <c r="B789" s="2" t="str">
        <f t="shared" si="96"/>
        <v>P10492</v>
      </c>
      <c r="C789" s="2" t="str">
        <f t="shared" si="95"/>
        <v xml:space="preserve"> </v>
      </c>
      <c r="F789" s="2">
        <v>1851</v>
      </c>
      <c r="G789" s="2" t="str">
        <f t="shared" si="97"/>
        <v>P11492</v>
      </c>
      <c r="H789" s="2" t="str">
        <f t="shared" si="98"/>
        <v xml:space="preserve"> </v>
      </c>
      <c r="I789" s="7"/>
    </row>
    <row r="790" spans="1:9" x14ac:dyDescent="0.3">
      <c r="A790" s="2">
        <v>852</v>
      </c>
      <c r="B790" s="2" t="str">
        <f t="shared" si="96"/>
        <v>P10493</v>
      </c>
      <c r="C790" s="2" t="str">
        <f t="shared" si="95"/>
        <v xml:space="preserve"> </v>
      </c>
      <c r="F790" s="2">
        <v>1852</v>
      </c>
      <c r="G790" s="2" t="str">
        <f t="shared" si="97"/>
        <v>P11493</v>
      </c>
      <c r="H790" s="2" t="str">
        <f t="shared" si="98"/>
        <v xml:space="preserve"> </v>
      </c>
      <c r="I790" s="7"/>
    </row>
    <row r="791" spans="1:9" x14ac:dyDescent="0.3">
      <c r="A791" s="2">
        <v>853</v>
      </c>
      <c r="B791" s="2" t="str">
        <f t="shared" si="96"/>
        <v>P10494</v>
      </c>
      <c r="C791" s="2" t="str">
        <f t="shared" si="95"/>
        <v xml:space="preserve"> </v>
      </c>
      <c r="F791" s="2">
        <v>1853</v>
      </c>
      <c r="G791" s="2" t="str">
        <f t="shared" si="97"/>
        <v>P11494</v>
      </c>
      <c r="H791" s="2" t="str">
        <f t="shared" si="98"/>
        <v xml:space="preserve"> </v>
      </c>
      <c r="I791" s="7"/>
    </row>
    <row r="792" spans="1:9" x14ac:dyDescent="0.3">
      <c r="A792" s="2">
        <v>854</v>
      </c>
      <c r="B792" s="2" t="str">
        <f t="shared" si="96"/>
        <v>P10495</v>
      </c>
      <c r="C792" s="2" t="str">
        <f t="shared" si="95"/>
        <v xml:space="preserve"> </v>
      </c>
      <c r="F792" s="2">
        <v>1854</v>
      </c>
      <c r="G792" s="2" t="str">
        <f t="shared" si="97"/>
        <v>P11495</v>
      </c>
      <c r="H792" s="2" t="str">
        <f t="shared" si="98"/>
        <v xml:space="preserve"> </v>
      </c>
      <c r="I792" s="7"/>
    </row>
    <row r="793" spans="1:9" x14ac:dyDescent="0.3">
      <c r="A793" s="2">
        <v>855</v>
      </c>
      <c r="B793" s="2" t="str">
        <f t="shared" si="96"/>
        <v>P10496</v>
      </c>
      <c r="C793" s="2" t="str">
        <f t="shared" si="95"/>
        <v xml:space="preserve"> </v>
      </c>
      <c r="F793" s="2">
        <v>1855</v>
      </c>
      <c r="G793" s="2" t="str">
        <f t="shared" si="97"/>
        <v>P11496</v>
      </c>
      <c r="H793" s="2" t="str">
        <f t="shared" si="98"/>
        <v xml:space="preserve"> </v>
      </c>
      <c r="I793" s="7"/>
    </row>
    <row r="794" spans="1:9" x14ac:dyDescent="0.3">
      <c r="A794" s="2">
        <v>856</v>
      </c>
      <c r="B794" s="2" t="str">
        <f t="shared" si="96"/>
        <v>P10497</v>
      </c>
      <c r="C794" s="2" t="str">
        <f t="shared" si="95"/>
        <v xml:space="preserve"> </v>
      </c>
      <c r="F794" s="2">
        <v>1856</v>
      </c>
      <c r="G794" s="2" t="str">
        <f t="shared" si="97"/>
        <v>P11497</v>
      </c>
      <c r="H794" s="2" t="str">
        <f t="shared" si="98"/>
        <v xml:space="preserve"> </v>
      </c>
      <c r="I794" s="7"/>
    </row>
    <row r="795" spans="1:9" x14ac:dyDescent="0.3">
      <c r="A795" s="2">
        <v>857</v>
      </c>
      <c r="B795" s="2" t="str">
        <f t="shared" si="96"/>
        <v>P10498</v>
      </c>
      <c r="C795" s="2" t="str">
        <f t="shared" si="95"/>
        <v xml:space="preserve"> </v>
      </c>
      <c r="F795" s="2">
        <v>1857</v>
      </c>
      <c r="G795" s="2" t="str">
        <f t="shared" si="97"/>
        <v>P11498</v>
      </c>
      <c r="H795" s="2" t="str">
        <f t="shared" si="98"/>
        <v xml:space="preserve"> </v>
      </c>
      <c r="I795" s="7"/>
    </row>
    <row r="796" spans="1:9" x14ac:dyDescent="0.3">
      <c r="A796" s="2">
        <v>858</v>
      </c>
      <c r="B796" s="2" t="str">
        <f t="shared" si="96"/>
        <v>P10499</v>
      </c>
      <c r="C796" s="2" t="str">
        <f t="shared" si="95"/>
        <v xml:space="preserve"> </v>
      </c>
      <c r="F796" s="2">
        <v>1858</v>
      </c>
      <c r="G796" s="2" t="str">
        <f t="shared" si="97"/>
        <v>P11499</v>
      </c>
      <c r="H796" s="2" t="str">
        <f t="shared" si="98"/>
        <v xml:space="preserve"> </v>
      </c>
      <c r="I796" s="7"/>
    </row>
    <row r="797" spans="1:9" x14ac:dyDescent="0.3">
      <c r="A797" s="2">
        <v>859</v>
      </c>
      <c r="B797" s="2" t="str">
        <f t="shared" si="96"/>
        <v>P1049A</v>
      </c>
      <c r="C797" s="2" t="str">
        <f t="shared" si="95"/>
        <v xml:space="preserve"> </v>
      </c>
      <c r="F797" s="2">
        <v>1859</v>
      </c>
      <c r="G797" s="2" t="str">
        <f t="shared" si="97"/>
        <v>P1149A</v>
      </c>
      <c r="H797" s="2" t="str">
        <f t="shared" si="98"/>
        <v xml:space="preserve"> </v>
      </c>
      <c r="I797" s="7"/>
    </row>
    <row r="798" spans="1:9" x14ac:dyDescent="0.3">
      <c r="A798" s="2">
        <v>860</v>
      </c>
      <c r="B798" s="2" t="str">
        <f t="shared" si="96"/>
        <v>P1049B</v>
      </c>
      <c r="C798" s="2" t="str">
        <f t="shared" si="95"/>
        <v xml:space="preserve"> </v>
      </c>
      <c r="F798" s="2">
        <v>1860</v>
      </c>
      <c r="G798" s="2" t="str">
        <f t="shared" si="97"/>
        <v>P1149B</v>
      </c>
      <c r="H798" s="2" t="str">
        <f t="shared" si="98"/>
        <v xml:space="preserve"> </v>
      </c>
      <c r="I798" s="7"/>
    </row>
    <row r="799" spans="1:9" x14ac:dyDescent="0.3">
      <c r="A799" s="2">
        <v>861</v>
      </c>
      <c r="B799" s="2" t="str">
        <f t="shared" si="96"/>
        <v>P1049C</v>
      </c>
      <c r="C799" s="2" t="str">
        <f t="shared" si="95"/>
        <v xml:space="preserve"> </v>
      </c>
      <c r="F799" s="2">
        <v>1861</v>
      </c>
      <c r="G799" s="2" t="str">
        <f t="shared" si="97"/>
        <v>P1149C</v>
      </c>
      <c r="H799" s="2" t="str">
        <f t="shared" si="98"/>
        <v xml:space="preserve"> </v>
      </c>
      <c r="I799" s="7"/>
    </row>
    <row r="800" spans="1:9" x14ac:dyDescent="0.3">
      <c r="A800" s="2">
        <v>862</v>
      </c>
      <c r="B800" s="2" t="str">
        <f t="shared" si="96"/>
        <v>P1049D</v>
      </c>
      <c r="C800" s="2" t="str">
        <f t="shared" si="95"/>
        <v xml:space="preserve"> </v>
      </c>
      <c r="F800" s="2">
        <v>1862</v>
      </c>
      <c r="G800" s="2" t="str">
        <f t="shared" si="97"/>
        <v>P1149D</v>
      </c>
      <c r="H800" s="2" t="str">
        <f t="shared" si="98"/>
        <v xml:space="preserve"> </v>
      </c>
      <c r="I800" s="7"/>
    </row>
    <row r="801" spans="1:9" x14ac:dyDescent="0.3">
      <c r="A801" s="2">
        <v>863</v>
      </c>
      <c r="B801" s="2" t="str">
        <f t="shared" si="96"/>
        <v>P1049E</v>
      </c>
      <c r="C801" s="2" t="str">
        <f t="shared" si="95"/>
        <v xml:space="preserve"> </v>
      </c>
      <c r="F801" s="2">
        <v>1863</v>
      </c>
      <c r="G801" s="2" t="str">
        <f t="shared" si="97"/>
        <v>P1149E</v>
      </c>
      <c r="H801" s="2" t="str">
        <f t="shared" si="98"/>
        <v xml:space="preserve"> </v>
      </c>
      <c r="I801" s="7"/>
    </row>
    <row r="802" spans="1:9" x14ac:dyDescent="0.3">
      <c r="A802" s="2">
        <v>864</v>
      </c>
      <c r="B802" s="2" t="str">
        <f t="shared" si="96"/>
        <v>P1049F</v>
      </c>
      <c r="C802" s="2" t="str">
        <f t="shared" si="95"/>
        <v xml:space="preserve"> </v>
      </c>
      <c r="F802" s="2">
        <v>1864</v>
      </c>
      <c r="G802" s="2" t="str">
        <f t="shared" si="97"/>
        <v>P1149F</v>
      </c>
      <c r="H802" s="2" t="str">
        <f t="shared" si="98"/>
        <v xml:space="preserve"> </v>
      </c>
      <c r="I802" s="7"/>
    </row>
    <row r="803" spans="1:9" x14ac:dyDescent="0.3">
      <c r="A803" s="2">
        <v>865</v>
      </c>
      <c r="B803" s="2" t="str">
        <f>"P"&amp;DEC2HEX(A803+65536-$A$3 +5*96, 5)</f>
        <v>P10500</v>
      </c>
      <c r="C803" s="2" t="str">
        <f t="shared" si="95"/>
        <v>P1050</v>
      </c>
      <c r="F803" s="2">
        <v>1865</v>
      </c>
      <c r="G803" s="2" t="str">
        <f>"P"&amp;DEC2HEX(F803+65536+4096 +5* 96-$F$3, 5)</f>
        <v>P11500</v>
      </c>
      <c r="H803" s="2" t="str">
        <f t="shared" si="98"/>
        <v>P1150</v>
      </c>
      <c r="I803" s="7"/>
    </row>
    <row r="804" spans="1:9" x14ac:dyDescent="0.3">
      <c r="A804" s="2">
        <v>866</v>
      </c>
      <c r="B804" s="2" t="str">
        <f t="shared" ref="B804:B867" si="99">"P"&amp;DEC2HEX(A804+65536-$A$3 +5*96, 5)</f>
        <v>P10501</v>
      </c>
      <c r="C804" s="2" t="str">
        <f t="shared" si="95"/>
        <v xml:space="preserve"> </v>
      </c>
      <c r="F804" s="2">
        <v>1866</v>
      </c>
      <c r="G804" s="2" t="str">
        <f t="shared" ref="G804:G867" si="100">"P"&amp;DEC2HEX(F804+65536+4096 +5* 96-$F$3, 5)</f>
        <v>P11501</v>
      </c>
      <c r="H804" s="2" t="str">
        <f t="shared" si="98"/>
        <v xml:space="preserve"> </v>
      </c>
      <c r="I804" s="7"/>
    </row>
    <row r="805" spans="1:9" x14ac:dyDescent="0.3">
      <c r="A805" s="2">
        <v>867</v>
      </c>
      <c r="B805" s="2" t="str">
        <f t="shared" si="99"/>
        <v>P10502</v>
      </c>
      <c r="C805" s="2" t="str">
        <f t="shared" si="95"/>
        <v xml:space="preserve"> </v>
      </c>
      <c r="F805" s="2">
        <v>1867</v>
      </c>
      <c r="G805" s="2" t="str">
        <f t="shared" si="100"/>
        <v>P11502</v>
      </c>
      <c r="H805" s="2" t="str">
        <f t="shared" si="98"/>
        <v xml:space="preserve"> </v>
      </c>
      <c r="I805" s="7"/>
    </row>
    <row r="806" spans="1:9" x14ac:dyDescent="0.3">
      <c r="A806" s="2">
        <v>868</v>
      </c>
      <c r="B806" s="2" t="str">
        <f t="shared" si="99"/>
        <v>P10503</v>
      </c>
      <c r="C806" s="2" t="str">
        <f t="shared" si="95"/>
        <v xml:space="preserve"> </v>
      </c>
      <c r="F806" s="2">
        <v>1868</v>
      </c>
      <c r="G806" s="2" t="str">
        <f t="shared" si="100"/>
        <v>P11503</v>
      </c>
      <c r="H806" s="2" t="str">
        <f t="shared" si="98"/>
        <v xml:space="preserve"> </v>
      </c>
      <c r="I806" s="7"/>
    </row>
    <row r="807" spans="1:9" x14ac:dyDescent="0.3">
      <c r="A807" s="2">
        <v>869</v>
      </c>
      <c r="B807" s="2" t="str">
        <f t="shared" si="99"/>
        <v>P10504</v>
      </c>
      <c r="C807" s="2" t="str">
        <f t="shared" si="95"/>
        <v xml:space="preserve"> </v>
      </c>
      <c r="F807" s="2">
        <v>1869</v>
      </c>
      <c r="G807" s="2" t="str">
        <f t="shared" si="100"/>
        <v>P11504</v>
      </c>
      <c r="H807" s="2" t="str">
        <f t="shared" si="98"/>
        <v xml:space="preserve"> </v>
      </c>
      <c r="I807" s="7"/>
    </row>
    <row r="808" spans="1:9" x14ac:dyDescent="0.3">
      <c r="A808" s="2">
        <v>870</v>
      </c>
      <c r="B808" s="2" t="str">
        <f t="shared" si="99"/>
        <v>P10505</v>
      </c>
      <c r="C808" s="2" t="str">
        <f t="shared" si="95"/>
        <v xml:space="preserve"> </v>
      </c>
      <c r="F808" s="2">
        <v>1870</v>
      </c>
      <c r="G808" s="2" t="str">
        <f t="shared" si="100"/>
        <v>P11505</v>
      </c>
      <c r="H808" s="2" t="str">
        <f t="shared" si="98"/>
        <v xml:space="preserve"> </v>
      </c>
      <c r="I808" s="7"/>
    </row>
    <row r="809" spans="1:9" x14ac:dyDescent="0.3">
      <c r="A809" s="2">
        <v>871</v>
      </c>
      <c r="B809" s="2" t="str">
        <f t="shared" si="99"/>
        <v>P10506</v>
      </c>
      <c r="C809" s="2" t="str">
        <f t="shared" si="95"/>
        <v xml:space="preserve"> </v>
      </c>
      <c r="F809" s="2">
        <v>1871</v>
      </c>
      <c r="G809" s="2" t="str">
        <f t="shared" si="100"/>
        <v>P11506</v>
      </c>
      <c r="H809" s="2" t="str">
        <f t="shared" si="98"/>
        <v xml:space="preserve"> </v>
      </c>
      <c r="I809" s="7"/>
    </row>
    <row r="810" spans="1:9" x14ac:dyDescent="0.3">
      <c r="A810" s="2">
        <v>872</v>
      </c>
      <c r="B810" s="2" t="str">
        <f t="shared" si="99"/>
        <v>P10507</v>
      </c>
      <c r="C810" s="2" t="str">
        <f t="shared" si="95"/>
        <v xml:space="preserve"> </v>
      </c>
      <c r="F810" s="2">
        <v>1872</v>
      </c>
      <c r="G810" s="2" t="str">
        <f t="shared" si="100"/>
        <v>P11507</v>
      </c>
      <c r="H810" s="2" t="str">
        <f t="shared" si="98"/>
        <v xml:space="preserve"> </v>
      </c>
      <c r="I810" s="7"/>
    </row>
    <row r="811" spans="1:9" x14ac:dyDescent="0.3">
      <c r="A811" s="2">
        <v>873</v>
      </c>
      <c r="B811" s="2" t="str">
        <f t="shared" si="99"/>
        <v>P10508</v>
      </c>
      <c r="C811" s="2" t="str">
        <f t="shared" si="95"/>
        <v xml:space="preserve"> </v>
      </c>
      <c r="F811" s="2">
        <v>1873</v>
      </c>
      <c r="G811" s="2" t="str">
        <f t="shared" si="100"/>
        <v>P11508</v>
      </c>
      <c r="H811" s="2" t="str">
        <f t="shared" si="98"/>
        <v xml:space="preserve"> </v>
      </c>
      <c r="I811" s="7"/>
    </row>
    <row r="812" spans="1:9" x14ac:dyDescent="0.3">
      <c r="A812" s="2">
        <v>874</v>
      </c>
      <c r="B812" s="2" t="str">
        <f t="shared" si="99"/>
        <v>P10509</v>
      </c>
      <c r="C812" s="2" t="str">
        <f t="shared" si="95"/>
        <v xml:space="preserve"> </v>
      </c>
      <c r="F812" s="2">
        <v>1874</v>
      </c>
      <c r="G812" s="2" t="str">
        <f t="shared" si="100"/>
        <v>P11509</v>
      </c>
      <c r="H812" s="2" t="str">
        <f t="shared" si="98"/>
        <v xml:space="preserve"> </v>
      </c>
      <c r="I812" s="7"/>
    </row>
    <row r="813" spans="1:9" x14ac:dyDescent="0.3">
      <c r="A813" s="2">
        <v>875</v>
      </c>
      <c r="B813" s="2" t="str">
        <f t="shared" si="99"/>
        <v>P1050A</v>
      </c>
      <c r="C813" s="2" t="str">
        <f t="shared" si="95"/>
        <v xml:space="preserve"> </v>
      </c>
      <c r="F813" s="2">
        <v>1875</v>
      </c>
      <c r="G813" s="2" t="str">
        <f t="shared" si="100"/>
        <v>P1150A</v>
      </c>
      <c r="H813" s="2" t="str">
        <f t="shared" si="98"/>
        <v xml:space="preserve"> </v>
      </c>
      <c r="I813" s="7"/>
    </row>
    <row r="814" spans="1:9" x14ac:dyDescent="0.3">
      <c r="A814" s="2">
        <v>876</v>
      </c>
      <c r="B814" s="2" t="str">
        <f t="shared" si="99"/>
        <v>P1050B</v>
      </c>
      <c r="C814" s="2" t="str">
        <f t="shared" si="95"/>
        <v xml:space="preserve"> </v>
      </c>
      <c r="F814" s="2">
        <v>1876</v>
      </c>
      <c r="G814" s="2" t="str">
        <f t="shared" si="100"/>
        <v>P1150B</v>
      </c>
      <c r="H814" s="2" t="str">
        <f t="shared" si="98"/>
        <v xml:space="preserve"> </v>
      </c>
      <c r="I814" s="7"/>
    </row>
    <row r="815" spans="1:9" x14ac:dyDescent="0.3">
      <c r="A815" s="2">
        <v>877</v>
      </c>
      <c r="B815" s="2" t="str">
        <f t="shared" si="99"/>
        <v>P1050C</v>
      </c>
      <c r="C815" s="2" t="str">
        <f t="shared" si="95"/>
        <v xml:space="preserve"> </v>
      </c>
      <c r="F815" s="2">
        <v>1877</v>
      </c>
      <c r="G815" s="2" t="str">
        <f t="shared" si="100"/>
        <v>P1150C</v>
      </c>
      <c r="H815" s="2" t="str">
        <f t="shared" si="98"/>
        <v xml:space="preserve"> </v>
      </c>
      <c r="I815" s="7"/>
    </row>
    <row r="816" spans="1:9" x14ac:dyDescent="0.3">
      <c r="A816" s="2">
        <v>878</v>
      </c>
      <c r="B816" s="2" t="str">
        <f t="shared" si="99"/>
        <v>P1050D</v>
      </c>
      <c r="C816" s="2" t="str">
        <f t="shared" si="95"/>
        <v xml:space="preserve"> </v>
      </c>
      <c r="F816" s="2">
        <v>1878</v>
      </c>
      <c r="G816" s="2" t="str">
        <f t="shared" si="100"/>
        <v>P1150D</v>
      </c>
      <c r="H816" s="2" t="str">
        <f t="shared" si="98"/>
        <v xml:space="preserve"> </v>
      </c>
      <c r="I816" s="7"/>
    </row>
    <row r="817" spans="1:9" x14ac:dyDescent="0.3">
      <c r="A817" s="2">
        <v>879</v>
      </c>
      <c r="B817" s="2" t="str">
        <f t="shared" si="99"/>
        <v>P1050E</v>
      </c>
      <c r="C817" s="2" t="str">
        <f t="shared" si="95"/>
        <v xml:space="preserve"> </v>
      </c>
      <c r="F817" s="2">
        <v>1879</v>
      </c>
      <c r="G817" s="2" t="str">
        <f t="shared" si="100"/>
        <v>P1150E</v>
      </c>
      <c r="H817" s="2" t="str">
        <f t="shared" si="98"/>
        <v xml:space="preserve"> </v>
      </c>
      <c r="I817" s="7"/>
    </row>
    <row r="818" spans="1:9" x14ac:dyDescent="0.3">
      <c r="A818" s="2">
        <v>880</v>
      </c>
      <c r="B818" s="2" t="str">
        <f t="shared" si="99"/>
        <v>P1050F</v>
      </c>
      <c r="C818" s="2" t="str">
        <f t="shared" si="95"/>
        <v xml:space="preserve"> </v>
      </c>
      <c r="F818" s="2">
        <v>1880</v>
      </c>
      <c r="G818" s="2" t="str">
        <f t="shared" si="100"/>
        <v>P1150F</v>
      </c>
      <c r="H818" s="2" t="str">
        <f t="shared" si="98"/>
        <v xml:space="preserve"> </v>
      </c>
      <c r="I818" s="7"/>
    </row>
    <row r="819" spans="1:9" x14ac:dyDescent="0.3">
      <c r="A819" s="2">
        <v>881</v>
      </c>
      <c r="B819" s="2" t="str">
        <f t="shared" si="99"/>
        <v>P10510</v>
      </c>
      <c r="C819" s="2" t="str">
        <f t="shared" si="95"/>
        <v>P1051</v>
      </c>
      <c r="F819" s="2">
        <v>1881</v>
      </c>
      <c r="G819" s="2" t="str">
        <f t="shared" si="100"/>
        <v>P11510</v>
      </c>
      <c r="H819" s="2" t="str">
        <f t="shared" si="98"/>
        <v>P1151</v>
      </c>
      <c r="I819" s="7"/>
    </row>
    <row r="820" spans="1:9" x14ac:dyDescent="0.3">
      <c r="A820" s="2">
        <v>882</v>
      </c>
      <c r="B820" s="2" t="str">
        <f t="shared" si="99"/>
        <v>P10511</v>
      </c>
      <c r="C820" s="2" t="str">
        <f t="shared" si="95"/>
        <v xml:space="preserve"> </v>
      </c>
      <c r="F820" s="2">
        <v>1882</v>
      </c>
      <c r="G820" s="2" t="str">
        <f t="shared" si="100"/>
        <v>P11511</v>
      </c>
      <c r="H820" s="2" t="str">
        <f t="shared" si="98"/>
        <v xml:space="preserve"> </v>
      </c>
      <c r="I820" s="7"/>
    </row>
    <row r="821" spans="1:9" x14ac:dyDescent="0.3">
      <c r="A821" s="2">
        <v>883</v>
      </c>
      <c r="B821" s="2" t="str">
        <f t="shared" si="99"/>
        <v>P10512</v>
      </c>
      <c r="C821" s="2" t="str">
        <f t="shared" si="95"/>
        <v xml:space="preserve"> </v>
      </c>
      <c r="F821" s="2">
        <v>1883</v>
      </c>
      <c r="G821" s="2" t="str">
        <f t="shared" si="100"/>
        <v>P11512</v>
      </c>
      <c r="H821" s="2" t="str">
        <f t="shared" si="98"/>
        <v xml:space="preserve"> </v>
      </c>
      <c r="I821" s="7"/>
    </row>
    <row r="822" spans="1:9" x14ac:dyDescent="0.3">
      <c r="A822" s="2">
        <v>884</v>
      </c>
      <c r="B822" s="2" t="str">
        <f t="shared" si="99"/>
        <v>P10513</v>
      </c>
      <c r="C822" s="2" t="str">
        <f t="shared" si="95"/>
        <v xml:space="preserve"> </v>
      </c>
      <c r="F822" s="2">
        <v>1884</v>
      </c>
      <c r="G822" s="2" t="str">
        <f t="shared" si="100"/>
        <v>P11513</v>
      </c>
      <c r="H822" s="2" t="str">
        <f t="shared" si="98"/>
        <v xml:space="preserve"> </v>
      </c>
      <c r="I822" s="7"/>
    </row>
    <row r="823" spans="1:9" x14ac:dyDescent="0.3">
      <c r="A823" s="2">
        <v>885</v>
      </c>
      <c r="B823" s="2" t="str">
        <f t="shared" si="99"/>
        <v>P10514</v>
      </c>
      <c r="C823" s="2" t="str">
        <f t="shared" si="95"/>
        <v xml:space="preserve"> </v>
      </c>
      <c r="F823" s="2">
        <v>1885</v>
      </c>
      <c r="G823" s="2" t="str">
        <f t="shared" si="100"/>
        <v>P11514</v>
      </c>
      <c r="H823" s="2" t="str">
        <f t="shared" si="98"/>
        <v xml:space="preserve"> </v>
      </c>
      <c r="I823" s="7"/>
    </row>
    <row r="824" spans="1:9" x14ac:dyDescent="0.3">
      <c r="A824" s="2">
        <v>886</v>
      </c>
      <c r="B824" s="2" t="str">
        <f t="shared" si="99"/>
        <v>P10515</v>
      </c>
      <c r="C824" s="2" t="str">
        <f t="shared" si="95"/>
        <v xml:space="preserve"> </v>
      </c>
      <c r="F824" s="2">
        <v>1886</v>
      </c>
      <c r="G824" s="2" t="str">
        <f t="shared" si="100"/>
        <v>P11515</v>
      </c>
      <c r="H824" s="2" t="str">
        <f t="shared" si="98"/>
        <v xml:space="preserve"> </v>
      </c>
      <c r="I824" s="7"/>
    </row>
    <row r="825" spans="1:9" x14ac:dyDescent="0.3">
      <c r="A825" s="2">
        <v>887</v>
      </c>
      <c r="B825" s="2" t="str">
        <f t="shared" si="99"/>
        <v>P10516</v>
      </c>
      <c r="C825" s="2" t="str">
        <f t="shared" si="95"/>
        <v xml:space="preserve"> </v>
      </c>
      <c r="F825" s="2">
        <v>1887</v>
      </c>
      <c r="G825" s="2" t="str">
        <f t="shared" si="100"/>
        <v>P11516</v>
      </c>
      <c r="H825" s="2" t="str">
        <f t="shared" si="98"/>
        <v xml:space="preserve"> </v>
      </c>
      <c r="I825" s="7"/>
    </row>
    <row r="826" spans="1:9" x14ac:dyDescent="0.3">
      <c r="A826" s="2">
        <v>888</v>
      </c>
      <c r="B826" s="2" t="str">
        <f t="shared" si="99"/>
        <v>P10517</v>
      </c>
      <c r="C826" s="2" t="str">
        <f t="shared" si="95"/>
        <v xml:space="preserve"> </v>
      </c>
      <c r="F826" s="2">
        <v>1888</v>
      </c>
      <c r="G826" s="2" t="str">
        <f t="shared" si="100"/>
        <v>P11517</v>
      </c>
      <c r="H826" s="2" t="str">
        <f t="shared" si="98"/>
        <v xml:space="preserve"> </v>
      </c>
      <c r="I826" s="7"/>
    </row>
    <row r="827" spans="1:9" x14ac:dyDescent="0.3">
      <c r="A827" s="2">
        <v>889</v>
      </c>
      <c r="B827" s="2" t="str">
        <f t="shared" si="99"/>
        <v>P10518</v>
      </c>
      <c r="C827" s="2" t="str">
        <f t="shared" si="95"/>
        <v xml:space="preserve"> </v>
      </c>
      <c r="F827" s="2">
        <v>1889</v>
      </c>
      <c r="G827" s="2" t="str">
        <f t="shared" si="100"/>
        <v>P11518</v>
      </c>
      <c r="H827" s="2" t="str">
        <f t="shared" si="98"/>
        <v xml:space="preserve"> </v>
      </c>
      <c r="I827" s="7"/>
    </row>
    <row r="828" spans="1:9" x14ac:dyDescent="0.3">
      <c r="A828" s="2">
        <v>890</v>
      </c>
      <c r="B828" s="2" t="str">
        <f t="shared" si="99"/>
        <v>P10519</v>
      </c>
      <c r="C828" s="2" t="str">
        <f t="shared" si="95"/>
        <v xml:space="preserve"> </v>
      </c>
      <c r="F828" s="2">
        <v>1890</v>
      </c>
      <c r="G828" s="2" t="str">
        <f t="shared" si="100"/>
        <v>P11519</v>
      </c>
      <c r="H828" s="2" t="str">
        <f t="shared" si="98"/>
        <v xml:space="preserve"> </v>
      </c>
      <c r="I828" s="7"/>
    </row>
    <row r="829" spans="1:9" x14ac:dyDescent="0.3">
      <c r="A829" s="2">
        <v>891</v>
      </c>
      <c r="B829" s="2" t="str">
        <f t="shared" si="99"/>
        <v>P1051A</v>
      </c>
      <c r="C829" s="2" t="str">
        <f t="shared" si="95"/>
        <v xml:space="preserve"> </v>
      </c>
      <c r="F829" s="2">
        <v>1891</v>
      </c>
      <c r="G829" s="2" t="str">
        <f t="shared" si="100"/>
        <v>P1151A</v>
      </c>
      <c r="H829" s="2" t="str">
        <f t="shared" si="98"/>
        <v xml:space="preserve"> </v>
      </c>
      <c r="I829" s="7"/>
    </row>
    <row r="830" spans="1:9" x14ac:dyDescent="0.3">
      <c r="A830" s="2">
        <v>892</v>
      </c>
      <c r="B830" s="2" t="str">
        <f t="shared" si="99"/>
        <v>P1051B</v>
      </c>
      <c r="C830" s="2" t="str">
        <f t="shared" si="95"/>
        <v xml:space="preserve"> </v>
      </c>
      <c r="F830" s="2">
        <v>1892</v>
      </c>
      <c r="G830" s="2" t="str">
        <f t="shared" si="100"/>
        <v>P1151B</v>
      </c>
      <c r="H830" s="2" t="str">
        <f t="shared" si="98"/>
        <v xml:space="preserve"> </v>
      </c>
      <c r="I830" s="7"/>
    </row>
    <row r="831" spans="1:9" x14ac:dyDescent="0.3">
      <c r="A831" s="2">
        <v>893</v>
      </c>
      <c r="B831" s="2" t="str">
        <f t="shared" si="99"/>
        <v>P1051C</v>
      </c>
      <c r="C831" s="2" t="str">
        <f t="shared" si="95"/>
        <v xml:space="preserve"> </v>
      </c>
      <c r="F831" s="2">
        <v>1893</v>
      </c>
      <c r="G831" s="2" t="str">
        <f t="shared" si="100"/>
        <v>P1151C</v>
      </c>
      <c r="H831" s="2" t="str">
        <f t="shared" si="98"/>
        <v xml:space="preserve"> </v>
      </c>
      <c r="I831" s="7"/>
    </row>
    <row r="832" spans="1:9" x14ac:dyDescent="0.3">
      <c r="A832" s="2">
        <v>894</v>
      </c>
      <c r="B832" s="2" t="str">
        <f t="shared" si="99"/>
        <v>P1051D</v>
      </c>
      <c r="C832" s="2" t="str">
        <f t="shared" si="95"/>
        <v xml:space="preserve"> </v>
      </c>
      <c r="F832" s="2">
        <v>1894</v>
      </c>
      <c r="G832" s="2" t="str">
        <f t="shared" si="100"/>
        <v>P1151D</v>
      </c>
      <c r="H832" s="2" t="str">
        <f t="shared" si="98"/>
        <v xml:space="preserve"> </v>
      </c>
      <c r="I832" s="7"/>
    </row>
    <row r="833" spans="1:9" x14ac:dyDescent="0.3">
      <c r="A833" s="2">
        <v>895</v>
      </c>
      <c r="B833" s="2" t="str">
        <f t="shared" si="99"/>
        <v>P1051E</v>
      </c>
      <c r="C833" s="2" t="str">
        <f t="shared" si="95"/>
        <v xml:space="preserve"> </v>
      </c>
      <c r="F833" s="2">
        <v>1895</v>
      </c>
      <c r="G833" s="2" t="str">
        <f t="shared" si="100"/>
        <v>P1151E</v>
      </c>
      <c r="H833" s="2" t="str">
        <f t="shared" si="98"/>
        <v xml:space="preserve"> </v>
      </c>
      <c r="I833" s="7"/>
    </row>
    <row r="834" spans="1:9" x14ac:dyDescent="0.3">
      <c r="A834" s="2">
        <v>896</v>
      </c>
      <c r="B834" s="2" t="str">
        <f t="shared" si="99"/>
        <v>P1051F</v>
      </c>
      <c r="C834" s="2" t="str">
        <f t="shared" si="95"/>
        <v xml:space="preserve"> </v>
      </c>
      <c r="F834" s="2">
        <v>1896</v>
      </c>
      <c r="G834" s="2" t="str">
        <f t="shared" si="100"/>
        <v>P1151F</v>
      </c>
      <c r="H834" s="2" t="str">
        <f t="shared" si="98"/>
        <v xml:space="preserve"> </v>
      </c>
      <c r="I834" s="7"/>
    </row>
    <row r="835" spans="1:9" x14ac:dyDescent="0.3">
      <c r="A835" s="2">
        <v>897</v>
      </c>
      <c r="B835" s="2" t="str">
        <f t="shared" si="99"/>
        <v>P10520</v>
      </c>
      <c r="C835" s="2" t="str">
        <f t="shared" ref="C835:C898" si="101">IF(RIGHT(B835,1)="0",LEFT(B835,5)," ")</f>
        <v>P1052</v>
      </c>
      <c r="F835" s="2">
        <v>1897</v>
      </c>
      <c r="G835" s="2" t="str">
        <f t="shared" si="100"/>
        <v>P11520</v>
      </c>
      <c r="H835" s="2" t="str">
        <f t="shared" si="98"/>
        <v>P1152</v>
      </c>
      <c r="I835" s="7"/>
    </row>
    <row r="836" spans="1:9" x14ac:dyDescent="0.3">
      <c r="A836" s="2">
        <v>898</v>
      </c>
      <c r="B836" s="2" t="str">
        <f t="shared" si="99"/>
        <v>P10521</v>
      </c>
      <c r="C836" s="2" t="str">
        <f t="shared" si="101"/>
        <v xml:space="preserve"> </v>
      </c>
      <c r="F836" s="2">
        <v>1898</v>
      </c>
      <c r="G836" s="2" t="str">
        <f t="shared" si="100"/>
        <v>P11521</v>
      </c>
      <c r="H836" s="2" t="str">
        <f t="shared" si="98"/>
        <v xml:space="preserve"> </v>
      </c>
      <c r="I836" s="7"/>
    </row>
    <row r="837" spans="1:9" x14ac:dyDescent="0.3">
      <c r="A837" s="2">
        <v>899</v>
      </c>
      <c r="B837" s="2" t="str">
        <f t="shared" si="99"/>
        <v>P10522</v>
      </c>
      <c r="C837" s="2" t="str">
        <f t="shared" si="101"/>
        <v xml:space="preserve"> </v>
      </c>
      <c r="F837" s="2">
        <v>1899</v>
      </c>
      <c r="G837" s="2" t="str">
        <f t="shared" si="100"/>
        <v>P11522</v>
      </c>
      <c r="H837" s="2" t="str">
        <f t="shared" si="98"/>
        <v xml:space="preserve"> </v>
      </c>
      <c r="I837" s="7"/>
    </row>
    <row r="838" spans="1:9" x14ac:dyDescent="0.3">
      <c r="A838" s="2">
        <v>900</v>
      </c>
      <c r="B838" s="2" t="str">
        <f t="shared" si="99"/>
        <v>P10523</v>
      </c>
      <c r="C838" s="2" t="str">
        <f t="shared" si="101"/>
        <v xml:space="preserve"> </v>
      </c>
      <c r="F838" s="2">
        <v>1900</v>
      </c>
      <c r="G838" s="2" t="str">
        <f t="shared" si="100"/>
        <v>P11523</v>
      </c>
      <c r="H838" s="2" t="str">
        <f t="shared" si="98"/>
        <v xml:space="preserve"> </v>
      </c>
      <c r="I838" s="7"/>
    </row>
    <row r="839" spans="1:9" x14ac:dyDescent="0.3">
      <c r="A839" s="2">
        <v>901</v>
      </c>
      <c r="B839" s="2" t="str">
        <f t="shared" si="99"/>
        <v>P10524</v>
      </c>
      <c r="C839" s="2" t="str">
        <f t="shared" si="101"/>
        <v xml:space="preserve"> </v>
      </c>
      <c r="F839" s="2">
        <v>1901</v>
      </c>
      <c r="G839" s="2" t="str">
        <f t="shared" si="100"/>
        <v>P11524</v>
      </c>
      <c r="H839" s="2" t="str">
        <f t="shared" ref="H839:H898" si="102">IF(RIGHT(G839,1)="0",LEFT(G839,5)," ")</f>
        <v xml:space="preserve"> </v>
      </c>
      <c r="I839" s="7"/>
    </row>
    <row r="840" spans="1:9" x14ac:dyDescent="0.3">
      <c r="A840" s="2">
        <v>902</v>
      </c>
      <c r="B840" s="2" t="str">
        <f t="shared" si="99"/>
        <v>P10525</v>
      </c>
      <c r="C840" s="2" t="str">
        <f t="shared" si="101"/>
        <v xml:space="preserve"> </v>
      </c>
      <c r="F840" s="2">
        <v>1902</v>
      </c>
      <c r="G840" s="2" t="str">
        <f t="shared" si="100"/>
        <v>P11525</v>
      </c>
      <c r="H840" s="2" t="str">
        <f t="shared" si="102"/>
        <v xml:space="preserve"> </v>
      </c>
      <c r="I840" s="7"/>
    </row>
    <row r="841" spans="1:9" x14ac:dyDescent="0.3">
      <c r="A841" s="2">
        <v>903</v>
      </c>
      <c r="B841" s="2" t="str">
        <f t="shared" si="99"/>
        <v>P10526</v>
      </c>
      <c r="C841" s="2" t="str">
        <f t="shared" si="101"/>
        <v xml:space="preserve"> </v>
      </c>
      <c r="F841" s="2">
        <v>1903</v>
      </c>
      <c r="G841" s="2" t="str">
        <f t="shared" si="100"/>
        <v>P11526</v>
      </c>
      <c r="H841" s="2" t="str">
        <f t="shared" si="102"/>
        <v xml:space="preserve"> </v>
      </c>
      <c r="I841" s="7"/>
    </row>
    <row r="842" spans="1:9" x14ac:dyDescent="0.3">
      <c r="A842" s="2">
        <v>904</v>
      </c>
      <c r="B842" s="2" t="str">
        <f t="shared" si="99"/>
        <v>P10527</v>
      </c>
      <c r="C842" s="2" t="str">
        <f t="shared" si="101"/>
        <v xml:space="preserve"> </v>
      </c>
      <c r="F842" s="2">
        <v>1904</v>
      </c>
      <c r="G842" s="2" t="str">
        <f t="shared" si="100"/>
        <v>P11527</v>
      </c>
      <c r="H842" s="2" t="str">
        <f t="shared" si="102"/>
        <v xml:space="preserve"> </v>
      </c>
      <c r="I842" s="7"/>
    </row>
    <row r="843" spans="1:9" x14ac:dyDescent="0.3">
      <c r="A843" s="2">
        <v>905</v>
      </c>
      <c r="B843" s="2" t="str">
        <f t="shared" si="99"/>
        <v>P10528</v>
      </c>
      <c r="C843" s="2" t="str">
        <f t="shared" si="101"/>
        <v xml:space="preserve"> </v>
      </c>
      <c r="F843" s="2">
        <v>1905</v>
      </c>
      <c r="G843" s="2" t="str">
        <f t="shared" si="100"/>
        <v>P11528</v>
      </c>
      <c r="H843" s="2" t="str">
        <f t="shared" si="102"/>
        <v xml:space="preserve"> </v>
      </c>
      <c r="I843" s="7"/>
    </row>
    <row r="844" spans="1:9" x14ac:dyDescent="0.3">
      <c r="A844" s="2">
        <v>906</v>
      </c>
      <c r="B844" s="2" t="str">
        <f t="shared" si="99"/>
        <v>P10529</v>
      </c>
      <c r="C844" s="2" t="str">
        <f t="shared" si="101"/>
        <v xml:space="preserve"> </v>
      </c>
      <c r="F844" s="2">
        <v>1906</v>
      </c>
      <c r="G844" s="2" t="str">
        <f t="shared" si="100"/>
        <v>P11529</v>
      </c>
      <c r="H844" s="2" t="str">
        <f t="shared" si="102"/>
        <v xml:space="preserve"> </v>
      </c>
      <c r="I844" s="7"/>
    </row>
    <row r="845" spans="1:9" x14ac:dyDescent="0.3">
      <c r="A845" s="2">
        <v>907</v>
      </c>
      <c r="B845" s="2" t="str">
        <f t="shared" si="99"/>
        <v>P1052A</v>
      </c>
      <c r="C845" s="2" t="str">
        <f t="shared" si="101"/>
        <v xml:space="preserve"> </v>
      </c>
      <c r="F845" s="2">
        <v>1907</v>
      </c>
      <c r="G845" s="2" t="str">
        <f t="shared" si="100"/>
        <v>P1152A</v>
      </c>
      <c r="H845" s="2" t="str">
        <f t="shared" si="102"/>
        <v xml:space="preserve"> </v>
      </c>
      <c r="I845" s="7"/>
    </row>
    <row r="846" spans="1:9" x14ac:dyDescent="0.3">
      <c r="A846" s="2">
        <v>908</v>
      </c>
      <c r="B846" s="2" t="str">
        <f t="shared" si="99"/>
        <v>P1052B</v>
      </c>
      <c r="C846" s="2" t="str">
        <f t="shared" si="101"/>
        <v xml:space="preserve"> </v>
      </c>
      <c r="F846" s="2">
        <v>1908</v>
      </c>
      <c r="G846" s="2" t="str">
        <f t="shared" si="100"/>
        <v>P1152B</v>
      </c>
      <c r="H846" s="2" t="str">
        <f t="shared" si="102"/>
        <v xml:space="preserve"> </v>
      </c>
      <c r="I846" s="7"/>
    </row>
    <row r="847" spans="1:9" x14ac:dyDescent="0.3">
      <c r="A847" s="2">
        <v>909</v>
      </c>
      <c r="B847" s="2" t="str">
        <f t="shared" si="99"/>
        <v>P1052C</v>
      </c>
      <c r="C847" s="2" t="str">
        <f t="shared" si="101"/>
        <v xml:space="preserve"> </v>
      </c>
      <c r="F847" s="2">
        <v>1909</v>
      </c>
      <c r="G847" s="2" t="str">
        <f t="shared" si="100"/>
        <v>P1152C</v>
      </c>
      <c r="H847" s="2" t="str">
        <f t="shared" si="102"/>
        <v xml:space="preserve"> </v>
      </c>
      <c r="I847" s="7"/>
    </row>
    <row r="848" spans="1:9" x14ac:dyDescent="0.3">
      <c r="A848" s="2">
        <v>910</v>
      </c>
      <c r="B848" s="2" t="str">
        <f t="shared" si="99"/>
        <v>P1052D</v>
      </c>
      <c r="C848" s="2" t="str">
        <f t="shared" si="101"/>
        <v xml:space="preserve"> </v>
      </c>
      <c r="F848" s="2">
        <v>1910</v>
      </c>
      <c r="G848" s="2" t="str">
        <f t="shared" si="100"/>
        <v>P1152D</v>
      </c>
      <c r="H848" s="2" t="str">
        <f t="shared" si="102"/>
        <v xml:space="preserve"> </v>
      </c>
      <c r="I848" s="7"/>
    </row>
    <row r="849" spans="1:9" x14ac:dyDescent="0.3">
      <c r="A849" s="2">
        <v>911</v>
      </c>
      <c r="B849" s="2" t="str">
        <f t="shared" si="99"/>
        <v>P1052E</v>
      </c>
      <c r="C849" s="2" t="str">
        <f t="shared" si="101"/>
        <v xml:space="preserve"> </v>
      </c>
      <c r="F849" s="2">
        <v>1911</v>
      </c>
      <c r="G849" s="2" t="str">
        <f t="shared" si="100"/>
        <v>P1152E</v>
      </c>
      <c r="H849" s="2" t="str">
        <f t="shared" si="102"/>
        <v xml:space="preserve"> </v>
      </c>
      <c r="I849" s="7"/>
    </row>
    <row r="850" spans="1:9" x14ac:dyDescent="0.3">
      <c r="A850" s="2">
        <v>912</v>
      </c>
      <c r="B850" s="2" t="str">
        <f t="shared" si="99"/>
        <v>P1052F</v>
      </c>
      <c r="C850" s="2" t="str">
        <f t="shared" si="101"/>
        <v xml:space="preserve"> </v>
      </c>
      <c r="F850" s="2">
        <v>1912</v>
      </c>
      <c r="G850" s="2" t="str">
        <f t="shared" si="100"/>
        <v>P1152F</v>
      </c>
      <c r="H850" s="2" t="str">
        <f t="shared" si="102"/>
        <v xml:space="preserve"> </v>
      </c>
      <c r="I850" s="7"/>
    </row>
    <row r="851" spans="1:9" x14ac:dyDescent="0.3">
      <c r="A851" s="2">
        <v>913</v>
      </c>
      <c r="B851" s="2" t="str">
        <f t="shared" si="99"/>
        <v>P10530</v>
      </c>
      <c r="C851" s="2" t="str">
        <f t="shared" si="101"/>
        <v>P1053</v>
      </c>
      <c r="F851" s="2">
        <v>1913</v>
      </c>
      <c r="G851" s="2" t="str">
        <f t="shared" si="100"/>
        <v>P11530</v>
      </c>
      <c r="H851" s="2" t="str">
        <f t="shared" si="102"/>
        <v>P1153</v>
      </c>
      <c r="I851" s="7"/>
    </row>
    <row r="852" spans="1:9" x14ac:dyDescent="0.3">
      <c r="A852" s="2">
        <v>914</v>
      </c>
      <c r="B852" s="2" t="str">
        <f t="shared" si="99"/>
        <v>P10531</v>
      </c>
      <c r="C852" s="2" t="str">
        <f t="shared" si="101"/>
        <v xml:space="preserve"> </v>
      </c>
      <c r="F852" s="2">
        <v>1914</v>
      </c>
      <c r="G852" s="2" t="str">
        <f t="shared" si="100"/>
        <v>P11531</v>
      </c>
      <c r="H852" s="2" t="str">
        <f t="shared" si="102"/>
        <v xml:space="preserve"> </v>
      </c>
      <c r="I852" s="7"/>
    </row>
    <row r="853" spans="1:9" x14ac:dyDescent="0.3">
      <c r="A853" s="2">
        <v>915</v>
      </c>
      <c r="B853" s="2" t="str">
        <f t="shared" si="99"/>
        <v>P10532</v>
      </c>
      <c r="C853" s="2" t="str">
        <f t="shared" si="101"/>
        <v xml:space="preserve"> </v>
      </c>
      <c r="F853" s="2">
        <v>1915</v>
      </c>
      <c r="G853" s="2" t="str">
        <f t="shared" si="100"/>
        <v>P11532</v>
      </c>
      <c r="H853" s="2" t="str">
        <f t="shared" si="102"/>
        <v xml:space="preserve"> </v>
      </c>
      <c r="I853" s="7"/>
    </row>
    <row r="854" spans="1:9" x14ac:dyDescent="0.3">
      <c r="A854" s="2">
        <v>916</v>
      </c>
      <c r="B854" s="2" t="str">
        <f t="shared" si="99"/>
        <v>P10533</v>
      </c>
      <c r="C854" s="2" t="str">
        <f t="shared" si="101"/>
        <v xml:space="preserve"> </v>
      </c>
      <c r="F854" s="2">
        <v>1916</v>
      </c>
      <c r="G854" s="2" t="str">
        <f t="shared" si="100"/>
        <v>P11533</v>
      </c>
      <c r="H854" s="2" t="str">
        <f t="shared" si="102"/>
        <v xml:space="preserve"> </v>
      </c>
      <c r="I854" s="7"/>
    </row>
    <row r="855" spans="1:9" x14ac:dyDescent="0.3">
      <c r="A855" s="2">
        <v>917</v>
      </c>
      <c r="B855" s="2" t="str">
        <f t="shared" si="99"/>
        <v>P10534</v>
      </c>
      <c r="C855" s="2" t="str">
        <f t="shared" si="101"/>
        <v xml:space="preserve"> </v>
      </c>
      <c r="F855" s="2">
        <v>1917</v>
      </c>
      <c r="G855" s="2" t="str">
        <f t="shared" si="100"/>
        <v>P11534</v>
      </c>
      <c r="H855" s="2" t="str">
        <f t="shared" si="102"/>
        <v xml:space="preserve"> </v>
      </c>
      <c r="I855" s="7"/>
    </row>
    <row r="856" spans="1:9" x14ac:dyDescent="0.3">
      <c r="A856" s="2">
        <v>918</v>
      </c>
      <c r="B856" s="2" t="str">
        <f t="shared" si="99"/>
        <v>P10535</v>
      </c>
      <c r="C856" s="2" t="str">
        <f t="shared" si="101"/>
        <v xml:space="preserve"> </v>
      </c>
      <c r="F856" s="2">
        <v>1918</v>
      </c>
      <c r="G856" s="2" t="str">
        <f t="shared" si="100"/>
        <v>P11535</v>
      </c>
      <c r="H856" s="2" t="str">
        <f t="shared" si="102"/>
        <v xml:space="preserve"> </v>
      </c>
      <c r="I856" s="7"/>
    </row>
    <row r="857" spans="1:9" x14ac:dyDescent="0.3">
      <c r="A857" s="2">
        <v>919</v>
      </c>
      <c r="B857" s="2" t="str">
        <f t="shared" si="99"/>
        <v>P10536</v>
      </c>
      <c r="C857" s="2" t="str">
        <f t="shared" si="101"/>
        <v xml:space="preserve"> </v>
      </c>
      <c r="F857" s="2">
        <v>1919</v>
      </c>
      <c r="G857" s="2" t="str">
        <f t="shared" si="100"/>
        <v>P11536</v>
      </c>
      <c r="H857" s="2" t="str">
        <f t="shared" si="102"/>
        <v xml:space="preserve"> </v>
      </c>
      <c r="I857" s="7"/>
    </row>
    <row r="858" spans="1:9" x14ac:dyDescent="0.3">
      <c r="A858" s="2">
        <v>920</v>
      </c>
      <c r="B858" s="2" t="str">
        <f t="shared" si="99"/>
        <v>P10537</v>
      </c>
      <c r="C858" s="2" t="str">
        <f t="shared" si="101"/>
        <v xml:space="preserve"> </v>
      </c>
      <c r="F858" s="2">
        <v>1920</v>
      </c>
      <c r="G858" s="2" t="str">
        <f t="shared" si="100"/>
        <v>P11537</v>
      </c>
      <c r="H858" s="2" t="str">
        <f t="shared" si="102"/>
        <v xml:space="preserve"> </v>
      </c>
      <c r="I858" s="7"/>
    </row>
    <row r="859" spans="1:9" x14ac:dyDescent="0.3">
      <c r="A859" s="2">
        <v>921</v>
      </c>
      <c r="B859" s="2" t="str">
        <f t="shared" si="99"/>
        <v>P10538</v>
      </c>
      <c r="C859" s="2" t="str">
        <f t="shared" si="101"/>
        <v xml:space="preserve"> </v>
      </c>
      <c r="F859" s="2">
        <v>1921</v>
      </c>
      <c r="G859" s="2" t="str">
        <f t="shared" si="100"/>
        <v>P11538</v>
      </c>
      <c r="H859" s="2" t="str">
        <f t="shared" si="102"/>
        <v xml:space="preserve"> </v>
      </c>
      <c r="I859" s="7"/>
    </row>
    <row r="860" spans="1:9" x14ac:dyDescent="0.3">
      <c r="A860" s="2">
        <v>922</v>
      </c>
      <c r="B860" s="2" t="str">
        <f t="shared" si="99"/>
        <v>P10539</v>
      </c>
      <c r="C860" s="2" t="str">
        <f t="shared" si="101"/>
        <v xml:space="preserve"> </v>
      </c>
      <c r="F860" s="2">
        <v>1922</v>
      </c>
      <c r="G860" s="2" t="str">
        <f t="shared" si="100"/>
        <v>P11539</v>
      </c>
      <c r="H860" s="2" t="str">
        <f t="shared" si="102"/>
        <v xml:space="preserve"> </v>
      </c>
      <c r="I860" s="7"/>
    </row>
    <row r="861" spans="1:9" x14ac:dyDescent="0.3">
      <c r="A861" s="2">
        <v>923</v>
      </c>
      <c r="B861" s="2" t="str">
        <f t="shared" si="99"/>
        <v>P1053A</v>
      </c>
      <c r="C861" s="2" t="str">
        <f t="shared" si="101"/>
        <v xml:space="preserve"> </v>
      </c>
      <c r="F861" s="2">
        <v>1923</v>
      </c>
      <c r="G861" s="2" t="str">
        <f t="shared" si="100"/>
        <v>P1153A</v>
      </c>
      <c r="H861" s="2" t="str">
        <f t="shared" si="102"/>
        <v xml:space="preserve"> </v>
      </c>
      <c r="I861" s="7"/>
    </row>
    <row r="862" spans="1:9" x14ac:dyDescent="0.3">
      <c r="A862" s="2">
        <v>924</v>
      </c>
      <c r="B862" s="2" t="str">
        <f t="shared" si="99"/>
        <v>P1053B</v>
      </c>
      <c r="C862" s="2" t="str">
        <f t="shared" si="101"/>
        <v xml:space="preserve"> </v>
      </c>
      <c r="F862" s="2">
        <v>1924</v>
      </c>
      <c r="G862" s="2" t="str">
        <f t="shared" si="100"/>
        <v>P1153B</v>
      </c>
      <c r="H862" s="2" t="str">
        <f t="shared" si="102"/>
        <v xml:space="preserve"> </v>
      </c>
      <c r="I862" s="7"/>
    </row>
    <row r="863" spans="1:9" x14ac:dyDescent="0.3">
      <c r="A863" s="2">
        <v>925</v>
      </c>
      <c r="B863" s="2" t="str">
        <f t="shared" si="99"/>
        <v>P1053C</v>
      </c>
      <c r="C863" s="2" t="str">
        <f t="shared" si="101"/>
        <v xml:space="preserve"> </v>
      </c>
      <c r="F863" s="2">
        <v>1925</v>
      </c>
      <c r="G863" s="2" t="str">
        <f t="shared" si="100"/>
        <v>P1153C</v>
      </c>
      <c r="H863" s="2" t="str">
        <f t="shared" si="102"/>
        <v xml:space="preserve"> </v>
      </c>
      <c r="I863" s="7"/>
    </row>
    <row r="864" spans="1:9" x14ac:dyDescent="0.3">
      <c r="A864" s="2">
        <v>926</v>
      </c>
      <c r="B864" s="2" t="str">
        <f t="shared" si="99"/>
        <v>P1053D</v>
      </c>
      <c r="C864" s="2" t="str">
        <f t="shared" si="101"/>
        <v xml:space="preserve"> </v>
      </c>
      <c r="F864" s="2">
        <v>1926</v>
      </c>
      <c r="G864" s="2" t="str">
        <f t="shared" si="100"/>
        <v>P1153D</v>
      </c>
      <c r="H864" s="2" t="str">
        <f t="shared" si="102"/>
        <v xml:space="preserve"> </v>
      </c>
      <c r="I864" s="7"/>
    </row>
    <row r="865" spans="1:9" x14ac:dyDescent="0.3">
      <c r="A865" s="2">
        <v>927</v>
      </c>
      <c r="B865" s="2" t="str">
        <f t="shared" si="99"/>
        <v>P1053E</v>
      </c>
      <c r="C865" s="2" t="str">
        <f t="shared" si="101"/>
        <v xml:space="preserve"> </v>
      </c>
      <c r="F865" s="2">
        <v>1927</v>
      </c>
      <c r="G865" s="2" t="str">
        <f t="shared" si="100"/>
        <v>P1153E</v>
      </c>
      <c r="H865" s="2" t="str">
        <f t="shared" si="102"/>
        <v xml:space="preserve"> </v>
      </c>
      <c r="I865" s="7"/>
    </row>
    <row r="866" spans="1:9" x14ac:dyDescent="0.3">
      <c r="A866" s="2">
        <v>928</v>
      </c>
      <c r="B866" s="2" t="str">
        <f t="shared" si="99"/>
        <v>P1053F</v>
      </c>
      <c r="C866" s="2" t="str">
        <f t="shared" si="101"/>
        <v xml:space="preserve"> </v>
      </c>
      <c r="F866" s="2">
        <v>1928</v>
      </c>
      <c r="G866" s="2" t="str">
        <f t="shared" si="100"/>
        <v>P1153F</v>
      </c>
      <c r="H866" s="2" t="str">
        <f t="shared" si="102"/>
        <v xml:space="preserve"> </v>
      </c>
      <c r="I866" s="7"/>
    </row>
    <row r="867" spans="1:9" x14ac:dyDescent="0.3">
      <c r="A867" s="2">
        <v>929</v>
      </c>
      <c r="B867" s="2" t="str">
        <f t="shared" si="99"/>
        <v>P10540</v>
      </c>
      <c r="C867" s="2" t="str">
        <f t="shared" si="101"/>
        <v>P1054</v>
      </c>
      <c r="F867" s="2">
        <v>1929</v>
      </c>
      <c r="G867" s="2" t="str">
        <f t="shared" si="100"/>
        <v>P11540</v>
      </c>
      <c r="H867" s="2" t="str">
        <f t="shared" si="102"/>
        <v>P1154</v>
      </c>
      <c r="I867" s="7"/>
    </row>
    <row r="868" spans="1:9" x14ac:dyDescent="0.3">
      <c r="A868" s="2">
        <v>930</v>
      </c>
      <c r="B868" s="2" t="str">
        <f t="shared" ref="B868:B898" si="103">"P"&amp;DEC2HEX(A868+65536-$A$3 +5*96, 5)</f>
        <v>P10541</v>
      </c>
      <c r="C868" s="2" t="str">
        <f t="shared" si="101"/>
        <v xml:space="preserve"> </v>
      </c>
      <c r="F868" s="2">
        <v>1930</v>
      </c>
      <c r="G868" s="2" t="str">
        <f t="shared" ref="G868:G898" si="104">"P"&amp;DEC2HEX(F868+65536+4096 +5* 96-$F$3, 5)</f>
        <v>P11541</v>
      </c>
      <c r="H868" s="2" t="str">
        <f t="shared" si="102"/>
        <v xml:space="preserve"> </v>
      </c>
      <c r="I868" s="7"/>
    </row>
    <row r="869" spans="1:9" x14ac:dyDescent="0.3">
      <c r="A869" s="2">
        <v>931</v>
      </c>
      <c r="B869" s="2" t="str">
        <f t="shared" si="103"/>
        <v>P10542</v>
      </c>
      <c r="C869" s="2" t="str">
        <f t="shared" si="101"/>
        <v xml:space="preserve"> </v>
      </c>
      <c r="F869" s="2">
        <v>1931</v>
      </c>
      <c r="G869" s="2" t="str">
        <f t="shared" si="104"/>
        <v>P11542</v>
      </c>
      <c r="H869" s="2" t="str">
        <f t="shared" si="102"/>
        <v xml:space="preserve"> </v>
      </c>
      <c r="I869" s="7"/>
    </row>
    <row r="870" spans="1:9" x14ac:dyDescent="0.3">
      <c r="A870" s="2">
        <v>932</v>
      </c>
      <c r="B870" s="2" t="str">
        <f t="shared" si="103"/>
        <v>P10543</v>
      </c>
      <c r="C870" s="2" t="str">
        <f t="shared" si="101"/>
        <v xml:space="preserve"> </v>
      </c>
      <c r="F870" s="2">
        <v>1932</v>
      </c>
      <c r="G870" s="2" t="str">
        <f t="shared" si="104"/>
        <v>P11543</v>
      </c>
      <c r="H870" s="2" t="str">
        <f t="shared" si="102"/>
        <v xml:space="preserve"> </v>
      </c>
      <c r="I870" s="7"/>
    </row>
    <row r="871" spans="1:9" x14ac:dyDescent="0.3">
      <c r="A871" s="2">
        <v>933</v>
      </c>
      <c r="B871" s="2" t="str">
        <f t="shared" si="103"/>
        <v>P10544</v>
      </c>
      <c r="C871" s="2" t="str">
        <f t="shared" si="101"/>
        <v xml:space="preserve"> </v>
      </c>
      <c r="F871" s="2">
        <v>1933</v>
      </c>
      <c r="G871" s="2" t="str">
        <f t="shared" si="104"/>
        <v>P11544</v>
      </c>
      <c r="H871" s="2" t="str">
        <f t="shared" si="102"/>
        <v xml:space="preserve"> </v>
      </c>
      <c r="I871" s="7"/>
    </row>
    <row r="872" spans="1:9" x14ac:dyDescent="0.3">
      <c r="A872" s="2">
        <v>934</v>
      </c>
      <c r="B872" s="2" t="str">
        <f t="shared" si="103"/>
        <v>P10545</v>
      </c>
      <c r="C872" s="2" t="str">
        <f t="shared" si="101"/>
        <v xml:space="preserve"> </v>
      </c>
      <c r="F872" s="2">
        <v>1934</v>
      </c>
      <c r="G872" s="2" t="str">
        <f t="shared" si="104"/>
        <v>P11545</v>
      </c>
      <c r="H872" s="2" t="str">
        <f t="shared" si="102"/>
        <v xml:space="preserve"> </v>
      </c>
      <c r="I872" s="7"/>
    </row>
    <row r="873" spans="1:9" x14ac:dyDescent="0.3">
      <c r="A873" s="2">
        <v>935</v>
      </c>
      <c r="B873" s="2" t="str">
        <f t="shared" si="103"/>
        <v>P10546</v>
      </c>
      <c r="C873" s="2" t="str">
        <f t="shared" si="101"/>
        <v xml:space="preserve"> </v>
      </c>
      <c r="F873" s="2">
        <v>1935</v>
      </c>
      <c r="G873" s="2" t="str">
        <f t="shared" si="104"/>
        <v>P11546</v>
      </c>
      <c r="H873" s="2" t="str">
        <f t="shared" si="102"/>
        <v xml:space="preserve"> </v>
      </c>
      <c r="I873" s="7"/>
    </row>
    <row r="874" spans="1:9" x14ac:dyDescent="0.3">
      <c r="A874" s="2">
        <v>936</v>
      </c>
      <c r="B874" s="2" t="str">
        <f t="shared" si="103"/>
        <v>P10547</v>
      </c>
      <c r="C874" s="2" t="str">
        <f t="shared" si="101"/>
        <v xml:space="preserve"> </v>
      </c>
      <c r="F874" s="2">
        <v>1936</v>
      </c>
      <c r="G874" s="2" t="str">
        <f t="shared" si="104"/>
        <v>P11547</v>
      </c>
      <c r="H874" s="2" t="str">
        <f t="shared" si="102"/>
        <v xml:space="preserve"> </v>
      </c>
      <c r="I874" s="7"/>
    </row>
    <row r="875" spans="1:9" x14ac:dyDescent="0.3">
      <c r="A875" s="2">
        <v>937</v>
      </c>
      <c r="B875" s="2" t="str">
        <f t="shared" si="103"/>
        <v>P10548</v>
      </c>
      <c r="C875" s="2" t="str">
        <f t="shared" si="101"/>
        <v xml:space="preserve"> </v>
      </c>
      <c r="F875" s="2">
        <v>1937</v>
      </c>
      <c r="G875" s="2" t="str">
        <f t="shared" si="104"/>
        <v>P11548</v>
      </c>
      <c r="H875" s="2" t="str">
        <f t="shared" si="102"/>
        <v xml:space="preserve"> </v>
      </c>
      <c r="I875" s="7"/>
    </row>
    <row r="876" spans="1:9" x14ac:dyDescent="0.3">
      <c r="A876" s="2">
        <v>938</v>
      </c>
      <c r="B876" s="2" t="str">
        <f t="shared" si="103"/>
        <v>P10549</v>
      </c>
      <c r="C876" s="2" t="str">
        <f t="shared" si="101"/>
        <v xml:space="preserve"> </v>
      </c>
      <c r="F876" s="2">
        <v>1938</v>
      </c>
      <c r="G876" s="2" t="str">
        <f t="shared" si="104"/>
        <v>P11549</v>
      </c>
      <c r="H876" s="2" t="str">
        <f t="shared" si="102"/>
        <v xml:space="preserve"> </v>
      </c>
      <c r="I876" s="7"/>
    </row>
    <row r="877" spans="1:9" x14ac:dyDescent="0.3">
      <c r="A877" s="2">
        <v>939</v>
      </c>
      <c r="B877" s="2" t="str">
        <f t="shared" si="103"/>
        <v>P1054A</v>
      </c>
      <c r="C877" s="2" t="str">
        <f t="shared" si="101"/>
        <v xml:space="preserve"> </v>
      </c>
      <c r="F877" s="2">
        <v>1939</v>
      </c>
      <c r="G877" s="2" t="str">
        <f t="shared" si="104"/>
        <v>P1154A</v>
      </c>
      <c r="H877" s="2" t="str">
        <f t="shared" si="102"/>
        <v xml:space="preserve"> </v>
      </c>
      <c r="I877" s="7"/>
    </row>
    <row r="878" spans="1:9" x14ac:dyDescent="0.3">
      <c r="A878" s="2">
        <v>940</v>
      </c>
      <c r="B878" s="2" t="str">
        <f t="shared" si="103"/>
        <v>P1054B</v>
      </c>
      <c r="C878" s="2" t="str">
        <f t="shared" si="101"/>
        <v xml:space="preserve"> </v>
      </c>
      <c r="F878" s="2">
        <v>1940</v>
      </c>
      <c r="G878" s="2" t="str">
        <f t="shared" si="104"/>
        <v>P1154B</v>
      </c>
      <c r="H878" s="2" t="str">
        <f t="shared" si="102"/>
        <v xml:space="preserve"> </v>
      </c>
      <c r="I878" s="7"/>
    </row>
    <row r="879" spans="1:9" x14ac:dyDescent="0.3">
      <c r="A879" s="2">
        <v>941</v>
      </c>
      <c r="B879" s="2" t="str">
        <f t="shared" si="103"/>
        <v>P1054C</v>
      </c>
      <c r="C879" s="2" t="str">
        <f t="shared" si="101"/>
        <v xml:space="preserve"> </v>
      </c>
      <c r="F879" s="2">
        <v>1941</v>
      </c>
      <c r="G879" s="2" t="str">
        <f t="shared" si="104"/>
        <v>P1154C</v>
      </c>
      <c r="H879" s="2" t="str">
        <f t="shared" si="102"/>
        <v xml:space="preserve"> </v>
      </c>
      <c r="I879" s="7"/>
    </row>
    <row r="880" spans="1:9" x14ac:dyDescent="0.3">
      <c r="A880" s="2">
        <v>942</v>
      </c>
      <c r="B880" s="2" t="str">
        <f t="shared" si="103"/>
        <v>P1054D</v>
      </c>
      <c r="C880" s="2" t="str">
        <f t="shared" si="101"/>
        <v xml:space="preserve"> </v>
      </c>
      <c r="F880" s="2">
        <v>1942</v>
      </c>
      <c r="G880" s="2" t="str">
        <f t="shared" si="104"/>
        <v>P1154D</v>
      </c>
      <c r="H880" s="2" t="str">
        <f t="shared" si="102"/>
        <v xml:space="preserve"> </v>
      </c>
      <c r="I880" s="7"/>
    </row>
    <row r="881" spans="1:9" x14ac:dyDescent="0.3">
      <c r="A881" s="2">
        <v>943</v>
      </c>
      <c r="B881" s="2" t="str">
        <f t="shared" si="103"/>
        <v>P1054E</v>
      </c>
      <c r="C881" s="2" t="str">
        <f t="shared" si="101"/>
        <v xml:space="preserve"> </v>
      </c>
      <c r="F881" s="2">
        <v>1943</v>
      </c>
      <c r="G881" s="2" t="str">
        <f t="shared" si="104"/>
        <v>P1154E</v>
      </c>
      <c r="H881" s="2" t="str">
        <f t="shared" si="102"/>
        <v xml:space="preserve"> </v>
      </c>
      <c r="I881" s="7"/>
    </row>
    <row r="882" spans="1:9" x14ac:dyDescent="0.3">
      <c r="A882" s="2">
        <v>944</v>
      </c>
      <c r="B882" s="2" t="str">
        <f t="shared" si="103"/>
        <v>P1054F</v>
      </c>
      <c r="C882" s="2" t="str">
        <f t="shared" si="101"/>
        <v xml:space="preserve"> </v>
      </c>
      <c r="F882" s="2">
        <v>1944</v>
      </c>
      <c r="G882" s="2" t="str">
        <f t="shared" si="104"/>
        <v>P1154F</v>
      </c>
      <c r="H882" s="2" t="str">
        <f t="shared" si="102"/>
        <v xml:space="preserve"> </v>
      </c>
      <c r="I882" s="7"/>
    </row>
    <row r="883" spans="1:9" x14ac:dyDescent="0.3">
      <c r="A883" s="2">
        <v>945</v>
      </c>
      <c r="B883" s="2" t="str">
        <f t="shared" si="103"/>
        <v>P10550</v>
      </c>
      <c r="C883" s="2" t="str">
        <f t="shared" si="101"/>
        <v>P1055</v>
      </c>
      <c r="F883" s="2">
        <v>1945</v>
      </c>
      <c r="G883" s="2" t="str">
        <f t="shared" si="104"/>
        <v>P11550</v>
      </c>
      <c r="H883" s="2" t="str">
        <f t="shared" si="102"/>
        <v>P1155</v>
      </c>
      <c r="I883" s="7"/>
    </row>
    <row r="884" spans="1:9" x14ac:dyDescent="0.3">
      <c r="A884" s="2">
        <v>946</v>
      </c>
      <c r="B884" s="2" t="str">
        <f t="shared" si="103"/>
        <v>P10551</v>
      </c>
      <c r="C884" s="2" t="str">
        <f t="shared" si="101"/>
        <v xml:space="preserve"> </v>
      </c>
      <c r="F884" s="2">
        <v>1946</v>
      </c>
      <c r="G884" s="2" t="str">
        <f t="shared" si="104"/>
        <v>P11551</v>
      </c>
      <c r="H884" s="2" t="str">
        <f t="shared" si="102"/>
        <v xml:space="preserve"> </v>
      </c>
      <c r="I884" s="7"/>
    </row>
    <row r="885" spans="1:9" x14ac:dyDescent="0.3">
      <c r="A885" s="2">
        <v>947</v>
      </c>
      <c r="B885" s="2" t="str">
        <f t="shared" si="103"/>
        <v>P10552</v>
      </c>
      <c r="C885" s="2" t="str">
        <f t="shared" si="101"/>
        <v xml:space="preserve"> </v>
      </c>
      <c r="F885" s="2">
        <v>1947</v>
      </c>
      <c r="G885" s="2" t="str">
        <f t="shared" si="104"/>
        <v>P11552</v>
      </c>
      <c r="H885" s="2" t="str">
        <f t="shared" si="102"/>
        <v xml:space="preserve"> </v>
      </c>
      <c r="I885" s="7"/>
    </row>
    <row r="886" spans="1:9" x14ac:dyDescent="0.3">
      <c r="A886" s="2">
        <v>948</v>
      </c>
      <c r="B886" s="2" t="str">
        <f t="shared" si="103"/>
        <v>P10553</v>
      </c>
      <c r="C886" s="2" t="str">
        <f t="shared" si="101"/>
        <v xml:space="preserve"> </v>
      </c>
      <c r="F886" s="2">
        <v>1948</v>
      </c>
      <c r="G886" s="2" t="str">
        <f t="shared" si="104"/>
        <v>P11553</v>
      </c>
      <c r="H886" s="2" t="str">
        <f t="shared" si="102"/>
        <v xml:space="preserve"> </v>
      </c>
      <c r="I886" s="7"/>
    </row>
    <row r="887" spans="1:9" x14ac:dyDescent="0.3">
      <c r="A887" s="2">
        <v>949</v>
      </c>
      <c r="B887" s="2" t="str">
        <f t="shared" si="103"/>
        <v>P10554</v>
      </c>
      <c r="C887" s="2" t="str">
        <f t="shared" si="101"/>
        <v xml:space="preserve"> </v>
      </c>
      <c r="F887" s="2">
        <v>1949</v>
      </c>
      <c r="G887" s="2" t="str">
        <f t="shared" si="104"/>
        <v>P11554</v>
      </c>
      <c r="H887" s="2" t="str">
        <f t="shared" si="102"/>
        <v xml:space="preserve"> </v>
      </c>
      <c r="I887" s="7"/>
    </row>
    <row r="888" spans="1:9" x14ac:dyDescent="0.3">
      <c r="A888" s="2">
        <v>950</v>
      </c>
      <c r="B888" s="2" t="str">
        <f t="shared" si="103"/>
        <v>P10555</v>
      </c>
      <c r="C888" s="2" t="str">
        <f t="shared" si="101"/>
        <v xml:space="preserve"> </v>
      </c>
      <c r="F888" s="2">
        <v>1950</v>
      </c>
      <c r="G888" s="2" t="str">
        <f t="shared" si="104"/>
        <v>P11555</v>
      </c>
      <c r="H888" s="2" t="str">
        <f t="shared" si="102"/>
        <v xml:space="preserve"> </v>
      </c>
      <c r="I888" s="7"/>
    </row>
    <row r="889" spans="1:9" x14ac:dyDescent="0.3">
      <c r="A889" s="2">
        <v>951</v>
      </c>
      <c r="B889" s="2" t="str">
        <f t="shared" si="103"/>
        <v>P10556</v>
      </c>
      <c r="C889" s="2" t="str">
        <f t="shared" si="101"/>
        <v xml:space="preserve"> </v>
      </c>
      <c r="F889" s="2">
        <v>1951</v>
      </c>
      <c r="G889" s="2" t="str">
        <f t="shared" si="104"/>
        <v>P11556</v>
      </c>
      <c r="H889" s="2" t="str">
        <f t="shared" si="102"/>
        <v xml:space="preserve"> </v>
      </c>
      <c r="I889" s="7"/>
    </row>
    <row r="890" spans="1:9" x14ac:dyDescent="0.3">
      <c r="A890" s="2">
        <v>952</v>
      </c>
      <c r="B890" s="2" t="str">
        <f t="shared" si="103"/>
        <v>P10557</v>
      </c>
      <c r="C890" s="2" t="str">
        <f t="shared" si="101"/>
        <v xml:space="preserve"> </v>
      </c>
      <c r="F890" s="2">
        <v>1952</v>
      </c>
      <c r="G890" s="2" t="str">
        <f t="shared" si="104"/>
        <v>P11557</v>
      </c>
      <c r="H890" s="2" t="str">
        <f t="shared" si="102"/>
        <v xml:space="preserve"> </v>
      </c>
      <c r="I890" s="7"/>
    </row>
    <row r="891" spans="1:9" x14ac:dyDescent="0.3">
      <c r="A891" s="2">
        <v>953</v>
      </c>
      <c r="B891" s="2" t="str">
        <f t="shared" si="103"/>
        <v>P10558</v>
      </c>
      <c r="C891" s="2" t="str">
        <f t="shared" si="101"/>
        <v xml:space="preserve"> </v>
      </c>
      <c r="F891" s="2">
        <v>1953</v>
      </c>
      <c r="G891" s="2" t="str">
        <f t="shared" si="104"/>
        <v>P11558</v>
      </c>
      <c r="H891" s="2" t="str">
        <f t="shared" si="102"/>
        <v xml:space="preserve"> </v>
      </c>
      <c r="I891" s="7"/>
    </row>
    <row r="892" spans="1:9" x14ac:dyDescent="0.3">
      <c r="A892" s="2">
        <v>954</v>
      </c>
      <c r="B892" s="2" t="str">
        <f t="shared" si="103"/>
        <v>P10559</v>
      </c>
      <c r="C892" s="2" t="str">
        <f t="shared" si="101"/>
        <v xml:space="preserve"> </v>
      </c>
      <c r="F892" s="2">
        <v>1954</v>
      </c>
      <c r="G892" s="2" t="str">
        <f t="shared" si="104"/>
        <v>P11559</v>
      </c>
      <c r="H892" s="2" t="str">
        <f t="shared" si="102"/>
        <v xml:space="preserve"> </v>
      </c>
      <c r="I892" s="7"/>
    </row>
    <row r="893" spans="1:9" x14ac:dyDescent="0.3">
      <c r="A893" s="2">
        <v>955</v>
      </c>
      <c r="B893" s="2" t="str">
        <f t="shared" si="103"/>
        <v>P1055A</v>
      </c>
      <c r="C893" s="2" t="str">
        <f t="shared" si="101"/>
        <v xml:space="preserve"> </v>
      </c>
      <c r="F893" s="2">
        <v>1955</v>
      </c>
      <c r="G893" s="2" t="str">
        <f t="shared" si="104"/>
        <v>P1155A</v>
      </c>
      <c r="H893" s="2" t="str">
        <f t="shared" si="102"/>
        <v xml:space="preserve"> </v>
      </c>
      <c r="I893" s="7"/>
    </row>
    <row r="894" spans="1:9" x14ac:dyDescent="0.3">
      <c r="A894" s="2">
        <v>956</v>
      </c>
      <c r="B894" s="2" t="str">
        <f t="shared" si="103"/>
        <v>P1055B</v>
      </c>
      <c r="C894" s="2" t="str">
        <f t="shared" si="101"/>
        <v xml:space="preserve"> </v>
      </c>
      <c r="F894" s="2">
        <v>1956</v>
      </c>
      <c r="G894" s="2" t="str">
        <f t="shared" si="104"/>
        <v>P1155B</v>
      </c>
      <c r="H894" s="2" t="str">
        <f t="shared" si="102"/>
        <v xml:space="preserve"> </v>
      </c>
      <c r="I894" s="7"/>
    </row>
    <row r="895" spans="1:9" x14ac:dyDescent="0.3">
      <c r="A895" s="2">
        <v>957</v>
      </c>
      <c r="B895" s="2" t="str">
        <f t="shared" si="103"/>
        <v>P1055C</v>
      </c>
      <c r="C895" s="2" t="str">
        <f t="shared" si="101"/>
        <v xml:space="preserve"> </v>
      </c>
      <c r="F895" s="2">
        <v>1957</v>
      </c>
      <c r="G895" s="2" t="str">
        <f t="shared" si="104"/>
        <v>P1155C</v>
      </c>
      <c r="H895" s="2" t="str">
        <f t="shared" si="102"/>
        <v xml:space="preserve"> </v>
      </c>
      <c r="I895" s="7"/>
    </row>
    <row r="896" spans="1:9" x14ac:dyDescent="0.3">
      <c r="A896" s="2">
        <v>958</v>
      </c>
      <c r="B896" s="2" t="str">
        <f t="shared" si="103"/>
        <v>P1055D</v>
      </c>
      <c r="C896" s="2" t="str">
        <f t="shared" si="101"/>
        <v xml:space="preserve"> </v>
      </c>
      <c r="F896" s="2">
        <v>1958</v>
      </c>
      <c r="G896" s="2" t="str">
        <f t="shared" si="104"/>
        <v>P1155D</v>
      </c>
      <c r="H896" s="2" t="str">
        <f t="shared" si="102"/>
        <v xml:space="preserve"> </v>
      </c>
      <c r="I896" s="7"/>
    </row>
    <row r="897" spans="1:9" x14ac:dyDescent="0.3">
      <c r="A897" s="2">
        <v>959</v>
      </c>
      <c r="B897" s="2" t="str">
        <f t="shared" si="103"/>
        <v>P1055E</v>
      </c>
      <c r="C897" s="2" t="str">
        <f t="shared" si="101"/>
        <v xml:space="preserve"> </v>
      </c>
      <c r="F897" s="2">
        <v>1959</v>
      </c>
      <c r="G897" s="2" t="str">
        <f t="shared" si="104"/>
        <v>P1155E</v>
      </c>
      <c r="H897" s="2" t="str">
        <f t="shared" si="102"/>
        <v xml:space="preserve"> </v>
      </c>
      <c r="I897" s="7"/>
    </row>
    <row r="898" spans="1:9" x14ac:dyDescent="0.3">
      <c r="A898" s="2">
        <v>960</v>
      </c>
      <c r="B898" s="2" t="str">
        <f t="shared" si="103"/>
        <v>P1055F</v>
      </c>
      <c r="C898" s="2" t="str">
        <f t="shared" si="101"/>
        <v xml:space="preserve"> </v>
      </c>
      <c r="F898" s="2">
        <v>1960</v>
      </c>
      <c r="G898" s="2" t="str">
        <f t="shared" si="104"/>
        <v>P1155F</v>
      </c>
      <c r="H898" s="2" t="str">
        <f t="shared" si="102"/>
        <v xml:space="preserve"> </v>
      </c>
      <c r="I898" s="7"/>
    </row>
  </sheetData>
  <mergeCells count="2">
    <mergeCell ref="A1:D1"/>
    <mergeCell ref="F1:I1"/>
  </mergeCells>
  <phoneticPr fontId="4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CE3A-0A64-4E99-B2D5-BFF092A15594}">
  <dimension ref="A1:G49"/>
  <sheetViews>
    <sheetView tabSelected="1" topLeftCell="A12" zoomScale="70" zoomScaleNormal="70" workbookViewId="0">
      <selection activeCell="B27" sqref="B27"/>
    </sheetView>
  </sheetViews>
  <sheetFormatPr defaultRowHeight="14.4" x14ac:dyDescent="0.3"/>
  <cols>
    <col min="1" max="1" width="24.109375" style="1" bestFit="1" customWidth="1"/>
    <col min="2" max="2" width="93" bestFit="1" customWidth="1"/>
    <col min="3" max="3" width="19.44140625" bestFit="1" customWidth="1"/>
    <col min="4" max="4" width="20.5546875" bestFit="1" customWidth="1"/>
    <col min="5" max="5" width="23" bestFit="1" customWidth="1"/>
    <col min="6" max="6" width="28.88671875" bestFit="1" customWidth="1"/>
    <col min="7" max="7" width="31.5546875" bestFit="1" customWidth="1"/>
  </cols>
  <sheetData>
    <row r="1" spans="1:7" ht="15" thickBot="1" x14ac:dyDescent="0.35">
      <c r="A1" s="3" t="s">
        <v>10</v>
      </c>
      <c r="B1" s="3" t="s">
        <v>290</v>
      </c>
      <c r="C1" s="3" t="s">
        <v>348</v>
      </c>
      <c r="D1" s="3" t="s">
        <v>347</v>
      </c>
      <c r="E1" s="3" t="s">
        <v>194</v>
      </c>
      <c r="F1" s="3" t="s">
        <v>349</v>
      </c>
      <c r="G1" s="3" t="s">
        <v>350</v>
      </c>
    </row>
    <row r="2" spans="1:7" s="6" customFormat="1" x14ac:dyDescent="0.3">
      <c r="A2" s="4" t="s">
        <v>258</v>
      </c>
      <c r="B2" s="9" t="s">
        <v>234</v>
      </c>
      <c r="C2" s="10">
        <v>10</v>
      </c>
      <c r="D2" s="10">
        <v>100</v>
      </c>
      <c r="E2" s="6" t="s">
        <v>371</v>
      </c>
      <c r="F2" s="6">
        <v>8</v>
      </c>
      <c r="G2" s="6" t="s">
        <v>372</v>
      </c>
    </row>
    <row r="3" spans="1:7" s="6" customFormat="1" x14ac:dyDescent="0.3">
      <c r="A3" s="2" t="s">
        <v>259</v>
      </c>
      <c r="B3" s="7" t="s">
        <v>373</v>
      </c>
      <c r="C3" s="11">
        <v>10</v>
      </c>
      <c r="D3" s="11">
        <v>100</v>
      </c>
      <c r="E3" s="6" t="s">
        <v>374</v>
      </c>
    </row>
    <row r="4" spans="1:7" s="6" customFormat="1" x14ac:dyDescent="0.3">
      <c r="A4" s="4" t="s">
        <v>260</v>
      </c>
      <c r="B4" s="9" t="s">
        <v>375</v>
      </c>
      <c r="C4" s="10">
        <v>10</v>
      </c>
      <c r="D4" s="10" t="s">
        <v>258</v>
      </c>
      <c r="E4" s="6" t="s">
        <v>379</v>
      </c>
      <c r="F4" s="6">
        <v>8</v>
      </c>
      <c r="G4" s="6" t="s">
        <v>372</v>
      </c>
    </row>
    <row r="5" spans="1:7" s="6" customFormat="1" x14ac:dyDescent="0.3">
      <c r="A5" s="2" t="s">
        <v>261</v>
      </c>
      <c r="B5" s="7" t="s">
        <v>376</v>
      </c>
      <c r="C5" s="11">
        <v>10</v>
      </c>
      <c r="D5" s="11" t="s">
        <v>259</v>
      </c>
      <c r="E5" s="6" t="s">
        <v>374</v>
      </c>
    </row>
    <row r="6" spans="1:7" s="6" customFormat="1" x14ac:dyDescent="0.3">
      <c r="A6" s="4" t="s">
        <v>262</v>
      </c>
      <c r="B6" s="9" t="s">
        <v>377</v>
      </c>
      <c r="C6" s="10">
        <v>10</v>
      </c>
      <c r="D6" s="10" t="s">
        <v>260</v>
      </c>
      <c r="E6" s="6" t="s">
        <v>382</v>
      </c>
      <c r="F6" s="6">
        <v>8</v>
      </c>
      <c r="G6" s="6" t="s">
        <v>372</v>
      </c>
    </row>
    <row r="7" spans="1:7" s="6" customFormat="1" x14ac:dyDescent="0.3">
      <c r="A7" s="2" t="s">
        <v>263</v>
      </c>
      <c r="B7" s="7" t="s">
        <v>378</v>
      </c>
      <c r="C7" s="11">
        <v>10</v>
      </c>
      <c r="D7" s="11" t="s">
        <v>261</v>
      </c>
      <c r="E7" s="6" t="s">
        <v>374</v>
      </c>
    </row>
    <row r="8" spans="1:7" s="6" customFormat="1" x14ac:dyDescent="0.3">
      <c r="A8" s="4" t="s">
        <v>264</v>
      </c>
      <c r="B8" s="9" t="s">
        <v>380</v>
      </c>
      <c r="C8" s="10">
        <v>10</v>
      </c>
      <c r="D8" s="10">
        <v>60</v>
      </c>
      <c r="E8" s="6" t="s">
        <v>383</v>
      </c>
      <c r="F8" s="6">
        <v>8</v>
      </c>
      <c r="G8" s="6" t="s">
        <v>384</v>
      </c>
    </row>
    <row r="9" spans="1:7" s="6" customFormat="1" x14ac:dyDescent="0.3">
      <c r="A9" s="2" t="s">
        <v>265</v>
      </c>
      <c r="B9" s="7" t="s">
        <v>381</v>
      </c>
      <c r="C9" s="11">
        <v>10</v>
      </c>
      <c r="D9" s="11" t="s">
        <v>264</v>
      </c>
      <c r="E9" s="6" t="s">
        <v>385</v>
      </c>
      <c r="F9" s="6">
        <v>8</v>
      </c>
      <c r="G9" s="6" t="s">
        <v>372</v>
      </c>
    </row>
    <row r="10" spans="1:7" s="6" customFormat="1" x14ac:dyDescent="0.3">
      <c r="A10" s="4" t="s">
        <v>266</v>
      </c>
      <c r="B10" s="9" t="s">
        <v>386</v>
      </c>
      <c r="C10" s="10">
        <v>10</v>
      </c>
      <c r="D10" s="10">
        <v>60</v>
      </c>
      <c r="E10" s="6" t="s">
        <v>388</v>
      </c>
      <c r="F10" s="6">
        <v>8</v>
      </c>
      <c r="G10" s="6" t="s">
        <v>384</v>
      </c>
    </row>
    <row r="11" spans="1:7" s="6" customFormat="1" x14ac:dyDescent="0.3">
      <c r="A11" s="2" t="s">
        <v>267</v>
      </c>
      <c r="B11" s="7" t="s">
        <v>387</v>
      </c>
      <c r="C11" s="11">
        <v>10</v>
      </c>
      <c r="D11" s="11" t="s">
        <v>266</v>
      </c>
      <c r="E11" s="6" t="s">
        <v>389</v>
      </c>
      <c r="F11" s="6">
        <v>8</v>
      </c>
      <c r="G11" s="6" t="s">
        <v>372</v>
      </c>
    </row>
    <row r="12" spans="1:7" s="6" customFormat="1" x14ac:dyDescent="0.3">
      <c r="A12" s="4" t="s">
        <v>268</v>
      </c>
      <c r="B12" s="9" t="s">
        <v>390</v>
      </c>
      <c r="C12" s="10">
        <v>0</v>
      </c>
      <c r="D12" s="10">
        <v>60</v>
      </c>
      <c r="E12" s="6" t="s">
        <v>394</v>
      </c>
      <c r="F12" s="6">
        <v>8</v>
      </c>
      <c r="G12" s="6" t="s">
        <v>384</v>
      </c>
    </row>
    <row r="13" spans="1:7" s="6" customFormat="1" x14ac:dyDescent="0.3">
      <c r="A13" s="2" t="s">
        <v>269</v>
      </c>
      <c r="B13" s="7" t="s">
        <v>391</v>
      </c>
      <c r="C13" s="11">
        <v>0</v>
      </c>
      <c r="D13" s="11" t="s">
        <v>268</v>
      </c>
      <c r="E13" s="6" t="s">
        <v>395</v>
      </c>
      <c r="F13" s="6">
        <v>8</v>
      </c>
      <c r="G13" s="6" t="s">
        <v>372</v>
      </c>
    </row>
    <row r="14" spans="1:7" s="6" customFormat="1" x14ac:dyDescent="0.3">
      <c r="A14" s="4" t="s">
        <v>270</v>
      </c>
      <c r="B14" s="9" t="s">
        <v>392</v>
      </c>
      <c r="C14" s="10">
        <v>0</v>
      </c>
      <c r="D14" s="10">
        <v>100</v>
      </c>
      <c r="E14" s="6" t="s">
        <v>396</v>
      </c>
      <c r="F14" s="6">
        <v>8</v>
      </c>
      <c r="G14" s="6" t="s">
        <v>384</v>
      </c>
    </row>
    <row r="15" spans="1:7" s="6" customFormat="1" x14ac:dyDescent="0.3">
      <c r="A15" s="2" t="s">
        <v>271</v>
      </c>
      <c r="B15" s="7" t="s">
        <v>393</v>
      </c>
      <c r="C15" s="11">
        <v>0</v>
      </c>
      <c r="D15" s="11" t="s">
        <v>269</v>
      </c>
      <c r="E15" s="6" t="s">
        <v>397</v>
      </c>
      <c r="F15" s="6">
        <v>8</v>
      </c>
      <c r="G15" s="6" t="s">
        <v>372</v>
      </c>
    </row>
    <row r="16" spans="1:7" s="6" customFormat="1" x14ac:dyDescent="0.3">
      <c r="A16" s="4" t="s">
        <v>272</v>
      </c>
      <c r="B16" s="9" t="s">
        <v>235</v>
      </c>
      <c r="C16" s="17">
        <v>1</v>
      </c>
      <c r="D16" s="17">
        <v>15</v>
      </c>
      <c r="E16" s="6" t="s">
        <v>398</v>
      </c>
      <c r="F16" s="6">
        <v>4</v>
      </c>
      <c r="G16" s="6" t="s">
        <v>399</v>
      </c>
    </row>
    <row r="17" spans="1:7" s="6" customFormat="1" x14ac:dyDescent="0.3">
      <c r="A17" s="2" t="s">
        <v>273</v>
      </c>
      <c r="B17" s="7" t="s">
        <v>291</v>
      </c>
      <c r="C17" s="18">
        <v>1</v>
      </c>
      <c r="D17" s="18">
        <v>15</v>
      </c>
      <c r="E17" s="6" t="s">
        <v>400</v>
      </c>
      <c r="F17" s="6">
        <v>4</v>
      </c>
      <c r="G17" s="6" t="s">
        <v>399</v>
      </c>
    </row>
    <row r="18" spans="1:7" s="6" customFormat="1" x14ac:dyDescent="0.3">
      <c r="A18" s="4" t="s">
        <v>274</v>
      </c>
      <c r="B18" s="9" t="s">
        <v>292</v>
      </c>
      <c r="C18" s="17">
        <v>1</v>
      </c>
      <c r="D18" s="17">
        <v>15</v>
      </c>
      <c r="E18" s="6" t="s">
        <v>401</v>
      </c>
      <c r="F18" s="6">
        <v>4</v>
      </c>
      <c r="G18" s="6" t="s">
        <v>399</v>
      </c>
    </row>
    <row r="19" spans="1:7" s="6" customFormat="1" x14ac:dyDescent="0.3">
      <c r="A19" s="2" t="s">
        <v>275</v>
      </c>
      <c r="B19" s="7" t="s">
        <v>237</v>
      </c>
      <c r="C19" s="11">
        <v>0</v>
      </c>
      <c r="D19" s="11">
        <v>800</v>
      </c>
      <c r="E19" s="6" t="s">
        <v>403</v>
      </c>
      <c r="F19" s="6">
        <v>16</v>
      </c>
      <c r="G19" s="6" t="s">
        <v>241</v>
      </c>
    </row>
    <row r="20" spans="1:7" s="6" customFormat="1" x14ac:dyDescent="0.3">
      <c r="A20" s="4" t="s">
        <v>276</v>
      </c>
      <c r="B20" s="9" t="s">
        <v>236</v>
      </c>
      <c r="C20" s="10">
        <v>0</v>
      </c>
      <c r="D20" s="10">
        <v>800</v>
      </c>
      <c r="E20" s="6" t="s">
        <v>404</v>
      </c>
      <c r="F20" s="6">
        <v>16</v>
      </c>
      <c r="G20" s="6" t="s">
        <v>241</v>
      </c>
    </row>
    <row r="21" spans="1:7" s="6" customFormat="1" x14ac:dyDescent="0.3">
      <c r="A21" s="2" t="s">
        <v>277</v>
      </c>
      <c r="B21" s="7" t="s">
        <v>238</v>
      </c>
      <c r="C21" s="11">
        <v>0</v>
      </c>
      <c r="D21" s="11">
        <v>800</v>
      </c>
      <c r="E21" s="6" t="s">
        <v>405</v>
      </c>
      <c r="F21" s="6">
        <v>16</v>
      </c>
      <c r="G21" s="6" t="s">
        <v>402</v>
      </c>
    </row>
    <row r="22" spans="1:7" s="6" customFormat="1" x14ac:dyDescent="0.3">
      <c r="A22" s="4" t="s">
        <v>278</v>
      </c>
      <c r="B22" s="9" t="s">
        <v>239</v>
      </c>
      <c r="C22" s="10">
        <v>0</v>
      </c>
      <c r="D22" s="10">
        <v>800</v>
      </c>
      <c r="E22" s="6" t="s">
        <v>406</v>
      </c>
      <c r="F22" s="6">
        <v>16</v>
      </c>
      <c r="G22" s="6" t="s">
        <v>241</v>
      </c>
    </row>
    <row r="23" spans="1:7" s="6" customFormat="1" x14ac:dyDescent="0.3">
      <c r="A23" s="2" t="s">
        <v>279</v>
      </c>
      <c r="B23" s="7" t="s">
        <v>240</v>
      </c>
      <c r="C23" s="11">
        <v>0</v>
      </c>
      <c r="D23" s="11">
        <v>800</v>
      </c>
      <c r="E23" s="6" t="s">
        <v>407</v>
      </c>
      <c r="F23" s="6">
        <v>16</v>
      </c>
      <c r="G23" s="6" t="s">
        <v>241</v>
      </c>
    </row>
    <row r="24" spans="1:7" s="6" customFormat="1" x14ac:dyDescent="0.3">
      <c r="A24" s="4" t="s">
        <v>280</v>
      </c>
      <c r="B24" s="9" t="s">
        <v>408</v>
      </c>
      <c r="C24" s="17">
        <v>1</v>
      </c>
      <c r="D24" s="17">
        <v>255</v>
      </c>
      <c r="E24" s="6" t="s">
        <v>410</v>
      </c>
      <c r="F24" s="6">
        <v>8</v>
      </c>
      <c r="G24" s="6" t="s">
        <v>399</v>
      </c>
    </row>
    <row r="25" spans="1:7" s="6" customFormat="1" x14ac:dyDescent="0.3">
      <c r="A25" s="2" t="s">
        <v>281</v>
      </c>
      <c r="B25" s="7" t="s">
        <v>409</v>
      </c>
      <c r="C25" s="18">
        <v>1</v>
      </c>
      <c r="D25" s="18">
        <v>255</v>
      </c>
      <c r="E25" s="6" t="s">
        <v>411</v>
      </c>
      <c r="F25" s="6">
        <v>8</v>
      </c>
      <c r="G25" s="6" t="s">
        <v>399</v>
      </c>
    </row>
    <row r="26" spans="1:7" s="6" customFormat="1" x14ac:dyDescent="0.3">
      <c r="A26" s="4" t="s">
        <v>282</v>
      </c>
      <c r="B26" s="9" t="s">
        <v>440</v>
      </c>
      <c r="C26" s="17">
        <v>1</v>
      </c>
      <c r="D26" s="17">
        <v>255</v>
      </c>
      <c r="E26" s="6" t="s">
        <v>412</v>
      </c>
      <c r="F26" s="6">
        <v>8</v>
      </c>
      <c r="G26" s="6" t="s">
        <v>399</v>
      </c>
    </row>
    <row r="27" spans="1:7" s="6" customFormat="1" x14ac:dyDescent="0.3">
      <c r="A27" s="2" t="s">
        <v>283</v>
      </c>
      <c r="B27" s="7" t="s">
        <v>441</v>
      </c>
      <c r="C27" s="18">
        <v>1</v>
      </c>
      <c r="D27" s="18">
        <v>255</v>
      </c>
      <c r="E27" s="6" t="s">
        <v>439</v>
      </c>
      <c r="F27" s="6">
        <v>8</v>
      </c>
      <c r="G27" s="6" t="s">
        <v>399</v>
      </c>
    </row>
    <row r="28" spans="1:7" s="6" customFormat="1" x14ac:dyDescent="0.3">
      <c r="A28" s="4" t="s">
        <v>284</v>
      </c>
      <c r="B28" s="9" t="s">
        <v>446</v>
      </c>
      <c r="C28" s="17">
        <v>1</v>
      </c>
      <c r="D28" s="17">
        <v>2</v>
      </c>
      <c r="E28" s="6" t="s">
        <v>464</v>
      </c>
      <c r="F28" s="6">
        <v>1</v>
      </c>
      <c r="G28" s="6" t="s">
        <v>399</v>
      </c>
    </row>
    <row r="29" spans="1:7" s="6" customFormat="1" x14ac:dyDescent="0.3">
      <c r="A29" s="2" t="s">
        <v>285</v>
      </c>
      <c r="B29" s="7" t="s">
        <v>444</v>
      </c>
      <c r="C29" s="18">
        <v>1</v>
      </c>
      <c r="D29" s="18">
        <v>2</v>
      </c>
      <c r="E29" s="6" t="s">
        <v>465</v>
      </c>
      <c r="F29" s="6">
        <v>1</v>
      </c>
      <c r="G29" s="6" t="s">
        <v>399</v>
      </c>
    </row>
    <row r="30" spans="1:7" s="6" customFormat="1" x14ac:dyDescent="0.3">
      <c r="A30" s="4" t="s">
        <v>286</v>
      </c>
      <c r="B30" s="9" t="s">
        <v>445</v>
      </c>
      <c r="C30" s="17">
        <v>1</v>
      </c>
      <c r="D30" s="17">
        <v>2</v>
      </c>
      <c r="E30" s="6" t="s">
        <v>466</v>
      </c>
      <c r="F30" s="6">
        <v>1</v>
      </c>
      <c r="G30" s="6" t="s">
        <v>399</v>
      </c>
    </row>
    <row r="31" spans="1:7" s="6" customFormat="1" x14ac:dyDescent="0.3">
      <c r="A31" s="2" t="s">
        <v>287</v>
      </c>
      <c r="B31" s="7" t="s">
        <v>44</v>
      </c>
      <c r="C31" s="11"/>
      <c r="D31" s="11"/>
    </row>
    <row r="32" spans="1:7" s="6" customFormat="1" x14ac:dyDescent="0.3">
      <c r="A32" s="4" t="s">
        <v>288</v>
      </c>
      <c r="B32" s="9" t="s">
        <v>44</v>
      </c>
      <c r="C32" s="10"/>
      <c r="D32" s="10"/>
    </row>
    <row r="33" spans="1:7" s="6" customFormat="1" x14ac:dyDescent="0.3">
      <c r="A33" s="2" t="s">
        <v>289</v>
      </c>
      <c r="B33" s="7" t="s">
        <v>44</v>
      </c>
      <c r="C33" s="11"/>
      <c r="D33" s="11"/>
    </row>
    <row r="34" spans="1:7" s="6" customFormat="1" x14ac:dyDescent="0.3">
      <c r="A34" s="4" t="s">
        <v>413</v>
      </c>
      <c r="B34" s="9" t="s">
        <v>437</v>
      </c>
      <c r="C34" s="17" t="s">
        <v>10551</v>
      </c>
      <c r="D34" s="17" t="s">
        <v>10551</v>
      </c>
      <c r="E34" s="6" t="s">
        <v>447</v>
      </c>
      <c r="F34" s="6">
        <v>1</v>
      </c>
      <c r="G34" s="6" t="s">
        <v>399</v>
      </c>
    </row>
    <row r="35" spans="1:7" s="6" customFormat="1" x14ac:dyDescent="0.3">
      <c r="A35" s="2" t="s">
        <v>414</v>
      </c>
      <c r="B35" s="7" t="s">
        <v>438</v>
      </c>
      <c r="C35" s="18" t="s">
        <v>10551</v>
      </c>
      <c r="D35" s="18" t="s">
        <v>10551</v>
      </c>
      <c r="E35" s="6" t="s">
        <v>448</v>
      </c>
      <c r="F35" s="6">
        <v>1</v>
      </c>
      <c r="G35" s="6" t="s">
        <v>399</v>
      </c>
    </row>
    <row r="36" spans="1:7" s="6" customFormat="1" x14ac:dyDescent="0.3">
      <c r="A36" s="4" t="s">
        <v>415</v>
      </c>
      <c r="B36" s="9" t="s">
        <v>429</v>
      </c>
      <c r="C36" s="17" t="s">
        <v>10551</v>
      </c>
      <c r="D36" s="17" t="s">
        <v>10551</v>
      </c>
      <c r="E36" s="6" t="s">
        <v>449</v>
      </c>
      <c r="F36" s="6">
        <v>1</v>
      </c>
      <c r="G36" s="6" t="s">
        <v>399</v>
      </c>
    </row>
    <row r="37" spans="1:7" s="6" customFormat="1" x14ac:dyDescent="0.3">
      <c r="A37" s="2" t="s">
        <v>416</v>
      </c>
      <c r="B37" s="7" t="s">
        <v>432</v>
      </c>
      <c r="C37" s="11" t="s">
        <v>10551</v>
      </c>
      <c r="D37" s="11" t="s">
        <v>10551</v>
      </c>
      <c r="E37" s="6" t="s">
        <v>450</v>
      </c>
      <c r="F37" s="6">
        <v>1</v>
      </c>
      <c r="G37" s="6" t="s">
        <v>399</v>
      </c>
    </row>
    <row r="38" spans="1:7" s="6" customFormat="1" x14ac:dyDescent="0.3">
      <c r="A38" s="4" t="s">
        <v>417</v>
      </c>
      <c r="B38" s="9" t="s">
        <v>433</v>
      </c>
      <c r="C38" s="17" t="s">
        <v>10551</v>
      </c>
      <c r="D38" s="17" t="s">
        <v>10551</v>
      </c>
      <c r="E38" s="6" t="s">
        <v>451</v>
      </c>
      <c r="F38" s="6">
        <v>1</v>
      </c>
      <c r="G38" s="6" t="s">
        <v>399</v>
      </c>
    </row>
    <row r="39" spans="1:7" s="6" customFormat="1" x14ac:dyDescent="0.3">
      <c r="A39" s="2" t="s">
        <v>418</v>
      </c>
      <c r="B39" s="7" t="s">
        <v>430</v>
      </c>
      <c r="C39" s="18" t="s">
        <v>10551</v>
      </c>
      <c r="D39" s="18" t="s">
        <v>10551</v>
      </c>
      <c r="E39" s="6" t="s">
        <v>452</v>
      </c>
      <c r="F39" s="6">
        <v>1</v>
      </c>
      <c r="G39" s="6" t="s">
        <v>399</v>
      </c>
    </row>
    <row r="40" spans="1:7" s="6" customFormat="1" x14ac:dyDescent="0.3">
      <c r="A40" s="4" t="s">
        <v>419</v>
      </c>
      <c r="B40" s="9" t="s">
        <v>431</v>
      </c>
      <c r="C40" s="17" t="s">
        <v>10551</v>
      </c>
      <c r="D40" s="17" t="s">
        <v>10551</v>
      </c>
      <c r="E40" s="6" t="s">
        <v>453</v>
      </c>
      <c r="F40" s="6">
        <v>1</v>
      </c>
      <c r="G40" s="6" t="s">
        <v>399</v>
      </c>
    </row>
    <row r="41" spans="1:7" s="6" customFormat="1" x14ac:dyDescent="0.3">
      <c r="A41" s="2" t="s">
        <v>420</v>
      </c>
      <c r="B41" s="7" t="s">
        <v>434</v>
      </c>
      <c r="C41" s="11" t="s">
        <v>10551</v>
      </c>
      <c r="D41" s="11" t="s">
        <v>10551</v>
      </c>
      <c r="E41" s="6" t="s">
        <v>454</v>
      </c>
      <c r="F41" s="6">
        <v>1</v>
      </c>
      <c r="G41" s="6" t="s">
        <v>399</v>
      </c>
    </row>
    <row r="42" spans="1:7" s="6" customFormat="1" x14ac:dyDescent="0.3">
      <c r="A42" s="4" t="s">
        <v>421</v>
      </c>
      <c r="B42" s="9" t="s">
        <v>435</v>
      </c>
      <c r="C42" s="17" t="s">
        <v>10551</v>
      </c>
      <c r="D42" s="17" t="s">
        <v>10551</v>
      </c>
      <c r="E42" s="6" t="s">
        <v>455</v>
      </c>
      <c r="F42" s="6">
        <v>1</v>
      </c>
      <c r="G42" s="6" t="s">
        <v>399</v>
      </c>
    </row>
    <row r="43" spans="1:7" s="6" customFormat="1" x14ac:dyDescent="0.3">
      <c r="A43" s="2" t="s">
        <v>422</v>
      </c>
      <c r="B43" s="7" t="s">
        <v>442</v>
      </c>
      <c r="C43" s="18" t="s">
        <v>10551</v>
      </c>
      <c r="D43" s="18" t="s">
        <v>10551</v>
      </c>
      <c r="E43" s="6" t="s">
        <v>456</v>
      </c>
      <c r="F43" s="6">
        <v>1</v>
      </c>
      <c r="G43" s="6" t="s">
        <v>399</v>
      </c>
    </row>
    <row r="44" spans="1:7" s="6" customFormat="1" x14ac:dyDescent="0.3">
      <c r="A44" s="4" t="s">
        <v>423</v>
      </c>
      <c r="B44" s="9" t="s">
        <v>443</v>
      </c>
      <c r="C44" s="17" t="s">
        <v>10551</v>
      </c>
      <c r="D44" s="17" t="s">
        <v>10551</v>
      </c>
      <c r="E44" s="6" t="s">
        <v>457</v>
      </c>
      <c r="F44" s="6">
        <v>1</v>
      </c>
      <c r="G44" s="6" t="s">
        <v>399</v>
      </c>
    </row>
    <row r="45" spans="1:7" s="6" customFormat="1" x14ac:dyDescent="0.3">
      <c r="A45" s="2" t="s">
        <v>424</v>
      </c>
      <c r="B45" s="7" t="s">
        <v>44</v>
      </c>
      <c r="C45" s="11"/>
      <c r="D45" s="11"/>
    </row>
    <row r="46" spans="1:7" s="6" customFormat="1" x14ac:dyDescent="0.3">
      <c r="A46" s="4" t="s">
        <v>425</v>
      </c>
      <c r="B46" s="9" t="s">
        <v>44</v>
      </c>
      <c r="C46" s="17"/>
      <c r="D46" s="17"/>
    </row>
    <row r="47" spans="1:7" s="6" customFormat="1" x14ac:dyDescent="0.3">
      <c r="A47" s="2" t="s">
        <v>426</v>
      </c>
      <c r="B47" s="7" t="s">
        <v>44</v>
      </c>
      <c r="C47" s="11"/>
      <c r="D47" s="11"/>
    </row>
    <row r="48" spans="1:7" s="6" customFormat="1" x14ac:dyDescent="0.3">
      <c r="A48" s="4" t="s">
        <v>427</v>
      </c>
      <c r="B48" s="9" t="s">
        <v>44</v>
      </c>
      <c r="C48" s="10"/>
      <c r="D48" s="10"/>
    </row>
    <row r="49" spans="1:4" s="6" customFormat="1" x14ac:dyDescent="0.3">
      <c r="A49" s="2" t="s">
        <v>428</v>
      </c>
      <c r="B49" s="7" t="s">
        <v>44</v>
      </c>
      <c r="C49" s="11"/>
      <c r="D49" s="11"/>
    </row>
  </sheetData>
  <phoneticPr fontId="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D264-9A9F-4C97-8435-D1191E30740B}">
  <dimension ref="A1:H15"/>
  <sheetViews>
    <sheetView workbookViewId="0">
      <selection activeCell="E11" sqref="E11"/>
    </sheetView>
  </sheetViews>
  <sheetFormatPr defaultRowHeight="14.4" x14ac:dyDescent="0.3"/>
  <cols>
    <col min="1" max="1" width="32.109375" bestFit="1" customWidth="1"/>
    <col min="2" max="2" width="5.33203125" bestFit="1" customWidth="1"/>
    <col min="3" max="3" width="9.5546875" bestFit="1" customWidth="1"/>
    <col min="4" max="4" width="18" bestFit="1" customWidth="1"/>
    <col min="5" max="5" width="14.109375" bestFit="1" customWidth="1"/>
    <col min="6" max="6" width="12.5546875" bestFit="1" customWidth="1"/>
    <col min="7" max="7" width="20.6640625" bestFit="1" customWidth="1"/>
    <col min="8" max="8" width="32.109375" bestFit="1" customWidth="1"/>
  </cols>
  <sheetData>
    <row r="1" spans="1:8" x14ac:dyDescent="0.3">
      <c r="A1" t="s">
        <v>5914</v>
      </c>
      <c r="C1" t="s">
        <v>5917</v>
      </c>
      <c r="D1" t="s">
        <v>5918</v>
      </c>
      <c r="E1" t="s">
        <v>5919</v>
      </c>
      <c r="F1" t="s">
        <v>5920</v>
      </c>
      <c r="G1" t="s">
        <v>5921</v>
      </c>
      <c r="H1" t="s">
        <v>5922</v>
      </c>
    </row>
    <row r="2" spans="1:8" x14ac:dyDescent="0.3">
      <c r="A2" t="s">
        <v>199</v>
      </c>
      <c r="C2" t="s">
        <v>300</v>
      </c>
      <c r="D2">
        <v>0</v>
      </c>
      <c r="E2">
        <v>0</v>
      </c>
      <c r="F2">
        <v>0</v>
      </c>
      <c r="H2" t="s">
        <v>199</v>
      </c>
    </row>
    <row r="3" spans="1:8" x14ac:dyDescent="0.3">
      <c r="A3" t="s">
        <v>301</v>
      </c>
      <c r="B3" s="5"/>
      <c r="C3" t="s">
        <v>309</v>
      </c>
      <c r="D3" s="5">
        <v>1</v>
      </c>
      <c r="E3">
        <v>0</v>
      </c>
      <c r="F3">
        <v>1</v>
      </c>
      <c r="H3" t="s">
        <v>301</v>
      </c>
    </row>
    <row r="4" spans="1:8" x14ac:dyDescent="0.3">
      <c r="A4" t="s">
        <v>202</v>
      </c>
      <c r="C4" t="s">
        <v>302</v>
      </c>
      <c r="D4">
        <v>0</v>
      </c>
      <c r="E4">
        <v>0</v>
      </c>
      <c r="F4">
        <v>2</v>
      </c>
      <c r="H4" t="s">
        <v>202</v>
      </c>
    </row>
    <row r="5" spans="1:8" x14ac:dyDescent="0.3">
      <c r="A5" t="s">
        <v>203</v>
      </c>
      <c r="C5" t="s">
        <v>303</v>
      </c>
      <c r="D5">
        <v>0</v>
      </c>
      <c r="E5">
        <v>0</v>
      </c>
      <c r="F5">
        <v>3</v>
      </c>
      <c r="H5" t="s">
        <v>203</v>
      </c>
    </row>
    <row r="6" spans="1:8" x14ac:dyDescent="0.3">
      <c r="A6" t="s">
        <v>296</v>
      </c>
      <c r="B6" s="5"/>
      <c r="C6" t="s">
        <v>310</v>
      </c>
      <c r="D6" s="5">
        <v>1</v>
      </c>
      <c r="E6">
        <v>0</v>
      </c>
      <c r="F6">
        <v>4</v>
      </c>
      <c r="H6" t="s">
        <v>296</v>
      </c>
    </row>
    <row r="7" spans="1:8" x14ac:dyDescent="0.3">
      <c r="A7" t="s">
        <v>207</v>
      </c>
      <c r="C7" t="s">
        <v>305</v>
      </c>
      <c r="D7">
        <v>0</v>
      </c>
      <c r="E7">
        <v>0</v>
      </c>
      <c r="F7">
        <v>5</v>
      </c>
      <c r="H7" t="s">
        <v>207</v>
      </c>
    </row>
    <row r="8" spans="1:8" x14ac:dyDescent="0.3">
      <c r="A8" t="s">
        <v>209</v>
      </c>
      <c r="C8" t="s">
        <v>304</v>
      </c>
      <c r="D8">
        <v>0</v>
      </c>
      <c r="E8">
        <v>0</v>
      </c>
      <c r="F8">
        <v>6</v>
      </c>
      <c r="H8" t="s">
        <v>209</v>
      </c>
    </row>
    <row r="9" spans="1:8" x14ac:dyDescent="0.3">
      <c r="A9" t="s">
        <v>217</v>
      </c>
      <c r="C9" t="s">
        <v>306</v>
      </c>
      <c r="D9">
        <v>0</v>
      </c>
      <c r="E9">
        <v>0</v>
      </c>
      <c r="F9">
        <v>7</v>
      </c>
      <c r="H9" t="s">
        <v>217</v>
      </c>
    </row>
    <row r="10" spans="1:8" x14ac:dyDescent="0.3">
      <c r="A10" t="s">
        <v>244</v>
      </c>
      <c r="C10" t="s">
        <v>307</v>
      </c>
      <c r="D10">
        <v>0</v>
      </c>
      <c r="E10">
        <v>0</v>
      </c>
      <c r="F10">
        <v>8</v>
      </c>
      <c r="H10" t="s">
        <v>244</v>
      </c>
    </row>
    <row r="11" spans="1:8" x14ac:dyDescent="0.3">
      <c r="A11" t="s">
        <v>297</v>
      </c>
      <c r="B11" s="5"/>
      <c r="C11" t="s">
        <v>51</v>
      </c>
      <c r="D11" s="5">
        <v>1</v>
      </c>
      <c r="E11">
        <v>0</v>
      </c>
      <c r="F11">
        <v>9</v>
      </c>
      <c r="H11" t="s">
        <v>297</v>
      </c>
    </row>
    <row r="12" spans="1:8" x14ac:dyDescent="0.3">
      <c r="A12" t="s">
        <v>298</v>
      </c>
      <c r="B12" s="5"/>
      <c r="C12" t="s">
        <v>106</v>
      </c>
      <c r="D12" s="5">
        <v>1</v>
      </c>
      <c r="E12">
        <v>0</v>
      </c>
      <c r="F12">
        <v>10</v>
      </c>
      <c r="H12" t="s">
        <v>298</v>
      </c>
    </row>
    <row r="13" spans="1:8" x14ac:dyDescent="0.3">
      <c r="A13" t="s">
        <v>299</v>
      </c>
      <c r="B13" s="5"/>
      <c r="C13" t="s">
        <v>308</v>
      </c>
      <c r="D13" s="5">
        <v>0</v>
      </c>
      <c r="E13">
        <v>0</v>
      </c>
      <c r="F13">
        <v>11</v>
      </c>
      <c r="H13" t="s">
        <v>299</v>
      </c>
    </row>
    <row r="14" spans="1:8" x14ac:dyDescent="0.3">
      <c r="A14" t="s">
        <v>5915</v>
      </c>
      <c r="C14" t="s">
        <v>4256</v>
      </c>
      <c r="D14">
        <v>0</v>
      </c>
      <c r="E14">
        <v>0</v>
      </c>
      <c r="F14">
        <v>12</v>
      </c>
      <c r="H14" t="s">
        <v>5915</v>
      </c>
    </row>
    <row r="15" spans="1:8" x14ac:dyDescent="0.3">
      <c r="A15" t="s">
        <v>5916</v>
      </c>
      <c r="C15" t="s">
        <v>4527</v>
      </c>
      <c r="D15">
        <v>0</v>
      </c>
      <c r="E15">
        <v>0</v>
      </c>
      <c r="F15">
        <v>13</v>
      </c>
      <c r="H15" t="s">
        <v>5916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EEB2-39C9-4137-8737-A57EDC352B78}">
  <dimension ref="A1:H2346"/>
  <sheetViews>
    <sheetView zoomScale="85" zoomScaleNormal="85" workbookViewId="0">
      <selection activeCell="D7" sqref="D7"/>
    </sheetView>
  </sheetViews>
  <sheetFormatPr defaultRowHeight="14.4" x14ac:dyDescent="0.3"/>
  <cols>
    <col min="1" max="1" width="218.6640625" bestFit="1" customWidth="1"/>
    <col min="3" max="3" width="11.33203125" bestFit="1" customWidth="1"/>
    <col min="4" max="4" width="19.109375" bestFit="1" customWidth="1"/>
    <col min="5" max="5" width="15.109375" bestFit="1" customWidth="1"/>
    <col min="6" max="6" width="14.109375" bestFit="1" customWidth="1"/>
    <col min="7" max="7" width="21.6640625" bestFit="1" customWidth="1"/>
    <col min="8" max="8" width="218.6640625" bestFit="1" customWidth="1"/>
  </cols>
  <sheetData>
    <row r="1" spans="1:8" x14ac:dyDescent="0.3">
      <c r="A1" s="13" t="s">
        <v>5914</v>
      </c>
      <c r="C1" s="14" t="s">
        <v>5917</v>
      </c>
      <c r="D1" s="15" t="s">
        <v>5918</v>
      </c>
      <c r="E1" s="15" t="s">
        <v>5919</v>
      </c>
      <c r="F1" s="15" t="s">
        <v>5920</v>
      </c>
      <c r="G1" s="15" t="s">
        <v>5921</v>
      </c>
      <c r="H1" s="16" t="s">
        <v>5922</v>
      </c>
    </row>
    <row r="2" spans="1:8" x14ac:dyDescent="0.3">
      <c r="A2" t="s">
        <v>5923</v>
      </c>
      <c r="C2" t="s">
        <v>5267</v>
      </c>
      <c r="D2" t="s">
        <v>8206</v>
      </c>
      <c r="E2">
        <v>0</v>
      </c>
      <c r="F2">
        <v>0</v>
      </c>
      <c r="H2" t="s">
        <v>5923</v>
      </c>
    </row>
    <row r="3" spans="1:8" x14ac:dyDescent="0.3">
      <c r="A3" t="s">
        <v>5924</v>
      </c>
      <c r="C3" t="s">
        <v>5267</v>
      </c>
      <c r="D3" t="s">
        <v>8207</v>
      </c>
      <c r="E3">
        <v>0</v>
      </c>
      <c r="F3">
        <v>1</v>
      </c>
      <c r="H3" t="s">
        <v>5924</v>
      </c>
    </row>
    <row r="4" spans="1:8" x14ac:dyDescent="0.3">
      <c r="A4" t="s">
        <v>5925</v>
      </c>
      <c r="C4" t="s">
        <v>5267</v>
      </c>
      <c r="D4" t="s">
        <v>8208</v>
      </c>
      <c r="E4">
        <v>0</v>
      </c>
      <c r="F4">
        <v>2</v>
      </c>
      <c r="H4" t="s">
        <v>5925</v>
      </c>
    </row>
    <row r="5" spans="1:8" x14ac:dyDescent="0.3">
      <c r="A5" t="s">
        <v>5926</v>
      </c>
      <c r="C5" t="s">
        <v>5267</v>
      </c>
      <c r="D5" t="s">
        <v>8209</v>
      </c>
      <c r="E5">
        <v>0</v>
      </c>
      <c r="F5">
        <v>3</v>
      </c>
      <c r="H5" t="s">
        <v>5926</v>
      </c>
    </row>
    <row r="6" spans="1:8" x14ac:dyDescent="0.3">
      <c r="A6" t="s">
        <v>5927</v>
      </c>
      <c r="C6" t="s">
        <v>5267</v>
      </c>
      <c r="D6" t="s">
        <v>8210</v>
      </c>
      <c r="E6">
        <v>0</v>
      </c>
      <c r="F6">
        <v>4</v>
      </c>
      <c r="H6" t="s">
        <v>5927</v>
      </c>
    </row>
    <row r="7" spans="1:8" x14ac:dyDescent="0.3">
      <c r="A7" t="s">
        <v>5928</v>
      </c>
      <c r="C7" t="s">
        <v>5267</v>
      </c>
      <c r="D7" t="s">
        <v>8211</v>
      </c>
      <c r="E7">
        <v>0</v>
      </c>
      <c r="F7">
        <v>5</v>
      </c>
      <c r="H7" t="s">
        <v>5928</v>
      </c>
    </row>
    <row r="8" spans="1:8" x14ac:dyDescent="0.3">
      <c r="A8" t="s">
        <v>5929</v>
      </c>
      <c r="C8" t="s">
        <v>5267</v>
      </c>
      <c r="D8" t="s">
        <v>8212</v>
      </c>
      <c r="E8">
        <v>0</v>
      </c>
      <c r="F8">
        <v>6</v>
      </c>
      <c r="H8" t="s">
        <v>5929</v>
      </c>
    </row>
    <row r="9" spans="1:8" x14ac:dyDescent="0.3">
      <c r="A9" t="s">
        <v>5930</v>
      </c>
      <c r="C9" t="s">
        <v>5267</v>
      </c>
      <c r="D9" t="s">
        <v>8213</v>
      </c>
      <c r="E9">
        <v>0</v>
      </c>
      <c r="F9">
        <v>7</v>
      </c>
      <c r="H9" t="s">
        <v>5930</v>
      </c>
    </row>
    <row r="10" spans="1:8" x14ac:dyDescent="0.3">
      <c r="A10" t="s">
        <v>5931</v>
      </c>
      <c r="C10" t="s">
        <v>5267</v>
      </c>
      <c r="D10" t="s">
        <v>8214</v>
      </c>
      <c r="E10">
        <v>0</v>
      </c>
      <c r="F10">
        <v>8</v>
      </c>
      <c r="H10" t="s">
        <v>5931</v>
      </c>
    </row>
    <row r="11" spans="1:8" x14ac:dyDescent="0.3">
      <c r="A11" t="s">
        <v>5932</v>
      </c>
      <c r="C11" t="s">
        <v>5267</v>
      </c>
      <c r="D11" t="s">
        <v>8215</v>
      </c>
      <c r="E11">
        <v>0</v>
      </c>
      <c r="F11">
        <v>9</v>
      </c>
      <c r="H11" t="s">
        <v>5932</v>
      </c>
    </row>
    <row r="12" spans="1:8" x14ac:dyDescent="0.3">
      <c r="A12" t="s">
        <v>5933</v>
      </c>
      <c r="C12" t="s">
        <v>5267</v>
      </c>
      <c r="D12" t="s">
        <v>8216</v>
      </c>
      <c r="E12">
        <v>0</v>
      </c>
      <c r="F12">
        <v>10</v>
      </c>
      <c r="H12" t="s">
        <v>5933</v>
      </c>
    </row>
    <row r="13" spans="1:8" x14ac:dyDescent="0.3">
      <c r="A13" t="s">
        <v>5934</v>
      </c>
      <c r="C13" t="s">
        <v>5267</v>
      </c>
      <c r="D13" t="s">
        <v>8217</v>
      </c>
      <c r="E13">
        <v>0</v>
      </c>
      <c r="F13">
        <v>11</v>
      </c>
      <c r="H13" t="s">
        <v>5934</v>
      </c>
    </row>
    <row r="14" spans="1:8" x14ac:dyDescent="0.3">
      <c r="A14" t="s">
        <v>5935</v>
      </c>
      <c r="C14" t="s">
        <v>5267</v>
      </c>
      <c r="D14" t="s">
        <v>8218</v>
      </c>
      <c r="E14">
        <v>0</v>
      </c>
      <c r="F14">
        <v>12</v>
      </c>
      <c r="H14" t="s">
        <v>5935</v>
      </c>
    </row>
    <row r="15" spans="1:8" x14ac:dyDescent="0.3">
      <c r="A15" t="s">
        <v>5936</v>
      </c>
      <c r="C15" t="s">
        <v>5267</v>
      </c>
      <c r="D15" t="s">
        <v>8219</v>
      </c>
      <c r="E15">
        <v>0</v>
      </c>
      <c r="F15">
        <v>13</v>
      </c>
      <c r="H15" t="s">
        <v>5936</v>
      </c>
    </row>
    <row r="16" spans="1:8" x14ac:dyDescent="0.3">
      <c r="A16" t="s">
        <v>5937</v>
      </c>
      <c r="C16" t="s">
        <v>5267</v>
      </c>
      <c r="D16" t="s">
        <v>8220</v>
      </c>
      <c r="E16">
        <v>0</v>
      </c>
      <c r="F16">
        <v>14</v>
      </c>
      <c r="H16" t="s">
        <v>5937</v>
      </c>
    </row>
    <row r="17" spans="1:8" x14ac:dyDescent="0.3">
      <c r="A17" t="s">
        <v>5938</v>
      </c>
      <c r="C17" t="s">
        <v>5267</v>
      </c>
      <c r="D17" t="s">
        <v>8221</v>
      </c>
      <c r="E17">
        <v>0</v>
      </c>
      <c r="F17">
        <v>15</v>
      </c>
      <c r="H17" t="s">
        <v>5938</v>
      </c>
    </row>
    <row r="18" spans="1:8" x14ac:dyDescent="0.3">
      <c r="A18" t="s">
        <v>5939</v>
      </c>
      <c r="C18" t="s">
        <v>5267</v>
      </c>
      <c r="D18" t="s">
        <v>8222</v>
      </c>
      <c r="E18">
        <v>0</v>
      </c>
      <c r="F18">
        <v>16</v>
      </c>
      <c r="H18" t="s">
        <v>5939</v>
      </c>
    </row>
    <row r="19" spans="1:8" x14ac:dyDescent="0.3">
      <c r="A19" t="s">
        <v>5940</v>
      </c>
      <c r="C19" t="s">
        <v>5267</v>
      </c>
      <c r="D19" t="s">
        <v>8223</v>
      </c>
      <c r="E19">
        <v>0</v>
      </c>
      <c r="F19">
        <v>17</v>
      </c>
      <c r="H19" t="s">
        <v>5940</v>
      </c>
    </row>
    <row r="20" spans="1:8" x14ac:dyDescent="0.3">
      <c r="A20" t="s">
        <v>5941</v>
      </c>
      <c r="C20" t="s">
        <v>5267</v>
      </c>
      <c r="D20" t="s">
        <v>8224</v>
      </c>
      <c r="E20">
        <v>0</v>
      </c>
      <c r="F20">
        <v>18</v>
      </c>
      <c r="H20" t="s">
        <v>5941</v>
      </c>
    </row>
    <row r="21" spans="1:8" x14ac:dyDescent="0.3">
      <c r="A21" t="s">
        <v>5942</v>
      </c>
      <c r="C21" t="s">
        <v>5267</v>
      </c>
      <c r="D21" t="s">
        <v>8225</v>
      </c>
      <c r="E21">
        <v>0</v>
      </c>
      <c r="F21">
        <v>19</v>
      </c>
      <c r="H21" t="s">
        <v>5942</v>
      </c>
    </row>
    <row r="22" spans="1:8" x14ac:dyDescent="0.3">
      <c r="A22" t="s">
        <v>5943</v>
      </c>
      <c r="C22" t="s">
        <v>5267</v>
      </c>
      <c r="D22" t="s">
        <v>8226</v>
      </c>
      <c r="E22">
        <v>0</v>
      </c>
      <c r="F22">
        <v>20</v>
      </c>
      <c r="H22" t="s">
        <v>5943</v>
      </c>
    </row>
    <row r="23" spans="1:8" x14ac:dyDescent="0.3">
      <c r="A23" t="s">
        <v>5944</v>
      </c>
      <c r="C23" t="s">
        <v>5267</v>
      </c>
      <c r="D23" t="s">
        <v>8227</v>
      </c>
      <c r="E23">
        <v>0</v>
      </c>
      <c r="F23">
        <v>21</v>
      </c>
      <c r="H23" t="s">
        <v>5944</v>
      </c>
    </row>
    <row r="24" spans="1:8" x14ac:dyDescent="0.3">
      <c r="A24" t="s">
        <v>5945</v>
      </c>
      <c r="C24" t="s">
        <v>5267</v>
      </c>
      <c r="D24" t="s">
        <v>8228</v>
      </c>
      <c r="E24">
        <v>0</v>
      </c>
      <c r="F24">
        <v>22</v>
      </c>
      <c r="H24" t="s">
        <v>5945</v>
      </c>
    </row>
    <row r="25" spans="1:8" x14ac:dyDescent="0.3">
      <c r="A25" t="s">
        <v>5946</v>
      </c>
      <c r="C25" t="s">
        <v>5267</v>
      </c>
      <c r="D25" t="s">
        <v>8229</v>
      </c>
      <c r="E25">
        <v>0</v>
      </c>
      <c r="F25">
        <v>23</v>
      </c>
      <c r="H25" t="s">
        <v>5946</v>
      </c>
    </row>
    <row r="26" spans="1:8" x14ac:dyDescent="0.3">
      <c r="A26" t="s">
        <v>5947</v>
      </c>
      <c r="C26" t="s">
        <v>5267</v>
      </c>
      <c r="D26" t="s">
        <v>8230</v>
      </c>
      <c r="E26">
        <v>0</v>
      </c>
      <c r="F26">
        <v>24</v>
      </c>
      <c r="H26" t="s">
        <v>5947</v>
      </c>
    </row>
    <row r="27" spans="1:8" x14ac:dyDescent="0.3">
      <c r="A27" t="s">
        <v>5948</v>
      </c>
      <c r="C27" t="s">
        <v>5267</v>
      </c>
      <c r="D27" t="s">
        <v>8231</v>
      </c>
      <c r="E27">
        <v>0</v>
      </c>
      <c r="F27">
        <v>25</v>
      </c>
      <c r="H27" t="s">
        <v>5948</v>
      </c>
    </row>
    <row r="28" spans="1:8" x14ac:dyDescent="0.3">
      <c r="A28" t="s">
        <v>5949</v>
      </c>
      <c r="C28" t="s">
        <v>5267</v>
      </c>
      <c r="D28" t="s">
        <v>8232</v>
      </c>
      <c r="E28">
        <v>0</v>
      </c>
      <c r="F28">
        <v>26</v>
      </c>
      <c r="H28" t="s">
        <v>5949</v>
      </c>
    </row>
    <row r="29" spans="1:8" x14ac:dyDescent="0.3">
      <c r="A29" t="s">
        <v>5950</v>
      </c>
      <c r="C29" t="s">
        <v>5267</v>
      </c>
      <c r="D29" t="s">
        <v>8233</v>
      </c>
      <c r="E29">
        <v>0</v>
      </c>
      <c r="F29">
        <v>27</v>
      </c>
      <c r="H29" t="s">
        <v>5950</v>
      </c>
    </row>
    <row r="30" spans="1:8" x14ac:dyDescent="0.3">
      <c r="A30" t="s">
        <v>5951</v>
      </c>
      <c r="C30" t="s">
        <v>5267</v>
      </c>
      <c r="D30" t="s">
        <v>8234</v>
      </c>
      <c r="E30">
        <v>0</v>
      </c>
      <c r="F30">
        <v>28</v>
      </c>
      <c r="H30" t="s">
        <v>5951</v>
      </c>
    </row>
    <row r="31" spans="1:8" x14ac:dyDescent="0.3">
      <c r="A31" t="s">
        <v>5952</v>
      </c>
      <c r="C31" t="s">
        <v>5267</v>
      </c>
      <c r="D31" t="s">
        <v>8235</v>
      </c>
      <c r="E31">
        <v>0</v>
      </c>
      <c r="F31">
        <v>29</v>
      </c>
      <c r="H31" t="s">
        <v>5952</v>
      </c>
    </row>
    <row r="32" spans="1:8" x14ac:dyDescent="0.3">
      <c r="A32" t="s">
        <v>5953</v>
      </c>
      <c r="C32" t="s">
        <v>5267</v>
      </c>
      <c r="D32" t="s">
        <v>8236</v>
      </c>
      <c r="E32">
        <v>0</v>
      </c>
      <c r="F32">
        <v>30</v>
      </c>
      <c r="H32" t="s">
        <v>5953</v>
      </c>
    </row>
    <row r="33" spans="1:8" x14ac:dyDescent="0.3">
      <c r="A33" t="s">
        <v>5954</v>
      </c>
      <c r="C33" t="s">
        <v>5267</v>
      </c>
      <c r="D33" t="s">
        <v>8237</v>
      </c>
      <c r="E33">
        <v>0</v>
      </c>
      <c r="F33">
        <v>31</v>
      </c>
      <c r="H33" t="s">
        <v>5954</v>
      </c>
    </row>
    <row r="34" spans="1:8" x14ac:dyDescent="0.3">
      <c r="A34" t="s">
        <v>5955</v>
      </c>
      <c r="C34" t="s">
        <v>5267</v>
      </c>
      <c r="D34" t="s">
        <v>8238</v>
      </c>
      <c r="E34">
        <v>0</v>
      </c>
      <c r="F34">
        <v>32</v>
      </c>
      <c r="H34" t="s">
        <v>5955</v>
      </c>
    </row>
    <row r="35" spans="1:8" x14ac:dyDescent="0.3">
      <c r="A35" t="s">
        <v>5956</v>
      </c>
      <c r="C35" t="s">
        <v>5267</v>
      </c>
      <c r="D35" t="s">
        <v>8239</v>
      </c>
      <c r="E35">
        <v>0</v>
      </c>
      <c r="F35">
        <v>33</v>
      </c>
      <c r="H35" t="s">
        <v>5956</v>
      </c>
    </row>
    <row r="36" spans="1:8" x14ac:dyDescent="0.3">
      <c r="A36" t="s">
        <v>5957</v>
      </c>
      <c r="C36" t="s">
        <v>5267</v>
      </c>
      <c r="D36" t="s">
        <v>8240</v>
      </c>
      <c r="E36">
        <v>0</v>
      </c>
      <c r="F36">
        <v>34</v>
      </c>
      <c r="H36" t="s">
        <v>5957</v>
      </c>
    </row>
    <row r="37" spans="1:8" x14ac:dyDescent="0.3">
      <c r="A37" t="s">
        <v>5958</v>
      </c>
      <c r="C37" t="s">
        <v>5267</v>
      </c>
      <c r="D37" t="s">
        <v>8241</v>
      </c>
      <c r="E37">
        <v>0</v>
      </c>
      <c r="F37">
        <v>35</v>
      </c>
      <c r="H37" t="s">
        <v>5958</v>
      </c>
    </row>
    <row r="38" spans="1:8" x14ac:dyDescent="0.3">
      <c r="A38" t="s">
        <v>5959</v>
      </c>
      <c r="C38" t="s">
        <v>5267</v>
      </c>
      <c r="D38" t="s">
        <v>8242</v>
      </c>
      <c r="E38">
        <v>0</v>
      </c>
      <c r="F38">
        <v>36</v>
      </c>
      <c r="H38" t="s">
        <v>5959</v>
      </c>
    </row>
    <row r="39" spans="1:8" x14ac:dyDescent="0.3">
      <c r="A39" t="s">
        <v>5960</v>
      </c>
      <c r="C39" t="s">
        <v>5267</v>
      </c>
      <c r="D39" t="s">
        <v>8243</v>
      </c>
      <c r="E39">
        <v>0</v>
      </c>
      <c r="F39">
        <v>37</v>
      </c>
      <c r="H39" t="s">
        <v>5960</v>
      </c>
    </row>
    <row r="40" spans="1:8" x14ac:dyDescent="0.3">
      <c r="A40" t="s">
        <v>5961</v>
      </c>
      <c r="C40" t="s">
        <v>5267</v>
      </c>
      <c r="D40" t="s">
        <v>8244</v>
      </c>
      <c r="E40">
        <v>0</v>
      </c>
      <c r="F40">
        <v>38</v>
      </c>
      <c r="H40" t="s">
        <v>5961</v>
      </c>
    </row>
    <row r="41" spans="1:8" x14ac:dyDescent="0.3">
      <c r="A41" t="s">
        <v>5962</v>
      </c>
      <c r="C41" t="s">
        <v>5267</v>
      </c>
      <c r="D41" t="s">
        <v>8245</v>
      </c>
      <c r="E41">
        <v>0</v>
      </c>
      <c r="F41">
        <v>39</v>
      </c>
      <c r="H41" t="s">
        <v>5962</v>
      </c>
    </row>
    <row r="42" spans="1:8" x14ac:dyDescent="0.3">
      <c r="A42" t="s">
        <v>5963</v>
      </c>
      <c r="C42" t="s">
        <v>5267</v>
      </c>
      <c r="D42" t="s">
        <v>8246</v>
      </c>
      <c r="E42">
        <v>0</v>
      </c>
      <c r="F42">
        <v>40</v>
      </c>
      <c r="H42" t="s">
        <v>5963</v>
      </c>
    </row>
    <row r="43" spans="1:8" x14ac:dyDescent="0.3">
      <c r="A43" t="s">
        <v>5964</v>
      </c>
      <c r="C43" t="s">
        <v>5267</v>
      </c>
      <c r="D43" t="s">
        <v>8247</v>
      </c>
      <c r="E43">
        <v>0</v>
      </c>
      <c r="F43">
        <v>41</v>
      </c>
      <c r="H43" t="s">
        <v>5964</v>
      </c>
    </row>
    <row r="44" spans="1:8" x14ac:dyDescent="0.3">
      <c r="A44" t="s">
        <v>5965</v>
      </c>
      <c r="C44" t="s">
        <v>5267</v>
      </c>
      <c r="D44" t="s">
        <v>8248</v>
      </c>
      <c r="E44">
        <v>0</v>
      </c>
      <c r="F44">
        <v>42</v>
      </c>
      <c r="H44" t="s">
        <v>5965</v>
      </c>
    </row>
    <row r="45" spans="1:8" x14ac:dyDescent="0.3">
      <c r="A45" t="s">
        <v>5966</v>
      </c>
      <c r="C45" t="s">
        <v>5267</v>
      </c>
      <c r="D45" t="s">
        <v>8249</v>
      </c>
      <c r="E45">
        <v>0</v>
      </c>
      <c r="F45">
        <v>43</v>
      </c>
      <c r="H45" t="s">
        <v>5966</v>
      </c>
    </row>
    <row r="46" spans="1:8" x14ac:dyDescent="0.3">
      <c r="A46" t="s">
        <v>5967</v>
      </c>
      <c r="C46" t="s">
        <v>5267</v>
      </c>
      <c r="D46" t="s">
        <v>8250</v>
      </c>
      <c r="E46">
        <v>0</v>
      </c>
      <c r="F46">
        <v>44</v>
      </c>
      <c r="H46" t="s">
        <v>5967</v>
      </c>
    </row>
    <row r="47" spans="1:8" x14ac:dyDescent="0.3">
      <c r="A47" t="s">
        <v>5968</v>
      </c>
      <c r="C47" t="s">
        <v>5267</v>
      </c>
      <c r="D47" t="s">
        <v>8251</v>
      </c>
      <c r="E47">
        <v>0</v>
      </c>
      <c r="F47">
        <v>45</v>
      </c>
      <c r="H47" t="s">
        <v>5968</v>
      </c>
    </row>
    <row r="48" spans="1:8" x14ac:dyDescent="0.3">
      <c r="A48" t="s">
        <v>5969</v>
      </c>
      <c r="C48" t="s">
        <v>5267</v>
      </c>
      <c r="D48" t="s">
        <v>8252</v>
      </c>
      <c r="E48">
        <v>0</v>
      </c>
      <c r="F48">
        <v>46</v>
      </c>
      <c r="H48" t="s">
        <v>5969</v>
      </c>
    </row>
    <row r="49" spans="1:8" x14ac:dyDescent="0.3">
      <c r="A49" t="s">
        <v>5970</v>
      </c>
      <c r="C49" t="s">
        <v>5267</v>
      </c>
      <c r="D49" t="s">
        <v>8253</v>
      </c>
      <c r="E49">
        <v>0</v>
      </c>
      <c r="F49">
        <v>47</v>
      </c>
      <c r="H49" t="s">
        <v>5970</v>
      </c>
    </row>
    <row r="50" spans="1:8" x14ac:dyDescent="0.3">
      <c r="A50" t="s">
        <v>5971</v>
      </c>
      <c r="C50" t="s">
        <v>5267</v>
      </c>
      <c r="D50" t="s">
        <v>8254</v>
      </c>
      <c r="E50">
        <v>0</v>
      </c>
      <c r="F50">
        <v>48</v>
      </c>
      <c r="H50" t="s">
        <v>5971</v>
      </c>
    </row>
    <row r="51" spans="1:8" x14ac:dyDescent="0.3">
      <c r="A51" t="s">
        <v>5972</v>
      </c>
      <c r="C51" t="s">
        <v>5267</v>
      </c>
      <c r="D51" t="s">
        <v>8255</v>
      </c>
      <c r="E51">
        <v>0</v>
      </c>
      <c r="F51">
        <v>49</v>
      </c>
      <c r="H51" t="s">
        <v>5972</v>
      </c>
    </row>
    <row r="52" spans="1:8" x14ac:dyDescent="0.3">
      <c r="A52" t="s">
        <v>5973</v>
      </c>
      <c r="C52" t="s">
        <v>5267</v>
      </c>
      <c r="D52" t="s">
        <v>8256</v>
      </c>
      <c r="E52">
        <v>0</v>
      </c>
      <c r="F52">
        <v>50</v>
      </c>
      <c r="H52" t="s">
        <v>5973</v>
      </c>
    </row>
    <row r="53" spans="1:8" x14ac:dyDescent="0.3">
      <c r="A53" t="s">
        <v>5974</v>
      </c>
      <c r="C53" t="s">
        <v>5267</v>
      </c>
      <c r="D53" t="s">
        <v>8257</v>
      </c>
      <c r="E53">
        <v>0</v>
      </c>
      <c r="F53">
        <v>51</v>
      </c>
      <c r="H53" t="s">
        <v>5974</v>
      </c>
    </row>
    <row r="54" spans="1:8" x14ac:dyDescent="0.3">
      <c r="A54" t="s">
        <v>5975</v>
      </c>
      <c r="C54" t="s">
        <v>5267</v>
      </c>
      <c r="D54" t="s">
        <v>8258</v>
      </c>
      <c r="E54">
        <v>0</v>
      </c>
      <c r="F54">
        <v>52</v>
      </c>
      <c r="H54" t="s">
        <v>5975</v>
      </c>
    </row>
    <row r="55" spans="1:8" x14ac:dyDescent="0.3">
      <c r="A55" t="s">
        <v>5976</v>
      </c>
      <c r="C55" t="s">
        <v>5267</v>
      </c>
      <c r="D55" t="s">
        <v>8259</v>
      </c>
      <c r="E55">
        <v>0</v>
      </c>
      <c r="F55">
        <v>53</v>
      </c>
      <c r="H55" t="s">
        <v>5976</v>
      </c>
    </row>
    <row r="56" spans="1:8" x14ac:dyDescent="0.3">
      <c r="A56" t="s">
        <v>5977</v>
      </c>
      <c r="C56" t="s">
        <v>5267</v>
      </c>
      <c r="D56" t="s">
        <v>8260</v>
      </c>
      <c r="E56">
        <v>0</v>
      </c>
      <c r="F56">
        <v>54</v>
      </c>
      <c r="H56" t="s">
        <v>5977</v>
      </c>
    </row>
    <row r="57" spans="1:8" x14ac:dyDescent="0.3">
      <c r="A57" t="s">
        <v>5978</v>
      </c>
      <c r="C57" t="s">
        <v>5267</v>
      </c>
      <c r="D57" t="s">
        <v>8261</v>
      </c>
      <c r="E57">
        <v>0</v>
      </c>
      <c r="F57">
        <v>55</v>
      </c>
      <c r="H57" t="s">
        <v>5978</v>
      </c>
    </row>
    <row r="58" spans="1:8" x14ac:dyDescent="0.3">
      <c r="A58" t="s">
        <v>5979</v>
      </c>
      <c r="C58" t="s">
        <v>5267</v>
      </c>
      <c r="D58" t="s">
        <v>8262</v>
      </c>
      <c r="E58">
        <v>0</v>
      </c>
      <c r="F58">
        <v>56</v>
      </c>
      <c r="H58" t="s">
        <v>5979</v>
      </c>
    </row>
    <row r="59" spans="1:8" x14ac:dyDescent="0.3">
      <c r="A59" t="s">
        <v>5980</v>
      </c>
      <c r="C59" t="s">
        <v>5267</v>
      </c>
      <c r="D59" t="s">
        <v>8263</v>
      </c>
      <c r="E59">
        <v>0</v>
      </c>
      <c r="F59">
        <v>57</v>
      </c>
      <c r="H59" t="s">
        <v>5980</v>
      </c>
    </row>
    <row r="60" spans="1:8" x14ac:dyDescent="0.3">
      <c r="A60" t="s">
        <v>5981</v>
      </c>
      <c r="C60" t="s">
        <v>5267</v>
      </c>
      <c r="D60" t="s">
        <v>8264</v>
      </c>
      <c r="E60">
        <v>0</v>
      </c>
      <c r="F60">
        <v>58</v>
      </c>
      <c r="H60" t="s">
        <v>5981</v>
      </c>
    </row>
    <row r="61" spans="1:8" x14ac:dyDescent="0.3">
      <c r="A61" t="s">
        <v>5982</v>
      </c>
      <c r="C61" t="s">
        <v>5267</v>
      </c>
      <c r="D61" t="s">
        <v>8265</v>
      </c>
      <c r="E61">
        <v>0</v>
      </c>
      <c r="F61">
        <v>59</v>
      </c>
      <c r="H61" t="s">
        <v>5982</v>
      </c>
    </row>
    <row r="62" spans="1:8" x14ac:dyDescent="0.3">
      <c r="A62" t="s">
        <v>5983</v>
      </c>
      <c r="C62" t="s">
        <v>5267</v>
      </c>
      <c r="D62" t="s">
        <v>8266</v>
      </c>
      <c r="E62">
        <v>0</v>
      </c>
      <c r="F62">
        <v>60</v>
      </c>
      <c r="H62" t="s">
        <v>5983</v>
      </c>
    </row>
    <row r="63" spans="1:8" x14ac:dyDescent="0.3">
      <c r="A63" t="s">
        <v>5984</v>
      </c>
      <c r="C63" t="s">
        <v>5267</v>
      </c>
      <c r="D63" t="s">
        <v>8267</v>
      </c>
      <c r="E63">
        <v>0</v>
      </c>
      <c r="F63">
        <v>61</v>
      </c>
      <c r="H63" t="s">
        <v>5984</v>
      </c>
    </row>
    <row r="64" spans="1:8" x14ac:dyDescent="0.3">
      <c r="A64" t="s">
        <v>5985</v>
      </c>
      <c r="C64" t="s">
        <v>5267</v>
      </c>
      <c r="D64" t="s">
        <v>8268</v>
      </c>
      <c r="E64">
        <v>0</v>
      </c>
      <c r="F64">
        <v>62</v>
      </c>
      <c r="H64" t="s">
        <v>5985</v>
      </c>
    </row>
    <row r="65" spans="1:8" x14ac:dyDescent="0.3">
      <c r="A65" t="s">
        <v>5986</v>
      </c>
      <c r="C65" t="s">
        <v>5267</v>
      </c>
      <c r="D65" t="s">
        <v>8269</v>
      </c>
      <c r="E65">
        <v>0</v>
      </c>
      <c r="F65">
        <v>63</v>
      </c>
      <c r="H65" t="s">
        <v>5986</v>
      </c>
    </row>
    <row r="66" spans="1:8" x14ac:dyDescent="0.3">
      <c r="A66" t="s">
        <v>5987</v>
      </c>
      <c r="C66" t="s">
        <v>5267</v>
      </c>
      <c r="D66" t="s">
        <v>8270</v>
      </c>
      <c r="E66">
        <v>0</v>
      </c>
      <c r="F66">
        <v>64</v>
      </c>
      <c r="H66" t="s">
        <v>5987</v>
      </c>
    </row>
    <row r="67" spans="1:8" x14ac:dyDescent="0.3">
      <c r="A67" t="s">
        <v>5988</v>
      </c>
      <c r="C67" t="s">
        <v>5267</v>
      </c>
      <c r="D67" t="s">
        <v>8271</v>
      </c>
      <c r="E67">
        <v>0</v>
      </c>
      <c r="F67">
        <v>65</v>
      </c>
      <c r="H67" t="s">
        <v>5988</v>
      </c>
    </row>
    <row r="68" spans="1:8" x14ac:dyDescent="0.3">
      <c r="A68" t="s">
        <v>5989</v>
      </c>
      <c r="C68" t="s">
        <v>5267</v>
      </c>
      <c r="D68" t="s">
        <v>8272</v>
      </c>
      <c r="E68">
        <v>0</v>
      </c>
      <c r="F68">
        <v>66</v>
      </c>
      <c r="H68" t="s">
        <v>5989</v>
      </c>
    </row>
    <row r="69" spans="1:8" x14ac:dyDescent="0.3">
      <c r="A69" t="s">
        <v>5990</v>
      </c>
      <c r="C69" t="s">
        <v>5267</v>
      </c>
      <c r="D69" t="s">
        <v>8273</v>
      </c>
      <c r="E69">
        <v>0</v>
      </c>
      <c r="F69">
        <v>67</v>
      </c>
      <c r="H69" t="s">
        <v>5990</v>
      </c>
    </row>
    <row r="70" spans="1:8" x14ac:dyDescent="0.3">
      <c r="A70" t="s">
        <v>5991</v>
      </c>
      <c r="C70" t="s">
        <v>5267</v>
      </c>
      <c r="D70" t="s">
        <v>8274</v>
      </c>
      <c r="E70">
        <v>0</v>
      </c>
      <c r="F70">
        <v>68</v>
      </c>
      <c r="H70" t="s">
        <v>5991</v>
      </c>
    </row>
    <row r="71" spans="1:8" x14ac:dyDescent="0.3">
      <c r="A71" t="s">
        <v>5992</v>
      </c>
      <c r="C71" t="s">
        <v>5267</v>
      </c>
      <c r="D71" t="s">
        <v>8275</v>
      </c>
      <c r="E71">
        <v>0</v>
      </c>
      <c r="F71">
        <v>69</v>
      </c>
      <c r="H71" t="s">
        <v>5992</v>
      </c>
    </row>
    <row r="72" spans="1:8" x14ac:dyDescent="0.3">
      <c r="A72" t="s">
        <v>5993</v>
      </c>
      <c r="C72" t="s">
        <v>5267</v>
      </c>
      <c r="D72" t="s">
        <v>8276</v>
      </c>
      <c r="E72">
        <v>0</v>
      </c>
      <c r="F72">
        <v>70</v>
      </c>
      <c r="H72" t="s">
        <v>5993</v>
      </c>
    </row>
    <row r="73" spans="1:8" x14ac:dyDescent="0.3">
      <c r="A73" t="s">
        <v>5994</v>
      </c>
      <c r="C73" t="s">
        <v>5267</v>
      </c>
      <c r="D73" t="s">
        <v>8277</v>
      </c>
      <c r="E73">
        <v>0</v>
      </c>
      <c r="F73">
        <v>71</v>
      </c>
      <c r="H73" t="s">
        <v>5994</v>
      </c>
    </row>
    <row r="74" spans="1:8" x14ac:dyDescent="0.3">
      <c r="A74" t="s">
        <v>5995</v>
      </c>
      <c r="C74" t="s">
        <v>5267</v>
      </c>
      <c r="D74" t="s">
        <v>8278</v>
      </c>
      <c r="E74">
        <v>0</v>
      </c>
      <c r="F74">
        <v>72</v>
      </c>
      <c r="H74" t="s">
        <v>5995</v>
      </c>
    </row>
    <row r="75" spans="1:8" x14ac:dyDescent="0.3">
      <c r="A75" t="s">
        <v>5996</v>
      </c>
      <c r="C75" t="s">
        <v>5267</v>
      </c>
      <c r="D75" t="s">
        <v>8279</v>
      </c>
      <c r="E75">
        <v>0</v>
      </c>
      <c r="F75">
        <v>73</v>
      </c>
      <c r="H75" t="s">
        <v>5996</v>
      </c>
    </row>
    <row r="76" spans="1:8" x14ac:dyDescent="0.3">
      <c r="A76" t="s">
        <v>5997</v>
      </c>
      <c r="C76" t="s">
        <v>5267</v>
      </c>
      <c r="D76" t="s">
        <v>8280</v>
      </c>
      <c r="E76">
        <v>0</v>
      </c>
      <c r="F76">
        <v>74</v>
      </c>
      <c r="H76" t="s">
        <v>5997</v>
      </c>
    </row>
    <row r="77" spans="1:8" x14ac:dyDescent="0.3">
      <c r="A77" t="s">
        <v>5998</v>
      </c>
      <c r="C77" t="s">
        <v>5267</v>
      </c>
      <c r="D77" t="s">
        <v>8281</v>
      </c>
      <c r="E77">
        <v>0</v>
      </c>
      <c r="F77">
        <v>75</v>
      </c>
      <c r="H77" t="s">
        <v>5998</v>
      </c>
    </row>
    <row r="78" spans="1:8" x14ac:dyDescent="0.3">
      <c r="A78" t="s">
        <v>5999</v>
      </c>
      <c r="C78" t="s">
        <v>5267</v>
      </c>
      <c r="D78" t="s">
        <v>8282</v>
      </c>
      <c r="E78">
        <v>0</v>
      </c>
      <c r="F78">
        <v>76</v>
      </c>
      <c r="H78" t="s">
        <v>5999</v>
      </c>
    </row>
    <row r="79" spans="1:8" x14ac:dyDescent="0.3">
      <c r="A79" t="s">
        <v>6000</v>
      </c>
      <c r="C79" t="s">
        <v>5267</v>
      </c>
      <c r="D79" t="s">
        <v>8283</v>
      </c>
      <c r="E79">
        <v>0</v>
      </c>
      <c r="F79">
        <v>77</v>
      </c>
      <c r="H79" t="s">
        <v>6000</v>
      </c>
    </row>
    <row r="80" spans="1:8" x14ac:dyDescent="0.3">
      <c r="A80" t="s">
        <v>6001</v>
      </c>
      <c r="C80" t="s">
        <v>5267</v>
      </c>
      <c r="D80" t="s">
        <v>8284</v>
      </c>
      <c r="E80">
        <v>0</v>
      </c>
      <c r="F80">
        <v>78</v>
      </c>
      <c r="H80" t="s">
        <v>6001</v>
      </c>
    </row>
    <row r="81" spans="1:8" x14ac:dyDescent="0.3">
      <c r="A81" t="s">
        <v>6002</v>
      </c>
      <c r="C81" t="s">
        <v>5267</v>
      </c>
      <c r="D81" t="s">
        <v>8285</v>
      </c>
      <c r="E81">
        <v>0</v>
      </c>
      <c r="F81">
        <v>79</v>
      </c>
      <c r="H81" t="s">
        <v>6002</v>
      </c>
    </row>
    <row r="82" spans="1:8" x14ac:dyDescent="0.3">
      <c r="A82" t="s">
        <v>6003</v>
      </c>
      <c r="C82" t="s">
        <v>5267</v>
      </c>
      <c r="D82" t="s">
        <v>8286</v>
      </c>
      <c r="E82">
        <v>0</v>
      </c>
      <c r="F82">
        <v>80</v>
      </c>
      <c r="H82" t="s">
        <v>6003</v>
      </c>
    </row>
    <row r="83" spans="1:8" x14ac:dyDescent="0.3">
      <c r="A83" t="s">
        <v>6004</v>
      </c>
      <c r="C83" t="s">
        <v>5267</v>
      </c>
      <c r="D83" t="s">
        <v>8287</v>
      </c>
      <c r="E83">
        <v>0</v>
      </c>
      <c r="F83">
        <v>81</v>
      </c>
      <c r="H83" t="s">
        <v>6004</v>
      </c>
    </row>
    <row r="84" spans="1:8" x14ac:dyDescent="0.3">
      <c r="A84" t="s">
        <v>6005</v>
      </c>
      <c r="C84" t="s">
        <v>5267</v>
      </c>
      <c r="D84" t="s">
        <v>8288</v>
      </c>
      <c r="E84">
        <v>0</v>
      </c>
      <c r="F84">
        <v>82</v>
      </c>
      <c r="H84" t="s">
        <v>6005</v>
      </c>
    </row>
    <row r="85" spans="1:8" x14ac:dyDescent="0.3">
      <c r="A85" t="s">
        <v>6006</v>
      </c>
      <c r="C85" t="s">
        <v>5267</v>
      </c>
      <c r="D85" t="s">
        <v>8289</v>
      </c>
      <c r="E85">
        <v>0</v>
      </c>
      <c r="F85">
        <v>83</v>
      </c>
      <c r="H85" t="s">
        <v>6006</v>
      </c>
    </row>
    <row r="86" spans="1:8" x14ac:dyDescent="0.3">
      <c r="A86" t="s">
        <v>6007</v>
      </c>
      <c r="C86" t="s">
        <v>5267</v>
      </c>
      <c r="D86" t="s">
        <v>8290</v>
      </c>
      <c r="E86">
        <v>0</v>
      </c>
      <c r="F86">
        <v>84</v>
      </c>
      <c r="H86" t="s">
        <v>6007</v>
      </c>
    </row>
    <row r="87" spans="1:8" x14ac:dyDescent="0.3">
      <c r="A87" t="s">
        <v>6008</v>
      </c>
      <c r="C87" t="s">
        <v>5267</v>
      </c>
      <c r="D87" t="s">
        <v>8291</v>
      </c>
      <c r="E87">
        <v>0</v>
      </c>
      <c r="F87">
        <v>85</v>
      </c>
      <c r="H87" t="s">
        <v>6008</v>
      </c>
    </row>
    <row r="88" spans="1:8" x14ac:dyDescent="0.3">
      <c r="A88" t="s">
        <v>6009</v>
      </c>
      <c r="C88" t="s">
        <v>5267</v>
      </c>
      <c r="D88" t="s">
        <v>8292</v>
      </c>
      <c r="E88">
        <v>0</v>
      </c>
      <c r="F88">
        <v>86</v>
      </c>
      <c r="H88" t="s">
        <v>6009</v>
      </c>
    </row>
    <row r="89" spans="1:8" x14ac:dyDescent="0.3">
      <c r="A89" t="s">
        <v>6010</v>
      </c>
      <c r="C89" t="s">
        <v>5267</v>
      </c>
      <c r="D89" t="s">
        <v>8293</v>
      </c>
      <c r="E89">
        <v>0</v>
      </c>
      <c r="F89">
        <v>87</v>
      </c>
      <c r="H89" t="s">
        <v>6010</v>
      </c>
    </row>
    <row r="90" spans="1:8" x14ac:dyDescent="0.3">
      <c r="A90" t="s">
        <v>6011</v>
      </c>
      <c r="C90" t="s">
        <v>5267</v>
      </c>
      <c r="D90" t="s">
        <v>8294</v>
      </c>
      <c r="E90">
        <v>0</v>
      </c>
      <c r="F90">
        <v>88</v>
      </c>
      <c r="H90" t="s">
        <v>6011</v>
      </c>
    </row>
    <row r="91" spans="1:8" x14ac:dyDescent="0.3">
      <c r="A91" t="s">
        <v>6012</v>
      </c>
      <c r="C91" t="s">
        <v>5267</v>
      </c>
      <c r="D91" t="s">
        <v>8295</v>
      </c>
      <c r="E91">
        <v>0</v>
      </c>
      <c r="F91">
        <v>89</v>
      </c>
      <c r="H91" t="s">
        <v>6012</v>
      </c>
    </row>
    <row r="92" spans="1:8" x14ac:dyDescent="0.3">
      <c r="A92" t="s">
        <v>6013</v>
      </c>
      <c r="C92" t="s">
        <v>5267</v>
      </c>
      <c r="D92" t="s">
        <v>8296</v>
      </c>
      <c r="E92">
        <v>0</v>
      </c>
      <c r="F92">
        <v>90</v>
      </c>
      <c r="H92" t="s">
        <v>6013</v>
      </c>
    </row>
    <row r="93" spans="1:8" x14ac:dyDescent="0.3">
      <c r="A93" t="s">
        <v>6014</v>
      </c>
      <c r="C93" t="s">
        <v>5267</v>
      </c>
      <c r="D93" t="s">
        <v>8297</v>
      </c>
      <c r="E93">
        <v>0</v>
      </c>
      <c r="F93">
        <v>91</v>
      </c>
      <c r="H93" t="s">
        <v>6014</v>
      </c>
    </row>
    <row r="94" spans="1:8" x14ac:dyDescent="0.3">
      <c r="A94" t="s">
        <v>6015</v>
      </c>
      <c r="C94" t="s">
        <v>5267</v>
      </c>
      <c r="D94" t="s">
        <v>8298</v>
      </c>
      <c r="E94">
        <v>0</v>
      </c>
      <c r="F94">
        <v>92</v>
      </c>
      <c r="H94" t="s">
        <v>6015</v>
      </c>
    </row>
    <row r="95" spans="1:8" x14ac:dyDescent="0.3">
      <c r="A95" t="s">
        <v>6016</v>
      </c>
      <c r="C95" t="s">
        <v>5267</v>
      </c>
      <c r="D95" t="s">
        <v>8299</v>
      </c>
      <c r="E95">
        <v>0</v>
      </c>
      <c r="F95">
        <v>93</v>
      </c>
      <c r="H95" t="s">
        <v>6016</v>
      </c>
    </row>
    <row r="96" spans="1:8" x14ac:dyDescent="0.3">
      <c r="A96" t="s">
        <v>6017</v>
      </c>
      <c r="C96" t="s">
        <v>5267</v>
      </c>
      <c r="D96" t="s">
        <v>8300</v>
      </c>
      <c r="E96">
        <v>0</v>
      </c>
      <c r="F96">
        <v>94</v>
      </c>
      <c r="H96" t="s">
        <v>6017</v>
      </c>
    </row>
    <row r="97" spans="1:8" x14ac:dyDescent="0.3">
      <c r="A97" t="s">
        <v>6018</v>
      </c>
      <c r="C97" t="s">
        <v>5267</v>
      </c>
      <c r="D97" t="s">
        <v>8301</v>
      </c>
      <c r="E97">
        <v>0</v>
      </c>
      <c r="F97">
        <v>95</v>
      </c>
      <c r="H97" t="s">
        <v>6018</v>
      </c>
    </row>
    <row r="98" spans="1:8" x14ac:dyDescent="0.3">
      <c r="A98" t="s">
        <v>6019</v>
      </c>
      <c r="C98" t="s">
        <v>5267</v>
      </c>
      <c r="D98" t="s">
        <v>8302</v>
      </c>
      <c r="E98">
        <v>0</v>
      </c>
      <c r="F98">
        <v>96</v>
      </c>
      <c r="H98" t="s">
        <v>6019</v>
      </c>
    </row>
    <row r="99" spans="1:8" x14ac:dyDescent="0.3">
      <c r="A99" t="s">
        <v>6020</v>
      </c>
      <c r="C99" t="s">
        <v>5267</v>
      </c>
      <c r="D99" t="s">
        <v>8303</v>
      </c>
      <c r="E99">
        <v>0</v>
      </c>
      <c r="F99">
        <v>97</v>
      </c>
      <c r="H99" t="s">
        <v>6020</v>
      </c>
    </row>
    <row r="100" spans="1:8" x14ac:dyDescent="0.3">
      <c r="A100" t="s">
        <v>6021</v>
      </c>
      <c r="C100" t="s">
        <v>5267</v>
      </c>
      <c r="D100" t="s">
        <v>8304</v>
      </c>
      <c r="E100">
        <v>0</v>
      </c>
      <c r="F100">
        <v>98</v>
      </c>
      <c r="H100" t="s">
        <v>6021</v>
      </c>
    </row>
    <row r="101" spans="1:8" x14ac:dyDescent="0.3">
      <c r="A101" t="s">
        <v>6022</v>
      </c>
      <c r="C101" t="s">
        <v>5267</v>
      </c>
      <c r="D101" t="s">
        <v>8305</v>
      </c>
      <c r="E101">
        <v>0</v>
      </c>
      <c r="F101">
        <v>99</v>
      </c>
      <c r="H101" t="s">
        <v>6022</v>
      </c>
    </row>
    <row r="102" spans="1:8" x14ac:dyDescent="0.3">
      <c r="A102" t="s">
        <v>6023</v>
      </c>
      <c r="C102" t="s">
        <v>5267</v>
      </c>
      <c r="D102" t="s">
        <v>8306</v>
      </c>
      <c r="E102">
        <v>0</v>
      </c>
      <c r="F102">
        <v>100</v>
      </c>
      <c r="H102" t="s">
        <v>6023</v>
      </c>
    </row>
    <row r="103" spans="1:8" x14ac:dyDescent="0.3">
      <c r="A103" t="s">
        <v>6024</v>
      </c>
      <c r="C103" t="s">
        <v>5267</v>
      </c>
      <c r="D103" t="s">
        <v>8307</v>
      </c>
      <c r="E103">
        <v>0</v>
      </c>
      <c r="F103">
        <v>101</v>
      </c>
      <c r="H103" t="s">
        <v>6024</v>
      </c>
    </row>
    <row r="104" spans="1:8" x14ac:dyDescent="0.3">
      <c r="A104" t="s">
        <v>6025</v>
      </c>
      <c r="C104" t="s">
        <v>5267</v>
      </c>
      <c r="D104" t="s">
        <v>8308</v>
      </c>
      <c r="E104">
        <v>0</v>
      </c>
      <c r="F104">
        <v>102</v>
      </c>
      <c r="H104" t="s">
        <v>6025</v>
      </c>
    </row>
    <row r="105" spans="1:8" x14ac:dyDescent="0.3">
      <c r="A105" t="s">
        <v>6026</v>
      </c>
      <c r="C105" t="s">
        <v>5267</v>
      </c>
      <c r="D105" t="s">
        <v>8309</v>
      </c>
      <c r="E105">
        <v>0</v>
      </c>
      <c r="F105">
        <v>103</v>
      </c>
      <c r="H105" t="s">
        <v>6026</v>
      </c>
    </row>
    <row r="106" spans="1:8" x14ac:dyDescent="0.3">
      <c r="A106" t="s">
        <v>6027</v>
      </c>
      <c r="C106" t="s">
        <v>5267</v>
      </c>
      <c r="D106" t="s">
        <v>8310</v>
      </c>
      <c r="E106">
        <v>0</v>
      </c>
      <c r="F106">
        <v>104</v>
      </c>
      <c r="H106" t="s">
        <v>6027</v>
      </c>
    </row>
    <row r="107" spans="1:8" x14ac:dyDescent="0.3">
      <c r="A107" t="s">
        <v>6028</v>
      </c>
      <c r="C107" t="s">
        <v>5267</v>
      </c>
      <c r="D107" t="s">
        <v>8311</v>
      </c>
      <c r="E107">
        <v>0</v>
      </c>
      <c r="F107">
        <v>105</v>
      </c>
      <c r="H107" t="s">
        <v>6028</v>
      </c>
    </row>
    <row r="108" spans="1:8" x14ac:dyDescent="0.3">
      <c r="A108" t="s">
        <v>6029</v>
      </c>
      <c r="C108" t="s">
        <v>5267</v>
      </c>
      <c r="D108" t="s">
        <v>8312</v>
      </c>
      <c r="E108">
        <v>0</v>
      </c>
      <c r="F108">
        <v>106</v>
      </c>
      <c r="H108" t="s">
        <v>6029</v>
      </c>
    </row>
    <row r="109" spans="1:8" x14ac:dyDescent="0.3">
      <c r="A109" t="s">
        <v>6030</v>
      </c>
      <c r="C109" t="s">
        <v>5267</v>
      </c>
      <c r="D109" t="s">
        <v>8313</v>
      </c>
      <c r="E109">
        <v>0</v>
      </c>
      <c r="F109">
        <v>107</v>
      </c>
      <c r="H109" t="s">
        <v>6030</v>
      </c>
    </row>
    <row r="110" spans="1:8" x14ac:dyDescent="0.3">
      <c r="A110" t="s">
        <v>6031</v>
      </c>
      <c r="C110" t="s">
        <v>5267</v>
      </c>
      <c r="D110" t="s">
        <v>8314</v>
      </c>
      <c r="E110">
        <v>0</v>
      </c>
      <c r="F110">
        <v>108</v>
      </c>
      <c r="H110" t="s">
        <v>6031</v>
      </c>
    </row>
    <row r="111" spans="1:8" x14ac:dyDescent="0.3">
      <c r="A111" t="s">
        <v>6032</v>
      </c>
      <c r="C111" t="s">
        <v>5267</v>
      </c>
      <c r="D111" t="s">
        <v>8315</v>
      </c>
      <c r="E111">
        <v>0</v>
      </c>
      <c r="F111">
        <v>109</v>
      </c>
      <c r="H111" t="s">
        <v>6032</v>
      </c>
    </row>
    <row r="112" spans="1:8" x14ac:dyDescent="0.3">
      <c r="A112" t="s">
        <v>6033</v>
      </c>
      <c r="C112" t="s">
        <v>5267</v>
      </c>
      <c r="D112" t="s">
        <v>8316</v>
      </c>
      <c r="E112">
        <v>0</v>
      </c>
      <c r="F112">
        <v>110</v>
      </c>
      <c r="H112" t="s">
        <v>6033</v>
      </c>
    </row>
    <row r="113" spans="1:8" x14ac:dyDescent="0.3">
      <c r="A113" t="s">
        <v>6034</v>
      </c>
      <c r="C113" t="s">
        <v>5267</v>
      </c>
      <c r="D113" t="s">
        <v>8317</v>
      </c>
      <c r="E113">
        <v>0</v>
      </c>
      <c r="F113">
        <v>111</v>
      </c>
      <c r="H113" t="s">
        <v>6034</v>
      </c>
    </row>
    <row r="114" spans="1:8" x14ac:dyDescent="0.3">
      <c r="A114" t="s">
        <v>6035</v>
      </c>
      <c r="C114" t="s">
        <v>5267</v>
      </c>
      <c r="D114" t="s">
        <v>8318</v>
      </c>
      <c r="E114">
        <v>0</v>
      </c>
      <c r="F114">
        <v>112</v>
      </c>
      <c r="H114" t="s">
        <v>6035</v>
      </c>
    </row>
    <row r="115" spans="1:8" x14ac:dyDescent="0.3">
      <c r="A115" t="s">
        <v>6036</v>
      </c>
      <c r="C115" t="s">
        <v>5267</v>
      </c>
      <c r="D115" t="s">
        <v>8319</v>
      </c>
      <c r="E115">
        <v>0</v>
      </c>
      <c r="F115">
        <v>113</v>
      </c>
      <c r="H115" t="s">
        <v>6036</v>
      </c>
    </row>
    <row r="116" spans="1:8" x14ac:dyDescent="0.3">
      <c r="A116" t="s">
        <v>6037</v>
      </c>
      <c r="C116" t="s">
        <v>5267</v>
      </c>
      <c r="D116" t="s">
        <v>8320</v>
      </c>
      <c r="E116">
        <v>0</v>
      </c>
      <c r="F116">
        <v>114</v>
      </c>
      <c r="H116" t="s">
        <v>6037</v>
      </c>
    </row>
    <row r="117" spans="1:8" x14ac:dyDescent="0.3">
      <c r="A117" t="s">
        <v>6038</v>
      </c>
      <c r="C117" t="s">
        <v>5267</v>
      </c>
      <c r="D117" t="s">
        <v>8321</v>
      </c>
      <c r="E117">
        <v>0</v>
      </c>
      <c r="F117">
        <v>115</v>
      </c>
      <c r="H117" t="s">
        <v>6038</v>
      </c>
    </row>
    <row r="118" spans="1:8" x14ac:dyDescent="0.3">
      <c r="A118" t="s">
        <v>6039</v>
      </c>
      <c r="C118" t="s">
        <v>5267</v>
      </c>
      <c r="D118" t="s">
        <v>8322</v>
      </c>
      <c r="E118">
        <v>0</v>
      </c>
      <c r="F118">
        <v>116</v>
      </c>
      <c r="H118" t="s">
        <v>6039</v>
      </c>
    </row>
    <row r="119" spans="1:8" x14ac:dyDescent="0.3">
      <c r="A119" t="s">
        <v>6040</v>
      </c>
      <c r="C119" t="s">
        <v>5267</v>
      </c>
      <c r="D119" t="s">
        <v>8323</v>
      </c>
      <c r="E119">
        <v>0</v>
      </c>
      <c r="F119">
        <v>117</v>
      </c>
      <c r="H119" t="s">
        <v>6040</v>
      </c>
    </row>
    <row r="120" spans="1:8" x14ac:dyDescent="0.3">
      <c r="A120" t="s">
        <v>6041</v>
      </c>
      <c r="C120" t="s">
        <v>5267</v>
      </c>
      <c r="D120" t="s">
        <v>8324</v>
      </c>
      <c r="E120">
        <v>0</v>
      </c>
      <c r="F120">
        <v>118</v>
      </c>
      <c r="H120" t="s">
        <v>6041</v>
      </c>
    </row>
    <row r="121" spans="1:8" x14ac:dyDescent="0.3">
      <c r="A121" t="s">
        <v>6042</v>
      </c>
      <c r="C121" t="s">
        <v>5267</v>
      </c>
      <c r="D121" t="s">
        <v>8325</v>
      </c>
      <c r="E121">
        <v>0</v>
      </c>
      <c r="F121">
        <v>119</v>
      </c>
      <c r="H121" t="s">
        <v>6042</v>
      </c>
    </row>
    <row r="122" spans="1:8" x14ac:dyDescent="0.3">
      <c r="A122" t="s">
        <v>6043</v>
      </c>
      <c r="C122" t="s">
        <v>5267</v>
      </c>
      <c r="D122" t="s">
        <v>8326</v>
      </c>
      <c r="E122">
        <v>0</v>
      </c>
      <c r="F122">
        <v>120</v>
      </c>
      <c r="H122" t="s">
        <v>6043</v>
      </c>
    </row>
    <row r="123" spans="1:8" x14ac:dyDescent="0.3">
      <c r="A123" t="s">
        <v>6044</v>
      </c>
      <c r="C123" t="s">
        <v>5267</v>
      </c>
      <c r="D123" t="s">
        <v>8327</v>
      </c>
      <c r="E123">
        <v>0</v>
      </c>
      <c r="F123">
        <v>121</v>
      </c>
      <c r="H123" t="s">
        <v>6044</v>
      </c>
    </row>
    <row r="124" spans="1:8" x14ac:dyDescent="0.3">
      <c r="A124" t="s">
        <v>6045</v>
      </c>
      <c r="C124" t="s">
        <v>5267</v>
      </c>
      <c r="D124" t="s">
        <v>8328</v>
      </c>
      <c r="E124">
        <v>0</v>
      </c>
      <c r="F124">
        <v>122</v>
      </c>
      <c r="H124" t="s">
        <v>6045</v>
      </c>
    </row>
    <row r="125" spans="1:8" x14ac:dyDescent="0.3">
      <c r="A125" t="s">
        <v>6046</v>
      </c>
      <c r="C125" t="s">
        <v>5267</v>
      </c>
      <c r="D125" t="s">
        <v>8329</v>
      </c>
      <c r="E125">
        <v>0</v>
      </c>
      <c r="F125">
        <v>123</v>
      </c>
      <c r="H125" t="s">
        <v>6046</v>
      </c>
    </row>
    <row r="126" spans="1:8" x14ac:dyDescent="0.3">
      <c r="A126" t="s">
        <v>6047</v>
      </c>
      <c r="C126" t="s">
        <v>5267</v>
      </c>
      <c r="D126" t="s">
        <v>8330</v>
      </c>
      <c r="E126">
        <v>0</v>
      </c>
      <c r="F126">
        <v>124</v>
      </c>
      <c r="H126" t="s">
        <v>6047</v>
      </c>
    </row>
    <row r="127" spans="1:8" x14ac:dyDescent="0.3">
      <c r="A127" t="s">
        <v>6048</v>
      </c>
      <c r="C127" t="s">
        <v>5267</v>
      </c>
      <c r="D127" t="s">
        <v>8331</v>
      </c>
      <c r="E127">
        <v>0</v>
      </c>
      <c r="F127">
        <v>125</v>
      </c>
      <c r="H127" t="s">
        <v>6048</v>
      </c>
    </row>
    <row r="128" spans="1:8" x14ac:dyDescent="0.3">
      <c r="A128" t="s">
        <v>6049</v>
      </c>
      <c r="C128" t="s">
        <v>5267</v>
      </c>
      <c r="D128" t="s">
        <v>8332</v>
      </c>
      <c r="E128">
        <v>0</v>
      </c>
      <c r="F128">
        <v>126</v>
      </c>
      <c r="H128" t="s">
        <v>6049</v>
      </c>
    </row>
    <row r="129" spans="1:8" x14ac:dyDescent="0.3">
      <c r="A129" t="s">
        <v>6050</v>
      </c>
      <c r="C129" t="s">
        <v>5267</v>
      </c>
      <c r="D129" t="s">
        <v>8333</v>
      </c>
      <c r="E129">
        <v>0</v>
      </c>
      <c r="F129">
        <v>127</v>
      </c>
      <c r="H129" t="s">
        <v>6050</v>
      </c>
    </row>
    <row r="130" spans="1:8" x14ac:dyDescent="0.3">
      <c r="A130" t="s">
        <v>6051</v>
      </c>
      <c r="C130" t="s">
        <v>5267</v>
      </c>
      <c r="D130" t="s">
        <v>8334</v>
      </c>
      <c r="E130">
        <v>0</v>
      </c>
      <c r="F130">
        <v>128</v>
      </c>
      <c r="H130" t="s">
        <v>6051</v>
      </c>
    </row>
    <row r="131" spans="1:8" x14ac:dyDescent="0.3">
      <c r="A131" t="s">
        <v>6052</v>
      </c>
      <c r="C131" t="s">
        <v>5267</v>
      </c>
      <c r="D131" t="s">
        <v>8335</v>
      </c>
      <c r="E131">
        <v>0</v>
      </c>
      <c r="F131">
        <v>129</v>
      </c>
      <c r="H131" t="s">
        <v>6052</v>
      </c>
    </row>
    <row r="132" spans="1:8" x14ac:dyDescent="0.3">
      <c r="A132" t="s">
        <v>6053</v>
      </c>
      <c r="C132" t="s">
        <v>5267</v>
      </c>
      <c r="D132" t="s">
        <v>8336</v>
      </c>
      <c r="E132">
        <v>0</v>
      </c>
      <c r="F132">
        <v>130</v>
      </c>
      <c r="H132" t="s">
        <v>6053</v>
      </c>
    </row>
    <row r="133" spans="1:8" x14ac:dyDescent="0.3">
      <c r="A133" t="s">
        <v>6054</v>
      </c>
      <c r="C133" t="s">
        <v>5267</v>
      </c>
      <c r="D133" t="s">
        <v>8337</v>
      </c>
      <c r="E133">
        <v>0</v>
      </c>
      <c r="F133">
        <v>131</v>
      </c>
      <c r="H133" t="s">
        <v>6054</v>
      </c>
    </row>
    <row r="134" spans="1:8" x14ac:dyDescent="0.3">
      <c r="A134" t="s">
        <v>6055</v>
      </c>
      <c r="C134" t="s">
        <v>5267</v>
      </c>
      <c r="D134" t="s">
        <v>8338</v>
      </c>
      <c r="E134">
        <v>0</v>
      </c>
      <c r="F134">
        <v>132</v>
      </c>
      <c r="H134" t="s">
        <v>6055</v>
      </c>
    </row>
    <row r="135" spans="1:8" x14ac:dyDescent="0.3">
      <c r="A135" t="s">
        <v>6056</v>
      </c>
      <c r="C135" t="s">
        <v>5267</v>
      </c>
      <c r="D135" t="s">
        <v>8339</v>
      </c>
      <c r="E135">
        <v>0</v>
      </c>
      <c r="F135">
        <v>133</v>
      </c>
      <c r="H135" t="s">
        <v>6056</v>
      </c>
    </row>
    <row r="136" spans="1:8" x14ac:dyDescent="0.3">
      <c r="A136" t="s">
        <v>6057</v>
      </c>
      <c r="C136" t="s">
        <v>5267</v>
      </c>
      <c r="D136" t="s">
        <v>8340</v>
      </c>
      <c r="E136">
        <v>0</v>
      </c>
      <c r="F136">
        <v>134</v>
      </c>
      <c r="H136" t="s">
        <v>6057</v>
      </c>
    </row>
    <row r="137" spans="1:8" x14ac:dyDescent="0.3">
      <c r="A137" t="s">
        <v>6058</v>
      </c>
      <c r="C137" t="s">
        <v>5267</v>
      </c>
      <c r="D137" t="s">
        <v>8341</v>
      </c>
      <c r="E137">
        <v>0</v>
      </c>
      <c r="F137">
        <v>135</v>
      </c>
      <c r="H137" t="s">
        <v>6058</v>
      </c>
    </row>
    <row r="138" spans="1:8" x14ac:dyDescent="0.3">
      <c r="A138" t="s">
        <v>6059</v>
      </c>
      <c r="C138" t="s">
        <v>5267</v>
      </c>
      <c r="D138" t="s">
        <v>8342</v>
      </c>
      <c r="E138">
        <v>0</v>
      </c>
      <c r="F138">
        <v>136</v>
      </c>
      <c r="H138" t="s">
        <v>6059</v>
      </c>
    </row>
    <row r="139" spans="1:8" x14ac:dyDescent="0.3">
      <c r="A139" t="s">
        <v>6060</v>
      </c>
      <c r="C139" t="s">
        <v>5267</v>
      </c>
      <c r="D139" t="s">
        <v>8343</v>
      </c>
      <c r="E139">
        <v>0</v>
      </c>
      <c r="F139">
        <v>137</v>
      </c>
      <c r="H139" t="s">
        <v>6060</v>
      </c>
    </row>
    <row r="140" spans="1:8" x14ac:dyDescent="0.3">
      <c r="A140" t="s">
        <v>6061</v>
      </c>
      <c r="C140" t="s">
        <v>5267</v>
      </c>
      <c r="D140" t="s">
        <v>8344</v>
      </c>
      <c r="E140">
        <v>0</v>
      </c>
      <c r="F140">
        <v>138</v>
      </c>
      <c r="H140" t="s">
        <v>6061</v>
      </c>
    </row>
    <row r="141" spans="1:8" x14ac:dyDescent="0.3">
      <c r="A141" t="s">
        <v>6062</v>
      </c>
      <c r="C141" t="s">
        <v>5267</v>
      </c>
      <c r="D141" t="s">
        <v>8345</v>
      </c>
      <c r="E141">
        <v>0</v>
      </c>
      <c r="F141">
        <v>139</v>
      </c>
      <c r="H141" t="s">
        <v>6062</v>
      </c>
    </row>
    <row r="142" spans="1:8" x14ac:dyDescent="0.3">
      <c r="A142" t="s">
        <v>6063</v>
      </c>
      <c r="C142" t="s">
        <v>5267</v>
      </c>
      <c r="D142" t="s">
        <v>8346</v>
      </c>
      <c r="E142">
        <v>0</v>
      </c>
      <c r="F142">
        <v>140</v>
      </c>
      <c r="H142" t="s">
        <v>6063</v>
      </c>
    </row>
    <row r="143" spans="1:8" x14ac:dyDescent="0.3">
      <c r="A143" t="s">
        <v>6064</v>
      </c>
      <c r="C143" t="s">
        <v>5267</v>
      </c>
      <c r="D143" t="s">
        <v>8347</v>
      </c>
      <c r="E143">
        <v>0</v>
      </c>
      <c r="F143">
        <v>141</v>
      </c>
      <c r="H143" t="s">
        <v>6064</v>
      </c>
    </row>
    <row r="144" spans="1:8" x14ac:dyDescent="0.3">
      <c r="A144" t="s">
        <v>6065</v>
      </c>
      <c r="C144" t="s">
        <v>5267</v>
      </c>
      <c r="D144" t="s">
        <v>8348</v>
      </c>
      <c r="E144">
        <v>0</v>
      </c>
      <c r="F144">
        <v>142</v>
      </c>
      <c r="H144" t="s">
        <v>6065</v>
      </c>
    </row>
    <row r="145" spans="1:8" x14ac:dyDescent="0.3">
      <c r="A145" t="s">
        <v>6066</v>
      </c>
      <c r="C145" t="s">
        <v>5267</v>
      </c>
      <c r="D145" t="s">
        <v>8349</v>
      </c>
      <c r="E145">
        <v>0</v>
      </c>
      <c r="F145">
        <v>143</v>
      </c>
      <c r="H145" t="s">
        <v>6066</v>
      </c>
    </row>
    <row r="146" spans="1:8" x14ac:dyDescent="0.3">
      <c r="A146" t="s">
        <v>6067</v>
      </c>
      <c r="C146" t="s">
        <v>5267</v>
      </c>
      <c r="D146" t="s">
        <v>8350</v>
      </c>
      <c r="E146">
        <v>0</v>
      </c>
      <c r="F146">
        <v>144</v>
      </c>
      <c r="H146" t="s">
        <v>6067</v>
      </c>
    </row>
    <row r="147" spans="1:8" x14ac:dyDescent="0.3">
      <c r="A147" t="s">
        <v>6068</v>
      </c>
      <c r="C147" t="s">
        <v>5267</v>
      </c>
      <c r="D147" t="s">
        <v>8351</v>
      </c>
      <c r="E147">
        <v>0</v>
      </c>
      <c r="F147">
        <v>145</v>
      </c>
      <c r="H147" t="s">
        <v>6068</v>
      </c>
    </row>
    <row r="148" spans="1:8" x14ac:dyDescent="0.3">
      <c r="A148" t="s">
        <v>6069</v>
      </c>
      <c r="C148" t="s">
        <v>5267</v>
      </c>
      <c r="D148" t="s">
        <v>8352</v>
      </c>
      <c r="E148">
        <v>0</v>
      </c>
      <c r="F148">
        <v>146</v>
      </c>
      <c r="H148" t="s">
        <v>6069</v>
      </c>
    </row>
    <row r="149" spans="1:8" x14ac:dyDescent="0.3">
      <c r="A149" t="s">
        <v>6070</v>
      </c>
      <c r="C149" t="s">
        <v>5267</v>
      </c>
      <c r="D149" t="s">
        <v>8353</v>
      </c>
      <c r="E149">
        <v>0</v>
      </c>
      <c r="F149">
        <v>147</v>
      </c>
      <c r="H149" t="s">
        <v>6070</v>
      </c>
    </row>
    <row r="150" spans="1:8" x14ac:dyDescent="0.3">
      <c r="A150" t="s">
        <v>6071</v>
      </c>
      <c r="C150" t="s">
        <v>5267</v>
      </c>
      <c r="D150" t="s">
        <v>8354</v>
      </c>
      <c r="E150">
        <v>0</v>
      </c>
      <c r="F150">
        <v>148</v>
      </c>
      <c r="H150" t="s">
        <v>6071</v>
      </c>
    </row>
    <row r="151" spans="1:8" x14ac:dyDescent="0.3">
      <c r="A151" t="s">
        <v>6072</v>
      </c>
      <c r="C151" t="s">
        <v>5267</v>
      </c>
      <c r="D151" t="s">
        <v>8355</v>
      </c>
      <c r="E151">
        <v>0</v>
      </c>
      <c r="F151">
        <v>149</v>
      </c>
      <c r="H151" t="s">
        <v>6072</v>
      </c>
    </row>
    <row r="152" spans="1:8" x14ac:dyDescent="0.3">
      <c r="A152" t="s">
        <v>6073</v>
      </c>
      <c r="C152" t="s">
        <v>5267</v>
      </c>
      <c r="D152" t="s">
        <v>8356</v>
      </c>
      <c r="E152">
        <v>0</v>
      </c>
      <c r="F152">
        <v>150</v>
      </c>
      <c r="H152" t="s">
        <v>6073</v>
      </c>
    </row>
    <row r="153" spans="1:8" x14ac:dyDescent="0.3">
      <c r="A153" t="s">
        <v>6074</v>
      </c>
      <c r="C153" t="s">
        <v>5267</v>
      </c>
      <c r="D153" t="s">
        <v>8357</v>
      </c>
      <c r="E153">
        <v>0</v>
      </c>
      <c r="F153">
        <v>151</v>
      </c>
      <c r="H153" t="s">
        <v>6074</v>
      </c>
    </row>
    <row r="154" spans="1:8" x14ac:dyDescent="0.3">
      <c r="A154" t="s">
        <v>6075</v>
      </c>
      <c r="C154" t="s">
        <v>5267</v>
      </c>
      <c r="D154" t="s">
        <v>8358</v>
      </c>
      <c r="E154">
        <v>0</v>
      </c>
      <c r="F154">
        <v>152</v>
      </c>
      <c r="H154" t="s">
        <v>6075</v>
      </c>
    </row>
    <row r="155" spans="1:8" x14ac:dyDescent="0.3">
      <c r="A155" t="s">
        <v>6076</v>
      </c>
      <c r="C155" t="s">
        <v>5267</v>
      </c>
      <c r="D155" t="s">
        <v>8359</v>
      </c>
      <c r="E155">
        <v>0</v>
      </c>
      <c r="F155">
        <v>153</v>
      </c>
      <c r="H155" t="s">
        <v>6076</v>
      </c>
    </row>
    <row r="156" spans="1:8" x14ac:dyDescent="0.3">
      <c r="A156" t="s">
        <v>6077</v>
      </c>
      <c r="C156" t="s">
        <v>5267</v>
      </c>
      <c r="D156" t="s">
        <v>8360</v>
      </c>
      <c r="E156">
        <v>0</v>
      </c>
      <c r="F156">
        <v>154</v>
      </c>
      <c r="H156" t="s">
        <v>6077</v>
      </c>
    </row>
    <row r="157" spans="1:8" x14ac:dyDescent="0.3">
      <c r="A157" t="s">
        <v>6078</v>
      </c>
      <c r="C157" t="s">
        <v>5267</v>
      </c>
      <c r="D157" t="s">
        <v>8361</v>
      </c>
      <c r="E157">
        <v>0</v>
      </c>
      <c r="F157">
        <v>155</v>
      </c>
      <c r="H157" t="s">
        <v>6078</v>
      </c>
    </row>
    <row r="158" spans="1:8" x14ac:dyDescent="0.3">
      <c r="A158" t="s">
        <v>6079</v>
      </c>
      <c r="C158" t="s">
        <v>5267</v>
      </c>
      <c r="D158" t="s">
        <v>8362</v>
      </c>
      <c r="E158">
        <v>0</v>
      </c>
      <c r="F158">
        <v>156</v>
      </c>
      <c r="H158" t="s">
        <v>6079</v>
      </c>
    </row>
    <row r="159" spans="1:8" x14ac:dyDescent="0.3">
      <c r="A159" t="s">
        <v>6080</v>
      </c>
      <c r="C159" t="s">
        <v>5267</v>
      </c>
      <c r="D159" t="s">
        <v>8363</v>
      </c>
      <c r="E159">
        <v>0</v>
      </c>
      <c r="F159">
        <v>157</v>
      </c>
      <c r="H159" t="s">
        <v>6080</v>
      </c>
    </row>
    <row r="160" spans="1:8" x14ac:dyDescent="0.3">
      <c r="A160" t="s">
        <v>6081</v>
      </c>
      <c r="C160" t="s">
        <v>5267</v>
      </c>
      <c r="D160" t="s">
        <v>8364</v>
      </c>
      <c r="E160">
        <v>0</v>
      </c>
      <c r="F160">
        <v>158</v>
      </c>
      <c r="H160" t="s">
        <v>6081</v>
      </c>
    </row>
    <row r="161" spans="1:8" x14ac:dyDescent="0.3">
      <c r="A161" t="s">
        <v>6082</v>
      </c>
      <c r="C161" t="s">
        <v>5267</v>
      </c>
      <c r="D161" t="s">
        <v>8365</v>
      </c>
      <c r="E161">
        <v>0</v>
      </c>
      <c r="F161">
        <v>159</v>
      </c>
      <c r="H161" t="s">
        <v>6082</v>
      </c>
    </row>
    <row r="162" spans="1:8" x14ac:dyDescent="0.3">
      <c r="A162" t="s">
        <v>6083</v>
      </c>
      <c r="C162" t="s">
        <v>5267</v>
      </c>
      <c r="D162" t="s">
        <v>8366</v>
      </c>
      <c r="E162">
        <v>0</v>
      </c>
      <c r="F162">
        <v>160</v>
      </c>
      <c r="H162" t="s">
        <v>6083</v>
      </c>
    </row>
    <row r="163" spans="1:8" x14ac:dyDescent="0.3">
      <c r="A163" t="s">
        <v>6084</v>
      </c>
      <c r="C163" t="s">
        <v>5267</v>
      </c>
      <c r="D163" t="s">
        <v>8367</v>
      </c>
      <c r="E163">
        <v>0</v>
      </c>
      <c r="F163">
        <v>161</v>
      </c>
      <c r="H163" t="s">
        <v>6084</v>
      </c>
    </row>
    <row r="164" spans="1:8" x14ac:dyDescent="0.3">
      <c r="A164" t="s">
        <v>6085</v>
      </c>
      <c r="C164" t="s">
        <v>5267</v>
      </c>
      <c r="D164" t="s">
        <v>8368</v>
      </c>
      <c r="E164">
        <v>0</v>
      </c>
      <c r="F164">
        <v>162</v>
      </c>
      <c r="H164" t="s">
        <v>6085</v>
      </c>
    </row>
    <row r="165" spans="1:8" x14ac:dyDescent="0.3">
      <c r="A165" t="s">
        <v>6086</v>
      </c>
      <c r="C165" t="s">
        <v>5267</v>
      </c>
      <c r="D165" t="s">
        <v>8369</v>
      </c>
      <c r="E165">
        <v>0</v>
      </c>
      <c r="F165">
        <v>163</v>
      </c>
      <c r="H165" t="s">
        <v>6086</v>
      </c>
    </row>
    <row r="166" spans="1:8" x14ac:dyDescent="0.3">
      <c r="A166" t="s">
        <v>6087</v>
      </c>
      <c r="C166" t="s">
        <v>5267</v>
      </c>
      <c r="D166" t="s">
        <v>8370</v>
      </c>
      <c r="E166">
        <v>0</v>
      </c>
      <c r="F166">
        <v>164</v>
      </c>
      <c r="H166" t="s">
        <v>6087</v>
      </c>
    </row>
    <row r="167" spans="1:8" x14ac:dyDescent="0.3">
      <c r="A167" t="s">
        <v>6088</v>
      </c>
      <c r="C167" t="s">
        <v>5267</v>
      </c>
      <c r="D167" t="s">
        <v>8371</v>
      </c>
      <c r="E167">
        <v>0</v>
      </c>
      <c r="F167">
        <v>165</v>
      </c>
      <c r="H167" t="s">
        <v>6088</v>
      </c>
    </row>
    <row r="168" spans="1:8" x14ac:dyDescent="0.3">
      <c r="A168" t="s">
        <v>6089</v>
      </c>
      <c r="C168" t="s">
        <v>5267</v>
      </c>
      <c r="D168" t="s">
        <v>8372</v>
      </c>
      <c r="E168">
        <v>0</v>
      </c>
      <c r="F168">
        <v>166</v>
      </c>
      <c r="H168" t="s">
        <v>6089</v>
      </c>
    </row>
    <row r="169" spans="1:8" x14ac:dyDescent="0.3">
      <c r="A169" t="s">
        <v>6090</v>
      </c>
      <c r="C169" t="s">
        <v>5267</v>
      </c>
      <c r="D169" t="s">
        <v>8373</v>
      </c>
      <c r="E169">
        <v>0</v>
      </c>
      <c r="F169">
        <v>167</v>
      </c>
      <c r="H169" t="s">
        <v>6090</v>
      </c>
    </row>
    <row r="170" spans="1:8" x14ac:dyDescent="0.3">
      <c r="A170" t="s">
        <v>6091</v>
      </c>
      <c r="C170" t="s">
        <v>5267</v>
      </c>
      <c r="D170" t="s">
        <v>8374</v>
      </c>
      <c r="E170">
        <v>0</v>
      </c>
      <c r="F170">
        <v>168</v>
      </c>
      <c r="H170" t="s">
        <v>6091</v>
      </c>
    </row>
    <row r="171" spans="1:8" x14ac:dyDescent="0.3">
      <c r="A171" t="s">
        <v>6092</v>
      </c>
      <c r="C171" t="s">
        <v>5267</v>
      </c>
      <c r="D171" t="s">
        <v>8375</v>
      </c>
      <c r="E171">
        <v>0</v>
      </c>
      <c r="F171">
        <v>169</v>
      </c>
      <c r="H171" t="s">
        <v>6092</v>
      </c>
    </row>
    <row r="172" spans="1:8" x14ac:dyDescent="0.3">
      <c r="A172" t="s">
        <v>6093</v>
      </c>
      <c r="C172" t="s">
        <v>5267</v>
      </c>
      <c r="D172" t="s">
        <v>8376</v>
      </c>
      <c r="E172">
        <v>0</v>
      </c>
      <c r="F172">
        <v>170</v>
      </c>
      <c r="H172" t="s">
        <v>6093</v>
      </c>
    </row>
    <row r="173" spans="1:8" x14ac:dyDescent="0.3">
      <c r="A173" t="s">
        <v>6094</v>
      </c>
      <c r="C173" t="s">
        <v>5267</v>
      </c>
      <c r="D173" t="s">
        <v>8377</v>
      </c>
      <c r="E173">
        <v>0</v>
      </c>
      <c r="F173">
        <v>171</v>
      </c>
      <c r="H173" t="s">
        <v>6094</v>
      </c>
    </row>
    <row r="174" spans="1:8" x14ac:dyDescent="0.3">
      <c r="A174" t="s">
        <v>6095</v>
      </c>
      <c r="C174" t="s">
        <v>5267</v>
      </c>
      <c r="D174" t="s">
        <v>8378</v>
      </c>
      <c r="E174">
        <v>0</v>
      </c>
      <c r="F174">
        <v>172</v>
      </c>
      <c r="H174" t="s">
        <v>6095</v>
      </c>
    </row>
    <row r="175" spans="1:8" x14ac:dyDescent="0.3">
      <c r="A175" t="s">
        <v>6096</v>
      </c>
      <c r="C175" t="s">
        <v>5267</v>
      </c>
      <c r="D175" t="s">
        <v>8379</v>
      </c>
      <c r="E175">
        <v>0</v>
      </c>
      <c r="F175">
        <v>173</v>
      </c>
      <c r="H175" t="s">
        <v>6096</v>
      </c>
    </row>
    <row r="176" spans="1:8" x14ac:dyDescent="0.3">
      <c r="A176" t="s">
        <v>6097</v>
      </c>
      <c r="C176" t="s">
        <v>5267</v>
      </c>
      <c r="D176" t="s">
        <v>8380</v>
      </c>
      <c r="E176">
        <v>0</v>
      </c>
      <c r="F176">
        <v>174</v>
      </c>
      <c r="H176" t="s">
        <v>6097</v>
      </c>
    </row>
    <row r="177" spans="1:8" x14ac:dyDescent="0.3">
      <c r="A177" t="s">
        <v>6098</v>
      </c>
      <c r="C177" t="s">
        <v>5267</v>
      </c>
      <c r="D177" t="s">
        <v>8381</v>
      </c>
      <c r="E177">
        <v>0</v>
      </c>
      <c r="F177">
        <v>175</v>
      </c>
      <c r="H177" t="s">
        <v>6098</v>
      </c>
    </row>
    <row r="178" spans="1:8" x14ac:dyDescent="0.3">
      <c r="A178" t="s">
        <v>6099</v>
      </c>
      <c r="C178" t="s">
        <v>5267</v>
      </c>
      <c r="D178" t="s">
        <v>8382</v>
      </c>
      <c r="E178">
        <v>0</v>
      </c>
      <c r="F178">
        <v>176</v>
      </c>
      <c r="H178" t="s">
        <v>6099</v>
      </c>
    </row>
    <row r="179" spans="1:8" x14ac:dyDescent="0.3">
      <c r="A179" t="s">
        <v>6100</v>
      </c>
      <c r="C179" t="s">
        <v>5267</v>
      </c>
      <c r="D179" t="s">
        <v>8383</v>
      </c>
      <c r="E179">
        <v>0</v>
      </c>
      <c r="F179">
        <v>177</v>
      </c>
      <c r="H179" t="s">
        <v>6100</v>
      </c>
    </row>
    <row r="180" spans="1:8" x14ac:dyDescent="0.3">
      <c r="A180" t="s">
        <v>6101</v>
      </c>
      <c r="C180" t="s">
        <v>5267</v>
      </c>
      <c r="D180" t="s">
        <v>8384</v>
      </c>
      <c r="E180">
        <v>0</v>
      </c>
      <c r="F180">
        <v>178</v>
      </c>
      <c r="H180" t="s">
        <v>6101</v>
      </c>
    </row>
    <row r="181" spans="1:8" x14ac:dyDescent="0.3">
      <c r="A181" t="s">
        <v>6102</v>
      </c>
      <c r="C181" t="s">
        <v>5267</v>
      </c>
      <c r="D181" t="s">
        <v>8385</v>
      </c>
      <c r="E181">
        <v>0</v>
      </c>
      <c r="F181">
        <v>179</v>
      </c>
      <c r="H181" t="s">
        <v>6102</v>
      </c>
    </row>
    <row r="182" spans="1:8" x14ac:dyDescent="0.3">
      <c r="A182" t="s">
        <v>6103</v>
      </c>
      <c r="C182" t="s">
        <v>5267</v>
      </c>
      <c r="D182" t="s">
        <v>8386</v>
      </c>
      <c r="E182">
        <v>0</v>
      </c>
      <c r="F182">
        <v>180</v>
      </c>
      <c r="H182" t="s">
        <v>6103</v>
      </c>
    </row>
    <row r="183" spans="1:8" x14ac:dyDescent="0.3">
      <c r="A183" t="s">
        <v>6104</v>
      </c>
      <c r="C183" t="s">
        <v>5267</v>
      </c>
      <c r="D183" t="s">
        <v>8387</v>
      </c>
      <c r="E183">
        <v>0</v>
      </c>
      <c r="F183">
        <v>181</v>
      </c>
      <c r="H183" t="s">
        <v>6104</v>
      </c>
    </row>
    <row r="184" spans="1:8" x14ac:dyDescent="0.3">
      <c r="A184" t="s">
        <v>6105</v>
      </c>
      <c r="C184" t="s">
        <v>5267</v>
      </c>
      <c r="D184" t="s">
        <v>8388</v>
      </c>
      <c r="E184">
        <v>0</v>
      </c>
      <c r="F184">
        <v>182</v>
      </c>
      <c r="H184" t="s">
        <v>6105</v>
      </c>
    </row>
    <row r="185" spans="1:8" x14ac:dyDescent="0.3">
      <c r="A185" t="s">
        <v>6106</v>
      </c>
      <c r="C185" t="s">
        <v>5267</v>
      </c>
      <c r="D185" t="s">
        <v>8389</v>
      </c>
      <c r="E185">
        <v>0</v>
      </c>
      <c r="F185">
        <v>183</v>
      </c>
      <c r="H185" t="s">
        <v>6106</v>
      </c>
    </row>
    <row r="186" spans="1:8" x14ac:dyDescent="0.3">
      <c r="A186" t="s">
        <v>6107</v>
      </c>
      <c r="C186" t="s">
        <v>5267</v>
      </c>
      <c r="D186" t="s">
        <v>8390</v>
      </c>
      <c r="E186">
        <v>0</v>
      </c>
      <c r="F186">
        <v>184</v>
      </c>
      <c r="H186" t="s">
        <v>6107</v>
      </c>
    </row>
    <row r="187" spans="1:8" x14ac:dyDescent="0.3">
      <c r="A187" t="s">
        <v>6108</v>
      </c>
      <c r="C187" t="s">
        <v>5267</v>
      </c>
      <c r="D187" t="s">
        <v>8391</v>
      </c>
      <c r="E187">
        <v>0</v>
      </c>
      <c r="F187">
        <v>185</v>
      </c>
      <c r="H187" t="s">
        <v>6108</v>
      </c>
    </row>
    <row r="188" spans="1:8" x14ac:dyDescent="0.3">
      <c r="A188" t="s">
        <v>6109</v>
      </c>
      <c r="C188" t="s">
        <v>5267</v>
      </c>
      <c r="D188" t="s">
        <v>8392</v>
      </c>
      <c r="E188">
        <v>0</v>
      </c>
      <c r="F188">
        <v>186</v>
      </c>
      <c r="H188" t="s">
        <v>6109</v>
      </c>
    </row>
    <row r="189" spans="1:8" x14ac:dyDescent="0.3">
      <c r="A189" t="s">
        <v>6110</v>
      </c>
      <c r="C189" t="s">
        <v>5267</v>
      </c>
      <c r="D189" t="s">
        <v>8393</v>
      </c>
      <c r="E189">
        <v>0</v>
      </c>
      <c r="F189">
        <v>187</v>
      </c>
      <c r="H189" t="s">
        <v>6110</v>
      </c>
    </row>
    <row r="190" spans="1:8" x14ac:dyDescent="0.3">
      <c r="A190" t="s">
        <v>6111</v>
      </c>
      <c r="C190" t="s">
        <v>5267</v>
      </c>
      <c r="D190" t="s">
        <v>8394</v>
      </c>
      <c r="E190">
        <v>0</v>
      </c>
      <c r="F190">
        <v>188</v>
      </c>
      <c r="H190" t="s">
        <v>6111</v>
      </c>
    </row>
    <row r="191" spans="1:8" x14ac:dyDescent="0.3">
      <c r="A191" t="s">
        <v>6112</v>
      </c>
      <c r="C191" t="s">
        <v>5267</v>
      </c>
      <c r="D191" t="s">
        <v>8395</v>
      </c>
      <c r="E191">
        <v>0</v>
      </c>
      <c r="F191">
        <v>189</v>
      </c>
      <c r="H191" t="s">
        <v>6112</v>
      </c>
    </row>
    <row r="192" spans="1:8" x14ac:dyDescent="0.3">
      <c r="A192" t="s">
        <v>6113</v>
      </c>
      <c r="C192" t="s">
        <v>5267</v>
      </c>
      <c r="D192" t="s">
        <v>8396</v>
      </c>
      <c r="E192">
        <v>0</v>
      </c>
      <c r="F192">
        <v>190</v>
      </c>
      <c r="H192" t="s">
        <v>6113</v>
      </c>
    </row>
    <row r="193" spans="1:8" x14ac:dyDescent="0.3">
      <c r="A193" t="s">
        <v>6114</v>
      </c>
      <c r="C193" t="s">
        <v>5267</v>
      </c>
      <c r="D193" t="s">
        <v>8397</v>
      </c>
      <c r="E193">
        <v>0</v>
      </c>
      <c r="F193">
        <v>191</v>
      </c>
      <c r="H193" t="s">
        <v>6114</v>
      </c>
    </row>
    <row r="194" spans="1:8" x14ac:dyDescent="0.3">
      <c r="A194" t="s">
        <v>6115</v>
      </c>
      <c r="C194" t="s">
        <v>5267</v>
      </c>
      <c r="D194" t="s">
        <v>8398</v>
      </c>
      <c r="E194">
        <v>0</v>
      </c>
      <c r="F194">
        <v>192</v>
      </c>
      <c r="H194" t="s">
        <v>6115</v>
      </c>
    </row>
    <row r="195" spans="1:8" x14ac:dyDescent="0.3">
      <c r="A195" t="s">
        <v>6116</v>
      </c>
      <c r="C195" t="s">
        <v>5267</v>
      </c>
      <c r="D195" t="s">
        <v>8399</v>
      </c>
      <c r="E195">
        <v>0</v>
      </c>
      <c r="F195">
        <v>193</v>
      </c>
      <c r="H195" t="s">
        <v>6116</v>
      </c>
    </row>
    <row r="196" spans="1:8" x14ac:dyDescent="0.3">
      <c r="A196" t="s">
        <v>6117</v>
      </c>
      <c r="C196" t="s">
        <v>5267</v>
      </c>
      <c r="D196" t="s">
        <v>8400</v>
      </c>
      <c r="E196">
        <v>0</v>
      </c>
      <c r="F196">
        <v>194</v>
      </c>
      <c r="H196" t="s">
        <v>6117</v>
      </c>
    </row>
    <row r="197" spans="1:8" x14ac:dyDescent="0.3">
      <c r="A197" t="s">
        <v>6118</v>
      </c>
      <c r="C197" t="s">
        <v>5267</v>
      </c>
      <c r="D197" t="s">
        <v>8401</v>
      </c>
      <c r="E197">
        <v>0</v>
      </c>
      <c r="F197">
        <v>195</v>
      </c>
      <c r="H197" t="s">
        <v>6118</v>
      </c>
    </row>
    <row r="198" spans="1:8" x14ac:dyDescent="0.3">
      <c r="A198" t="s">
        <v>6119</v>
      </c>
      <c r="C198" t="s">
        <v>5267</v>
      </c>
      <c r="D198" t="s">
        <v>8402</v>
      </c>
      <c r="E198">
        <v>0</v>
      </c>
      <c r="F198">
        <v>196</v>
      </c>
      <c r="H198" t="s">
        <v>6119</v>
      </c>
    </row>
    <row r="199" spans="1:8" x14ac:dyDescent="0.3">
      <c r="A199" t="s">
        <v>6120</v>
      </c>
      <c r="C199" t="s">
        <v>5267</v>
      </c>
      <c r="D199" t="s">
        <v>8403</v>
      </c>
      <c r="E199">
        <v>0</v>
      </c>
      <c r="F199">
        <v>197</v>
      </c>
      <c r="H199" t="s">
        <v>6120</v>
      </c>
    </row>
    <row r="200" spans="1:8" x14ac:dyDescent="0.3">
      <c r="A200" t="s">
        <v>6121</v>
      </c>
      <c r="C200" t="s">
        <v>5267</v>
      </c>
      <c r="D200" t="s">
        <v>8404</v>
      </c>
      <c r="E200">
        <v>0</v>
      </c>
      <c r="F200">
        <v>198</v>
      </c>
      <c r="H200" t="s">
        <v>6121</v>
      </c>
    </row>
    <row r="201" spans="1:8" x14ac:dyDescent="0.3">
      <c r="A201" t="s">
        <v>6122</v>
      </c>
      <c r="C201" t="s">
        <v>5267</v>
      </c>
      <c r="D201" t="s">
        <v>8405</v>
      </c>
      <c r="E201">
        <v>0</v>
      </c>
      <c r="F201">
        <v>199</v>
      </c>
      <c r="H201" t="s">
        <v>6122</v>
      </c>
    </row>
    <row r="202" spans="1:8" x14ac:dyDescent="0.3">
      <c r="A202" t="s">
        <v>6123</v>
      </c>
      <c r="C202" t="s">
        <v>5267</v>
      </c>
      <c r="D202" t="s">
        <v>8406</v>
      </c>
      <c r="E202">
        <v>0</v>
      </c>
      <c r="F202">
        <v>200</v>
      </c>
      <c r="H202" t="s">
        <v>6123</v>
      </c>
    </row>
    <row r="203" spans="1:8" x14ac:dyDescent="0.3">
      <c r="A203" t="s">
        <v>6124</v>
      </c>
      <c r="C203" t="s">
        <v>5267</v>
      </c>
      <c r="D203" t="s">
        <v>8407</v>
      </c>
      <c r="E203">
        <v>0</v>
      </c>
      <c r="F203">
        <v>201</v>
      </c>
      <c r="H203" t="s">
        <v>6124</v>
      </c>
    </row>
    <row r="204" spans="1:8" x14ac:dyDescent="0.3">
      <c r="A204" t="s">
        <v>6125</v>
      </c>
      <c r="C204" t="s">
        <v>5267</v>
      </c>
      <c r="D204" t="s">
        <v>8408</v>
      </c>
      <c r="E204">
        <v>0</v>
      </c>
      <c r="F204">
        <v>202</v>
      </c>
      <c r="H204" t="s">
        <v>6125</v>
      </c>
    </row>
    <row r="205" spans="1:8" x14ac:dyDescent="0.3">
      <c r="A205" t="s">
        <v>6126</v>
      </c>
      <c r="C205" t="s">
        <v>5267</v>
      </c>
      <c r="D205" t="s">
        <v>8409</v>
      </c>
      <c r="E205">
        <v>0</v>
      </c>
      <c r="F205">
        <v>203</v>
      </c>
      <c r="H205" t="s">
        <v>6126</v>
      </c>
    </row>
    <row r="206" spans="1:8" x14ac:dyDescent="0.3">
      <c r="A206" t="s">
        <v>6127</v>
      </c>
      <c r="C206" t="s">
        <v>5267</v>
      </c>
      <c r="D206" t="s">
        <v>8410</v>
      </c>
      <c r="E206">
        <v>0</v>
      </c>
      <c r="F206">
        <v>204</v>
      </c>
      <c r="H206" t="s">
        <v>6127</v>
      </c>
    </row>
    <row r="207" spans="1:8" x14ac:dyDescent="0.3">
      <c r="A207" t="s">
        <v>6128</v>
      </c>
      <c r="C207" t="s">
        <v>5267</v>
      </c>
      <c r="D207" t="s">
        <v>8411</v>
      </c>
      <c r="E207">
        <v>0</v>
      </c>
      <c r="F207">
        <v>205</v>
      </c>
      <c r="H207" t="s">
        <v>6128</v>
      </c>
    </row>
    <row r="208" spans="1:8" x14ac:dyDescent="0.3">
      <c r="A208" t="s">
        <v>6129</v>
      </c>
      <c r="C208" t="s">
        <v>5267</v>
      </c>
      <c r="D208" t="s">
        <v>8412</v>
      </c>
      <c r="E208">
        <v>0</v>
      </c>
      <c r="F208">
        <v>206</v>
      </c>
      <c r="H208" t="s">
        <v>6129</v>
      </c>
    </row>
    <row r="209" spans="1:8" x14ac:dyDescent="0.3">
      <c r="A209" t="s">
        <v>6130</v>
      </c>
      <c r="C209" t="s">
        <v>5267</v>
      </c>
      <c r="D209" t="s">
        <v>8413</v>
      </c>
      <c r="E209">
        <v>0</v>
      </c>
      <c r="F209">
        <v>207</v>
      </c>
      <c r="H209" t="s">
        <v>6130</v>
      </c>
    </row>
    <row r="210" spans="1:8" x14ac:dyDescent="0.3">
      <c r="A210" t="s">
        <v>6131</v>
      </c>
      <c r="C210" t="s">
        <v>5267</v>
      </c>
      <c r="D210" t="s">
        <v>8414</v>
      </c>
      <c r="E210">
        <v>0</v>
      </c>
      <c r="F210">
        <v>208</v>
      </c>
      <c r="H210" t="s">
        <v>6131</v>
      </c>
    </row>
    <row r="211" spans="1:8" x14ac:dyDescent="0.3">
      <c r="A211" t="s">
        <v>6132</v>
      </c>
      <c r="C211" t="s">
        <v>5267</v>
      </c>
      <c r="D211" t="s">
        <v>8415</v>
      </c>
      <c r="E211">
        <v>0</v>
      </c>
      <c r="F211">
        <v>209</v>
      </c>
      <c r="H211" t="s">
        <v>6132</v>
      </c>
    </row>
    <row r="212" spans="1:8" x14ac:dyDescent="0.3">
      <c r="A212" t="s">
        <v>6133</v>
      </c>
      <c r="C212" t="s">
        <v>5267</v>
      </c>
      <c r="D212" t="s">
        <v>8416</v>
      </c>
      <c r="E212">
        <v>0</v>
      </c>
      <c r="F212">
        <v>210</v>
      </c>
      <c r="H212" t="s">
        <v>6133</v>
      </c>
    </row>
    <row r="213" spans="1:8" x14ac:dyDescent="0.3">
      <c r="A213" t="s">
        <v>6134</v>
      </c>
      <c r="C213" t="s">
        <v>5267</v>
      </c>
      <c r="D213" t="s">
        <v>8417</v>
      </c>
      <c r="E213">
        <v>0</v>
      </c>
      <c r="F213">
        <v>211</v>
      </c>
      <c r="H213" t="s">
        <v>6134</v>
      </c>
    </row>
    <row r="214" spans="1:8" x14ac:dyDescent="0.3">
      <c r="A214" t="s">
        <v>6135</v>
      </c>
      <c r="C214" t="s">
        <v>5267</v>
      </c>
      <c r="D214" t="s">
        <v>8418</v>
      </c>
      <c r="E214">
        <v>0</v>
      </c>
      <c r="F214">
        <v>212</v>
      </c>
      <c r="H214" t="s">
        <v>6135</v>
      </c>
    </row>
    <row r="215" spans="1:8" x14ac:dyDescent="0.3">
      <c r="A215" t="s">
        <v>6136</v>
      </c>
      <c r="C215" t="s">
        <v>5267</v>
      </c>
      <c r="D215" t="s">
        <v>8419</v>
      </c>
      <c r="E215">
        <v>0</v>
      </c>
      <c r="F215">
        <v>213</v>
      </c>
      <c r="H215" t="s">
        <v>6136</v>
      </c>
    </row>
    <row r="216" spans="1:8" x14ac:dyDescent="0.3">
      <c r="A216" t="s">
        <v>6137</v>
      </c>
      <c r="C216" t="s">
        <v>5267</v>
      </c>
      <c r="D216" t="s">
        <v>8420</v>
      </c>
      <c r="E216">
        <v>0</v>
      </c>
      <c r="F216">
        <v>214</v>
      </c>
      <c r="H216" t="s">
        <v>6137</v>
      </c>
    </row>
    <row r="217" spans="1:8" x14ac:dyDescent="0.3">
      <c r="A217" t="s">
        <v>6138</v>
      </c>
      <c r="C217" t="s">
        <v>5267</v>
      </c>
      <c r="D217" t="s">
        <v>8421</v>
      </c>
      <c r="E217">
        <v>0</v>
      </c>
      <c r="F217">
        <v>215</v>
      </c>
      <c r="H217" t="s">
        <v>6138</v>
      </c>
    </row>
    <row r="218" spans="1:8" x14ac:dyDescent="0.3">
      <c r="A218" t="s">
        <v>6139</v>
      </c>
      <c r="C218" t="s">
        <v>5267</v>
      </c>
      <c r="D218" t="s">
        <v>8422</v>
      </c>
      <c r="E218">
        <v>0</v>
      </c>
      <c r="F218">
        <v>216</v>
      </c>
      <c r="H218" t="s">
        <v>6139</v>
      </c>
    </row>
    <row r="219" spans="1:8" x14ac:dyDescent="0.3">
      <c r="A219" t="s">
        <v>6140</v>
      </c>
      <c r="C219" t="s">
        <v>5267</v>
      </c>
      <c r="D219" t="s">
        <v>8423</v>
      </c>
      <c r="E219">
        <v>0</v>
      </c>
      <c r="F219">
        <v>217</v>
      </c>
      <c r="H219" t="s">
        <v>6140</v>
      </c>
    </row>
    <row r="220" spans="1:8" x14ac:dyDescent="0.3">
      <c r="A220" t="s">
        <v>6141</v>
      </c>
      <c r="C220" t="s">
        <v>5267</v>
      </c>
      <c r="D220" t="s">
        <v>8424</v>
      </c>
      <c r="E220">
        <v>0</v>
      </c>
      <c r="F220">
        <v>218</v>
      </c>
      <c r="H220" t="s">
        <v>6141</v>
      </c>
    </row>
    <row r="221" spans="1:8" x14ac:dyDescent="0.3">
      <c r="A221" t="s">
        <v>6142</v>
      </c>
      <c r="C221" t="s">
        <v>5267</v>
      </c>
      <c r="D221" t="s">
        <v>8425</v>
      </c>
      <c r="E221">
        <v>0</v>
      </c>
      <c r="F221">
        <v>219</v>
      </c>
      <c r="H221" t="s">
        <v>6142</v>
      </c>
    </row>
    <row r="222" spans="1:8" x14ac:dyDescent="0.3">
      <c r="A222" t="s">
        <v>6143</v>
      </c>
      <c r="C222" t="s">
        <v>5267</v>
      </c>
      <c r="D222" t="s">
        <v>8426</v>
      </c>
      <c r="E222">
        <v>0</v>
      </c>
      <c r="F222">
        <v>220</v>
      </c>
      <c r="H222" t="s">
        <v>6143</v>
      </c>
    </row>
    <row r="223" spans="1:8" x14ac:dyDescent="0.3">
      <c r="A223" t="s">
        <v>6144</v>
      </c>
      <c r="C223" t="s">
        <v>5267</v>
      </c>
      <c r="D223" t="s">
        <v>8427</v>
      </c>
      <c r="E223">
        <v>0</v>
      </c>
      <c r="F223">
        <v>221</v>
      </c>
      <c r="H223" t="s">
        <v>6144</v>
      </c>
    </row>
    <row r="224" spans="1:8" x14ac:dyDescent="0.3">
      <c r="A224" t="s">
        <v>6145</v>
      </c>
      <c r="C224" t="s">
        <v>5267</v>
      </c>
      <c r="D224" t="s">
        <v>8428</v>
      </c>
      <c r="E224">
        <v>0</v>
      </c>
      <c r="F224">
        <v>222</v>
      </c>
      <c r="H224" t="s">
        <v>6145</v>
      </c>
    </row>
    <row r="225" spans="1:8" x14ac:dyDescent="0.3">
      <c r="A225" t="s">
        <v>6146</v>
      </c>
      <c r="C225" t="s">
        <v>5267</v>
      </c>
      <c r="D225" t="s">
        <v>8429</v>
      </c>
      <c r="E225">
        <v>0</v>
      </c>
      <c r="F225">
        <v>223</v>
      </c>
      <c r="H225" t="s">
        <v>6146</v>
      </c>
    </row>
    <row r="226" spans="1:8" x14ac:dyDescent="0.3">
      <c r="A226" t="s">
        <v>6147</v>
      </c>
      <c r="C226" t="s">
        <v>5267</v>
      </c>
      <c r="D226" t="s">
        <v>8430</v>
      </c>
      <c r="E226">
        <v>0</v>
      </c>
      <c r="F226">
        <v>224</v>
      </c>
      <c r="H226" t="s">
        <v>6147</v>
      </c>
    </row>
    <row r="227" spans="1:8" x14ac:dyDescent="0.3">
      <c r="A227" t="s">
        <v>6148</v>
      </c>
      <c r="C227" t="s">
        <v>5267</v>
      </c>
      <c r="D227" t="s">
        <v>8431</v>
      </c>
      <c r="E227">
        <v>0</v>
      </c>
      <c r="F227">
        <v>225</v>
      </c>
      <c r="H227" t="s">
        <v>6148</v>
      </c>
    </row>
    <row r="228" spans="1:8" x14ac:dyDescent="0.3">
      <c r="A228" t="s">
        <v>6149</v>
      </c>
      <c r="C228" t="s">
        <v>5267</v>
      </c>
      <c r="D228" t="s">
        <v>8432</v>
      </c>
      <c r="E228">
        <v>0</v>
      </c>
      <c r="F228">
        <v>226</v>
      </c>
      <c r="H228" t="s">
        <v>6149</v>
      </c>
    </row>
    <row r="229" spans="1:8" x14ac:dyDescent="0.3">
      <c r="A229" t="s">
        <v>6150</v>
      </c>
      <c r="C229" t="s">
        <v>5267</v>
      </c>
      <c r="D229" t="s">
        <v>8433</v>
      </c>
      <c r="E229">
        <v>0</v>
      </c>
      <c r="F229">
        <v>227</v>
      </c>
      <c r="H229" t="s">
        <v>6150</v>
      </c>
    </row>
    <row r="230" spans="1:8" x14ac:dyDescent="0.3">
      <c r="A230" t="s">
        <v>6151</v>
      </c>
      <c r="C230" t="s">
        <v>5267</v>
      </c>
      <c r="D230" t="s">
        <v>8434</v>
      </c>
      <c r="E230">
        <v>0</v>
      </c>
      <c r="F230">
        <v>228</v>
      </c>
      <c r="H230" t="s">
        <v>6151</v>
      </c>
    </row>
    <row r="231" spans="1:8" x14ac:dyDescent="0.3">
      <c r="A231" t="s">
        <v>6152</v>
      </c>
      <c r="C231" t="s">
        <v>5267</v>
      </c>
      <c r="D231" t="s">
        <v>8435</v>
      </c>
      <c r="E231">
        <v>0</v>
      </c>
      <c r="F231">
        <v>229</v>
      </c>
      <c r="H231" t="s">
        <v>6152</v>
      </c>
    </row>
    <row r="232" spans="1:8" x14ac:dyDescent="0.3">
      <c r="A232" t="s">
        <v>6153</v>
      </c>
      <c r="C232" t="s">
        <v>5267</v>
      </c>
      <c r="D232" t="s">
        <v>8436</v>
      </c>
      <c r="E232">
        <v>0</v>
      </c>
      <c r="F232">
        <v>230</v>
      </c>
      <c r="H232" t="s">
        <v>6153</v>
      </c>
    </row>
    <row r="233" spans="1:8" x14ac:dyDescent="0.3">
      <c r="A233" t="s">
        <v>6154</v>
      </c>
      <c r="C233" t="s">
        <v>5267</v>
      </c>
      <c r="D233" t="s">
        <v>8437</v>
      </c>
      <c r="E233">
        <v>0</v>
      </c>
      <c r="F233">
        <v>231</v>
      </c>
      <c r="H233" t="s">
        <v>6154</v>
      </c>
    </row>
    <row r="234" spans="1:8" x14ac:dyDescent="0.3">
      <c r="A234" t="s">
        <v>6155</v>
      </c>
      <c r="C234" t="s">
        <v>5267</v>
      </c>
      <c r="D234" t="s">
        <v>8438</v>
      </c>
      <c r="E234">
        <v>0</v>
      </c>
      <c r="F234">
        <v>232</v>
      </c>
      <c r="H234" t="s">
        <v>6155</v>
      </c>
    </row>
    <row r="235" spans="1:8" x14ac:dyDescent="0.3">
      <c r="A235" t="s">
        <v>6156</v>
      </c>
      <c r="C235" t="s">
        <v>5267</v>
      </c>
      <c r="D235" t="s">
        <v>8439</v>
      </c>
      <c r="E235">
        <v>0</v>
      </c>
      <c r="F235">
        <v>233</v>
      </c>
      <c r="H235" t="s">
        <v>6156</v>
      </c>
    </row>
    <row r="236" spans="1:8" x14ac:dyDescent="0.3">
      <c r="A236" t="s">
        <v>6157</v>
      </c>
      <c r="C236" t="s">
        <v>5267</v>
      </c>
      <c r="D236" t="s">
        <v>8440</v>
      </c>
      <c r="E236">
        <v>0</v>
      </c>
      <c r="F236">
        <v>234</v>
      </c>
      <c r="H236" t="s">
        <v>6157</v>
      </c>
    </row>
    <row r="237" spans="1:8" x14ac:dyDescent="0.3">
      <c r="A237" t="s">
        <v>6158</v>
      </c>
      <c r="C237" t="s">
        <v>5267</v>
      </c>
      <c r="D237" t="s">
        <v>8441</v>
      </c>
      <c r="E237">
        <v>0</v>
      </c>
      <c r="F237">
        <v>235</v>
      </c>
      <c r="H237" t="s">
        <v>6158</v>
      </c>
    </row>
    <row r="238" spans="1:8" x14ac:dyDescent="0.3">
      <c r="A238" t="s">
        <v>6159</v>
      </c>
      <c r="C238" t="s">
        <v>5267</v>
      </c>
      <c r="D238" t="s">
        <v>8442</v>
      </c>
      <c r="E238">
        <v>0</v>
      </c>
      <c r="F238">
        <v>236</v>
      </c>
      <c r="H238" t="s">
        <v>6159</v>
      </c>
    </row>
    <row r="239" spans="1:8" x14ac:dyDescent="0.3">
      <c r="A239" t="s">
        <v>6160</v>
      </c>
      <c r="C239" t="s">
        <v>5267</v>
      </c>
      <c r="D239" t="s">
        <v>8443</v>
      </c>
      <c r="E239">
        <v>0</v>
      </c>
      <c r="F239">
        <v>237</v>
      </c>
      <c r="H239" t="s">
        <v>6160</v>
      </c>
    </row>
    <row r="240" spans="1:8" x14ac:dyDescent="0.3">
      <c r="A240" t="s">
        <v>6161</v>
      </c>
      <c r="C240" t="s">
        <v>5267</v>
      </c>
      <c r="D240" t="s">
        <v>8444</v>
      </c>
      <c r="E240">
        <v>0</v>
      </c>
      <c r="F240">
        <v>238</v>
      </c>
      <c r="H240" t="s">
        <v>6161</v>
      </c>
    </row>
    <row r="241" spans="1:8" x14ac:dyDescent="0.3">
      <c r="A241" t="s">
        <v>6162</v>
      </c>
      <c r="C241" t="s">
        <v>5267</v>
      </c>
      <c r="D241" t="s">
        <v>8445</v>
      </c>
      <c r="E241">
        <v>0</v>
      </c>
      <c r="F241">
        <v>239</v>
      </c>
      <c r="H241" t="s">
        <v>6162</v>
      </c>
    </row>
    <row r="242" spans="1:8" x14ac:dyDescent="0.3">
      <c r="A242" t="s">
        <v>6163</v>
      </c>
      <c r="C242" t="s">
        <v>5267</v>
      </c>
      <c r="D242" t="s">
        <v>8446</v>
      </c>
      <c r="E242">
        <v>0</v>
      </c>
      <c r="F242">
        <v>240</v>
      </c>
      <c r="H242" t="s">
        <v>6163</v>
      </c>
    </row>
    <row r="243" spans="1:8" x14ac:dyDescent="0.3">
      <c r="A243" t="s">
        <v>6164</v>
      </c>
      <c r="C243" t="s">
        <v>5267</v>
      </c>
      <c r="D243" t="s">
        <v>8447</v>
      </c>
      <c r="E243">
        <v>0</v>
      </c>
      <c r="F243">
        <v>241</v>
      </c>
      <c r="H243" t="s">
        <v>6164</v>
      </c>
    </row>
    <row r="244" spans="1:8" x14ac:dyDescent="0.3">
      <c r="A244" t="s">
        <v>6165</v>
      </c>
      <c r="C244" t="s">
        <v>5267</v>
      </c>
      <c r="D244" t="s">
        <v>8448</v>
      </c>
      <c r="E244">
        <v>0</v>
      </c>
      <c r="F244">
        <v>242</v>
      </c>
      <c r="H244" t="s">
        <v>6165</v>
      </c>
    </row>
    <row r="245" spans="1:8" x14ac:dyDescent="0.3">
      <c r="A245" t="s">
        <v>6166</v>
      </c>
      <c r="C245" t="s">
        <v>5267</v>
      </c>
      <c r="D245" t="s">
        <v>8449</v>
      </c>
      <c r="E245">
        <v>0</v>
      </c>
      <c r="F245">
        <v>243</v>
      </c>
      <c r="H245" t="s">
        <v>6166</v>
      </c>
    </row>
    <row r="246" spans="1:8" x14ac:dyDescent="0.3">
      <c r="A246" t="s">
        <v>6167</v>
      </c>
      <c r="C246" t="s">
        <v>5267</v>
      </c>
      <c r="D246" t="s">
        <v>8450</v>
      </c>
      <c r="E246">
        <v>0</v>
      </c>
      <c r="F246">
        <v>244</v>
      </c>
      <c r="H246" t="s">
        <v>6167</v>
      </c>
    </row>
    <row r="247" spans="1:8" x14ac:dyDescent="0.3">
      <c r="A247" t="s">
        <v>6168</v>
      </c>
      <c r="C247" t="s">
        <v>5267</v>
      </c>
      <c r="D247" t="s">
        <v>8451</v>
      </c>
      <c r="E247">
        <v>0</v>
      </c>
      <c r="F247">
        <v>245</v>
      </c>
      <c r="H247" t="s">
        <v>6168</v>
      </c>
    </row>
    <row r="248" spans="1:8" x14ac:dyDescent="0.3">
      <c r="A248" t="s">
        <v>6169</v>
      </c>
      <c r="C248" t="s">
        <v>5267</v>
      </c>
      <c r="D248" t="s">
        <v>8452</v>
      </c>
      <c r="E248">
        <v>0</v>
      </c>
      <c r="F248">
        <v>246</v>
      </c>
      <c r="H248" t="s">
        <v>6169</v>
      </c>
    </row>
    <row r="249" spans="1:8" x14ac:dyDescent="0.3">
      <c r="A249" t="s">
        <v>6170</v>
      </c>
      <c r="C249" t="s">
        <v>5267</v>
      </c>
      <c r="D249" t="s">
        <v>8453</v>
      </c>
      <c r="E249">
        <v>0</v>
      </c>
      <c r="F249">
        <v>247</v>
      </c>
      <c r="H249" t="s">
        <v>6170</v>
      </c>
    </row>
    <row r="250" spans="1:8" x14ac:dyDescent="0.3">
      <c r="A250" t="s">
        <v>6171</v>
      </c>
      <c r="C250" t="s">
        <v>5267</v>
      </c>
      <c r="D250" t="s">
        <v>8454</v>
      </c>
      <c r="E250">
        <v>0</v>
      </c>
      <c r="F250">
        <v>248</v>
      </c>
      <c r="H250" t="s">
        <v>6171</v>
      </c>
    </row>
    <row r="251" spans="1:8" x14ac:dyDescent="0.3">
      <c r="A251" t="s">
        <v>6172</v>
      </c>
      <c r="C251" t="s">
        <v>5267</v>
      </c>
      <c r="D251" t="s">
        <v>8455</v>
      </c>
      <c r="E251">
        <v>0</v>
      </c>
      <c r="F251">
        <v>249</v>
      </c>
      <c r="H251" t="s">
        <v>6172</v>
      </c>
    </row>
    <row r="252" spans="1:8" x14ac:dyDescent="0.3">
      <c r="A252" t="s">
        <v>6173</v>
      </c>
      <c r="C252" t="s">
        <v>5267</v>
      </c>
      <c r="D252" t="s">
        <v>8456</v>
      </c>
      <c r="E252">
        <v>0</v>
      </c>
      <c r="F252">
        <v>250</v>
      </c>
      <c r="H252" t="s">
        <v>6173</v>
      </c>
    </row>
    <row r="253" spans="1:8" x14ac:dyDescent="0.3">
      <c r="A253" t="s">
        <v>6174</v>
      </c>
      <c r="C253" t="s">
        <v>5267</v>
      </c>
      <c r="D253" t="s">
        <v>8457</v>
      </c>
      <c r="E253">
        <v>0</v>
      </c>
      <c r="F253">
        <v>251</v>
      </c>
      <c r="H253" t="s">
        <v>6174</v>
      </c>
    </row>
    <row r="254" spans="1:8" x14ac:dyDescent="0.3">
      <c r="A254" t="s">
        <v>6175</v>
      </c>
      <c r="C254" t="s">
        <v>5267</v>
      </c>
      <c r="D254" t="s">
        <v>8458</v>
      </c>
      <c r="E254">
        <v>0</v>
      </c>
      <c r="F254">
        <v>252</v>
      </c>
      <c r="H254" t="s">
        <v>6175</v>
      </c>
    </row>
    <row r="255" spans="1:8" x14ac:dyDescent="0.3">
      <c r="A255" t="s">
        <v>6176</v>
      </c>
      <c r="C255" t="s">
        <v>5267</v>
      </c>
      <c r="D255" t="s">
        <v>8459</v>
      </c>
      <c r="E255">
        <v>0</v>
      </c>
      <c r="F255">
        <v>253</v>
      </c>
      <c r="H255" t="s">
        <v>6176</v>
      </c>
    </row>
    <row r="256" spans="1:8" x14ac:dyDescent="0.3">
      <c r="A256" t="s">
        <v>6177</v>
      </c>
      <c r="C256" t="s">
        <v>5267</v>
      </c>
      <c r="D256" t="s">
        <v>8460</v>
      </c>
      <c r="E256">
        <v>0</v>
      </c>
      <c r="F256">
        <v>254</v>
      </c>
      <c r="H256" t="s">
        <v>6177</v>
      </c>
    </row>
    <row r="257" spans="1:8" x14ac:dyDescent="0.3">
      <c r="A257" t="s">
        <v>6178</v>
      </c>
      <c r="C257" t="s">
        <v>5267</v>
      </c>
      <c r="D257" t="s">
        <v>8461</v>
      </c>
      <c r="E257">
        <v>0</v>
      </c>
      <c r="F257">
        <v>255</v>
      </c>
      <c r="H257" t="s">
        <v>6178</v>
      </c>
    </row>
    <row r="258" spans="1:8" x14ac:dyDescent="0.3">
      <c r="A258" t="s">
        <v>6179</v>
      </c>
      <c r="C258" t="s">
        <v>5267</v>
      </c>
      <c r="D258" t="s">
        <v>8462</v>
      </c>
      <c r="E258">
        <v>0</v>
      </c>
      <c r="F258">
        <v>256</v>
      </c>
      <c r="H258" t="s">
        <v>6179</v>
      </c>
    </row>
    <row r="259" spans="1:8" x14ac:dyDescent="0.3">
      <c r="A259" t="s">
        <v>6180</v>
      </c>
      <c r="C259" t="s">
        <v>5267</v>
      </c>
      <c r="D259" t="s">
        <v>8463</v>
      </c>
      <c r="E259">
        <v>0</v>
      </c>
      <c r="F259">
        <v>257</v>
      </c>
      <c r="H259" t="s">
        <v>6180</v>
      </c>
    </row>
    <row r="260" spans="1:8" x14ac:dyDescent="0.3">
      <c r="A260" t="s">
        <v>6181</v>
      </c>
      <c r="C260" t="s">
        <v>5267</v>
      </c>
      <c r="D260" t="s">
        <v>8464</v>
      </c>
      <c r="E260">
        <v>0</v>
      </c>
      <c r="F260">
        <v>258</v>
      </c>
      <c r="H260" t="s">
        <v>6181</v>
      </c>
    </row>
    <row r="261" spans="1:8" x14ac:dyDescent="0.3">
      <c r="A261" t="s">
        <v>6182</v>
      </c>
      <c r="C261" t="s">
        <v>5267</v>
      </c>
      <c r="D261" t="s">
        <v>8465</v>
      </c>
      <c r="E261">
        <v>0</v>
      </c>
      <c r="F261">
        <v>259</v>
      </c>
      <c r="H261" t="s">
        <v>6182</v>
      </c>
    </row>
    <row r="262" spans="1:8" x14ac:dyDescent="0.3">
      <c r="A262" t="s">
        <v>6183</v>
      </c>
      <c r="C262" t="s">
        <v>5267</v>
      </c>
      <c r="D262" t="s">
        <v>8466</v>
      </c>
      <c r="E262">
        <v>0</v>
      </c>
      <c r="F262">
        <v>260</v>
      </c>
      <c r="H262" t="s">
        <v>6183</v>
      </c>
    </row>
    <row r="263" spans="1:8" x14ac:dyDescent="0.3">
      <c r="A263" t="s">
        <v>6184</v>
      </c>
      <c r="C263" t="s">
        <v>5267</v>
      </c>
      <c r="D263" t="s">
        <v>8467</v>
      </c>
      <c r="E263">
        <v>0</v>
      </c>
      <c r="F263">
        <v>261</v>
      </c>
      <c r="H263" t="s">
        <v>6184</v>
      </c>
    </row>
    <row r="264" spans="1:8" x14ac:dyDescent="0.3">
      <c r="A264" t="s">
        <v>6185</v>
      </c>
      <c r="C264" t="s">
        <v>5267</v>
      </c>
      <c r="D264" t="s">
        <v>8468</v>
      </c>
      <c r="E264">
        <v>0</v>
      </c>
      <c r="F264">
        <v>262</v>
      </c>
      <c r="H264" t="s">
        <v>6185</v>
      </c>
    </row>
    <row r="265" spans="1:8" x14ac:dyDescent="0.3">
      <c r="A265" t="s">
        <v>6186</v>
      </c>
      <c r="C265" t="s">
        <v>5267</v>
      </c>
      <c r="D265" t="s">
        <v>8469</v>
      </c>
      <c r="E265">
        <v>0</v>
      </c>
      <c r="F265">
        <v>263</v>
      </c>
      <c r="H265" t="s">
        <v>6186</v>
      </c>
    </row>
    <row r="266" spans="1:8" x14ac:dyDescent="0.3">
      <c r="A266" t="s">
        <v>6187</v>
      </c>
      <c r="C266" t="s">
        <v>5267</v>
      </c>
      <c r="D266" t="s">
        <v>8470</v>
      </c>
      <c r="E266">
        <v>0</v>
      </c>
      <c r="F266">
        <v>264</v>
      </c>
      <c r="H266" t="s">
        <v>6187</v>
      </c>
    </row>
    <row r="267" spans="1:8" x14ac:dyDescent="0.3">
      <c r="A267" t="s">
        <v>6188</v>
      </c>
      <c r="C267" t="s">
        <v>5267</v>
      </c>
      <c r="D267" t="s">
        <v>8471</v>
      </c>
      <c r="E267">
        <v>0</v>
      </c>
      <c r="F267">
        <v>265</v>
      </c>
      <c r="H267" t="s">
        <v>6188</v>
      </c>
    </row>
    <row r="268" spans="1:8" x14ac:dyDescent="0.3">
      <c r="A268" t="s">
        <v>6189</v>
      </c>
      <c r="C268" t="s">
        <v>5267</v>
      </c>
      <c r="D268" t="s">
        <v>8472</v>
      </c>
      <c r="E268">
        <v>0</v>
      </c>
      <c r="F268">
        <v>266</v>
      </c>
      <c r="H268" t="s">
        <v>6189</v>
      </c>
    </row>
    <row r="269" spans="1:8" x14ac:dyDescent="0.3">
      <c r="A269" t="s">
        <v>6190</v>
      </c>
      <c r="C269" t="s">
        <v>5267</v>
      </c>
      <c r="D269" t="s">
        <v>8473</v>
      </c>
      <c r="E269">
        <v>0</v>
      </c>
      <c r="F269">
        <v>267</v>
      </c>
      <c r="H269" t="s">
        <v>6190</v>
      </c>
    </row>
    <row r="270" spans="1:8" x14ac:dyDescent="0.3">
      <c r="A270" t="s">
        <v>6191</v>
      </c>
      <c r="C270" t="s">
        <v>5267</v>
      </c>
      <c r="D270" t="s">
        <v>8474</v>
      </c>
      <c r="E270">
        <v>0</v>
      </c>
      <c r="F270">
        <v>268</v>
      </c>
      <c r="H270" t="s">
        <v>6191</v>
      </c>
    </row>
    <row r="271" spans="1:8" x14ac:dyDescent="0.3">
      <c r="A271" t="s">
        <v>6192</v>
      </c>
      <c r="C271" t="s">
        <v>5267</v>
      </c>
      <c r="D271" t="s">
        <v>8475</v>
      </c>
      <c r="E271">
        <v>0</v>
      </c>
      <c r="F271">
        <v>269</v>
      </c>
      <c r="H271" t="s">
        <v>6192</v>
      </c>
    </row>
    <row r="272" spans="1:8" x14ac:dyDescent="0.3">
      <c r="A272" t="s">
        <v>6193</v>
      </c>
      <c r="C272" t="s">
        <v>5267</v>
      </c>
      <c r="D272" t="s">
        <v>8476</v>
      </c>
      <c r="E272">
        <v>0</v>
      </c>
      <c r="F272">
        <v>270</v>
      </c>
      <c r="H272" t="s">
        <v>6193</v>
      </c>
    </row>
    <row r="273" spans="1:8" x14ac:dyDescent="0.3">
      <c r="A273" t="s">
        <v>6194</v>
      </c>
      <c r="C273" t="s">
        <v>5267</v>
      </c>
      <c r="D273" t="s">
        <v>8477</v>
      </c>
      <c r="E273">
        <v>0</v>
      </c>
      <c r="F273">
        <v>271</v>
      </c>
      <c r="H273" t="s">
        <v>6194</v>
      </c>
    </row>
    <row r="274" spans="1:8" x14ac:dyDescent="0.3">
      <c r="A274" t="s">
        <v>6195</v>
      </c>
      <c r="C274" t="s">
        <v>5267</v>
      </c>
      <c r="D274" t="s">
        <v>8478</v>
      </c>
      <c r="E274">
        <v>0</v>
      </c>
      <c r="F274">
        <v>272</v>
      </c>
      <c r="H274" t="s">
        <v>6195</v>
      </c>
    </row>
    <row r="275" spans="1:8" x14ac:dyDescent="0.3">
      <c r="A275" t="s">
        <v>6196</v>
      </c>
      <c r="C275" t="s">
        <v>5267</v>
      </c>
      <c r="D275" t="s">
        <v>8479</v>
      </c>
      <c r="E275">
        <v>0</v>
      </c>
      <c r="F275">
        <v>273</v>
      </c>
      <c r="H275" t="s">
        <v>6196</v>
      </c>
    </row>
    <row r="276" spans="1:8" x14ac:dyDescent="0.3">
      <c r="A276" t="s">
        <v>6197</v>
      </c>
      <c r="C276" t="s">
        <v>5267</v>
      </c>
      <c r="D276" t="s">
        <v>8480</v>
      </c>
      <c r="E276">
        <v>0</v>
      </c>
      <c r="F276">
        <v>274</v>
      </c>
      <c r="H276" t="s">
        <v>6197</v>
      </c>
    </row>
    <row r="277" spans="1:8" x14ac:dyDescent="0.3">
      <c r="A277" t="s">
        <v>6198</v>
      </c>
      <c r="C277" t="s">
        <v>5267</v>
      </c>
      <c r="D277" t="s">
        <v>8481</v>
      </c>
      <c r="E277">
        <v>0</v>
      </c>
      <c r="F277">
        <v>275</v>
      </c>
      <c r="H277" t="s">
        <v>6198</v>
      </c>
    </row>
    <row r="278" spans="1:8" x14ac:dyDescent="0.3">
      <c r="A278" t="s">
        <v>6199</v>
      </c>
      <c r="C278" t="s">
        <v>5267</v>
      </c>
      <c r="D278" t="s">
        <v>8482</v>
      </c>
      <c r="E278">
        <v>0</v>
      </c>
      <c r="F278">
        <v>276</v>
      </c>
      <c r="H278" t="s">
        <v>6199</v>
      </c>
    </row>
    <row r="279" spans="1:8" x14ac:dyDescent="0.3">
      <c r="A279" t="s">
        <v>6200</v>
      </c>
      <c r="C279" t="s">
        <v>5267</v>
      </c>
      <c r="D279" t="s">
        <v>8483</v>
      </c>
      <c r="E279">
        <v>0</v>
      </c>
      <c r="F279">
        <v>277</v>
      </c>
      <c r="H279" t="s">
        <v>6200</v>
      </c>
    </row>
    <row r="280" spans="1:8" x14ac:dyDescent="0.3">
      <c r="A280" t="s">
        <v>6201</v>
      </c>
      <c r="C280" t="s">
        <v>5267</v>
      </c>
      <c r="D280" t="s">
        <v>8484</v>
      </c>
      <c r="E280">
        <v>0</v>
      </c>
      <c r="F280">
        <v>278</v>
      </c>
      <c r="H280" t="s">
        <v>6201</v>
      </c>
    </row>
    <row r="281" spans="1:8" x14ac:dyDescent="0.3">
      <c r="A281" t="s">
        <v>6202</v>
      </c>
      <c r="C281" t="s">
        <v>5267</v>
      </c>
      <c r="D281" t="s">
        <v>8485</v>
      </c>
      <c r="E281">
        <v>0</v>
      </c>
      <c r="F281">
        <v>279</v>
      </c>
      <c r="H281" t="s">
        <v>6202</v>
      </c>
    </row>
    <row r="282" spans="1:8" x14ac:dyDescent="0.3">
      <c r="A282" t="s">
        <v>6203</v>
      </c>
      <c r="C282" t="s">
        <v>5267</v>
      </c>
      <c r="D282" t="s">
        <v>8486</v>
      </c>
      <c r="E282">
        <v>0</v>
      </c>
      <c r="F282">
        <v>280</v>
      </c>
      <c r="H282" t="s">
        <v>6203</v>
      </c>
    </row>
    <row r="283" spans="1:8" x14ac:dyDescent="0.3">
      <c r="A283" t="s">
        <v>6204</v>
      </c>
      <c r="C283" t="s">
        <v>5267</v>
      </c>
      <c r="D283" t="s">
        <v>8487</v>
      </c>
      <c r="E283">
        <v>0</v>
      </c>
      <c r="F283">
        <v>281</v>
      </c>
      <c r="H283" t="s">
        <v>6204</v>
      </c>
    </row>
    <row r="284" spans="1:8" x14ac:dyDescent="0.3">
      <c r="A284" t="s">
        <v>6205</v>
      </c>
      <c r="C284" t="s">
        <v>5267</v>
      </c>
      <c r="D284" t="s">
        <v>8488</v>
      </c>
      <c r="E284">
        <v>0</v>
      </c>
      <c r="F284">
        <v>282</v>
      </c>
      <c r="H284" t="s">
        <v>6205</v>
      </c>
    </row>
    <row r="285" spans="1:8" x14ac:dyDescent="0.3">
      <c r="A285" t="s">
        <v>6206</v>
      </c>
      <c r="C285" t="s">
        <v>5267</v>
      </c>
      <c r="D285" t="s">
        <v>8489</v>
      </c>
      <c r="E285">
        <v>0</v>
      </c>
      <c r="F285">
        <v>283</v>
      </c>
      <c r="H285" t="s">
        <v>6206</v>
      </c>
    </row>
    <row r="286" spans="1:8" x14ac:dyDescent="0.3">
      <c r="A286" t="s">
        <v>6207</v>
      </c>
      <c r="C286" t="s">
        <v>5267</v>
      </c>
      <c r="D286" t="s">
        <v>8490</v>
      </c>
      <c r="E286">
        <v>0</v>
      </c>
      <c r="F286">
        <v>284</v>
      </c>
      <c r="H286" t="s">
        <v>6207</v>
      </c>
    </row>
    <row r="287" spans="1:8" x14ac:dyDescent="0.3">
      <c r="A287" t="s">
        <v>6208</v>
      </c>
      <c r="C287" t="s">
        <v>5267</v>
      </c>
      <c r="D287" t="s">
        <v>8491</v>
      </c>
      <c r="E287">
        <v>0</v>
      </c>
      <c r="F287">
        <v>285</v>
      </c>
      <c r="H287" t="s">
        <v>6208</v>
      </c>
    </row>
    <row r="288" spans="1:8" x14ac:dyDescent="0.3">
      <c r="A288" t="s">
        <v>6209</v>
      </c>
      <c r="C288" t="s">
        <v>5267</v>
      </c>
      <c r="D288" t="s">
        <v>8492</v>
      </c>
      <c r="E288">
        <v>0</v>
      </c>
      <c r="F288">
        <v>286</v>
      </c>
      <c r="H288" t="s">
        <v>6209</v>
      </c>
    </row>
    <row r="289" spans="1:8" x14ac:dyDescent="0.3">
      <c r="A289" t="s">
        <v>6210</v>
      </c>
      <c r="C289" t="s">
        <v>5267</v>
      </c>
      <c r="D289" t="s">
        <v>8493</v>
      </c>
      <c r="E289">
        <v>0</v>
      </c>
      <c r="F289">
        <v>287</v>
      </c>
      <c r="H289" t="s">
        <v>6210</v>
      </c>
    </row>
    <row r="290" spans="1:8" x14ac:dyDescent="0.3">
      <c r="A290" t="s">
        <v>6211</v>
      </c>
      <c r="C290" t="s">
        <v>5267</v>
      </c>
      <c r="D290" t="s">
        <v>8494</v>
      </c>
      <c r="E290">
        <v>0</v>
      </c>
      <c r="F290">
        <v>288</v>
      </c>
      <c r="H290" t="s">
        <v>6211</v>
      </c>
    </row>
    <row r="291" spans="1:8" x14ac:dyDescent="0.3">
      <c r="A291" t="s">
        <v>6212</v>
      </c>
      <c r="C291" t="s">
        <v>5267</v>
      </c>
      <c r="D291" t="s">
        <v>8495</v>
      </c>
      <c r="E291">
        <v>0</v>
      </c>
      <c r="F291">
        <v>289</v>
      </c>
      <c r="H291" t="s">
        <v>6212</v>
      </c>
    </row>
    <row r="292" spans="1:8" x14ac:dyDescent="0.3">
      <c r="A292" t="s">
        <v>6213</v>
      </c>
      <c r="C292" t="s">
        <v>5267</v>
      </c>
      <c r="D292" t="s">
        <v>8496</v>
      </c>
      <c r="E292">
        <v>0</v>
      </c>
      <c r="F292">
        <v>290</v>
      </c>
      <c r="H292" t="s">
        <v>6213</v>
      </c>
    </row>
    <row r="293" spans="1:8" x14ac:dyDescent="0.3">
      <c r="A293" t="s">
        <v>6214</v>
      </c>
      <c r="C293" t="s">
        <v>5267</v>
      </c>
      <c r="D293" t="s">
        <v>8497</v>
      </c>
      <c r="E293">
        <v>0</v>
      </c>
      <c r="F293">
        <v>291</v>
      </c>
      <c r="H293" t="s">
        <v>6214</v>
      </c>
    </row>
    <row r="294" spans="1:8" x14ac:dyDescent="0.3">
      <c r="A294" t="s">
        <v>6215</v>
      </c>
      <c r="C294" t="s">
        <v>5267</v>
      </c>
      <c r="D294" t="s">
        <v>8498</v>
      </c>
      <c r="E294">
        <v>0</v>
      </c>
      <c r="F294">
        <v>292</v>
      </c>
      <c r="H294" t="s">
        <v>6215</v>
      </c>
    </row>
    <row r="295" spans="1:8" x14ac:dyDescent="0.3">
      <c r="A295" t="s">
        <v>6216</v>
      </c>
      <c r="C295" t="s">
        <v>5267</v>
      </c>
      <c r="D295" t="s">
        <v>8499</v>
      </c>
      <c r="E295">
        <v>0</v>
      </c>
      <c r="F295">
        <v>293</v>
      </c>
      <c r="H295" t="s">
        <v>6216</v>
      </c>
    </row>
    <row r="296" spans="1:8" x14ac:dyDescent="0.3">
      <c r="A296" t="s">
        <v>6217</v>
      </c>
      <c r="C296" t="s">
        <v>5267</v>
      </c>
      <c r="D296" t="s">
        <v>8500</v>
      </c>
      <c r="E296">
        <v>0</v>
      </c>
      <c r="F296">
        <v>294</v>
      </c>
      <c r="H296" t="s">
        <v>6217</v>
      </c>
    </row>
    <row r="297" spans="1:8" x14ac:dyDescent="0.3">
      <c r="A297" t="s">
        <v>6218</v>
      </c>
      <c r="C297" t="s">
        <v>5267</v>
      </c>
      <c r="D297" t="s">
        <v>8501</v>
      </c>
      <c r="E297">
        <v>0</v>
      </c>
      <c r="F297">
        <v>295</v>
      </c>
      <c r="H297" t="s">
        <v>6218</v>
      </c>
    </row>
    <row r="298" spans="1:8" x14ac:dyDescent="0.3">
      <c r="A298" t="s">
        <v>6219</v>
      </c>
      <c r="C298" t="s">
        <v>5267</v>
      </c>
      <c r="D298" t="s">
        <v>8502</v>
      </c>
      <c r="E298">
        <v>0</v>
      </c>
      <c r="F298">
        <v>296</v>
      </c>
      <c r="H298" t="s">
        <v>6219</v>
      </c>
    </row>
    <row r="299" spans="1:8" x14ac:dyDescent="0.3">
      <c r="A299" t="s">
        <v>6220</v>
      </c>
      <c r="C299" t="s">
        <v>5267</v>
      </c>
      <c r="D299" t="s">
        <v>8503</v>
      </c>
      <c r="E299">
        <v>0</v>
      </c>
      <c r="F299">
        <v>297</v>
      </c>
      <c r="H299" t="s">
        <v>6220</v>
      </c>
    </row>
    <row r="300" spans="1:8" x14ac:dyDescent="0.3">
      <c r="A300" t="s">
        <v>6221</v>
      </c>
      <c r="C300" t="s">
        <v>5267</v>
      </c>
      <c r="D300" t="s">
        <v>8504</v>
      </c>
      <c r="E300">
        <v>0</v>
      </c>
      <c r="F300">
        <v>298</v>
      </c>
      <c r="H300" t="s">
        <v>6221</v>
      </c>
    </row>
    <row r="301" spans="1:8" x14ac:dyDescent="0.3">
      <c r="A301" t="s">
        <v>6222</v>
      </c>
      <c r="C301" t="s">
        <v>5267</v>
      </c>
      <c r="D301" t="s">
        <v>8505</v>
      </c>
      <c r="E301">
        <v>0</v>
      </c>
      <c r="F301">
        <v>299</v>
      </c>
      <c r="H301" t="s">
        <v>6222</v>
      </c>
    </row>
    <row r="302" spans="1:8" x14ac:dyDescent="0.3">
      <c r="A302" t="s">
        <v>6223</v>
      </c>
      <c r="C302" t="s">
        <v>5267</v>
      </c>
      <c r="D302" t="s">
        <v>8506</v>
      </c>
      <c r="E302">
        <v>0</v>
      </c>
      <c r="F302">
        <v>300</v>
      </c>
      <c r="H302" t="s">
        <v>6223</v>
      </c>
    </row>
    <row r="303" spans="1:8" x14ac:dyDescent="0.3">
      <c r="A303" t="s">
        <v>6224</v>
      </c>
      <c r="C303" t="s">
        <v>5267</v>
      </c>
      <c r="D303" t="s">
        <v>8507</v>
      </c>
      <c r="E303">
        <v>0</v>
      </c>
      <c r="F303">
        <v>301</v>
      </c>
      <c r="H303" t="s">
        <v>6224</v>
      </c>
    </row>
    <row r="304" spans="1:8" x14ac:dyDescent="0.3">
      <c r="A304" t="s">
        <v>6225</v>
      </c>
      <c r="C304" t="s">
        <v>5267</v>
      </c>
      <c r="D304" t="s">
        <v>8508</v>
      </c>
      <c r="E304">
        <v>0</v>
      </c>
      <c r="F304">
        <v>302</v>
      </c>
      <c r="H304" t="s">
        <v>6225</v>
      </c>
    </row>
    <row r="305" spans="1:8" x14ac:dyDescent="0.3">
      <c r="A305" t="s">
        <v>6226</v>
      </c>
      <c r="C305" t="s">
        <v>5267</v>
      </c>
      <c r="D305" t="s">
        <v>8509</v>
      </c>
      <c r="E305">
        <v>0</v>
      </c>
      <c r="F305">
        <v>303</v>
      </c>
      <c r="H305" t="s">
        <v>6226</v>
      </c>
    </row>
    <row r="306" spans="1:8" x14ac:dyDescent="0.3">
      <c r="A306" t="s">
        <v>6227</v>
      </c>
      <c r="C306" t="s">
        <v>5267</v>
      </c>
      <c r="D306" t="s">
        <v>8510</v>
      </c>
      <c r="E306">
        <v>0</v>
      </c>
      <c r="F306">
        <v>304</v>
      </c>
      <c r="H306" t="s">
        <v>6227</v>
      </c>
    </row>
    <row r="307" spans="1:8" x14ac:dyDescent="0.3">
      <c r="A307" t="s">
        <v>6228</v>
      </c>
      <c r="C307" t="s">
        <v>5267</v>
      </c>
      <c r="D307" t="s">
        <v>8511</v>
      </c>
      <c r="E307">
        <v>0</v>
      </c>
      <c r="F307">
        <v>305</v>
      </c>
      <c r="H307" t="s">
        <v>6228</v>
      </c>
    </row>
    <row r="308" spans="1:8" x14ac:dyDescent="0.3">
      <c r="A308" t="s">
        <v>6229</v>
      </c>
      <c r="C308" t="s">
        <v>5267</v>
      </c>
      <c r="D308" t="s">
        <v>8512</v>
      </c>
      <c r="E308">
        <v>0</v>
      </c>
      <c r="F308">
        <v>306</v>
      </c>
      <c r="H308" t="s">
        <v>6229</v>
      </c>
    </row>
    <row r="309" spans="1:8" x14ac:dyDescent="0.3">
      <c r="A309" t="s">
        <v>6230</v>
      </c>
      <c r="C309" t="s">
        <v>5267</v>
      </c>
      <c r="D309" t="s">
        <v>8513</v>
      </c>
      <c r="E309">
        <v>0</v>
      </c>
      <c r="F309">
        <v>307</v>
      </c>
      <c r="H309" t="s">
        <v>6230</v>
      </c>
    </row>
    <row r="310" spans="1:8" x14ac:dyDescent="0.3">
      <c r="A310" t="s">
        <v>6231</v>
      </c>
      <c r="C310" t="s">
        <v>5267</v>
      </c>
      <c r="D310" t="s">
        <v>8514</v>
      </c>
      <c r="E310">
        <v>0</v>
      </c>
      <c r="F310">
        <v>308</v>
      </c>
      <c r="H310" t="s">
        <v>6231</v>
      </c>
    </row>
    <row r="311" spans="1:8" x14ac:dyDescent="0.3">
      <c r="A311" t="s">
        <v>6232</v>
      </c>
      <c r="C311" t="s">
        <v>5267</v>
      </c>
      <c r="D311" t="s">
        <v>8515</v>
      </c>
      <c r="E311">
        <v>0</v>
      </c>
      <c r="F311">
        <v>309</v>
      </c>
      <c r="H311" t="s">
        <v>6232</v>
      </c>
    </row>
    <row r="312" spans="1:8" x14ac:dyDescent="0.3">
      <c r="A312" t="s">
        <v>6233</v>
      </c>
      <c r="C312" t="s">
        <v>5267</v>
      </c>
      <c r="D312" t="s">
        <v>8516</v>
      </c>
      <c r="E312">
        <v>0</v>
      </c>
      <c r="F312">
        <v>310</v>
      </c>
      <c r="H312" t="s">
        <v>6233</v>
      </c>
    </row>
    <row r="313" spans="1:8" x14ac:dyDescent="0.3">
      <c r="A313" t="s">
        <v>6234</v>
      </c>
      <c r="C313" t="s">
        <v>5267</v>
      </c>
      <c r="D313" t="s">
        <v>8517</v>
      </c>
      <c r="E313">
        <v>0</v>
      </c>
      <c r="F313">
        <v>311</v>
      </c>
      <c r="H313" t="s">
        <v>6234</v>
      </c>
    </row>
    <row r="314" spans="1:8" x14ac:dyDescent="0.3">
      <c r="A314" t="s">
        <v>6085</v>
      </c>
      <c r="C314" t="s">
        <v>5267</v>
      </c>
      <c r="D314" t="s">
        <v>8518</v>
      </c>
      <c r="E314">
        <v>0</v>
      </c>
      <c r="F314">
        <v>312</v>
      </c>
      <c r="H314" t="s">
        <v>6085</v>
      </c>
    </row>
    <row r="315" spans="1:8" x14ac:dyDescent="0.3">
      <c r="A315" t="s">
        <v>6235</v>
      </c>
      <c r="C315" t="s">
        <v>5267</v>
      </c>
      <c r="D315" t="s">
        <v>8519</v>
      </c>
      <c r="E315">
        <v>0</v>
      </c>
      <c r="F315">
        <v>313</v>
      </c>
      <c r="H315" t="s">
        <v>6235</v>
      </c>
    </row>
    <row r="316" spans="1:8" x14ac:dyDescent="0.3">
      <c r="A316" t="s">
        <v>6236</v>
      </c>
      <c r="C316" t="s">
        <v>5267</v>
      </c>
      <c r="D316" t="s">
        <v>8520</v>
      </c>
      <c r="E316">
        <v>0</v>
      </c>
      <c r="F316">
        <v>314</v>
      </c>
      <c r="H316" t="s">
        <v>6236</v>
      </c>
    </row>
    <row r="317" spans="1:8" x14ac:dyDescent="0.3">
      <c r="A317" t="s">
        <v>6237</v>
      </c>
      <c r="C317" t="s">
        <v>5267</v>
      </c>
      <c r="D317" t="s">
        <v>8521</v>
      </c>
      <c r="E317">
        <v>0</v>
      </c>
      <c r="F317">
        <v>315</v>
      </c>
      <c r="H317" t="s">
        <v>6237</v>
      </c>
    </row>
    <row r="318" spans="1:8" x14ac:dyDescent="0.3">
      <c r="A318" t="s">
        <v>6238</v>
      </c>
      <c r="C318" t="s">
        <v>5267</v>
      </c>
      <c r="D318" t="s">
        <v>8522</v>
      </c>
      <c r="E318">
        <v>0</v>
      </c>
      <c r="F318">
        <v>316</v>
      </c>
      <c r="H318" t="s">
        <v>6238</v>
      </c>
    </row>
    <row r="319" spans="1:8" x14ac:dyDescent="0.3">
      <c r="A319" t="s">
        <v>6239</v>
      </c>
      <c r="C319" t="s">
        <v>5267</v>
      </c>
      <c r="D319" t="s">
        <v>8523</v>
      </c>
      <c r="E319">
        <v>0</v>
      </c>
      <c r="F319">
        <v>317</v>
      </c>
      <c r="H319" t="s">
        <v>6239</v>
      </c>
    </row>
    <row r="320" spans="1:8" x14ac:dyDescent="0.3">
      <c r="A320" t="s">
        <v>6240</v>
      </c>
      <c r="C320" t="s">
        <v>5267</v>
      </c>
      <c r="D320" t="s">
        <v>8524</v>
      </c>
      <c r="E320">
        <v>0</v>
      </c>
      <c r="F320">
        <v>318</v>
      </c>
      <c r="H320" t="s">
        <v>6240</v>
      </c>
    </row>
    <row r="321" spans="1:8" x14ac:dyDescent="0.3">
      <c r="A321" t="s">
        <v>6241</v>
      </c>
      <c r="C321" t="s">
        <v>5267</v>
      </c>
      <c r="D321" t="s">
        <v>8525</v>
      </c>
      <c r="E321">
        <v>0</v>
      </c>
      <c r="F321">
        <v>319</v>
      </c>
      <c r="H321" t="s">
        <v>6241</v>
      </c>
    </row>
    <row r="322" spans="1:8" x14ac:dyDescent="0.3">
      <c r="A322" t="s">
        <v>6242</v>
      </c>
      <c r="C322" t="s">
        <v>5267</v>
      </c>
      <c r="D322" t="s">
        <v>8526</v>
      </c>
      <c r="E322">
        <v>0</v>
      </c>
      <c r="F322">
        <v>320</v>
      </c>
      <c r="H322" t="s">
        <v>6242</v>
      </c>
    </row>
    <row r="323" spans="1:8" x14ac:dyDescent="0.3">
      <c r="A323" t="s">
        <v>6243</v>
      </c>
      <c r="C323" t="s">
        <v>5267</v>
      </c>
      <c r="D323" t="s">
        <v>8527</v>
      </c>
      <c r="E323">
        <v>0</v>
      </c>
      <c r="F323">
        <v>321</v>
      </c>
      <c r="H323" t="s">
        <v>6243</v>
      </c>
    </row>
    <row r="324" spans="1:8" x14ac:dyDescent="0.3">
      <c r="A324" t="s">
        <v>6244</v>
      </c>
      <c r="C324" t="s">
        <v>5267</v>
      </c>
      <c r="D324" t="s">
        <v>8528</v>
      </c>
      <c r="E324">
        <v>0</v>
      </c>
      <c r="F324">
        <v>322</v>
      </c>
      <c r="H324" t="s">
        <v>6244</v>
      </c>
    </row>
    <row r="325" spans="1:8" x14ac:dyDescent="0.3">
      <c r="A325" t="s">
        <v>6245</v>
      </c>
      <c r="C325" t="s">
        <v>5267</v>
      </c>
      <c r="D325" t="s">
        <v>8529</v>
      </c>
      <c r="E325">
        <v>0</v>
      </c>
      <c r="F325">
        <v>323</v>
      </c>
      <c r="H325" t="s">
        <v>6245</v>
      </c>
    </row>
    <row r="326" spans="1:8" x14ac:dyDescent="0.3">
      <c r="A326" t="s">
        <v>6246</v>
      </c>
      <c r="C326" t="s">
        <v>5267</v>
      </c>
      <c r="D326" t="s">
        <v>8530</v>
      </c>
      <c r="E326">
        <v>0</v>
      </c>
      <c r="F326">
        <v>324</v>
      </c>
      <c r="H326" t="s">
        <v>6246</v>
      </c>
    </row>
    <row r="327" spans="1:8" x14ac:dyDescent="0.3">
      <c r="A327" t="s">
        <v>6247</v>
      </c>
      <c r="C327" t="s">
        <v>5267</v>
      </c>
      <c r="D327" t="s">
        <v>8531</v>
      </c>
      <c r="E327">
        <v>0</v>
      </c>
      <c r="F327">
        <v>325</v>
      </c>
      <c r="H327" t="s">
        <v>6247</v>
      </c>
    </row>
    <row r="328" spans="1:8" x14ac:dyDescent="0.3">
      <c r="A328" t="s">
        <v>6248</v>
      </c>
      <c r="C328" t="s">
        <v>5267</v>
      </c>
      <c r="D328" t="s">
        <v>8532</v>
      </c>
      <c r="E328">
        <v>0</v>
      </c>
      <c r="F328">
        <v>326</v>
      </c>
      <c r="H328" t="s">
        <v>6248</v>
      </c>
    </row>
    <row r="329" spans="1:8" x14ac:dyDescent="0.3">
      <c r="A329" t="s">
        <v>6249</v>
      </c>
      <c r="C329" t="s">
        <v>5267</v>
      </c>
      <c r="D329" t="s">
        <v>8533</v>
      </c>
      <c r="E329">
        <v>0</v>
      </c>
      <c r="F329">
        <v>327</v>
      </c>
      <c r="H329" t="s">
        <v>6249</v>
      </c>
    </row>
    <row r="330" spans="1:8" x14ac:dyDescent="0.3">
      <c r="A330" t="s">
        <v>6250</v>
      </c>
      <c r="C330" t="s">
        <v>5267</v>
      </c>
      <c r="D330" t="s">
        <v>8534</v>
      </c>
      <c r="E330">
        <v>0</v>
      </c>
      <c r="F330">
        <v>328</v>
      </c>
      <c r="H330" t="s">
        <v>6250</v>
      </c>
    </row>
    <row r="331" spans="1:8" x14ac:dyDescent="0.3">
      <c r="A331" t="s">
        <v>6251</v>
      </c>
      <c r="C331" t="s">
        <v>5267</v>
      </c>
      <c r="D331" t="s">
        <v>8535</v>
      </c>
      <c r="E331">
        <v>0</v>
      </c>
      <c r="F331">
        <v>329</v>
      </c>
      <c r="H331" t="s">
        <v>6251</v>
      </c>
    </row>
    <row r="332" spans="1:8" x14ac:dyDescent="0.3">
      <c r="A332" t="s">
        <v>6252</v>
      </c>
      <c r="C332" t="s">
        <v>5267</v>
      </c>
      <c r="D332" t="s">
        <v>8536</v>
      </c>
      <c r="E332">
        <v>0</v>
      </c>
      <c r="F332">
        <v>330</v>
      </c>
      <c r="H332" t="s">
        <v>6252</v>
      </c>
    </row>
    <row r="333" spans="1:8" x14ac:dyDescent="0.3">
      <c r="A333" t="s">
        <v>6253</v>
      </c>
      <c r="C333" t="s">
        <v>5267</v>
      </c>
      <c r="D333" t="s">
        <v>8537</v>
      </c>
      <c r="E333">
        <v>0</v>
      </c>
      <c r="F333">
        <v>331</v>
      </c>
      <c r="H333" t="s">
        <v>6253</v>
      </c>
    </row>
    <row r="334" spans="1:8" x14ac:dyDescent="0.3">
      <c r="A334" t="s">
        <v>6254</v>
      </c>
      <c r="C334" t="s">
        <v>5267</v>
      </c>
      <c r="D334" t="s">
        <v>8538</v>
      </c>
      <c r="E334">
        <v>0</v>
      </c>
      <c r="F334">
        <v>332</v>
      </c>
      <c r="H334" t="s">
        <v>6254</v>
      </c>
    </row>
    <row r="335" spans="1:8" x14ac:dyDescent="0.3">
      <c r="A335" t="s">
        <v>6255</v>
      </c>
      <c r="C335" t="s">
        <v>5267</v>
      </c>
      <c r="D335" t="s">
        <v>8539</v>
      </c>
      <c r="E335">
        <v>0</v>
      </c>
      <c r="F335">
        <v>333</v>
      </c>
      <c r="H335" t="s">
        <v>6255</v>
      </c>
    </row>
    <row r="336" spans="1:8" x14ac:dyDescent="0.3">
      <c r="A336" t="s">
        <v>6256</v>
      </c>
      <c r="C336" t="s">
        <v>5267</v>
      </c>
      <c r="D336" t="s">
        <v>8540</v>
      </c>
      <c r="E336">
        <v>0</v>
      </c>
      <c r="F336">
        <v>334</v>
      </c>
      <c r="H336" t="s">
        <v>6256</v>
      </c>
    </row>
    <row r="337" spans="1:8" x14ac:dyDescent="0.3">
      <c r="A337" t="s">
        <v>6257</v>
      </c>
      <c r="C337" t="s">
        <v>5267</v>
      </c>
      <c r="D337" t="s">
        <v>8541</v>
      </c>
      <c r="E337">
        <v>0</v>
      </c>
      <c r="F337">
        <v>335</v>
      </c>
      <c r="H337" t="s">
        <v>6257</v>
      </c>
    </row>
    <row r="338" spans="1:8" x14ac:dyDescent="0.3">
      <c r="A338" t="s">
        <v>6258</v>
      </c>
      <c r="C338" t="s">
        <v>5267</v>
      </c>
      <c r="D338" t="s">
        <v>8542</v>
      </c>
      <c r="E338">
        <v>0</v>
      </c>
      <c r="F338">
        <v>336</v>
      </c>
      <c r="H338" t="s">
        <v>6258</v>
      </c>
    </row>
    <row r="339" spans="1:8" x14ac:dyDescent="0.3">
      <c r="A339" t="s">
        <v>6259</v>
      </c>
      <c r="C339" t="s">
        <v>5267</v>
      </c>
      <c r="D339" t="s">
        <v>8543</v>
      </c>
      <c r="E339">
        <v>0</v>
      </c>
      <c r="F339">
        <v>337</v>
      </c>
      <c r="H339" t="s">
        <v>6259</v>
      </c>
    </row>
    <row r="340" spans="1:8" x14ac:dyDescent="0.3">
      <c r="A340" t="s">
        <v>6260</v>
      </c>
      <c r="C340" t="s">
        <v>5267</v>
      </c>
      <c r="D340" t="s">
        <v>8544</v>
      </c>
      <c r="E340">
        <v>0</v>
      </c>
      <c r="F340">
        <v>338</v>
      </c>
      <c r="H340" t="s">
        <v>6260</v>
      </c>
    </row>
    <row r="341" spans="1:8" x14ac:dyDescent="0.3">
      <c r="A341" t="s">
        <v>6261</v>
      </c>
      <c r="C341" t="s">
        <v>5267</v>
      </c>
      <c r="D341" t="s">
        <v>8545</v>
      </c>
      <c r="E341">
        <v>0</v>
      </c>
      <c r="F341">
        <v>339</v>
      </c>
      <c r="H341" t="s">
        <v>6261</v>
      </c>
    </row>
    <row r="342" spans="1:8" x14ac:dyDescent="0.3">
      <c r="A342" t="s">
        <v>6262</v>
      </c>
      <c r="C342" t="s">
        <v>5267</v>
      </c>
      <c r="D342" t="s">
        <v>8546</v>
      </c>
      <c r="E342">
        <v>0</v>
      </c>
      <c r="F342">
        <v>340</v>
      </c>
      <c r="H342" t="s">
        <v>6262</v>
      </c>
    </row>
    <row r="343" spans="1:8" x14ac:dyDescent="0.3">
      <c r="A343" t="s">
        <v>6263</v>
      </c>
      <c r="C343" t="s">
        <v>5267</v>
      </c>
      <c r="D343" t="s">
        <v>8547</v>
      </c>
      <c r="E343">
        <v>0</v>
      </c>
      <c r="F343">
        <v>341</v>
      </c>
      <c r="H343" t="s">
        <v>6263</v>
      </c>
    </row>
    <row r="344" spans="1:8" x14ac:dyDescent="0.3">
      <c r="A344" t="s">
        <v>6264</v>
      </c>
      <c r="C344" t="s">
        <v>5267</v>
      </c>
      <c r="D344" t="s">
        <v>8548</v>
      </c>
      <c r="E344">
        <v>0</v>
      </c>
      <c r="F344">
        <v>342</v>
      </c>
      <c r="H344" t="s">
        <v>6264</v>
      </c>
    </row>
    <row r="345" spans="1:8" x14ac:dyDescent="0.3">
      <c r="A345" t="s">
        <v>6265</v>
      </c>
      <c r="C345" t="s">
        <v>5267</v>
      </c>
      <c r="D345" t="s">
        <v>8549</v>
      </c>
      <c r="E345">
        <v>0</v>
      </c>
      <c r="F345">
        <v>343</v>
      </c>
      <c r="H345" t="s">
        <v>6265</v>
      </c>
    </row>
    <row r="346" spans="1:8" x14ac:dyDescent="0.3">
      <c r="A346" t="s">
        <v>6266</v>
      </c>
      <c r="C346" t="s">
        <v>5267</v>
      </c>
      <c r="D346" t="s">
        <v>8550</v>
      </c>
      <c r="E346">
        <v>0</v>
      </c>
      <c r="F346">
        <v>344</v>
      </c>
      <c r="H346" t="s">
        <v>6266</v>
      </c>
    </row>
    <row r="347" spans="1:8" x14ac:dyDescent="0.3">
      <c r="A347" t="s">
        <v>6267</v>
      </c>
      <c r="C347" t="s">
        <v>5267</v>
      </c>
      <c r="D347" t="s">
        <v>8551</v>
      </c>
      <c r="E347">
        <v>0</v>
      </c>
      <c r="F347">
        <v>345</v>
      </c>
      <c r="H347" t="s">
        <v>6267</v>
      </c>
    </row>
    <row r="348" spans="1:8" x14ac:dyDescent="0.3">
      <c r="A348" t="s">
        <v>6268</v>
      </c>
      <c r="C348" t="s">
        <v>5267</v>
      </c>
      <c r="D348" t="s">
        <v>8552</v>
      </c>
      <c r="E348">
        <v>0</v>
      </c>
      <c r="F348">
        <v>346</v>
      </c>
      <c r="H348" t="s">
        <v>6268</v>
      </c>
    </row>
    <row r="349" spans="1:8" x14ac:dyDescent="0.3">
      <c r="A349" t="s">
        <v>6269</v>
      </c>
      <c r="C349" t="s">
        <v>5267</v>
      </c>
      <c r="D349" t="s">
        <v>8553</v>
      </c>
      <c r="E349">
        <v>0</v>
      </c>
      <c r="F349">
        <v>347</v>
      </c>
      <c r="H349" t="s">
        <v>6269</v>
      </c>
    </row>
    <row r="350" spans="1:8" x14ac:dyDescent="0.3">
      <c r="A350" t="s">
        <v>6270</v>
      </c>
      <c r="C350" t="s">
        <v>5267</v>
      </c>
      <c r="D350" t="s">
        <v>8554</v>
      </c>
      <c r="E350">
        <v>0</v>
      </c>
      <c r="F350">
        <v>348</v>
      </c>
      <c r="H350" t="s">
        <v>6270</v>
      </c>
    </row>
    <row r="351" spans="1:8" x14ac:dyDescent="0.3">
      <c r="A351" t="s">
        <v>6271</v>
      </c>
      <c r="C351" t="s">
        <v>5267</v>
      </c>
      <c r="D351" t="s">
        <v>8555</v>
      </c>
      <c r="E351">
        <v>0</v>
      </c>
      <c r="F351">
        <v>349</v>
      </c>
      <c r="H351" t="s">
        <v>6271</v>
      </c>
    </row>
    <row r="352" spans="1:8" x14ac:dyDescent="0.3">
      <c r="A352" t="s">
        <v>6272</v>
      </c>
      <c r="C352" t="s">
        <v>5267</v>
      </c>
      <c r="D352" t="s">
        <v>8556</v>
      </c>
      <c r="E352">
        <v>0</v>
      </c>
      <c r="F352">
        <v>350</v>
      </c>
      <c r="H352" t="s">
        <v>6272</v>
      </c>
    </row>
    <row r="353" spans="1:8" x14ac:dyDescent="0.3">
      <c r="A353" t="s">
        <v>6273</v>
      </c>
      <c r="C353" t="s">
        <v>5267</v>
      </c>
      <c r="D353" t="s">
        <v>8557</v>
      </c>
      <c r="E353">
        <v>0</v>
      </c>
      <c r="F353">
        <v>351</v>
      </c>
      <c r="H353" t="s">
        <v>6273</v>
      </c>
    </row>
    <row r="354" spans="1:8" x14ac:dyDescent="0.3">
      <c r="A354" t="s">
        <v>6274</v>
      </c>
      <c r="C354" t="s">
        <v>5267</v>
      </c>
      <c r="D354" t="s">
        <v>8558</v>
      </c>
      <c r="E354">
        <v>0</v>
      </c>
      <c r="F354">
        <v>352</v>
      </c>
      <c r="H354" t="s">
        <v>6274</v>
      </c>
    </row>
    <row r="355" spans="1:8" x14ac:dyDescent="0.3">
      <c r="A355" t="s">
        <v>6275</v>
      </c>
      <c r="C355" t="s">
        <v>5267</v>
      </c>
      <c r="D355" t="s">
        <v>8559</v>
      </c>
      <c r="E355">
        <v>0</v>
      </c>
      <c r="F355">
        <v>353</v>
      </c>
      <c r="H355" t="s">
        <v>6275</v>
      </c>
    </row>
    <row r="356" spans="1:8" x14ac:dyDescent="0.3">
      <c r="A356" t="s">
        <v>6276</v>
      </c>
      <c r="C356" t="s">
        <v>5267</v>
      </c>
      <c r="D356" t="s">
        <v>8560</v>
      </c>
      <c r="E356">
        <v>0</v>
      </c>
      <c r="F356">
        <v>354</v>
      </c>
      <c r="H356" t="s">
        <v>6276</v>
      </c>
    </row>
    <row r="357" spans="1:8" x14ac:dyDescent="0.3">
      <c r="A357" t="s">
        <v>6277</v>
      </c>
      <c r="C357" t="s">
        <v>5267</v>
      </c>
      <c r="D357" t="s">
        <v>8561</v>
      </c>
      <c r="E357">
        <v>0</v>
      </c>
      <c r="F357">
        <v>355</v>
      </c>
      <c r="H357" t="s">
        <v>6277</v>
      </c>
    </row>
    <row r="358" spans="1:8" x14ac:dyDescent="0.3">
      <c r="A358" t="s">
        <v>6278</v>
      </c>
      <c r="C358" t="s">
        <v>5267</v>
      </c>
      <c r="D358" t="s">
        <v>8562</v>
      </c>
      <c r="E358">
        <v>0</v>
      </c>
      <c r="F358">
        <v>356</v>
      </c>
      <c r="H358" t="s">
        <v>6278</v>
      </c>
    </row>
    <row r="359" spans="1:8" x14ac:dyDescent="0.3">
      <c r="A359" t="s">
        <v>6279</v>
      </c>
      <c r="C359" t="s">
        <v>5267</v>
      </c>
      <c r="D359" t="s">
        <v>8563</v>
      </c>
      <c r="E359">
        <v>0</v>
      </c>
      <c r="F359">
        <v>357</v>
      </c>
      <c r="H359" t="s">
        <v>6279</v>
      </c>
    </row>
    <row r="360" spans="1:8" x14ac:dyDescent="0.3">
      <c r="A360" t="s">
        <v>6280</v>
      </c>
      <c r="C360" t="s">
        <v>5267</v>
      </c>
      <c r="D360" t="s">
        <v>8564</v>
      </c>
      <c r="E360">
        <v>0</v>
      </c>
      <c r="F360">
        <v>358</v>
      </c>
      <c r="H360" t="s">
        <v>6280</v>
      </c>
    </row>
    <row r="361" spans="1:8" x14ac:dyDescent="0.3">
      <c r="A361" t="s">
        <v>6281</v>
      </c>
      <c r="C361" t="s">
        <v>5267</v>
      </c>
      <c r="D361" t="s">
        <v>8565</v>
      </c>
      <c r="E361">
        <v>0</v>
      </c>
      <c r="F361">
        <v>359</v>
      </c>
      <c r="H361" t="s">
        <v>6281</v>
      </c>
    </row>
    <row r="362" spans="1:8" x14ac:dyDescent="0.3">
      <c r="A362" t="s">
        <v>6282</v>
      </c>
      <c r="C362" t="s">
        <v>5267</v>
      </c>
      <c r="D362" t="s">
        <v>8566</v>
      </c>
      <c r="E362">
        <v>0</v>
      </c>
      <c r="F362">
        <v>360</v>
      </c>
      <c r="H362" t="s">
        <v>6282</v>
      </c>
    </row>
    <row r="363" spans="1:8" x14ac:dyDescent="0.3">
      <c r="A363" t="s">
        <v>6283</v>
      </c>
      <c r="C363" t="s">
        <v>5267</v>
      </c>
      <c r="D363" t="s">
        <v>8567</v>
      </c>
      <c r="E363">
        <v>0</v>
      </c>
      <c r="F363">
        <v>361</v>
      </c>
      <c r="H363" t="s">
        <v>6283</v>
      </c>
    </row>
    <row r="364" spans="1:8" x14ac:dyDescent="0.3">
      <c r="A364" t="s">
        <v>6284</v>
      </c>
      <c r="C364" t="s">
        <v>5267</v>
      </c>
      <c r="D364" t="s">
        <v>8568</v>
      </c>
      <c r="E364">
        <v>0</v>
      </c>
      <c r="F364">
        <v>362</v>
      </c>
      <c r="H364" t="s">
        <v>6284</v>
      </c>
    </row>
    <row r="365" spans="1:8" x14ac:dyDescent="0.3">
      <c r="A365" t="s">
        <v>6285</v>
      </c>
      <c r="C365" t="s">
        <v>5267</v>
      </c>
      <c r="D365" t="s">
        <v>8569</v>
      </c>
      <c r="E365">
        <v>0</v>
      </c>
      <c r="F365">
        <v>363</v>
      </c>
      <c r="H365" t="s">
        <v>6285</v>
      </c>
    </row>
    <row r="366" spans="1:8" x14ac:dyDescent="0.3">
      <c r="A366" t="s">
        <v>6286</v>
      </c>
      <c r="C366" t="s">
        <v>5267</v>
      </c>
      <c r="D366" t="s">
        <v>8570</v>
      </c>
      <c r="E366">
        <v>0</v>
      </c>
      <c r="F366">
        <v>364</v>
      </c>
      <c r="H366" t="s">
        <v>6286</v>
      </c>
    </row>
    <row r="367" spans="1:8" x14ac:dyDescent="0.3">
      <c r="A367" t="s">
        <v>6287</v>
      </c>
      <c r="C367" t="s">
        <v>5267</v>
      </c>
      <c r="D367" t="s">
        <v>8571</v>
      </c>
      <c r="E367">
        <v>0</v>
      </c>
      <c r="F367">
        <v>365</v>
      </c>
      <c r="H367" t="s">
        <v>6287</v>
      </c>
    </row>
    <row r="368" spans="1:8" x14ac:dyDescent="0.3">
      <c r="A368" t="s">
        <v>6288</v>
      </c>
      <c r="C368" t="s">
        <v>5267</v>
      </c>
      <c r="D368" t="s">
        <v>8572</v>
      </c>
      <c r="E368">
        <v>0</v>
      </c>
      <c r="F368">
        <v>366</v>
      </c>
      <c r="H368" t="s">
        <v>6288</v>
      </c>
    </row>
    <row r="369" spans="1:8" x14ac:dyDescent="0.3">
      <c r="A369" t="s">
        <v>6289</v>
      </c>
      <c r="C369" t="s">
        <v>5267</v>
      </c>
      <c r="D369" t="s">
        <v>8573</v>
      </c>
      <c r="E369">
        <v>0</v>
      </c>
      <c r="F369">
        <v>367</v>
      </c>
      <c r="H369" t="s">
        <v>6289</v>
      </c>
    </row>
    <row r="370" spans="1:8" x14ac:dyDescent="0.3">
      <c r="A370" t="s">
        <v>6290</v>
      </c>
      <c r="C370" t="s">
        <v>5267</v>
      </c>
      <c r="D370" t="s">
        <v>8574</v>
      </c>
      <c r="E370">
        <v>0</v>
      </c>
      <c r="F370">
        <v>368</v>
      </c>
      <c r="H370" t="s">
        <v>6290</v>
      </c>
    </row>
    <row r="371" spans="1:8" x14ac:dyDescent="0.3">
      <c r="A371" t="s">
        <v>6291</v>
      </c>
      <c r="C371" t="s">
        <v>5267</v>
      </c>
      <c r="D371" t="s">
        <v>8575</v>
      </c>
      <c r="E371">
        <v>0</v>
      </c>
      <c r="F371">
        <v>369</v>
      </c>
      <c r="H371" t="s">
        <v>6291</v>
      </c>
    </row>
    <row r="372" spans="1:8" x14ac:dyDescent="0.3">
      <c r="A372" t="s">
        <v>6292</v>
      </c>
      <c r="C372" t="s">
        <v>5267</v>
      </c>
      <c r="D372" t="s">
        <v>8576</v>
      </c>
      <c r="E372">
        <v>0</v>
      </c>
      <c r="F372">
        <v>370</v>
      </c>
      <c r="H372" t="s">
        <v>6292</v>
      </c>
    </row>
    <row r="373" spans="1:8" x14ac:dyDescent="0.3">
      <c r="A373" t="s">
        <v>6293</v>
      </c>
      <c r="C373" t="s">
        <v>5267</v>
      </c>
      <c r="D373" t="s">
        <v>8577</v>
      </c>
      <c r="E373">
        <v>0</v>
      </c>
      <c r="F373">
        <v>371</v>
      </c>
      <c r="H373" t="s">
        <v>6293</v>
      </c>
    </row>
    <row r="374" spans="1:8" x14ac:dyDescent="0.3">
      <c r="A374" t="s">
        <v>6294</v>
      </c>
      <c r="C374" t="s">
        <v>5267</v>
      </c>
      <c r="D374" t="s">
        <v>8578</v>
      </c>
      <c r="E374">
        <v>0</v>
      </c>
      <c r="F374">
        <v>372</v>
      </c>
      <c r="H374" t="s">
        <v>6294</v>
      </c>
    </row>
    <row r="375" spans="1:8" x14ac:dyDescent="0.3">
      <c r="A375" t="s">
        <v>6295</v>
      </c>
      <c r="C375" t="s">
        <v>5267</v>
      </c>
      <c r="D375" t="s">
        <v>8579</v>
      </c>
      <c r="E375">
        <v>0</v>
      </c>
      <c r="F375">
        <v>373</v>
      </c>
      <c r="H375" t="s">
        <v>6295</v>
      </c>
    </row>
    <row r="376" spans="1:8" x14ac:dyDescent="0.3">
      <c r="A376" t="s">
        <v>6296</v>
      </c>
      <c r="C376" t="s">
        <v>5267</v>
      </c>
      <c r="D376" t="s">
        <v>8580</v>
      </c>
      <c r="E376">
        <v>0</v>
      </c>
      <c r="F376">
        <v>374</v>
      </c>
      <c r="H376" t="s">
        <v>6296</v>
      </c>
    </row>
    <row r="377" spans="1:8" x14ac:dyDescent="0.3">
      <c r="A377" t="s">
        <v>6297</v>
      </c>
      <c r="C377" t="s">
        <v>5267</v>
      </c>
      <c r="D377" t="s">
        <v>8581</v>
      </c>
      <c r="E377">
        <v>0</v>
      </c>
      <c r="F377">
        <v>375</v>
      </c>
      <c r="H377" t="s">
        <v>6297</v>
      </c>
    </row>
    <row r="378" spans="1:8" x14ac:dyDescent="0.3">
      <c r="A378" t="s">
        <v>6298</v>
      </c>
      <c r="C378" t="s">
        <v>5267</v>
      </c>
      <c r="D378" t="s">
        <v>8582</v>
      </c>
      <c r="E378">
        <v>0</v>
      </c>
      <c r="F378">
        <v>376</v>
      </c>
      <c r="H378" t="s">
        <v>6298</v>
      </c>
    </row>
    <row r="379" spans="1:8" x14ac:dyDescent="0.3">
      <c r="A379" t="s">
        <v>6299</v>
      </c>
      <c r="C379" t="s">
        <v>5267</v>
      </c>
      <c r="D379" t="s">
        <v>8583</v>
      </c>
      <c r="E379">
        <v>0</v>
      </c>
      <c r="F379">
        <v>377</v>
      </c>
      <c r="H379" t="s">
        <v>6299</v>
      </c>
    </row>
    <row r="380" spans="1:8" x14ac:dyDescent="0.3">
      <c r="A380" t="s">
        <v>6300</v>
      </c>
      <c r="C380" t="s">
        <v>5267</v>
      </c>
      <c r="D380" t="s">
        <v>8584</v>
      </c>
      <c r="E380">
        <v>0</v>
      </c>
      <c r="F380">
        <v>378</v>
      </c>
      <c r="H380" t="s">
        <v>6300</v>
      </c>
    </row>
    <row r="381" spans="1:8" x14ac:dyDescent="0.3">
      <c r="A381" t="s">
        <v>6301</v>
      </c>
      <c r="C381" t="s">
        <v>5267</v>
      </c>
      <c r="D381" t="s">
        <v>8585</v>
      </c>
      <c r="E381">
        <v>0</v>
      </c>
      <c r="F381">
        <v>379</v>
      </c>
      <c r="H381" t="s">
        <v>6301</v>
      </c>
    </row>
    <row r="382" spans="1:8" x14ac:dyDescent="0.3">
      <c r="A382" t="s">
        <v>6302</v>
      </c>
      <c r="C382" t="s">
        <v>5267</v>
      </c>
      <c r="D382" t="s">
        <v>8586</v>
      </c>
      <c r="E382">
        <v>0</v>
      </c>
      <c r="F382">
        <v>380</v>
      </c>
      <c r="H382" t="s">
        <v>6302</v>
      </c>
    </row>
    <row r="383" spans="1:8" x14ac:dyDescent="0.3">
      <c r="A383" t="s">
        <v>6303</v>
      </c>
      <c r="C383" t="s">
        <v>5267</v>
      </c>
      <c r="D383" t="s">
        <v>8587</v>
      </c>
      <c r="E383">
        <v>0</v>
      </c>
      <c r="F383">
        <v>381</v>
      </c>
      <c r="H383" t="s">
        <v>6303</v>
      </c>
    </row>
    <row r="384" spans="1:8" x14ac:dyDescent="0.3">
      <c r="A384" t="s">
        <v>6304</v>
      </c>
      <c r="C384" t="s">
        <v>5267</v>
      </c>
      <c r="D384" t="s">
        <v>8588</v>
      </c>
      <c r="E384">
        <v>0</v>
      </c>
      <c r="F384">
        <v>382</v>
      </c>
      <c r="H384" t="s">
        <v>6304</v>
      </c>
    </row>
    <row r="385" spans="1:8" x14ac:dyDescent="0.3">
      <c r="A385" t="s">
        <v>6305</v>
      </c>
      <c r="C385" t="s">
        <v>5267</v>
      </c>
      <c r="D385" t="s">
        <v>8589</v>
      </c>
      <c r="E385">
        <v>0</v>
      </c>
      <c r="F385">
        <v>383</v>
      </c>
      <c r="H385" t="s">
        <v>6305</v>
      </c>
    </row>
    <row r="386" spans="1:8" x14ac:dyDescent="0.3">
      <c r="A386" t="s">
        <v>6306</v>
      </c>
      <c r="C386" t="s">
        <v>5267</v>
      </c>
      <c r="D386" t="s">
        <v>8590</v>
      </c>
      <c r="E386">
        <v>0</v>
      </c>
      <c r="F386">
        <v>384</v>
      </c>
      <c r="H386" t="s">
        <v>6306</v>
      </c>
    </row>
    <row r="387" spans="1:8" x14ac:dyDescent="0.3">
      <c r="A387" t="s">
        <v>6307</v>
      </c>
      <c r="C387" t="s">
        <v>5267</v>
      </c>
      <c r="D387" t="s">
        <v>8591</v>
      </c>
      <c r="E387">
        <v>0</v>
      </c>
      <c r="F387">
        <v>385</v>
      </c>
      <c r="H387" t="s">
        <v>6307</v>
      </c>
    </row>
    <row r="388" spans="1:8" x14ac:dyDescent="0.3">
      <c r="A388" t="s">
        <v>6308</v>
      </c>
      <c r="C388" t="s">
        <v>5267</v>
      </c>
      <c r="D388" t="s">
        <v>8592</v>
      </c>
      <c r="E388">
        <v>0</v>
      </c>
      <c r="F388">
        <v>386</v>
      </c>
      <c r="H388" t="s">
        <v>6308</v>
      </c>
    </row>
    <row r="389" spans="1:8" x14ac:dyDescent="0.3">
      <c r="A389" t="s">
        <v>6309</v>
      </c>
      <c r="C389" t="s">
        <v>5267</v>
      </c>
      <c r="D389" t="s">
        <v>8593</v>
      </c>
      <c r="E389">
        <v>0</v>
      </c>
      <c r="F389">
        <v>387</v>
      </c>
      <c r="H389" t="s">
        <v>6309</v>
      </c>
    </row>
    <row r="390" spans="1:8" x14ac:dyDescent="0.3">
      <c r="A390" t="s">
        <v>6310</v>
      </c>
      <c r="C390" t="s">
        <v>5267</v>
      </c>
      <c r="D390" t="s">
        <v>8594</v>
      </c>
      <c r="E390">
        <v>0</v>
      </c>
      <c r="F390">
        <v>388</v>
      </c>
      <c r="H390" t="s">
        <v>6310</v>
      </c>
    </row>
    <row r="391" spans="1:8" x14ac:dyDescent="0.3">
      <c r="A391" t="s">
        <v>6311</v>
      </c>
      <c r="C391" t="s">
        <v>5267</v>
      </c>
      <c r="D391" t="s">
        <v>8595</v>
      </c>
      <c r="E391">
        <v>0</v>
      </c>
      <c r="F391">
        <v>389</v>
      </c>
      <c r="H391" t="s">
        <v>6311</v>
      </c>
    </row>
    <row r="392" spans="1:8" x14ac:dyDescent="0.3">
      <c r="A392" t="s">
        <v>6312</v>
      </c>
      <c r="C392" t="s">
        <v>5267</v>
      </c>
      <c r="D392" t="s">
        <v>8596</v>
      </c>
      <c r="E392">
        <v>0</v>
      </c>
      <c r="F392">
        <v>390</v>
      </c>
      <c r="H392" t="s">
        <v>6312</v>
      </c>
    </row>
    <row r="393" spans="1:8" x14ac:dyDescent="0.3">
      <c r="A393" t="s">
        <v>6313</v>
      </c>
      <c r="C393" t="s">
        <v>5267</v>
      </c>
      <c r="D393" t="s">
        <v>8597</v>
      </c>
      <c r="E393">
        <v>0</v>
      </c>
      <c r="F393">
        <v>391</v>
      </c>
      <c r="H393" t="s">
        <v>6313</v>
      </c>
    </row>
    <row r="394" spans="1:8" x14ac:dyDescent="0.3">
      <c r="A394" t="s">
        <v>6314</v>
      </c>
      <c r="C394" t="s">
        <v>5267</v>
      </c>
      <c r="D394" t="s">
        <v>8598</v>
      </c>
      <c r="E394">
        <v>0</v>
      </c>
      <c r="F394">
        <v>392</v>
      </c>
      <c r="H394" t="s">
        <v>6314</v>
      </c>
    </row>
    <row r="395" spans="1:8" x14ac:dyDescent="0.3">
      <c r="A395" t="s">
        <v>6315</v>
      </c>
      <c r="C395" t="s">
        <v>5267</v>
      </c>
      <c r="D395" t="s">
        <v>8599</v>
      </c>
      <c r="E395">
        <v>0</v>
      </c>
      <c r="F395">
        <v>393</v>
      </c>
      <c r="H395" t="s">
        <v>6315</v>
      </c>
    </row>
    <row r="396" spans="1:8" x14ac:dyDescent="0.3">
      <c r="A396" t="s">
        <v>6316</v>
      </c>
      <c r="C396" t="s">
        <v>5267</v>
      </c>
      <c r="D396" t="s">
        <v>8600</v>
      </c>
      <c r="E396">
        <v>0</v>
      </c>
      <c r="F396">
        <v>394</v>
      </c>
      <c r="H396" t="s">
        <v>6316</v>
      </c>
    </row>
    <row r="397" spans="1:8" x14ac:dyDescent="0.3">
      <c r="A397" t="s">
        <v>6317</v>
      </c>
      <c r="C397" t="s">
        <v>5267</v>
      </c>
      <c r="D397" t="s">
        <v>8601</v>
      </c>
      <c r="E397">
        <v>0</v>
      </c>
      <c r="F397">
        <v>395</v>
      </c>
      <c r="H397" t="s">
        <v>6317</v>
      </c>
    </row>
    <row r="398" spans="1:8" x14ac:dyDescent="0.3">
      <c r="A398" t="s">
        <v>6318</v>
      </c>
      <c r="C398" t="s">
        <v>5267</v>
      </c>
      <c r="D398" t="s">
        <v>8602</v>
      </c>
      <c r="E398">
        <v>0</v>
      </c>
      <c r="F398">
        <v>396</v>
      </c>
      <c r="H398" t="s">
        <v>6318</v>
      </c>
    </row>
    <row r="399" spans="1:8" x14ac:dyDescent="0.3">
      <c r="A399" t="s">
        <v>6319</v>
      </c>
      <c r="C399" t="s">
        <v>5267</v>
      </c>
      <c r="D399" t="s">
        <v>8603</v>
      </c>
      <c r="E399">
        <v>0</v>
      </c>
      <c r="F399">
        <v>397</v>
      </c>
      <c r="H399" t="s">
        <v>6319</v>
      </c>
    </row>
    <row r="400" spans="1:8" x14ac:dyDescent="0.3">
      <c r="A400" t="s">
        <v>6320</v>
      </c>
      <c r="C400" t="s">
        <v>5267</v>
      </c>
      <c r="D400" t="s">
        <v>8604</v>
      </c>
      <c r="E400">
        <v>0</v>
      </c>
      <c r="F400">
        <v>398</v>
      </c>
      <c r="H400" t="s">
        <v>6320</v>
      </c>
    </row>
    <row r="401" spans="1:8" x14ac:dyDescent="0.3">
      <c r="A401" t="s">
        <v>6321</v>
      </c>
      <c r="C401" t="s">
        <v>5267</v>
      </c>
      <c r="D401" t="s">
        <v>8605</v>
      </c>
      <c r="E401">
        <v>0</v>
      </c>
      <c r="F401">
        <v>399</v>
      </c>
      <c r="H401" t="s">
        <v>6321</v>
      </c>
    </row>
    <row r="402" spans="1:8" x14ac:dyDescent="0.3">
      <c r="A402" t="s">
        <v>6322</v>
      </c>
      <c r="C402" t="s">
        <v>5267</v>
      </c>
      <c r="D402" t="s">
        <v>8606</v>
      </c>
      <c r="E402">
        <v>0</v>
      </c>
      <c r="F402">
        <v>400</v>
      </c>
      <c r="H402" t="s">
        <v>6322</v>
      </c>
    </row>
    <row r="403" spans="1:8" x14ac:dyDescent="0.3">
      <c r="A403" t="s">
        <v>6323</v>
      </c>
      <c r="C403" t="s">
        <v>5267</v>
      </c>
      <c r="D403" t="s">
        <v>8607</v>
      </c>
      <c r="E403">
        <v>0</v>
      </c>
      <c r="F403">
        <v>401</v>
      </c>
      <c r="H403" t="s">
        <v>6323</v>
      </c>
    </row>
    <row r="404" spans="1:8" x14ac:dyDescent="0.3">
      <c r="A404" t="s">
        <v>6324</v>
      </c>
      <c r="C404" t="s">
        <v>5267</v>
      </c>
      <c r="D404" t="s">
        <v>8608</v>
      </c>
      <c r="E404">
        <v>0</v>
      </c>
      <c r="F404">
        <v>402</v>
      </c>
      <c r="H404" t="s">
        <v>6324</v>
      </c>
    </row>
    <row r="405" spans="1:8" x14ac:dyDescent="0.3">
      <c r="A405" t="s">
        <v>6325</v>
      </c>
      <c r="C405" t="s">
        <v>5267</v>
      </c>
      <c r="D405" t="s">
        <v>8609</v>
      </c>
      <c r="E405">
        <v>0</v>
      </c>
      <c r="F405">
        <v>403</v>
      </c>
      <c r="H405" t="s">
        <v>6325</v>
      </c>
    </row>
    <row r="406" spans="1:8" x14ac:dyDescent="0.3">
      <c r="A406" t="s">
        <v>6326</v>
      </c>
      <c r="C406" t="s">
        <v>5267</v>
      </c>
      <c r="D406" t="s">
        <v>8610</v>
      </c>
      <c r="E406">
        <v>0</v>
      </c>
      <c r="F406">
        <v>404</v>
      </c>
      <c r="H406" t="s">
        <v>6326</v>
      </c>
    </row>
    <row r="407" spans="1:8" x14ac:dyDescent="0.3">
      <c r="A407" t="s">
        <v>6327</v>
      </c>
      <c r="C407" t="s">
        <v>5267</v>
      </c>
      <c r="D407" t="s">
        <v>8611</v>
      </c>
      <c r="E407">
        <v>0</v>
      </c>
      <c r="F407">
        <v>405</v>
      </c>
      <c r="H407" t="s">
        <v>6327</v>
      </c>
    </row>
    <row r="408" spans="1:8" x14ac:dyDescent="0.3">
      <c r="A408" t="s">
        <v>6328</v>
      </c>
      <c r="C408" t="s">
        <v>5267</v>
      </c>
      <c r="D408" t="s">
        <v>8612</v>
      </c>
      <c r="E408">
        <v>0</v>
      </c>
      <c r="F408">
        <v>406</v>
      </c>
      <c r="H408" t="s">
        <v>6328</v>
      </c>
    </row>
    <row r="409" spans="1:8" x14ac:dyDescent="0.3">
      <c r="A409" t="s">
        <v>6329</v>
      </c>
      <c r="C409" t="s">
        <v>5267</v>
      </c>
      <c r="D409" t="s">
        <v>8613</v>
      </c>
      <c r="E409">
        <v>0</v>
      </c>
      <c r="F409">
        <v>407</v>
      </c>
      <c r="H409" t="s">
        <v>6329</v>
      </c>
    </row>
    <row r="410" spans="1:8" x14ac:dyDescent="0.3">
      <c r="A410" t="s">
        <v>6330</v>
      </c>
      <c r="C410" t="s">
        <v>5267</v>
      </c>
      <c r="D410" t="s">
        <v>8614</v>
      </c>
      <c r="E410">
        <v>0</v>
      </c>
      <c r="F410">
        <v>408</v>
      </c>
      <c r="H410" t="s">
        <v>6330</v>
      </c>
    </row>
    <row r="411" spans="1:8" x14ac:dyDescent="0.3">
      <c r="A411" t="s">
        <v>6331</v>
      </c>
      <c r="C411" t="s">
        <v>5267</v>
      </c>
      <c r="D411" t="s">
        <v>8615</v>
      </c>
      <c r="E411">
        <v>0</v>
      </c>
      <c r="F411">
        <v>409</v>
      </c>
      <c r="H411" t="s">
        <v>6331</v>
      </c>
    </row>
    <row r="412" spans="1:8" x14ac:dyDescent="0.3">
      <c r="A412" t="s">
        <v>6332</v>
      </c>
      <c r="C412" t="s">
        <v>5267</v>
      </c>
      <c r="D412" t="s">
        <v>8616</v>
      </c>
      <c r="E412">
        <v>0</v>
      </c>
      <c r="F412">
        <v>410</v>
      </c>
      <c r="H412" t="s">
        <v>6332</v>
      </c>
    </row>
    <row r="413" spans="1:8" x14ac:dyDescent="0.3">
      <c r="A413" t="s">
        <v>6333</v>
      </c>
      <c r="C413" t="s">
        <v>5267</v>
      </c>
      <c r="D413" t="s">
        <v>8617</v>
      </c>
      <c r="E413">
        <v>0</v>
      </c>
      <c r="F413">
        <v>411</v>
      </c>
      <c r="H413" t="s">
        <v>6333</v>
      </c>
    </row>
    <row r="414" spans="1:8" x14ac:dyDescent="0.3">
      <c r="A414" t="s">
        <v>6334</v>
      </c>
      <c r="C414" t="s">
        <v>5267</v>
      </c>
      <c r="D414" t="s">
        <v>8618</v>
      </c>
      <c r="E414">
        <v>0</v>
      </c>
      <c r="F414">
        <v>412</v>
      </c>
      <c r="H414" t="s">
        <v>6334</v>
      </c>
    </row>
    <row r="415" spans="1:8" x14ac:dyDescent="0.3">
      <c r="A415" t="s">
        <v>6335</v>
      </c>
      <c r="C415" t="s">
        <v>5267</v>
      </c>
      <c r="D415" t="s">
        <v>8619</v>
      </c>
      <c r="E415">
        <v>0</v>
      </c>
      <c r="F415">
        <v>413</v>
      </c>
      <c r="H415" t="s">
        <v>6335</v>
      </c>
    </row>
    <row r="416" spans="1:8" x14ac:dyDescent="0.3">
      <c r="A416" t="s">
        <v>6336</v>
      </c>
      <c r="C416" t="s">
        <v>5267</v>
      </c>
      <c r="D416" t="s">
        <v>8620</v>
      </c>
      <c r="E416">
        <v>0</v>
      </c>
      <c r="F416">
        <v>414</v>
      </c>
      <c r="H416" t="s">
        <v>6336</v>
      </c>
    </row>
    <row r="417" spans="1:8" x14ac:dyDescent="0.3">
      <c r="A417" t="s">
        <v>6337</v>
      </c>
      <c r="C417" t="s">
        <v>5267</v>
      </c>
      <c r="D417" t="s">
        <v>8621</v>
      </c>
      <c r="E417">
        <v>0</v>
      </c>
      <c r="F417">
        <v>415</v>
      </c>
      <c r="H417" t="s">
        <v>6337</v>
      </c>
    </row>
    <row r="418" spans="1:8" x14ac:dyDescent="0.3">
      <c r="A418" t="s">
        <v>6338</v>
      </c>
      <c r="C418" t="s">
        <v>5267</v>
      </c>
      <c r="D418" t="s">
        <v>8622</v>
      </c>
      <c r="E418">
        <v>0</v>
      </c>
      <c r="F418">
        <v>416</v>
      </c>
      <c r="H418" t="s">
        <v>6338</v>
      </c>
    </row>
    <row r="419" spans="1:8" x14ac:dyDescent="0.3">
      <c r="A419" t="s">
        <v>6339</v>
      </c>
      <c r="C419" t="s">
        <v>5267</v>
      </c>
      <c r="D419" t="s">
        <v>8623</v>
      </c>
      <c r="E419">
        <v>0</v>
      </c>
      <c r="F419">
        <v>417</v>
      </c>
      <c r="H419" t="s">
        <v>6339</v>
      </c>
    </row>
    <row r="420" spans="1:8" x14ac:dyDescent="0.3">
      <c r="A420" t="s">
        <v>6340</v>
      </c>
      <c r="C420" t="s">
        <v>5267</v>
      </c>
      <c r="D420" t="s">
        <v>8624</v>
      </c>
      <c r="E420">
        <v>0</v>
      </c>
      <c r="F420">
        <v>418</v>
      </c>
      <c r="H420" t="s">
        <v>6340</v>
      </c>
    </row>
    <row r="421" spans="1:8" x14ac:dyDescent="0.3">
      <c r="A421" t="s">
        <v>6341</v>
      </c>
      <c r="C421" t="s">
        <v>5267</v>
      </c>
      <c r="D421" t="s">
        <v>8625</v>
      </c>
      <c r="E421">
        <v>0</v>
      </c>
      <c r="F421">
        <v>419</v>
      </c>
      <c r="H421" t="s">
        <v>6341</v>
      </c>
    </row>
    <row r="422" spans="1:8" x14ac:dyDescent="0.3">
      <c r="A422" t="s">
        <v>6342</v>
      </c>
      <c r="C422" t="s">
        <v>5267</v>
      </c>
      <c r="D422" t="s">
        <v>8626</v>
      </c>
      <c r="E422">
        <v>0</v>
      </c>
      <c r="F422">
        <v>420</v>
      </c>
      <c r="H422" t="s">
        <v>6342</v>
      </c>
    </row>
    <row r="423" spans="1:8" x14ac:dyDescent="0.3">
      <c r="A423" t="s">
        <v>6343</v>
      </c>
      <c r="C423" t="s">
        <v>5267</v>
      </c>
      <c r="D423" t="s">
        <v>8627</v>
      </c>
      <c r="E423">
        <v>0</v>
      </c>
      <c r="F423">
        <v>421</v>
      </c>
      <c r="H423" t="s">
        <v>6343</v>
      </c>
    </row>
    <row r="424" spans="1:8" x14ac:dyDescent="0.3">
      <c r="A424" t="s">
        <v>6344</v>
      </c>
      <c r="C424" t="s">
        <v>5267</v>
      </c>
      <c r="D424" t="s">
        <v>8628</v>
      </c>
      <c r="E424">
        <v>0</v>
      </c>
      <c r="F424">
        <v>422</v>
      </c>
      <c r="H424" t="s">
        <v>6344</v>
      </c>
    </row>
    <row r="425" spans="1:8" x14ac:dyDescent="0.3">
      <c r="A425" t="s">
        <v>6345</v>
      </c>
      <c r="C425" t="s">
        <v>5267</v>
      </c>
      <c r="D425" t="s">
        <v>8629</v>
      </c>
      <c r="E425">
        <v>0</v>
      </c>
      <c r="F425">
        <v>423</v>
      </c>
      <c r="H425" t="s">
        <v>6345</v>
      </c>
    </row>
    <row r="426" spans="1:8" x14ac:dyDescent="0.3">
      <c r="A426" t="s">
        <v>6346</v>
      </c>
      <c r="C426" t="s">
        <v>5267</v>
      </c>
      <c r="D426" t="s">
        <v>8630</v>
      </c>
      <c r="E426">
        <v>0</v>
      </c>
      <c r="F426">
        <v>424</v>
      </c>
      <c r="H426" t="s">
        <v>6346</v>
      </c>
    </row>
    <row r="427" spans="1:8" x14ac:dyDescent="0.3">
      <c r="A427" t="s">
        <v>6347</v>
      </c>
      <c r="C427" t="s">
        <v>5267</v>
      </c>
      <c r="D427" t="s">
        <v>8631</v>
      </c>
      <c r="E427">
        <v>0</v>
      </c>
      <c r="F427">
        <v>425</v>
      </c>
      <c r="H427" t="s">
        <v>6347</v>
      </c>
    </row>
    <row r="428" spans="1:8" x14ac:dyDescent="0.3">
      <c r="A428" t="s">
        <v>6348</v>
      </c>
      <c r="C428" t="s">
        <v>5267</v>
      </c>
      <c r="D428" t="s">
        <v>8632</v>
      </c>
      <c r="E428">
        <v>0</v>
      </c>
      <c r="F428">
        <v>426</v>
      </c>
      <c r="H428" t="s">
        <v>6348</v>
      </c>
    </row>
    <row r="429" spans="1:8" x14ac:dyDescent="0.3">
      <c r="A429" t="s">
        <v>6349</v>
      </c>
      <c r="C429" t="s">
        <v>5267</v>
      </c>
      <c r="D429" t="s">
        <v>8633</v>
      </c>
      <c r="E429">
        <v>0</v>
      </c>
      <c r="F429">
        <v>427</v>
      </c>
      <c r="H429" t="s">
        <v>6349</v>
      </c>
    </row>
    <row r="430" spans="1:8" x14ac:dyDescent="0.3">
      <c r="A430" t="s">
        <v>6350</v>
      </c>
      <c r="C430" t="s">
        <v>5267</v>
      </c>
      <c r="D430" t="s">
        <v>8634</v>
      </c>
      <c r="E430">
        <v>0</v>
      </c>
      <c r="F430">
        <v>428</v>
      </c>
      <c r="H430" t="s">
        <v>6350</v>
      </c>
    </row>
    <row r="431" spans="1:8" x14ac:dyDescent="0.3">
      <c r="A431" t="s">
        <v>6351</v>
      </c>
      <c r="C431" t="s">
        <v>5267</v>
      </c>
      <c r="D431" t="s">
        <v>8635</v>
      </c>
      <c r="E431">
        <v>0</v>
      </c>
      <c r="F431">
        <v>429</v>
      </c>
      <c r="H431" t="s">
        <v>6351</v>
      </c>
    </row>
    <row r="432" spans="1:8" x14ac:dyDescent="0.3">
      <c r="A432" t="s">
        <v>6352</v>
      </c>
      <c r="C432" t="s">
        <v>5267</v>
      </c>
      <c r="D432" t="s">
        <v>8636</v>
      </c>
      <c r="E432">
        <v>0</v>
      </c>
      <c r="F432">
        <v>430</v>
      </c>
      <c r="H432" t="s">
        <v>6352</v>
      </c>
    </row>
    <row r="433" spans="1:8" x14ac:dyDescent="0.3">
      <c r="A433" t="s">
        <v>6353</v>
      </c>
      <c r="C433" t="s">
        <v>5267</v>
      </c>
      <c r="D433" t="s">
        <v>8637</v>
      </c>
      <c r="E433">
        <v>0</v>
      </c>
      <c r="F433">
        <v>431</v>
      </c>
      <c r="H433" t="s">
        <v>6353</v>
      </c>
    </row>
    <row r="434" spans="1:8" x14ac:dyDescent="0.3">
      <c r="A434" t="s">
        <v>6354</v>
      </c>
      <c r="C434" t="s">
        <v>5267</v>
      </c>
      <c r="D434" t="s">
        <v>8638</v>
      </c>
      <c r="E434">
        <v>0</v>
      </c>
      <c r="F434">
        <v>432</v>
      </c>
      <c r="H434" t="s">
        <v>6354</v>
      </c>
    </row>
    <row r="435" spans="1:8" x14ac:dyDescent="0.3">
      <c r="A435" t="s">
        <v>6355</v>
      </c>
      <c r="C435" t="s">
        <v>5267</v>
      </c>
      <c r="D435" t="s">
        <v>8639</v>
      </c>
      <c r="E435">
        <v>0</v>
      </c>
      <c r="F435">
        <v>433</v>
      </c>
      <c r="H435" t="s">
        <v>6355</v>
      </c>
    </row>
    <row r="436" spans="1:8" x14ac:dyDescent="0.3">
      <c r="A436" t="s">
        <v>6356</v>
      </c>
      <c r="C436" t="s">
        <v>5267</v>
      </c>
      <c r="D436" t="s">
        <v>8640</v>
      </c>
      <c r="E436">
        <v>0</v>
      </c>
      <c r="F436">
        <v>434</v>
      </c>
      <c r="H436" t="s">
        <v>6356</v>
      </c>
    </row>
    <row r="437" spans="1:8" x14ac:dyDescent="0.3">
      <c r="A437" t="s">
        <v>6357</v>
      </c>
      <c r="C437" t="s">
        <v>5267</v>
      </c>
      <c r="D437" t="s">
        <v>8641</v>
      </c>
      <c r="E437">
        <v>0</v>
      </c>
      <c r="F437">
        <v>435</v>
      </c>
      <c r="H437" t="s">
        <v>6357</v>
      </c>
    </row>
    <row r="438" spans="1:8" x14ac:dyDescent="0.3">
      <c r="A438" t="s">
        <v>6358</v>
      </c>
      <c r="C438" t="s">
        <v>5267</v>
      </c>
      <c r="D438" t="s">
        <v>8642</v>
      </c>
      <c r="E438">
        <v>0</v>
      </c>
      <c r="F438">
        <v>436</v>
      </c>
      <c r="H438" t="s">
        <v>6358</v>
      </c>
    </row>
    <row r="439" spans="1:8" x14ac:dyDescent="0.3">
      <c r="A439" t="s">
        <v>6359</v>
      </c>
      <c r="C439" t="s">
        <v>5267</v>
      </c>
      <c r="D439" t="s">
        <v>8643</v>
      </c>
      <c r="E439">
        <v>0</v>
      </c>
      <c r="F439">
        <v>437</v>
      </c>
      <c r="H439" t="s">
        <v>6359</v>
      </c>
    </row>
    <row r="440" spans="1:8" x14ac:dyDescent="0.3">
      <c r="A440" t="s">
        <v>6360</v>
      </c>
      <c r="C440" t="s">
        <v>5267</v>
      </c>
      <c r="D440" t="s">
        <v>8644</v>
      </c>
      <c r="E440">
        <v>0</v>
      </c>
      <c r="F440">
        <v>438</v>
      </c>
      <c r="H440" t="s">
        <v>6360</v>
      </c>
    </row>
    <row r="441" spans="1:8" x14ac:dyDescent="0.3">
      <c r="A441" t="s">
        <v>6361</v>
      </c>
      <c r="C441" t="s">
        <v>5267</v>
      </c>
      <c r="D441" t="s">
        <v>8645</v>
      </c>
      <c r="E441">
        <v>0</v>
      </c>
      <c r="F441">
        <v>439</v>
      </c>
      <c r="H441" t="s">
        <v>6361</v>
      </c>
    </row>
    <row r="442" spans="1:8" x14ac:dyDescent="0.3">
      <c r="A442" t="s">
        <v>6362</v>
      </c>
      <c r="C442" t="s">
        <v>5267</v>
      </c>
      <c r="D442" t="s">
        <v>8646</v>
      </c>
      <c r="E442">
        <v>0</v>
      </c>
      <c r="F442">
        <v>440</v>
      </c>
      <c r="H442" t="s">
        <v>6362</v>
      </c>
    </row>
    <row r="443" spans="1:8" x14ac:dyDescent="0.3">
      <c r="A443" t="s">
        <v>6363</v>
      </c>
      <c r="C443" t="s">
        <v>5267</v>
      </c>
      <c r="D443" t="s">
        <v>8647</v>
      </c>
      <c r="E443">
        <v>0</v>
      </c>
      <c r="F443">
        <v>441</v>
      </c>
      <c r="H443" t="s">
        <v>6363</v>
      </c>
    </row>
    <row r="444" spans="1:8" x14ac:dyDescent="0.3">
      <c r="A444" t="s">
        <v>6364</v>
      </c>
      <c r="C444" t="s">
        <v>5267</v>
      </c>
      <c r="D444" t="s">
        <v>8648</v>
      </c>
      <c r="E444">
        <v>0</v>
      </c>
      <c r="F444">
        <v>442</v>
      </c>
      <c r="H444" t="s">
        <v>6364</v>
      </c>
    </row>
    <row r="445" spans="1:8" x14ac:dyDescent="0.3">
      <c r="A445" t="s">
        <v>6365</v>
      </c>
      <c r="C445" t="s">
        <v>5267</v>
      </c>
      <c r="D445" t="s">
        <v>8649</v>
      </c>
      <c r="E445">
        <v>0</v>
      </c>
      <c r="F445">
        <v>443</v>
      </c>
      <c r="H445" t="s">
        <v>6365</v>
      </c>
    </row>
    <row r="446" spans="1:8" x14ac:dyDescent="0.3">
      <c r="A446" t="s">
        <v>6366</v>
      </c>
      <c r="C446" t="s">
        <v>5267</v>
      </c>
      <c r="D446" t="s">
        <v>8650</v>
      </c>
      <c r="E446">
        <v>0</v>
      </c>
      <c r="F446">
        <v>444</v>
      </c>
      <c r="H446" t="s">
        <v>6366</v>
      </c>
    </row>
    <row r="447" spans="1:8" x14ac:dyDescent="0.3">
      <c r="A447" t="s">
        <v>6367</v>
      </c>
      <c r="C447" t="s">
        <v>5267</v>
      </c>
      <c r="D447" t="s">
        <v>8651</v>
      </c>
      <c r="E447">
        <v>0</v>
      </c>
      <c r="F447">
        <v>445</v>
      </c>
      <c r="H447" t="s">
        <v>6367</v>
      </c>
    </row>
    <row r="448" spans="1:8" x14ac:dyDescent="0.3">
      <c r="A448" t="s">
        <v>6368</v>
      </c>
      <c r="C448" t="s">
        <v>5267</v>
      </c>
      <c r="D448" t="s">
        <v>8652</v>
      </c>
      <c r="E448">
        <v>0</v>
      </c>
      <c r="F448">
        <v>446</v>
      </c>
      <c r="H448" t="s">
        <v>6368</v>
      </c>
    </row>
    <row r="449" spans="1:8" x14ac:dyDescent="0.3">
      <c r="A449" t="s">
        <v>6369</v>
      </c>
      <c r="C449" t="s">
        <v>5267</v>
      </c>
      <c r="D449" t="s">
        <v>8653</v>
      </c>
      <c r="E449">
        <v>0</v>
      </c>
      <c r="F449">
        <v>447</v>
      </c>
      <c r="H449" t="s">
        <v>6369</v>
      </c>
    </row>
    <row r="450" spans="1:8" x14ac:dyDescent="0.3">
      <c r="A450" t="s">
        <v>6370</v>
      </c>
      <c r="C450" t="s">
        <v>5267</v>
      </c>
      <c r="D450" t="s">
        <v>8654</v>
      </c>
      <c r="E450">
        <v>0</v>
      </c>
      <c r="F450">
        <v>448</v>
      </c>
      <c r="H450" t="s">
        <v>6370</v>
      </c>
    </row>
    <row r="451" spans="1:8" x14ac:dyDescent="0.3">
      <c r="A451" t="s">
        <v>6371</v>
      </c>
      <c r="C451" t="s">
        <v>5267</v>
      </c>
      <c r="D451" t="s">
        <v>8655</v>
      </c>
      <c r="E451">
        <v>0</v>
      </c>
      <c r="F451">
        <v>449</v>
      </c>
      <c r="H451" t="s">
        <v>6371</v>
      </c>
    </row>
    <row r="452" spans="1:8" x14ac:dyDescent="0.3">
      <c r="A452" t="s">
        <v>6372</v>
      </c>
      <c r="C452" t="s">
        <v>5267</v>
      </c>
      <c r="D452" t="s">
        <v>8656</v>
      </c>
      <c r="E452">
        <v>0</v>
      </c>
      <c r="F452">
        <v>450</v>
      </c>
      <c r="H452" t="s">
        <v>6372</v>
      </c>
    </row>
    <row r="453" spans="1:8" x14ac:dyDescent="0.3">
      <c r="A453" t="s">
        <v>6373</v>
      </c>
      <c r="C453" t="s">
        <v>5267</v>
      </c>
      <c r="D453" t="s">
        <v>8657</v>
      </c>
      <c r="E453">
        <v>0</v>
      </c>
      <c r="F453">
        <v>451</v>
      </c>
      <c r="H453" t="s">
        <v>6373</v>
      </c>
    </row>
    <row r="454" spans="1:8" x14ac:dyDescent="0.3">
      <c r="A454" t="s">
        <v>6374</v>
      </c>
      <c r="C454" t="s">
        <v>5267</v>
      </c>
      <c r="D454" t="s">
        <v>8658</v>
      </c>
      <c r="E454">
        <v>0</v>
      </c>
      <c r="F454">
        <v>452</v>
      </c>
      <c r="H454" t="s">
        <v>6374</v>
      </c>
    </row>
    <row r="455" spans="1:8" x14ac:dyDescent="0.3">
      <c r="A455" t="s">
        <v>6375</v>
      </c>
      <c r="C455" t="s">
        <v>5267</v>
      </c>
      <c r="D455" t="s">
        <v>8659</v>
      </c>
      <c r="E455">
        <v>0</v>
      </c>
      <c r="F455">
        <v>453</v>
      </c>
      <c r="H455" t="s">
        <v>6375</v>
      </c>
    </row>
    <row r="456" spans="1:8" x14ac:dyDescent="0.3">
      <c r="A456" t="s">
        <v>6376</v>
      </c>
      <c r="C456" t="s">
        <v>5267</v>
      </c>
      <c r="D456" t="s">
        <v>8660</v>
      </c>
      <c r="E456">
        <v>0</v>
      </c>
      <c r="F456">
        <v>454</v>
      </c>
      <c r="H456" t="s">
        <v>6376</v>
      </c>
    </row>
    <row r="457" spans="1:8" x14ac:dyDescent="0.3">
      <c r="A457" t="s">
        <v>6377</v>
      </c>
      <c r="C457" t="s">
        <v>5267</v>
      </c>
      <c r="D457" t="s">
        <v>8661</v>
      </c>
      <c r="E457">
        <v>0</v>
      </c>
      <c r="F457">
        <v>455</v>
      </c>
      <c r="H457" t="s">
        <v>6377</v>
      </c>
    </row>
    <row r="458" spans="1:8" x14ac:dyDescent="0.3">
      <c r="A458" t="s">
        <v>6378</v>
      </c>
      <c r="C458" t="s">
        <v>5267</v>
      </c>
      <c r="D458" t="s">
        <v>8662</v>
      </c>
      <c r="E458">
        <v>0</v>
      </c>
      <c r="F458">
        <v>456</v>
      </c>
      <c r="H458" t="s">
        <v>6378</v>
      </c>
    </row>
    <row r="459" spans="1:8" x14ac:dyDescent="0.3">
      <c r="A459" t="s">
        <v>6379</v>
      </c>
      <c r="C459" t="s">
        <v>5267</v>
      </c>
      <c r="D459" t="s">
        <v>8663</v>
      </c>
      <c r="E459">
        <v>0</v>
      </c>
      <c r="F459">
        <v>457</v>
      </c>
      <c r="H459" t="s">
        <v>6379</v>
      </c>
    </row>
    <row r="460" spans="1:8" x14ac:dyDescent="0.3">
      <c r="A460" t="s">
        <v>6380</v>
      </c>
      <c r="C460" t="s">
        <v>5267</v>
      </c>
      <c r="D460" t="s">
        <v>8664</v>
      </c>
      <c r="E460">
        <v>0</v>
      </c>
      <c r="F460">
        <v>458</v>
      </c>
      <c r="H460" t="s">
        <v>6380</v>
      </c>
    </row>
    <row r="461" spans="1:8" x14ac:dyDescent="0.3">
      <c r="A461" t="s">
        <v>6381</v>
      </c>
      <c r="C461" t="s">
        <v>5267</v>
      </c>
      <c r="D461" t="s">
        <v>8665</v>
      </c>
      <c r="E461">
        <v>0</v>
      </c>
      <c r="F461">
        <v>459</v>
      </c>
      <c r="H461" t="s">
        <v>6381</v>
      </c>
    </row>
    <row r="462" spans="1:8" x14ac:dyDescent="0.3">
      <c r="A462" t="s">
        <v>6382</v>
      </c>
      <c r="C462" t="s">
        <v>5267</v>
      </c>
      <c r="D462" t="s">
        <v>8666</v>
      </c>
      <c r="E462">
        <v>0</v>
      </c>
      <c r="F462">
        <v>460</v>
      </c>
      <c r="H462" t="s">
        <v>6382</v>
      </c>
    </row>
    <row r="463" spans="1:8" x14ac:dyDescent="0.3">
      <c r="A463" t="s">
        <v>6383</v>
      </c>
      <c r="C463" t="s">
        <v>5267</v>
      </c>
      <c r="D463" t="s">
        <v>8667</v>
      </c>
      <c r="E463">
        <v>0</v>
      </c>
      <c r="F463">
        <v>461</v>
      </c>
      <c r="H463" t="s">
        <v>6383</v>
      </c>
    </row>
    <row r="464" spans="1:8" x14ac:dyDescent="0.3">
      <c r="A464" t="s">
        <v>6384</v>
      </c>
      <c r="C464" t="s">
        <v>5267</v>
      </c>
      <c r="D464" t="s">
        <v>8668</v>
      </c>
      <c r="E464">
        <v>0</v>
      </c>
      <c r="F464">
        <v>462</v>
      </c>
      <c r="H464" t="s">
        <v>6384</v>
      </c>
    </row>
    <row r="465" spans="1:8" x14ac:dyDescent="0.3">
      <c r="A465" t="s">
        <v>6385</v>
      </c>
      <c r="C465" t="s">
        <v>5267</v>
      </c>
      <c r="D465" t="s">
        <v>8669</v>
      </c>
      <c r="E465">
        <v>0</v>
      </c>
      <c r="F465">
        <v>463</v>
      </c>
      <c r="H465" t="s">
        <v>6385</v>
      </c>
    </row>
    <row r="466" spans="1:8" x14ac:dyDescent="0.3">
      <c r="A466" t="s">
        <v>6386</v>
      </c>
      <c r="C466" t="s">
        <v>5267</v>
      </c>
      <c r="D466" t="s">
        <v>8670</v>
      </c>
      <c r="E466">
        <v>0</v>
      </c>
      <c r="F466">
        <v>464</v>
      </c>
      <c r="H466" t="s">
        <v>6386</v>
      </c>
    </row>
    <row r="467" spans="1:8" x14ac:dyDescent="0.3">
      <c r="A467" t="s">
        <v>6387</v>
      </c>
      <c r="C467" t="s">
        <v>5267</v>
      </c>
      <c r="D467" t="s">
        <v>8671</v>
      </c>
      <c r="E467">
        <v>0</v>
      </c>
      <c r="F467">
        <v>465</v>
      </c>
      <c r="H467" t="s">
        <v>6387</v>
      </c>
    </row>
    <row r="468" spans="1:8" x14ac:dyDescent="0.3">
      <c r="A468" t="s">
        <v>6388</v>
      </c>
      <c r="C468" t="s">
        <v>5267</v>
      </c>
      <c r="D468" t="s">
        <v>8672</v>
      </c>
      <c r="E468">
        <v>0</v>
      </c>
      <c r="F468">
        <v>466</v>
      </c>
      <c r="H468" t="s">
        <v>6388</v>
      </c>
    </row>
    <row r="469" spans="1:8" x14ac:dyDescent="0.3">
      <c r="A469" t="s">
        <v>6389</v>
      </c>
      <c r="C469" t="s">
        <v>5267</v>
      </c>
      <c r="D469" t="s">
        <v>8673</v>
      </c>
      <c r="E469">
        <v>0</v>
      </c>
      <c r="F469">
        <v>467</v>
      </c>
      <c r="H469" t="s">
        <v>6389</v>
      </c>
    </row>
    <row r="470" spans="1:8" x14ac:dyDescent="0.3">
      <c r="A470" t="s">
        <v>6390</v>
      </c>
      <c r="C470" t="s">
        <v>5267</v>
      </c>
      <c r="D470" t="s">
        <v>8674</v>
      </c>
      <c r="E470">
        <v>0</v>
      </c>
      <c r="F470">
        <v>468</v>
      </c>
      <c r="H470" t="s">
        <v>6390</v>
      </c>
    </row>
    <row r="471" spans="1:8" x14ac:dyDescent="0.3">
      <c r="A471" t="s">
        <v>6391</v>
      </c>
      <c r="C471" t="s">
        <v>5267</v>
      </c>
      <c r="D471" t="s">
        <v>8675</v>
      </c>
      <c r="E471">
        <v>0</v>
      </c>
      <c r="F471">
        <v>469</v>
      </c>
      <c r="H471" t="s">
        <v>6391</v>
      </c>
    </row>
    <row r="472" spans="1:8" x14ac:dyDescent="0.3">
      <c r="A472" t="s">
        <v>6392</v>
      </c>
      <c r="C472" t="s">
        <v>5267</v>
      </c>
      <c r="D472" t="s">
        <v>8676</v>
      </c>
      <c r="E472">
        <v>0</v>
      </c>
      <c r="F472">
        <v>470</v>
      </c>
      <c r="H472" t="s">
        <v>6392</v>
      </c>
    </row>
    <row r="473" spans="1:8" x14ac:dyDescent="0.3">
      <c r="A473" t="s">
        <v>6393</v>
      </c>
      <c r="C473" t="s">
        <v>5267</v>
      </c>
      <c r="D473" t="s">
        <v>8677</v>
      </c>
      <c r="E473">
        <v>0</v>
      </c>
      <c r="F473">
        <v>471</v>
      </c>
      <c r="H473" t="s">
        <v>6393</v>
      </c>
    </row>
    <row r="474" spans="1:8" x14ac:dyDescent="0.3">
      <c r="A474" t="s">
        <v>6394</v>
      </c>
      <c r="C474" t="s">
        <v>5267</v>
      </c>
      <c r="D474" t="s">
        <v>8678</v>
      </c>
      <c r="E474">
        <v>0</v>
      </c>
      <c r="F474">
        <v>472</v>
      </c>
      <c r="H474" t="s">
        <v>6394</v>
      </c>
    </row>
    <row r="475" spans="1:8" x14ac:dyDescent="0.3">
      <c r="A475" t="s">
        <v>6395</v>
      </c>
      <c r="C475" t="s">
        <v>5267</v>
      </c>
      <c r="D475" t="s">
        <v>8679</v>
      </c>
      <c r="E475">
        <v>0</v>
      </c>
      <c r="F475">
        <v>473</v>
      </c>
      <c r="H475" t="s">
        <v>6395</v>
      </c>
    </row>
    <row r="476" spans="1:8" x14ac:dyDescent="0.3">
      <c r="A476" t="s">
        <v>6396</v>
      </c>
      <c r="C476" t="s">
        <v>5267</v>
      </c>
      <c r="D476" t="s">
        <v>8680</v>
      </c>
      <c r="E476">
        <v>0</v>
      </c>
      <c r="F476">
        <v>474</v>
      </c>
      <c r="H476" t="s">
        <v>6396</v>
      </c>
    </row>
    <row r="477" spans="1:8" x14ac:dyDescent="0.3">
      <c r="A477" t="s">
        <v>6397</v>
      </c>
      <c r="C477" t="s">
        <v>5267</v>
      </c>
      <c r="D477" t="s">
        <v>8681</v>
      </c>
      <c r="E477">
        <v>0</v>
      </c>
      <c r="F477">
        <v>475</v>
      </c>
      <c r="H477" t="s">
        <v>6397</v>
      </c>
    </row>
    <row r="478" spans="1:8" x14ac:dyDescent="0.3">
      <c r="A478" t="s">
        <v>6398</v>
      </c>
      <c r="C478" t="s">
        <v>5267</v>
      </c>
      <c r="D478" t="s">
        <v>8682</v>
      </c>
      <c r="E478">
        <v>0</v>
      </c>
      <c r="F478">
        <v>476</v>
      </c>
      <c r="H478" t="s">
        <v>6398</v>
      </c>
    </row>
    <row r="479" spans="1:8" x14ac:dyDescent="0.3">
      <c r="A479" t="s">
        <v>6399</v>
      </c>
      <c r="C479" t="s">
        <v>5267</v>
      </c>
      <c r="D479" t="s">
        <v>8683</v>
      </c>
      <c r="E479">
        <v>0</v>
      </c>
      <c r="F479">
        <v>477</v>
      </c>
      <c r="H479" t="s">
        <v>6399</v>
      </c>
    </row>
    <row r="480" spans="1:8" x14ac:dyDescent="0.3">
      <c r="A480" t="s">
        <v>6400</v>
      </c>
      <c r="C480" t="s">
        <v>5267</v>
      </c>
      <c r="D480" t="s">
        <v>8684</v>
      </c>
      <c r="E480">
        <v>0</v>
      </c>
      <c r="F480">
        <v>478</v>
      </c>
      <c r="H480" t="s">
        <v>6400</v>
      </c>
    </row>
    <row r="481" spans="1:8" x14ac:dyDescent="0.3">
      <c r="A481" t="s">
        <v>6401</v>
      </c>
      <c r="C481" t="s">
        <v>5267</v>
      </c>
      <c r="D481" t="s">
        <v>8685</v>
      </c>
      <c r="E481">
        <v>0</v>
      </c>
      <c r="F481">
        <v>479</v>
      </c>
      <c r="H481" t="s">
        <v>6401</v>
      </c>
    </row>
    <row r="482" spans="1:8" x14ac:dyDescent="0.3">
      <c r="A482" t="s">
        <v>6402</v>
      </c>
      <c r="C482" t="s">
        <v>5267</v>
      </c>
      <c r="D482" t="s">
        <v>8686</v>
      </c>
      <c r="E482">
        <v>0</v>
      </c>
      <c r="F482">
        <v>480</v>
      </c>
      <c r="H482" t="s">
        <v>6402</v>
      </c>
    </row>
    <row r="483" spans="1:8" x14ac:dyDescent="0.3">
      <c r="A483" t="s">
        <v>6403</v>
      </c>
      <c r="C483" t="s">
        <v>5267</v>
      </c>
      <c r="D483" t="s">
        <v>8687</v>
      </c>
      <c r="E483">
        <v>0</v>
      </c>
      <c r="F483">
        <v>481</v>
      </c>
      <c r="H483" t="s">
        <v>6403</v>
      </c>
    </row>
    <row r="484" spans="1:8" x14ac:dyDescent="0.3">
      <c r="A484" t="s">
        <v>6404</v>
      </c>
      <c r="C484" t="s">
        <v>5267</v>
      </c>
      <c r="D484" t="s">
        <v>8688</v>
      </c>
      <c r="E484">
        <v>0</v>
      </c>
      <c r="F484">
        <v>482</v>
      </c>
      <c r="H484" t="s">
        <v>6404</v>
      </c>
    </row>
    <row r="485" spans="1:8" x14ac:dyDescent="0.3">
      <c r="A485" t="s">
        <v>6405</v>
      </c>
      <c r="C485" t="s">
        <v>5267</v>
      </c>
      <c r="D485" t="s">
        <v>8689</v>
      </c>
      <c r="E485">
        <v>0</v>
      </c>
      <c r="F485">
        <v>483</v>
      </c>
      <c r="H485" t="s">
        <v>6405</v>
      </c>
    </row>
    <row r="486" spans="1:8" x14ac:dyDescent="0.3">
      <c r="A486" t="s">
        <v>6406</v>
      </c>
      <c r="C486" t="s">
        <v>5267</v>
      </c>
      <c r="D486" t="s">
        <v>8690</v>
      </c>
      <c r="E486">
        <v>0</v>
      </c>
      <c r="F486">
        <v>484</v>
      </c>
      <c r="H486" t="s">
        <v>6406</v>
      </c>
    </row>
    <row r="487" spans="1:8" x14ac:dyDescent="0.3">
      <c r="A487" t="s">
        <v>6407</v>
      </c>
      <c r="C487" t="s">
        <v>5267</v>
      </c>
      <c r="D487" t="s">
        <v>8691</v>
      </c>
      <c r="E487">
        <v>0</v>
      </c>
      <c r="F487">
        <v>485</v>
      </c>
      <c r="H487" t="s">
        <v>6407</v>
      </c>
    </row>
    <row r="488" spans="1:8" x14ac:dyDescent="0.3">
      <c r="A488" t="s">
        <v>6408</v>
      </c>
      <c r="C488" t="s">
        <v>5267</v>
      </c>
      <c r="D488" t="s">
        <v>8692</v>
      </c>
      <c r="E488">
        <v>0</v>
      </c>
      <c r="F488">
        <v>486</v>
      </c>
      <c r="H488" t="s">
        <v>6408</v>
      </c>
    </row>
    <row r="489" spans="1:8" x14ac:dyDescent="0.3">
      <c r="A489" t="s">
        <v>6409</v>
      </c>
      <c r="C489" t="s">
        <v>5267</v>
      </c>
      <c r="D489" t="s">
        <v>8693</v>
      </c>
      <c r="E489">
        <v>0</v>
      </c>
      <c r="F489">
        <v>487</v>
      </c>
      <c r="H489" t="s">
        <v>6409</v>
      </c>
    </row>
    <row r="490" spans="1:8" x14ac:dyDescent="0.3">
      <c r="A490" t="s">
        <v>6410</v>
      </c>
      <c r="C490" t="s">
        <v>5267</v>
      </c>
      <c r="D490" t="s">
        <v>8694</v>
      </c>
      <c r="E490">
        <v>0</v>
      </c>
      <c r="F490">
        <v>488</v>
      </c>
      <c r="H490" t="s">
        <v>6410</v>
      </c>
    </row>
    <row r="491" spans="1:8" x14ac:dyDescent="0.3">
      <c r="A491" t="s">
        <v>6411</v>
      </c>
      <c r="C491" t="s">
        <v>5267</v>
      </c>
      <c r="D491" t="s">
        <v>8695</v>
      </c>
      <c r="E491">
        <v>0</v>
      </c>
      <c r="F491">
        <v>489</v>
      </c>
      <c r="H491" t="s">
        <v>6411</v>
      </c>
    </row>
    <row r="492" spans="1:8" x14ac:dyDescent="0.3">
      <c r="A492" t="s">
        <v>6412</v>
      </c>
      <c r="C492" t="s">
        <v>5267</v>
      </c>
      <c r="D492" t="s">
        <v>8696</v>
      </c>
      <c r="E492">
        <v>0</v>
      </c>
      <c r="F492">
        <v>490</v>
      </c>
      <c r="H492" t="s">
        <v>6412</v>
      </c>
    </row>
    <row r="493" spans="1:8" x14ac:dyDescent="0.3">
      <c r="A493" t="s">
        <v>6413</v>
      </c>
      <c r="C493" t="s">
        <v>5267</v>
      </c>
      <c r="D493" t="s">
        <v>8697</v>
      </c>
      <c r="E493">
        <v>0</v>
      </c>
      <c r="F493">
        <v>491</v>
      </c>
      <c r="H493" t="s">
        <v>6413</v>
      </c>
    </row>
    <row r="494" spans="1:8" x14ac:dyDescent="0.3">
      <c r="A494" t="s">
        <v>6414</v>
      </c>
      <c r="C494" t="s">
        <v>5267</v>
      </c>
      <c r="D494" t="s">
        <v>8698</v>
      </c>
      <c r="E494">
        <v>0</v>
      </c>
      <c r="F494">
        <v>492</v>
      </c>
      <c r="H494" t="s">
        <v>6414</v>
      </c>
    </row>
    <row r="495" spans="1:8" x14ac:dyDescent="0.3">
      <c r="A495" t="s">
        <v>6415</v>
      </c>
      <c r="C495" t="s">
        <v>5267</v>
      </c>
      <c r="D495" t="s">
        <v>8699</v>
      </c>
      <c r="E495">
        <v>0</v>
      </c>
      <c r="F495">
        <v>493</v>
      </c>
      <c r="H495" t="s">
        <v>6415</v>
      </c>
    </row>
    <row r="496" spans="1:8" x14ac:dyDescent="0.3">
      <c r="A496" t="s">
        <v>6416</v>
      </c>
      <c r="C496" t="s">
        <v>5267</v>
      </c>
      <c r="D496" t="s">
        <v>8700</v>
      </c>
      <c r="E496">
        <v>0</v>
      </c>
      <c r="F496">
        <v>494</v>
      </c>
      <c r="H496" t="s">
        <v>6416</v>
      </c>
    </row>
    <row r="497" spans="1:8" x14ac:dyDescent="0.3">
      <c r="A497" t="s">
        <v>6417</v>
      </c>
      <c r="C497" t="s">
        <v>5267</v>
      </c>
      <c r="D497" t="s">
        <v>8701</v>
      </c>
      <c r="E497">
        <v>0</v>
      </c>
      <c r="F497">
        <v>495</v>
      </c>
      <c r="H497" t="s">
        <v>6417</v>
      </c>
    </row>
    <row r="498" spans="1:8" x14ac:dyDescent="0.3">
      <c r="A498" t="s">
        <v>6418</v>
      </c>
      <c r="C498" t="s">
        <v>5267</v>
      </c>
      <c r="D498" t="s">
        <v>8702</v>
      </c>
      <c r="E498">
        <v>0</v>
      </c>
      <c r="F498">
        <v>496</v>
      </c>
      <c r="H498" t="s">
        <v>6418</v>
      </c>
    </row>
    <row r="499" spans="1:8" x14ac:dyDescent="0.3">
      <c r="A499" t="s">
        <v>6419</v>
      </c>
      <c r="C499" t="s">
        <v>5267</v>
      </c>
      <c r="D499" t="s">
        <v>8703</v>
      </c>
      <c r="E499">
        <v>0</v>
      </c>
      <c r="F499">
        <v>497</v>
      </c>
      <c r="H499" t="s">
        <v>6419</v>
      </c>
    </row>
    <row r="500" spans="1:8" x14ac:dyDescent="0.3">
      <c r="A500" t="s">
        <v>6420</v>
      </c>
      <c r="C500" t="s">
        <v>5267</v>
      </c>
      <c r="D500" t="s">
        <v>8704</v>
      </c>
      <c r="E500">
        <v>0</v>
      </c>
      <c r="F500">
        <v>498</v>
      </c>
      <c r="H500" t="s">
        <v>6420</v>
      </c>
    </row>
    <row r="501" spans="1:8" x14ac:dyDescent="0.3">
      <c r="A501" t="s">
        <v>6421</v>
      </c>
      <c r="C501" t="s">
        <v>5267</v>
      </c>
      <c r="D501" t="s">
        <v>8705</v>
      </c>
      <c r="E501">
        <v>0</v>
      </c>
      <c r="F501">
        <v>499</v>
      </c>
      <c r="H501" t="s">
        <v>6421</v>
      </c>
    </row>
    <row r="502" spans="1:8" x14ac:dyDescent="0.3">
      <c r="A502" t="s">
        <v>6422</v>
      </c>
      <c r="C502" t="s">
        <v>5267</v>
      </c>
      <c r="D502" t="s">
        <v>8706</v>
      </c>
      <c r="E502">
        <v>0</v>
      </c>
      <c r="F502">
        <v>500</v>
      </c>
      <c r="H502" t="s">
        <v>6422</v>
      </c>
    </row>
    <row r="503" spans="1:8" x14ac:dyDescent="0.3">
      <c r="A503" t="s">
        <v>6423</v>
      </c>
      <c r="C503" t="s">
        <v>5267</v>
      </c>
      <c r="D503" t="s">
        <v>8707</v>
      </c>
      <c r="E503">
        <v>0</v>
      </c>
      <c r="F503">
        <v>501</v>
      </c>
      <c r="H503" t="s">
        <v>6423</v>
      </c>
    </row>
    <row r="504" spans="1:8" x14ac:dyDescent="0.3">
      <c r="A504" t="s">
        <v>6424</v>
      </c>
      <c r="C504" t="s">
        <v>5267</v>
      </c>
      <c r="D504" t="s">
        <v>8708</v>
      </c>
      <c r="E504">
        <v>0</v>
      </c>
      <c r="F504">
        <v>502</v>
      </c>
      <c r="H504" t="s">
        <v>6424</v>
      </c>
    </row>
    <row r="505" spans="1:8" x14ac:dyDescent="0.3">
      <c r="A505" t="s">
        <v>6425</v>
      </c>
      <c r="C505" t="s">
        <v>5267</v>
      </c>
      <c r="D505" t="s">
        <v>8709</v>
      </c>
      <c r="E505">
        <v>0</v>
      </c>
      <c r="F505">
        <v>503</v>
      </c>
      <c r="H505" t="s">
        <v>6425</v>
      </c>
    </row>
    <row r="506" spans="1:8" x14ac:dyDescent="0.3">
      <c r="A506" t="s">
        <v>6426</v>
      </c>
      <c r="C506" t="s">
        <v>5267</v>
      </c>
      <c r="D506" t="s">
        <v>8710</v>
      </c>
      <c r="E506">
        <v>0</v>
      </c>
      <c r="F506">
        <v>504</v>
      </c>
      <c r="H506" t="s">
        <v>6426</v>
      </c>
    </row>
    <row r="507" spans="1:8" x14ac:dyDescent="0.3">
      <c r="A507" t="s">
        <v>6427</v>
      </c>
      <c r="C507" t="s">
        <v>5267</v>
      </c>
      <c r="D507" t="s">
        <v>8711</v>
      </c>
      <c r="E507">
        <v>0</v>
      </c>
      <c r="F507">
        <v>505</v>
      </c>
      <c r="H507" t="s">
        <v>6427</v>
      </c>
    </row>
    <row r="508" spans="1:8" x14ac:dyDescent="0.3">
      <c r="A508" t="s">
        <v>6428</v>
      </c>
      <c r="C508" t="s">
        <v>5267</v>
      </c>
      <c r="D508" t="s">
        <v>8712</v>
      </c>
      <c r="E508">
        <v>0</v>
      </c>
      <c r="F508">
        <v>506</v>
      </c>
      <c r="H508" t="s">
        <v>6428</v>
      </c>
    </row>
    <row r="509" spans="1:8" x14ac:dyDescent="0.3">
      <c r="A509" t="s">
        <v>6429</v>
      </c>
      <c r="C509" t="s">
        <v>5267</v>
      </c>
      <c r="D509" t="s">
        <v>8713</v>
      </c>
      <c r="E509">
        <v>0</v>
      </c>
      <c r="F509">
        <v>507</v>
      </c>
      <c r="H509" t="s">
        <v>6429</v>
      </c>
    </row>
    <row r="510" spans="1:8" x14ac:dyDescent="0.3">
      <c r="A510" t="s">
        <v>6430</v>
      </c>
      <c r="C510" t="s">
        <v>5267</v>
      </c>
      <c r="D510" t="s">
        <v>8714</v>
      </c>
      <c r="E510">
        <v>0</v>
      </c>
      <c r="F510">
        <v>508</v>
      </c>
      <c r="H510" t="s">
        <v>6430</v>
      </c>
    </row>
    <row r="511" spans="1:8" x14ac:dyDescent="0.3">
      <c r="A511" t="s">
        <v>6431</v>
      </c>
      <c r="C511" t="s">
        <v>5267</v>
      </c>
      <c r="D511" t="s">
        <v>8715</v>
      </c>
      <c r="E511">
        <v>0</v>
      </c>
      <c r="F511">
        <v>509</v>
      </c>
      <c r="H511" t="s">
        <v>6431</v>
      </c>
    </row>
    <row r="512" spans="1:8" x14ac:dyDescent="0.3">
      <c r="A512" t="s">
        <v>6432</v>
      </c>
      <c r="C512" t="s">
        <v>5267</v>
      </c>
      <c r="D512" t="s">
        <v>8716</v>
      </c>
      <c r="E512">
        <v>0</v>
      </c>
      <c r="F512">
        <v>510</v>
      </c>
      <c r="H512" t="s">
        <v>6432</v>
      </c>
    </row>
    <row r="513" spans="1:8" x14ac:dyDescent="0.3">
      <c r="A513" t="s">
        <v>6433</v>
      </c>
      <c r="C513" t="s">
        <v>5267</v>
      </c>
      <c r="D513" t="s">
        <v>8717</v>
      </c>
      <c r="E513">
        <v>0</v>
      </c>
      <c r="F513">
        <v>511</v>
      </c>
      <c r="H513" t="s">
        <v>6433</v>
      </c>
    </row>
    <row r="514" spans="1:8" x14ac:dyDescent="0.3">
      <c r="A514" t="s">
        <v>6434</v>
      </c>
      <c r="C514" t="s">
        <v>5267</v>
      </c>
      <c r="D514" t="s">
        <v>8718</v>
      </c>
      <c r="E514">
        <v>0</v>
      </c>
      <c r="F514">
        <v>512</v>
      </c>
      <c r="H514" t="s">
        <v>6434</v>
      </c>
    </row>
    <row r="515" spans="1:8" x14ac:dyDescent="0.3">
      <c r="A515" t="s">
        <v>6435</v>
      </c>
      <c r="C515" t="s">
        <v>5267</v>
      </c>
      <c r="D515" t="s">
        <v>8719</v>
      </c>
      <c r="E515">
        <v>0</v>
      </c>
      <c r="F515">
        <v>513</v>
      </c>
      <c r="H515" t="s">
        <v>6435</v>
      </c>
    </row>
    <row r="516" spans="1:8" x14ac:dyDescent="0.3">
      <c r="A516" t="s">
        <v>6436</v>
      </c>
      <c r="C516" t="s">
        <v>5267</v>
      </c>
      <c r="D516" t="s">
        <v>8720</v>
      </c>
      <c r="E516">
        <v>0</v>
      </c>
      <c r="F516">
        <v>514</v>
      </c>
      <c r="H516" t="s">
        <v>6436</v>
      </c>
    </row>
    <row r="517" spans="1:8" x14ac:dyDescent="0.3">
      <c r="A517" t="s">
        <v>6437</v>
      </c>
      <c r="C517" t="s">
        <v>5267</v>
      </c>
      <c r="D517" t="s">
        <v>8721</v>
      </c>
      <c r="E517">
        <v>0</v>
      </c>
      <c r="F517">
        <v>515</v>
      </c>
      <c r="H517" t="s">
        <v>6437</v>
      </c>
    </row>
    <row r="518" spans="1:8" x14ac:dyDescent="0.3">
      <c r="A518" t="s">
        <v>6438</v>
      </c>
      <c r="C518" t="s">
        <v>5267</v>
      </c>
      <c r="D518" t="s">
        <v>8722</v>
      </c>
      <c r="E518">
        <v>0</v>
      </c>
      <c r="F518">
        <v>516</v>
      </c>
      <c r="H518" t="s">
        <v>6438</v>
      </c>
    </row>
    <row r="519" spans="1:8" x14ac:dyDescent="0.3">
      <c r="A519" t="s">
        <v>6439</v>
      </c>
      <c r="C519" t="s">
        <v>5267</v>
      </c>
      <c r="D519" t="s">
        <v>8723</v>
      </c>
      <c r="E519">
        <v>0</v>
      </c>
      <c r="F519">
        <v>517</v>
      </c>
      <c r="H519" t="s">
        <v>6439</v>
      </c>
    </row>
    <row r="520" spans="1:8" x14ac:dyDescent="0.3">
      <c r="A520" t="s">
        <v>6440</v>
      </c>
      <c r="C520" t="s">
        <v>5267</v>
      </c>
      <c r="D520" t="s">
        <v>8724</v>
      </c>
      <c r="E520">
        <v>0</v>
      </c>
      <c r="F520">
        <v>518</v>
      </c>
      <c r="H520" t="s">
        <v>6440</v>
      </c>
    </row>
    <row r="521" spans="1:8" x14ac:dyDescent="0.3">
      <c r="A521" t="s">
        <v>6441</v>
      </c>
      <c r="C521" t="s">
        <v>5267</v>
      </c>
      <c r="D521" t="s">
        <v>8725</v>
      </c>
      <c r="E521">
        <v>0</v>
      </c>
      <c r="F521">
        <v>519</v>
      </c>
      <c r="H521" t="s">
        <v>6441</v>
      </c>
    </row>
    <row r="522" spans="1:8" x14ac:dyDescent="0.3">
      <c r="A522" t="s">
        <v>6442</v>
      </c>
      <c r="C522" t="s">
        <v>5267</v>
      </c>
      <c r="D522" t="s">
        <v>8726</v>
      </c>
      <c r="E522">
        <v>0</v>
      </c>
      <c r="F522">
        <v>520</v>
      </c>
      <c r="H522" t="s">
        <v>6442</v>
      </c>
    </row>
    <row r="523" spans="1:8" x14ac:dyDescent="0.3">
      <c r="A523" t="s">
        <v>6442</v>
      </c>
      <c r="C523" t="s">
        <v>5267</v>
      </c>
      <c r="D523" t="s">
        <v>8727</v>
      </c>
      <c r="E523">
        <v>0</v>
      </c>
      <c r="F523">
        <v>521</v>
      </c>
      <c r="H523" t="s">
        <v>6442</v>
      </c>
    </row>
    <row r="524" spans="1:8" x14ac:dyDescent="0.3">
      <c r="A524" t="s">
        <v>6443</v>
      </c>
      <c r="C524" t="s">
        <v>5267</v>
      </c>
      <c r="D524" t="s">
        <v>8728</v>
      </c>
      <c r="E524">
        <v>0</v>
      </c>
      <c r="F524">
        <v>522</v>
      </c>
      <c r="H524" t="s">
        <v>6443</v>
      </c>
    </row>
    <row r="525" spans="1:8" x14ac:dyDescent="0.3">
      <c r="A525" t="s">
        <v>6444</v>
      </c>
      <c r="C525" t="s">
        <v>5267</v>
      </c>
      <c r="D525" t="s">
        <v>8729</v>
      </c>
      <c r="E525">
        <v>0</v>
      </c>
      <c r="F525">
        <v>523</v>
      </c>
      <c r="H525" t="s">
        <v>6444</v>
      </c>
    </row>
    <row r="526" spans="1:8" x14ac:dyDescent="0.3">
      <c r="A526" t="s">
        <v>6445</v>
      </c>
      <c r="C526" t="s">
        <v>5267</v>
      </c>
      <c r="D526" t="s">
        <v>8730</v>
      </c>
      <c r="E526">
        <v>0</v>
      </c>
      <c r="F526">
        <v>524</v>
      </c>
      <c r="H526" t="s">
        <v>6445</v>
      </c>
    </row>
    <row r="527" spans="1:8" x14ac:dyDescent="0.3">
      <c r="A527" t="s">
        <v>6446</v>
      </c>
      <c r="C527" t="s">
        <v>5267</v>
      </c>
      <c r="D527" t="s">
        <v>8731</v>
      </c>
      <c r="E527">
        <v>0</v>
      </c>
      <c r="F527">
        <v>525</v>
      </c>
      <c r="H527" t="s">
        <v>6446</v>
      </c>
    </row>
    <row r="528" spans="1:8" x14ac:dyDescent="0.3">
      <c r="A528" t="s">
        <v>6447</v>
      </c>
      <c r="C528" t="s">
        <v>5267</v>
      </c>
      <c r="D528" t="s">
        <v>8732</v>
      </c>
      <c r="E528">
        <v>0</v>
      </c>
      <c r="F528">
        <v>526</v>
      </c>
      <c r="H528" t="s">
        <v>6447</v>
      </c>
    </row>
    <row r="529" spans="1:8" x14ac:dyDescent="0.3">
      <c r="A529" t="s">
        <v>6448</v>
      </c>
      <c r="C529" t="s">
        <v>5267</v>
      </c>
      <c r="D529" t="s">
        <v>8733</v>
      </c>
      <c r="E529">
        <v>0</v>
      </c>
      <c r="F529">
        <v>527</v>
      </c>
      <c r="H529" t="s">
        <v>6448</v>
      </c>
    </row>
    <row r="530" spans="1:8" x14ac:dyDescent="0.3">
      <c r="A530" t="s">
        <v>6449</v>
      </c>
      <c r="C530" t="s">
        <v>5267</v>
      </c>
      <c r="D530" t="s">
        <v>8734</v>
      </c>
      <c r="E530">
        <v>0</v>
      </c>
      <c r="F530">
        <v>528</v>
      </c>
      <c r="H530" t="s">
        <v>6449</v>
      </c>
    </row>
    <row r="531" spans="1:8" x14ac:dyDescent="0.3">
      <c r="A531" t="s">
        <v>6450</v>
      </c>
      <c r="C531" t="s">
        <v>5267</v>
      </c>
      <c r="D531" t="s">
        <v>8735</v>
      </c>
      <c r="E531">
        <v>0</v>
      </c>
      <c r="F531">
        <v>529</v>
      </c>
      <c r="H531" t="s">
        <v>6450</v>
      </c>
    </row>
    <row r="532" spans="1:8" x14ac:dyDescent="0.3">
      <c r="A532" t="s">
        <v>6451</v>
      </c>
      <c r="C532" t="s">
        <v>5267</v>
      </c>
      <c r="D532" t="s">
        <v>8736</v>
      </c>
      <c r="E532">
        <v>0</v>
      </c>
      <c r="F532">
        <v>530</v>
      </c>
      <c r="H532" t="s">
        <v>6451</v>
      </c>
    </row>
    <row r="533" spans="1:8" x14ac:dyDescent="0.3">
      <c r="A533" t="s">
        <v>6452</v>
      </c>
      <c r="C533" t="s">
        <v>5267</v>
      </c>
      <c r="D533" t="s">
        <v>8737</v>
      </c>
      <c r="E533">
        <v>0</v>
      </c>
      <c r="F533">
        <v>531</v>
      </c>
      <c r="H533" t="s">
        <v>6452</v>
      </c>
    </row>
    <row r="534" spans="1:8" x14ac:dyDescent="0.3">
      <c r="A534" t="s">
        <v>6453</v>
      </c>
      <c r="C534" t="s">
        <v>5267</v>
      </c>
      <c r="D534" t="s">
        <v>8738</v>
      </c>
      <c r="E534">
        <v>0</v>
      </c>
      <c r="F534">
        <v>532</v>
      </c>
      <c r="H534" t="s">
        <v>6453</v>
      </c>
    </row>
    <row r="535" spans="1:8" x14ac:dyDescent="0.3">
      <c r="A535" t="s">
        <v>6454</v>
      </c>
      <c r="C535" t="s">
        <v>5267</v>
      </c>
      <c r="D535" t="s">
        <v>8739</v>
      </c>
      <c r="E535">
        <v>0</v>
      </c>
      <c r="F535">
        <v>533</v>
      </c>
      <c r="H535" t="s">
        <v>6454</v>
      </c>
    </row>
    <row r="536" spans="1:8" x14ac:dyDescent="0.3">
      <c r="A536" t="s">
        <v>6455</v>
      </c>
      <c r="C536" t="s">
        <v>5267</v>
      </c>
      <c r="D536" t="s">
        <v>8740</v>
      </c>
      <c r="E536">
        <v>0</v>
      </c>
      <c r="F536">
        <v>534</v>
      </c>
      <c r="H536" t="s">
        <v>6455</v>
      </c>
    </row>
    <row r="537" spans="1:8" x14ac:dyDescent="0.3">
      <c r="A537" t="s">
        <v>6456</v>
      </c>
      <c r="C537" t="s">
        <v>5267</v>
      </c>
      <c r="D537" t="s">
        <v>8741</v>
      </c>
      <c r="E537">
        <v>0</v>
      </c>
      <c r="F537">
        <v>535</v>
      </c>
      <c r="H537" t="s">
        <v>6456</v>
      </c>
    </row>
    <row r="538" spans="1:8" x14ac:dyDescent="0.3">
      <c r="A538" t="s">
        <v>6457</v>
      </c>
      <c r="C538" t="s">
        <v>5267</v>
      </c>
      <c r="D538" t="s">
        <v>8742</v>
      </c>
      <c r="E538">
        <v>0</v>
      </c>
      <c r="F538">
        <v>536</v>
      </c>
      <c r="H538" t="s">
        <v>6457</v>
      </c>
    </row>
    <row r="539" spans="1:8" x14ac:dyDescent="0.3">
      <c r="A539" t="s">
        <v>6458</v>
      </c>
      <c r="C539" t="s">
        <v>5267</v>
      </c>
      <c r="D539" t="s">
        <v>8743</v>
      </c>
      <c r="E539">
        <v>0</v>
      </c>
      <c r="F539">
        <v>537</v>
      </c>
      <c r="H539" t="s">
        <v>6458</v>
      </c>
    </row>
    <row r="540" spans="1:8" x14ac:dyDescent="0.3">
      <c r="A540" t="s">
        <v>6459</v>
      </c>
      <c r="C540" t="s">
        <v>5267</v>
      </c>
      <c r="D540" t="s">
        <v>8744</v>
      </c>
      <c r="E540">
        <v>0</v>
      </c>
      <c r="F540">
        <v>538</v>
      </c>
      <c r="H540" t="s">
        <v>6459</v>
      </c>
    </row>
    <row r="541" spans="1:8" x14ac:dyDescent="0.3">
      <c r="A541" t="s">
        <v>6460</v>
      </c>
      <c r="C541" t="s">
        <v>5267</v>
      </c>
      <c r="D541" t="s">
        <v>8745</v>
      </c>
      <c r="E541">
        <v>0</v>
      </c>
      <c r="F541">
        <v>539</v>
      </c>
      <c r="H541" t="s">
        <v>6460</v>
      </c>
    </row>
    <row r="542" spans="1:8" x14ac:dyDescent="0.3">
      <c r="A542" t="s">
        <v>6461</v>
      </c>
      <c r="C542" t="s">
        <v>5267</v>
      </c>
      <c r="D542" t="s">
        <v>8746</v>
      </c>
      <c r="E542">
        <v>0</v>
      </c>
      <c r="F542">
        <v>540</v>
      </c>
      <c r="H542" t="s">
        <v>6461</v>
      </c>
    </row>
    <row r="543" spans="1:8" x14ac:dyDescent="0.3">
      <c r="A543" t="s">
        <v>6462</v>
      </c>
      <c r="C543" t="s">
        <v>5267</v>
      </c>
      <c r="D543" t="s">
        <v>8747</v>
      </c>
      <c r="E543">
        <v>0</v>
      </c>
      <c r="F543">
        <v>541</v>
      </c>
      <c r="H543" t="s">
        <v>6462</v>
      </c>
    </row>
    <row r="544" spans="1:8" x14ac:dyDescent="0.3">
      <c r="A544" t="s">
        <v>6463</v>
      </c>
      <c r="C544" t="s">
        <v>5267</v>
      </c>
      <c r="D544" t="s">
        <v>8748</v>
      </c>
      <c r="E544">
        <v>0</v>
      </c>
      <c r="F544">
        <v>542</v>
      </c>
      <c r="H544" t="s">
        <v>6463</v>
      </c>
    </row>
    <row r="545" spans="1:8" x14ac:dyDescent="0.3">
      <c r="A545" t="s">
        <v>6464</v>
      </c>
      <c r="C545" t="s">
        <v>5267</v>
      </c>
      <c r="D545" t="s">
        <v>8749</v>
      </c>
      <c r="E545">
        <v>0</v>
      </c>
      <c r="F545">
        <v>543</v>
      </c>
      <c r="H545" t="s">
        <v>6464</v>
      </c>
    </row>
    <row r="546" spans="1:8" x14ac:dyDescent="0.3">
      <c r="A546" t="s">
        <v>6465</v>
      </c>
      <c r="C546" t="s">
        <v>5267</v>
      </c>
      <c r="D546" t="s">
        <v>8750</v>
      </c>
      <c r="E546">
        <v>0</v>
      </c>
      <c r="F546">
        <v>544</v>
      </c>
      <c r="H546" t="s">
        <v>6465</v>
      </c>
    </row>
    <row r="547" spans="1:8" x14ac:dyDescent="0.3">
      <c r="A547" t="s">
        <v>6466</v>
      </c>
      <c r="C547" t="s">
        <v>5267</v>
      </c>
      <c r="D547" t="s">
        <v>8751</v>
      </c>
      <c r="E547">
        <v>0</v>
      </c>
      <c r="F547">
        <v>545</v>
      </c>
      <c r="H547" t="s">
        <v>6466</v>
      </c>
    </row>
    <row r="548" spans="1:8" x14ac:dyDescent="0.3">
      <c r="A548" t="s">
        <v>6467</v>
      </c>
      <c r="C548" t="s">
        <v>5267</v>
      </c>
      <c r="D548" t="s">
        <v>8752</v>
      </c>
      <c r="E548">
        <v>0</v>
      </c>
      <c r="F548">
        <v>546</v>
      </c>
      <c r="H548" t="s">
        <v>6467</v>
      </c>
    </row>
    <row r="549" spans="1:8" x14ac:dyDescent="0.3">
      <c r="A549" t="s">
        <v>6468</v>
      </c>
      <c r="C549" t="s">
        <v>5267</v>
      </c>
      <c r="D549" t="s">
        <v>8753</v>
      </c>
      <c r="E549">
        <v>0</v>
      </c>
      <c r="F549">
        <v>547</v>
      </c>
      <c r="H549" t="s">
        <v>6468</v>
      </c>
    </row>
    <row r="550" spans="1:8" x14ac:dyDescent="0.3">
      <c r="A550" t="s">
        <v>6469</v>
      </c>
      <c r="C550" t="s">
        <v>5267</v>
      </c>
      <c r="D550" t="s">
        <v>8754</v>
      </c>
      <c r="E550">
        <v>0</v>
      </c>
      <c r="F550">
        <v>548</v>
      </c>
      <c r="H550" t="s">
        <v>6469</v>
      </c>
    </row>
    <row r="551" spans="1:8" x14ac:dyDescent="0.3">
      <c r="A551" t="s">
        <v>6470</v>
      </c>
      <c r="C551" t="s">
        <v>5267</v>
      </c>
      <c r="D551" t="s">
        <v>8755</v>
      </c>
      <c r="E551">
        <v>0</v>
      </c>
      <c r="F551">
        <v>549</v>
      </c>
      <c r="H551" t="s">
        <v>6470</v>
      </c>
    </row>
    <row r="552" spans="1:8" x14ac:dyDescent="0.3">
      <c r="A552" t="s">
        <v>6471</v>
      </c>
      <c r="C552" t="s">
        <v>5267</v>
      </c>
      <c r="D552" t="s">
        <v>8756</v>
      </c>
      <c r="E552">
        <v>0</v>
      </c>
      <c r="F552">
        <v>550</v>
      </c>
      <c r="H552" t="s">
        <v>6471</v>
      </c>
    </row>
    <row r="553" spans="1:8" x14ac:dyDescent="0.3">
      <c r="A553" t="s">
        <v>6472</v>
      </c>
      <c r="C553" t="s">
        <v>5267</v>
      </c>
      <c r="D553" t="s">
        <v>8757</v>
      </c>
      <c r="E553">
        <v>0</v>
      </c>
      <c r="F553">
        <v>551</v>
      </c>
      <c r="H553" t="s">
        <v>6472</v>
      </c>
    </row>
    <row r="554" spans="1:8" x14ac:dyDescent="0.3">
      <c r="A554" t="s">
        <v>6473</v>
      </c>
      <c r="C554" t="s">
        <v>5267</v>
      </c>
      <c r="D554" t="s">
        <v>8758</v>
      </c>
      <c r="E554">
        <v>0</v>
      </c>
      <c r="F554">
        <v>552</v>
      </c>
      <c r="H554" t="s">
        <v>6473</v>
      </c>
    </row>
    <row r="555" spans="1:8" x14ac:dyDescent="0.3">
      <c r="A555" t="s">
        <v>6474</v>
      </c>
      <c r="C555" t="s">
        <v>5267</v>
      </c>
      <c r="D555" t="s">
        <v>8759</v>
      </c>
      <c r="E555">
        <v>0</v>
      </c>
      <c r="F555">
        <v>553</v>
      </c>
      <c r="H555" t="s">
        <v>6474</v>
      </c>
    </row>
    <row r="556" spans="1:8" x14ac:dyDescent="0.3">
      <c r="A556" t="s">
        <v>6475</v>
      </c>
      <c r="C556" t="s">
        <v>5267</v>
      </c>
      <c r="D556" t="s">
        <v>8760</v>
      </c>
      <c r="E556">
        <v>0</v>
      </c>
      <c r="F556">
        <v>554</v>
      </c>
      <c r="H556" t="s">
        <v>6475</v>
      </c>
    </row>
    <row r="557" spans="1:8" x14ac:dyDescent="0.3">
      <c r="A557" t="s">
        <v>6476</v>
      </c>
      <c r="C557" t="s">
        <v>5267</v>
      </c>
      <c r="D557" t="s">
        <v>8761</v>
      </c>
      <c r="E557">
        <v>0</v>
      </c>
      <c r="F557">
        <v>555</v>
      </c>
      <c r="H557" t="s">
        <v>6476</v>
      </c>
    </row>
    <row r="558" spans="1:8" x14ac:dyDescent="0.3">
      <c r="A558" t="s">
        <v>6477</v>
      </c>
      <c r="C558" t="s">
        <v>5267</v>
      </c>
      <c r="D558" t="s">
        <v>8762</v>
      </c>
      <c r="E558">
        <v>0</v>
      </c>
      <c r="F558">
        <v>556</v>
      </c>
      <c r="H558" t="s">
        <v>6477</v>
      </c>
    </row>
    <row r="559" spans="1:8" x14ac:dyDescent="0.3">
      <c r="A559" t="s">
        <v>6478</v>
      </c>
      <c r="C559" t="s">
        <v>5267</v>
      </c>
      <c r="D559" t="s">
        <v>8763</v>
      </c>
      <c r="E559">
        <v>0</v>
      </c>
      <c r="F559">
        <v>557</v>
      </c>
      <c r="H559" t="s">
        <v>6478</v>
      </c>
    </row>
    <row r="560" spans="1:8" x14ac:dyDescent="0.3">
      <c r="A560" t="s">
        <v>6479</v>
      </c>
      <c r="C560" t="s">
        <v>5267</v>
      </c>
      <c r="D560" t="s">
        <v>8764</v>
      </c>
      <c r="E560">
        <v>0</v>
      </c>
      <c r="F560">
        <v>558</v>
      </c>
      <c r="H560" t="s">
        <v>6479</v>
      </c>
    </row>
    <row r="561" spans="1:8" x14ac:dyDescent="0.3">
      <c r="A561" t="s">
        <v>6480</v>
      </c>
      <c r="C561" t="s">
        <v>5267</v>
      </c>
      <c r="D561" t="s">
        <v>8765</v>
      </c>
      <c r="E561">
        <v>0</v>
      </c>
      <c r="F561">
        <v>559</v>
      </c>
      <c r="H561" t="s">
        <v>6480</v>
      </c>
    </row>
    <row r="562" spans="1:8" x14ac:dyDescent="0.3">
      <c r="A562" t="s">
        <v>6481</v>
      </c>
      <c r="C562" t="s">
        <v>5267</v>
      </c>
      <c r="D562" t="s">
        <v>8766</v>
      </c>
      <c r="E562">
        <v>0</v>
      </c>
      <c r="F562">
        <v>560</v>
      </c>
      <c r="H562" t="s">
        <v>6481</v>
      </c>
    </row>
    <row r="563" spans="1:8" x14ac:dyDescent="0.3">
      <c r="A563" t="s">
        <v>6482</v>
      </c>
      <c r="C563" t="s">
        <v>5267</v>
      </c>
      <c r="D563" t="s">
        <v>8767</v>
      </c>
      <c r="E563">
        <v>0</v>
      </c>
      <c r="F563">
        <v>561</v>
      </c>
      <c r="H563" t="s">
        <v>6482</v>
      </c>
    </row>
    <row r="564" spans="1:8" x14ac:dyDescent="0.3">
      <c r="A564" t="s">
        <v>6483</v>
      </c>
      <c r="C564" t="s">
        <v>5267</v>
      </c>
      <c r="D564" t="s">
        <v>8768</v>
      </c>
      <c r="E564">
        <v>0</v>
      </c>
      <c r="F564">
        <v>562</v>
      </c>
      <c r="H564" t="s">
        <v>6483</v>
      </c>
    </row>
    <row r="565" spans="1:8" x14ac:dyDescent="0.3">
      <c r="A565" t="s">
        <v>6484</v>
      </c>
      <c r="C565" t="s">
        <v>5267</v>
      </c>
      <c r="D565" t="s">
        <v>8769</v>
      </c>
      <c r="E565">
        <v>0</v>
      </c>
      <c r="F565">
        <v>563</v>
      </c>
      <c r="H565" t="s">
        <v>6484</v>
      </c>
    </row>
    <row r="566" spans="1:8" x14ac:dyDescent="0.3">
      <c r="A566" t="s">
        <v>6485</v>
      </c>
      <c r="C566" t="s">
        <v>5267</v>
      </c>
      <c r="D566" t="s">
        <v>8770</v>
      </c>
      <c r="E566">
        <v>0</v>
      </c>
      <c r="F566">
        <v>564</v>
      </c>
      <c r="H566" t="s">
        <v>6485</v>
      </c>
    </row>
    <row r="567" spans="1:8" x14ac:dyDescent="0.3">
      <c r="A567" t="s">
        <v>6486</v>
      </c>
      <c r="C567" t="s">
        <v>5267</v>
      </c>
      <c r="D567" t="s">
        <v>8771</v>
      </c>
      <c r="E567">
        <v>0</v>
      </c>
      <c r="F567">
        <v>565</v>
      </c>
      <c r="H567" t="s">
        <v>6486</v>
      </c>
    </row>
    <row r="568" spans="1:8" x14ac:dyDescent="0.3">
      <c r="A568" t="s">
        <v>6486</v>
      </c>
      <c r="C568" t="s">
        <v>5267</v>
      </c>
      <c r="D568" t="s">
        <v>8772</v>
      </c>
      <c r="E568">
        <v>0</v>
      </c>
      <c r="F568">
        <v>566</v>
      </c>
      <c r="H568" t="s">
        <v>6486</v>
      </c>
    </row>
    <row r="569" spans="1:8" x14ac:dyDescent="0.3">
      <c r="A569" t="s">
        <v>6487</v>
      </c>
      <c r="C569" t="s">
        <v>5267</v>
      </c>
      <c r="D569" t="s">
        <v>8773</v>
      </c>
      <c r="E569">
        <v>0</v>
      </c>
      <c r="F569">
        <v>567</v>
      </c>
      <c r="H569" t="s">
        <v>6487</v>
      </c>
    </row>
    <row r="570" spans="1:8" x14ac:dyDescent="0.3">
      <c r="A570" t="s">
        <v>6488</v>
      </c>
      <c r="C570" t="s">
        <v>5267</v>
      </c>
      <c r="D570" t="s">
        <v>8774</v>
      </c>
      <c r="E570">
        <v>0</v>
      </c>
      <c r="F570">
        <v>568</v>
      </c>
      <c r="H570" t="s">
        <v>6488</v>
      </c>
    </row>
    <row r="571" spans="1:8" x14ac:dyDescent="0.3">
      <c r="A571" t="s">
        <v>6489</v>
      </c>
      <c r="C571" t="s">
        <v>5267</v>
      </c>
      <c r="D571" t="s">
        <v>8775</v>
      </c>
      <c r="E571">
        <v>0</v>
      </c>
      <c r="F571">
        <v>569</v>
      </c>
      <c r="H571" t="s">
        <v>6489</v>
      </c>
    </row>
    <row r="572" spans="1:8" x14ac:dyDescent="0.3">
      <c r="A572" t="s">
        <v>6490</v>
      </c>
      <c r="C572" t="s">
        <v>5267</v>
      </c>
      <c r="D572" t="s">
        <v>8776</v>
      </c>
      <c r="E572">
        <v>0</v>
      </c>
      <c r="F572">
        <v>570</v>
      </c>
      <c r="H572" t="s">
        <v>6490</v>
      </c>
    </row>
    <row r="573" spans="1:8" x14ac:dyDescent="0.3">
      <c r="A573" t="s">
        <v>6491</v>
      </c>
      <c r="C573" t="s">
        <v>5267</v>
      </c>
      <c r="D573" t="s">
        <v>8777</v>
      </c>
      <c r="E573">
        <v>0</v>
      </c>
      <c r="F573">
        <v>571</v>
      </c>
      <c r="H573" t="s">
        <v>6491</v>
      </c>
    </row>
    <row r="574" spans="1:8" x14ac:dyDescent="0.3">
      <c r="A574" t="s">
        <v>6492</v>
      </c>
      <c r="C574" t="s">
        <v>5267</v>
      </c>
      <c r="D574" t="s">
        <v>8778</v>
      </c>
      <c r="E574">
        <v>0</v>
      </c>
      <c r="F574">
        <v>572</v>
      </c>
      <c r="H574" t="s">
        <v>6492</v>
      </c>
    </row>
    <row r="575" spans="1:8" x14ac:dyDescent="0.3">
      <c r="A575" t="s">
        <v>6493</v>
      </c>
      <c r="C575" t="s">
        <v>5267</v>
      </c>
      <c r="D575" t="s">
        <v>8779</v>
      </c>
      <c r="E575">
        <v>0</v>
      </c>
      <c r="F575">
        <v>573</v>
      </c>
      <c r="H575" t="s">
        <v>6493</v>
      </c>
    </row>
    <row r="576" spans="1:8" x14ac:dyDescent="0.3">
      <c r="A576" t="s">
        <v>6494</v>
      </c>
      <c r="C576" t="s">
        <v>5267</v>
      </c>
      <c r="D576" t="s">
        <v>8780</v>
      </c>
      <c r="E576">
        <v>0</v>
      </c>
      <c r="F576">
        <v>574</v>
      </c>
      <c r="H576" t="s">
        <v>6494</v>
      </c>
    </row>
    <row r="577" spans="1:8" x14ac:dyDescent="0.3">
      <c r="A577" t="s">
        <v>6495</v>
      </c>
      <c r="C577" t="s">
        <v>5267</v>
      </c>
      <c r="D577" t="s">
        <v>8781</v>
      </c>
      <c r="E577">
        <v>0</v>
      </c>
      <c r="F577">
        <v>575</v>
      </c>
      <c r="H577" t="s">
        <v>6495</v>
      </c>
    </row>
    <row r="578" spans="1:8" x14ac:dyDescent="0.3">
      <c r="A578" t="s">
        <v>6496</v>
      </c>
      <c r="C578" t="s">
        <v>5267</v>
      </c>
      <c r="D578" t="s">
        <v>8782</v>
      </c>
      <c r="E578">
        <v>0</v>
      </c>
      <c r="F578">
        <v>576</v>
      </c>
      <c r="H578" t="s">
        <v>6496</v>
      </c>
    </row>
    <row r="579" spans="1:8" x14ac:dyDescent="0.3">
      <c r="A579" t="s">
        <v>6497</v>
      </c>
      <c r="C579" t="s">
        <v>5267</v>
      </c>
      <c r="D579" t="s">
        <v>8783</v>
      </c>
      <c r="E579">
        <v>0</v>
      </c>
      <c r="F579">
        <v>577</v>
      </c>
      <c r="H579" t="s">
        <v>6497</v>
      </c>
    </row>
    <row r="580" spans="1:8" x14ac:dyDescent="0.3">
      <c r="A580" t="s">
        <v>6180</v>
      </c>
      <c r="C580" t="s">
        <v>5267</v>
      </c>
      <c r="D580" t="s">
        <v>8784</v>
      </c>
      <c r="E580">
        <v>0</v>
      </c>
      <c r="F580">
        <v>578</v>
      </c>
      <c r="H580" t="s">
        <v>6180</v>
      </c>
    </row>
    <row r="581" spans="1:8" x14ac:dyDescent="0.3">
      <c r="A581" t="s">
        <v>6498</v>
      </c>
      <c r="C581" t="s">
        <v>5267</v>
      </c>
      <c r="D581" t="s">
        <v>8785</v>
      </c>
      <c r="E581">
        <v>0</v>
      </c>
      <c r="F581">
        <v>579</v>
      </c>
      <c r="H581" t="s">
        <v>6498</v>
      </c>
    </row>
    <row r="582" spans="1:8" x14ac:dyDescent="0.3">
      <c r="A582" t="s">
        <v>6498</v>
      </c>
      <c r="C582" t="s">
        <v>5267</v>
      </c>
      <c r="D582" t="s">
        <v>8786</v>
      </c>
      <c r="E582">
        <v>0</v>
      </c>
      <c r="F582">
        <v>580</v>
      </c>
      <c r="H582" t="s">
        <v>6498</v>
      </c>
    </row>
    <row r="583" spans="1:8" x14ac:dyDescent="0.3">
      <c r="A583" t="s">
        <v>6499</v>
      </c>
      <c r="C583" t="s">
        <v>5267</v>
      </c>
      <c r="D583" t="s">
        <v>8787</v>
      </c>
      <c r="E583">
        <v>0</v>
      </c>
      <c r="F583">
        <v>581</v>
      </c>
      <c r="H583" t="s">
        <v>6499</v>
      </c>
    </row>
    <row r="584" spans="1:8" x14ac:dyDescent="0.3">
      <c r="A584" t="s">
        <v>6500</v>
      </c>
      <c r="C584" t="s">
        <v>5267</v>
      </c>
      <c r="D584" t="s">
        <v>8788</v>
      </c>
      <c r="E584">
        <v>0</v>
      </c>
      <c r="F584">
        <v>582</v>
      </c>
      <c r="H584" t="s">
        <v>6500</v>
      </c>
    </row>
    <row r="585" spans="1:8" x14ac:dyDescent="0.3">
      <c r="A585" t="s">
        <v>6501</v>
      </c>
      <c r="C585" t="s">
        <v>5267</v>
      </c>
      <c r="D585" t="s">
        <v>8789</v>
      </c>
      <c r="E585">
        <v>0</v>
      </c>
      <c r="F585">
        <v>583</v>
      </c>
      <c r="H585" t="s">
        <v>6501</v>
      </c>
    </row>
    <row r="586" spans="1:8" x14ac:dyDescent="0.3">
      <c r="A586" t="s">
        <v>6502</v>
      </c>
      <c r="C586" t="s">
        <v>5267</v>
      </c>
      <c r="D586" t="s">
        <v>8790</v>
      </c>
      <c r="E586">
        <v>0</v>
      </c>
      <c r="F586">
        <v>584</v>
      </c>
      <c r="H586" t="s">
        <v>6502</v>
      </c>
    </row>
    <row r="587" spans="1:8" x14ac:dyDescent="0.3">
      <c r="A587" t="s">
        <v>6503</v>
      </c>
      <c r="C587" t="s">
        <v>5267</v>
      </c>
      <c r="D587" t="s">
        <v>8791</v>
      </c>
      <c r="E587">
        <v>0</v>
      </c>
      <c r="F587">
        <v>585</v>
      </c>
      <c r="H587" t="s">
        <v>6503</v>
      </c>
    </row>
    <row r="588" spans="1:8" x14ac:dyDescent="0.3">
      <c r="A588" t="s">
        <v>6504</v>
      </c>
      <c r="C588" t="s">
        <v>5267</v>
      </c>
      <c r="D588" t="s">
        <v>8792</v>
      </c>
      <c r="E588">
        <v>0</v>
      </c>
      <c r="F588">
        <v>586</v>
      </c>
      <c r="H588" t="s">
        <v>6504</v>
      </c>
    </row>
    <row r="589" spans="1:8" x14ac:dyDescent="0.3">
      <c r="A589" t="s">
        <v>6505</v>
      </c>
      <c r="C589" t="s">
        <v>5267</v>
      </c>
      <c r="D589" t="s">
        <v>8793</v>
      </c>
      <c r="E589">
        <v>0</v>
      </c>
      <c r="F589">
        <v>587</v>
      </c>
      <c r="H589" t="s">
        <v>6505</v>
      </c>
    </row>
    <row r="590" spans="1:8" x14ac:dyDescent="0.3">
      <c r="A590" t="s">
        <v>6506</v>
      </c>
      <c r="C590" t="s">
        <v>5267</v>
      </c>
      <c r="D590" t="s">
        <v>8794</v>
      </c>
      <c r="E590">
        <v>0</v>
      </c>
      <c r="F590">
        <v>588</v>
      </c>
      <c r="H590" t="s">
        <v>6506</v>
      </c>
    </row>
    <row r="591" spans="1:8" x14ac:dyDescent="0.3">
      <c r="A591" t="s">
        <v>6507</v>
      </c>
      <c r="C591" t="s">
        <v>5267</v>
      </c>
      <c r="D591" t="s">
        <v>8795</v>
      </c>
      <c r="E591">
        <v>0</v>
      </c>
      <c r="F591">
        <v>589</v>
      </c>
      <c r="H591" t="s">
        <v>6507</v>
      </c>
    </row>
    <row r="592" spans="1:8" x14ac:dyDescent="0.3">
      <c r="A592" t="s">
        <v>6508</v>
      </c>
      <c r="C592" t="s">
        <v>5267</v>
      </c>
      <c r="D592" t="s">
        <v>8796</v>
      </c>
      <c r="E592">
        <v>0</v>
      </c>
      <c r="F592">
        <v>590</v>
      </c>
      <c r="H592" t="s">
        <v>6508</v>
      </c>
    </row>
    <row r="593" spans="1:8" x14ac:dyDescent="0.3">
      <c r="A593" t="s">
        <v>6509</v>
      </c>
      <c r="C593" t="s">
        <v>5267</v>
      </c>
      <c r="D593" t="s">
        <v>8797</v>
      </c>
      <c r="E593">
        <v>0</v>
      </c>
      <c r="F593">
        <v>591</v>
      </c>
      <c r="H593" t="s">
        <v>6509</v>
      </c>
    </row>
    <row r="594" spans="1:8" x14ac:dyDescent="0.3">
      <c r="A594" t="s">
        <v>6510</v>
      </c>
      <c r="C594" t="s">
        <v>5267</v>
      </c>
      <c r="D594" t="s">
        <v>8798</v>
      </c>
      <c r="E594">
        <v>0</v>
      </c>
      <c r="F594">
        <v>592</v>
      </c>
      <c r="H594" t="s">
        <v>6510</v>
      </c>
    </row>
    <row r="595" spans="1:8" x14ac:dyDescent="0.3">
      <c r="A595" t="s">
        <v>6511</v>
      </c>
      <c r="C595" t="s">
        <v>5267</v>
      </c>
      <c r="D595" t="s">
        <v>8799</v>
      </c>
      <c r="E595">
        <v>0</v>
      </c>
      <c r="F595">
        <v>593</v>
      </c>
      <c r="H595" t="s">
        <v>6511</v>
      </c>
    </row>
    <row r="596" spans="1:8" x14ac:dyDescent="0.3">
      <c r="A596" t="s">
        <v>6512</v>
      </c>
      <c r="C596" t="s">
        <v>5267</v>
      </c>
      <c r="D596" t="s">
        <v>8800</v>
      </c>
      <c r="E596">
        <v>0</v>
      </c>
      <c r="F596">
        <v>594</v>
      </c>
      <c r="H596" t="s">
        <v>6512</v>
      </c>
    </row>
    <row r="597" spans="1:8" x14ac:dyDescent="0.3">
      <c r="A597" t="s">
        <v>6513</v>
      </c>
      <c r="C597" t="s">
        <v>5267</v>
      </c>
      <c r="D597" t="s">
        <v>8801</v>
      </c>
      <c r="E597">
        <v>0</v>
      </c>
      <c r="F597">
        <v>595</v>
      </c>
      <c r="H597" t="s">
        <v>6513</v>
      </c>
    </row>
    <row r="598" spans="1:8" x14ac:dyDescent="0.3">
      <c r="A598" t="s">
        <v>6514</v>
      </c>
      <c r="C598" t="s">
        <v>5267</v>
      </c>
      <c r="D598" t="s">
        <v>8802</v>
      </c>
      <c r="E598">
        <v>0</v>
      </c>
      <c r="F598">
        <v>596</v>
      </c>
      <c r="H598" t="s">
        <v>6514</v>
      </c>
    </row>
    <row r="599" spans="1:8" x14ac:dyDescent="0.3">
      <c r="A599" t="s">
        <v>6515</v>
      </c>
      <c r="C599" t="s">
        <v>5267</v>
      </c>
      <c r="D599" t="s">
        <v>8803</v>
      </c>
      <c r="E599">
        <v>0</v>
      </c>
      <c r="F599">
        <v>597</v>
      </c>
      <c r="H599" t="s">
        <v>6515</v>
      </c>
    </row>
    <row r="600" spans="1:8" x14ac:dyDescent="0.3">
      <c r="A600" t="s">
        <v>6516</v>
      </c>
      <c r="C600" t="s">
        <v>5267</v>
      </c>
      <c r="D600" t="s">
        <v>8804</v>
      </c>
      <c r="E600">
        <v>0</v>
      </c>
      <c r="F600">
        <v>598</v>
      </c>
      <c r="H600" t="s">
        <v>6516</v>
      </c>
    </row>
    <row r="601" spans="1:8" x14ac:dyDescent="0.3">
      <c r="A601" t="s">
        <v>6517</v>
      </c>
      <c r="C601" t="s">
        <v>5267</v>
      </c>
      <c r="D601" t="s">
        <v>8805</v>
      </c>
      <c r="E601">
        <v>0</v>
      </c>
      <c r="F601">
        <v>599</v>
      </c>
      <c r="H601" t="s">
        <v>6517</v>
      </c>
    </row>
    <row r="602" spans="1:8" x14ac:dyDescent="0.3">
      <c r="A602" t="s">
        <v>6518</v>
      </c>
      <c r="C602" t="s">
        <v>5267</v>
      </c>
      <c r="D602" t="s">
        <v>8806</v>
      </c>
      <c r="E602">
        <v>0</v>
      </c>
      <c r="F602">
        <v>600</v>
      </c>
      <c r="H602" t="s">
        <v>6518</v>
      </c>
    </row>
    <row r="603" spans="1:8" x14ac:dyDescent="0.3">
      <c r="A603" t="s">
        <v>6519</v>
      </c>
      <c r="C603" t="s">
        <v>5267</v>
      </c>
      <c r="D603" t="s">
        <v>8807</v>
      </c>
      <c r="E603">
        <v>0</v>
      </c>
      <c r="F603">
        <v>601</v>
      </c>
      <c r="H603" t="s">
        <v>6519</v>
      </c>
    </row>
    <row r="604" spans="1:8" x14ac:dyDescent="0.3">
      <c r="A604" t="s">
        <v>6520</v>
      </c>
      <c r="C604" t="s">
        <v>5267</v>
      </c>
      <c r="D604" t="s">
        <v>8808</v>
      </c>
      <c r="E604">
        <v>0</v>
      </c>
      <c r="F604">
        <v>602</v>
      </c>
      <c r="H604" t="s">
        <v>6520</v>
      </c>
    </row>
    <row r="605" spans="1:8" x14ac:dyDescent="0.3">
      <c r="A605" t="s">
        <v>6521</v>
      </c>
      <c r="C605" t="s">
        <v>5267</v>
      </c>
      <c r="D605" t="s">
        <v>8809</v>
      </c>
      <c r="E605">
        <v>0</v>
      </c>
      <c r="F605">
        <v>603</v>
      </c>
      <c r="H605" t="s">
        <v>6521</v>
      </c>
    </row>
    <row r="606" spans="1:8" x14ac:dyDescent="0.3">
      <c r="A606" t="s">
        <v>6522</v>
      </c>
      <c r="C606" t="s">
        <v>5267</v>
      </c>
      <c r="D606" t="s">
        <v>8810</v>
      </c>
      <c r="E606">
        <v>0</v>
      </c>
      <c r="F606">
        <v>604</v>
      </c>
      <c r="H606" t="s">
        <v>6522</v>
      </c>
    </row>
    <row r="607" spans="1:8" x14ac:dyDescent="0.3">
      <c r="A607" t="s">
        <v>6523</v>
      </c>
      <c r="C607" t="s">
        <v>5267</v>
      </c>
      <c r="D607" t="s">
        <v>8811</v>
      </c>
      <c r="E607">
        <v>0</v>
      </c>
      <c r="F607">
        <v>605</v>
      </c>
      <c r="H607" t="s">
        <v>6523</v>
      </c>
    </row>
    <row r="608" spans="1:8" x14ac:dyDescent="0.3">
      <c r="A608" t="s">
        <v>6524</v>
      </c>
      <c r="C608" t="s">
        <v>5267</v>
      </c>
      <c r="D608" t="s">
        <v>8812</v>
      </c>
      <c r="E608">
        <v>0</v>
      </c>
      <c r="F608">
        <v>606</v>
      </c>
      <c r="H608" t="s">
        <v>6524</v>
      </c>
    </row>
    <row r="609" spans="1:8" x14ac:dyDescent="0.3">
      <c r="A609" t="s">
        <v>6525</v>
      </c>
      <c r="C609" t="s">
        <v>5267</v>
      </c>
      <c r="D609" t="s">
        <v>8813</v>
      </c>
      <c r="E609">
        <v>0</v>
      </c>
      <c r="F609">
        <v>607</v>
      </c>
      <c r="H609" t="s">
        <v>6525</v>
      </c>
    </row>
    <row r="610" spans="1:8" x14ac:dyDescent="0.3">
      <c r="A610" t="s">
        <v>6526</v>
      </c>
      <c r="C610" t="s">
        <v>5267</v>
      </c>
      <c r="D610" t="s">
        <v>8814</v>
      </c>
      <c r="E610">
        <v>0</v>
      </c>
      <c r="F610">
        <v>608</v>
      </c>
      <c r="H610" t="s">
        <v>6526</v>
      </c>
    </row>
    <row r="611" spans="1:8" x14ac:dyDescent="0.3">
      <c r="A611" t="s">
        <v>6527</v>
      </c>
      <c r="C611" t="s">
        <v>5267</v>
      </c>
      <c r="D611" t="s">
        <v>8815</v>
      </c>
      <c r="E611">
        <v>0</v>
      </c>
      <c r="F611">
        <v>609</v>
      </c>
      <c r="H611" t="s">
        <v>6527</v>
      </c>
    </row>
    <row r="612" spans="1:8" x14ac:dyDescent="0.3">
      <c r="A612" t="s">
        <v>6528</v>
      </c>
      <c r="C612" t="s">
        <v>5267</v>
      </c>
      <c r="D612" t="s">
        <v>8816</v>
      </c>
      <c r="E612">
        <v>0</v>
      </c>
      <c r="F612">
        <v>610</v>
      </c>
      <c r="H612" t="s">
        <v>6528</v>
      </c>
    </row>
    <row r="613" spans="1:8" x14ac:dyDescent="0.3">
      <c r="A613" t="s">
        <v>6529</v>
      </c>
      <c r="C613" t="s">
        <v>5267</v>
      </c>
      <c r="D613" t="s">
        <v>8817</v>
      </c>
      <c r="E613">
        <v>0</v>
      </c>
      <c r="F613">
        <v>611</v>
      </c>
      <c r="H613" t="s">
        <v>6529</v>
      </c>
    </row>
    <row r="614" spans="1:8" x14ac:dyDescent="0.3">
      <c r="A614" t="s">
        <v>6530</v>
      </c>
      <c r="C614" t="s">
        <v>5267</v>
      </c>
      <c r="D614" t="s">
        <v>8818</v>
      </c>
      <c r="E614">
        <v>0</v>
      </c>
      <c r="F614">
        <v>612</v>
      </c>
      <c r="H614" t="s">
        <v>6530</v>
      </c>
    </row>
    <row r="615" spans="1:8" x14ac:dyDescent="0.3">
      <c r="A615" t="s">
        <v>6531</v>
      </c>
      <c r="C615" t="s">
        <v>5267</v>
      </c>
      <c r="D615" t="s">
        <v>8819</v>
      </c>
      <c r="E615">
        <v>0</v>
      </c>
      <c r="F615">
        <v>613</v>
      </c>
      <c r="H615" t="s">
        <v>6531</v>
      </c>
    </row>
    <row r="616" spans="1:8" x14ac:dyDescent="0.3">
      <c r="A616" t="s">
        <v>6532</v>
      </c>
      <c r="C616" t="s">
        <v>5267</v>
      </c>
      <c r="D616" t="s">
        <v>8820</v>
      </c>
      <c r="E616">
        <v>0</v>
      </c>
      <c r="F616">
        <v>614</v>
      </c>
      <c r="H616" t="s">
        <v>6532</v>
      </c>
    </row>
    <row r="617" spans="1:8" x14ac:dyDescent="0.3">
      <c r="A617" t="s">
        <v>6533</v>
      </c>
      <c r="C617" t="s">
        <v>5267</v>
      </c>
      <c r="D617" t="s">
        <v>8821</v>
      </c>
      <c r="E617">
        <v>0</v>
      </c>
      <c r="F617">
        <v>615</v>
      </c>
      <c r="H617" t="s">
        <v>6533</v>
      </c>
    </row>
    <row r="618" spans="1:8" x14ac:dyDescent="0.3">
      <c r="A618" t="s">
        <v>6534</v>
      </c>
      <c r="C618" t="s">
        <v>5267</v>
      </c>
      <c r="D618" t="s">
        <v>8822</v>
      </c>
      <c r="E618">
        <v>0</v>
      </c>
      <c r="F618">
        <v>616</v>
      </c>
      <c r="H618" t="s">
        <v>6534</v>
      </c>
    </row>
    <row r="619" spans="1:8" x14ac:dyDescent="0.3">
      <c r="A619" t="s">
        <v>6535</v>
      </c>
      <c r="C619" t="s">
        <v>5267</v>
      </c>
      <c r="D619" t="s">
        <v>8823</v>
      </c>
      <c r="E619">
        <v>0</v>
      </c>
      <c r="F619">
        <v>617</v>
      </c>
      <c r="H619" t="s">
        <v>6535</v>
      </c>
    </row>
    <row r="620" spans="1:8" x14ac:dyDescent="0.3">
      <c r="A620" t="s">
        <v>6536</v>
      </c>
      <c r="C620" t="s">
        <v>5267</v>
      </c>
      <c r="D620" t="s">
        <v>8824</v>
      </c>
      <c r="E620">
        <v>0</v>
      </c>
      <c r="F620">
        <v>618</v>
      </c>
      <c r="H620" t="s">
        <v>6536</v>
      </c>
    </row>
    <row r="621" spans="1:8" x14ac:dyDescent="0.3">
      <c r="A621" t="s">
        <v>6537</v>
      </c>
      <c r="C621" t="s">
        <v>5267</v>
      </c>
      <c r="D621" t="s">
        <v>8825</v>
      </c>
      <c r="E621">
        <v>0</v>
      </c>
      <c r="F621">
        <v>619</v>
      </c>
      <c r="H621" t="s">
        <v>6537</v>
      </c>
    </row>
    <row r="622" spans="1:8" x14ac:dyDescent="0.3">
      <c r="A622" t="s">
        <v>6538</v>
      </c>
      <c r="C622" t="s">
        <v>5267</v>
      </c>
      <c r="D622" t="s">
        <v>8826</v>
      </c>
      <c r="E622">
        <v>0</v>
      </c>
      <c r="F622">
        <v>620</v>
      </c>
      <c r="H622" t="s">
        <v>6538</v>
      </c>
    </row>
    <row r="623" spans="1:8" x14ac:dyDescent="0.3">
      <c r="A623" t="s">
        <v>6539</v>
      </c>
      <c r="C623" t="s">
        <v>5267</v>
      </c>
      <c r="D623" t="s">
        <v>8827</v>
      </c>
      <c r="E623">
        <v>0</v>
      </c>
      <c r="F623">
        <v>621</v>
      </c>
      <c r="H623" t="s">
        <v>6539</v>
      </c>
    </row>
    <row r="624" spans="1:8" x14ac:dyDescent="0.3">
      <c r="A624" t="s">
        <v>6540</v>
      </c>
      <c r="C624" t="s">
        <v>5267</v>
      </c>
      <c r="D624" t="s">
        <v>8828</v>
      </c>
      <c r="E624">
        <v>0</v>
      </c>
      <c r="F624">
        <v>622</v>
      </c>
      <c r="H624" t="s">
        <v>6540</v>
      </c>
    </row>
    <row r="625" spans="1:8" x14ac:dyDescent="0.3">
      <c r="A625" t="s">
        <v>6541</v>
      </c>
      <c r="C625" t="s">
        <v>5267</v>
      </c>
      <c r="D625" t="s">
        <v>8829</v>
      </c>
      <c r="E625">
        <v>0</v>
      </c>
      <c r="F625">
        <v>623</v>
      </c>
      <c r="H625" t="s">
        <v>6541</v>
      </c>
    </row>
    <row r="626" spans="1:8" x14ac:dyDescent="0.3">
      <c r="A626" t="s">
        <v>6542</v>
      </c>
      <c r="C626" t="s">
        <v>5267</v>
      </c>
      <c r="D626" t="s">
        <v>8830</v>
      </c>
      <c r="E626">
        <v>0</v>
      </c>
      <c r="F626">
        <v>624</v>
      </c>
      <c r="H626" t="s">
        <v>6542</v>
      </c>
    </row>
    <row r="627" spans="1:8" x14ac:dyDescent="0.3">
      <c r="A627" t="s">
        <v>6543</v>
      </c>
      <c r="C627" t="s">
        <v>5267</v>
      </c>
      <c r="D627" t="s">
        <v>8831</v>
      </c>
      <c r="E627">
        <v>0</v>
      </c>
      <c r="F627">
        <v>625</v>
      </c>
      <c r="H627" t="s">
        <v>6543</v>
      </c>
    </row>
    <row r="628" spans="1:8" x14ac:dyDescent="0.3">
      <c r="A628" t="s">
        <v>6544</v>
      </c>
      <c r="C628" t="s">
        <v>5267</v>
      </c>
      <c r="D628" t="s">
        <v>8832</v>
      </c>
      <c r="E628">
        <v>0</v>
      </c>
      <c r="F628">
        <v>626</v>
      </c>
      <c r="H628" t="s">
        <v>6544</v>
      </c>
    </row>
    <row r="629" spans="1:8" x14ac:dyDescent="0.3">
      <c r="A629" t="s">
        <v>6545</v>
      </c>
      <c r="C629" t="s">
        <v>5267</v>
      </c>
      <c r="D629" t="s">
        <v>8833</v>
      </c>
      <c r="E629">
        <v>0</v>
      </c>
      <c r="F629">
        <v>627</v>
      </c>
      <c r="H629" t="s">
        <v>6545</v>
      </c>
    </row>
    <row r="630" spans="1:8" x14ac:dyDescent="0.3">
      <c r="A630" t="s">
        <v>6546</v>
      </c>
      <c r="C630" t="s">
        <v>5267</v>
      </c>
      <c r="D630" t="s">
        <v>8834</v>
      </c>
      <c r="E630">
        <v>0</v>
      </c>
      <c r="F630">
        <v>628</v>
      </c>
      <c r="H630" t="s">
        <v>6546</v>
      </c>
    </row>
    <row r="631" spans="1:8" x14ac:dyDescent="0.3">
      <c r="A631" t="s">
        <v>6547</v>
      </c>
      <c r="C631" t="s">
        <v>5267</v>
      </c>
      <c r="D631" t="s">
        <v>8835</v>
      </c>
      <c r="E631">
        <v>0</v>
      </c>
      <c r="F631">
        <v>629</v>
      </c>
      <c r="H631" t="s">
        <v>6547</v>
      </c>
    </row>
    <row r="632" spans="1:8" x14ac:dyDescent="0.3">
      <c r="A632" t="s">
        <v>6548</v>
      </c>
      <c r="C632" t="s">
        <v>5267</v>
      </c>
      <c r="D632" t="s">
        <v>8836</v>
      </c>
      <c r="E632">
        <v>0</v>
      </c>
      <c r="F632">
        <v>630</v>
      </c>
      <c r="H632" t="s">
        <v>6548</v>
      </c>
    </row>
    <row r="633" spans="1:8" x14ac:dyDescent="0.3">
      <c r="A633" t="s">
        <v>6549</v>
      </c>
      <c r="C633" t="s">
        <v>5267</v>
      </c>
      <c r="D633" t="s">
        <v>8837</v>
      </c>
      <c r="E633">
        <v>0</v>
      </c>
      <c r="F633">
        <v>631</v>
      </c>
      <c r="H633" t="s">
        <v>6549</v>
      </c>
    </row>
    <row r="634" spans="1:8" x14ac:dyDescent="0.3">
      <c r="A634" t="s">
        <v>6550</v>
      </c>
      <c r="C634" t="s">
        <v>5267</v>
      </c>
      <c r="D634" t="s">
        <v>8838</v>
      </c>
      <c r="E634">
        <v>0</v>
      </c>
      <c r="F634">
        <v>632</v>
      </c>
      <c r="H634" t="s">
        <v>6550</v>
      </c>
    </row>
    <row r="635" spans="1:8" x14ac:dyDescent="0.3">
      <c r="A635" t="s">
        <v>6551</v>
      </c>
      <c r="C635" t="s">
        <v>5267</v>
      </c>
      <c r="D635" t="s">
        <v>8839</v>
      </c>
      <c r="E635">
        <v>0</v>
      </c>
      <c r="F635">
        <v>633</v>
      </c>
      <c r="H635" t="s">
        <v>6551</v>
      </c>
    </row>
    <row r="636" spans="1:8" x14ac:dyDescent="0.3">
      <c r="A636" t="s">
        <v>6552</v>
      </c>
      <c r="C636" t="s">
        <v>5267</v>
      </c>
      <c r="D636" t="s">
        <v>8840</v>
      </c>
      <c r="E636">
        <v>0</v>
      </c>
      <c r="F636">
        <v>634</v>
      </c>
      <c r="H636" t="s">
        <v>6552</v>
      </c>
    </row>
    <row r="637" spans="1:8" x14ac:dyDescent="0.3">
      <c r="A637" t="s">
        <v>6553</v>
      </c>
      <c r="C637" t="s">
        <v>5267</v>
      </c>
      <c r="D637" t="s">
        <v>8841</v>
      </c>
      <c r="E637">
        <v>0</v>
      </c>
      <c r="F637">
        <v>635</v>
      </c>
      <c r="H637" t="s">
        <v>6553</v>
      </c>
    </row>
    <row r="638" spans="1:8" x14ac:dyDescent="0.3">
      <c r="A638" t="s">
        <v>6554</v>
      </c>
      <c r="C638" t="s">
        <v>5267</v>
      </c>
      <c r="D638" t="s">
        <v>8842</v>
      </c>
      <c r="E638">
        <v>0</v>
      </c>
      <c r="F638">
        <v>636</v>
      </c>
      <c r="H638" t="s">
        <v>6554</v>
      </c>
    </row>
    <row r="639" spans="1:8" x14ac:dyDescent="0.3">
      <c r="A639" t="s">
        <v>6555</v>
      </c>
      <c r="C639" t="s">
        <v>5267</v>
      </c>
      <c r="D639" t="s">
        <v>8843</v>
      </c>
      <c r="E639">
        <v>0</v>
      </c>
      <c r="F639">
        <v>637</v>
      </c>
      <c r="H639" t="s">
        <v>6555</v>
      </c>
    </row>
    <row r="640" spans="1:8" x14ac:dyDescent="0.3">
      <c r="A640" t="s">
        <v>6556</v>
      </c>
      <c r="C640" t="s">
        <v>5267</v>
      </c>
      <c r="D640" t="s">
        <v>8844</v>
      </c>
      <c r="E640">
        <v>0</v>
      </c>
      <c r="F640">
        <v>638</v>
      </c>
      <c r="H640" t="s">
        <v>6556</v>
      </c>
    </row>
    <row r="641" spans="1:8" x14ac:dyDescent="0.3">
      <c r="A641" t="s">
        <v>6557</v>
      </c>
      <c r="C641" t="s">
        <v>5267</v>
      </c>
      <c r="D641" t="s">
        <v>8845</v>
      </c>
      <c r="E641">
        <v>0</v>
      </c>
      <c r="F641">
        <v>639</v>
      </c>
      <c r="H641" t="s">
        <v>6557</v>
      </c>
    </row>
    <row r="642" spans="1:8" x14ac:dyDescent="0.3">
      <c r="A642" t="s">
        <v>6558</v>
      </c>
      <c r="C642" t="s">
        <v>5267</v>
      </c>
      <c r="D642" t="s">
        <v>8846</v>
      </c>
      <c r="E642">
        <v>0</v>
      </c>
      <c r="F642">
        <v>640</v>
      </c>
      <c r="H642" t="s">
        <v>6558</v>
      </c>
    </row>
    <row r="643" spans="1:8" x14ac:dyDescent="0.3">
      <c r="A643" t="s">
        <v>6559</v>
      </c>
      <c r="C643" t="s">
        <v>5267</v>
      </c>
      <c r="D643" t="s">
        <v>8847</v>
      </c>
      <c r="E643">
        <v>0</v>
      </c>
      <c r="F643">
        <v>641</v>
      </c>
      <c r="H643" t="s">
        <v>6559</v>
      </c>
    </row>
    <row r="644" spans="1:8" x14ac:dyDescent="0.3">
      <c r="A644" t="s">
        <v>6560</v>
      </c>
      <c r="C644" t="s">
        <v>5267</v>
      </c>
      <c r="D644" t="s">
        <v>8848</v>
      </c>
      <c r="E644">
        <v>0</v>
      </c>
      <c r="F644">
        <v>642</v>
      </c>
      <c r="H644" t="s">
        <v>6560</v>
      </c>
    </row>
    <row r="645" spans="1:8" x14ac:dyDescent="0.3">
      <c r="A645" t="s">
        <v>6561</v>
      </c>
      <c r="C645" t="s">
        <v>5267</v>
      </c>
      <c r="D645" t="s">
        <v>8849</v>
      </c>
      <c r="E645">
        <v>0</v>
      </c>
      <c r="F645">
        <v>643</v>
      </c>
      <c r="H645" t="s">
        <v>6561</v>
      </c>
    </row>
    <row r="646" spans="1:8" x14ac:dyDescent="0.3">
      <c r="A646" t="s">
        <v>6562</v>
      </c>
      <c r="C646" t="s">
        <v>5267</v>
      </c>
      <c r="D646" t="s">
        <v>8850</v>
      </c>
      <c r="E646">
        <v>0</v>
      </c>
      <c r="F646">
        <v>644</v>
      </c>
      <c r="H646" t="s">
        <v>6562</v>
      </c>
    </row>
    <row r="647" spans="1:8" x14ac:dyDescent="0.3">
      <c r="A647" t="s">
        <v>6563</v>
      </c>
      <c r="C647" t="s">
        <v>5267</v>
      </c>
      <c r="D647" t="s">
        <v>8851</v>
      </c>
      <c r="E647">
        <v>0</v>
      </c>
      <c r="F647">
        <v>645</v>
      </c>
      <c r="H647" t="s">
        <v>6563</v>
      </c>
    </row>
    <row r="648" spans="1:8" x14ac:dyDescent="0.3">
      <c r="A648" t="s">
        <v>6564</v>
      </c>
      <c r="C648" t="s">
        <v>5267</v>
      </c>
      <c r="D648" t="s">
        <v>8852</v>
      </c>
      <c r="E648">
        <v>0</v>
      </c>
      <c r="F648">
        <v>646</v>
      </c>
      <c r="H648" t="s">
        <v>6564</v>
      </c>
    </row>
    <row r="649" spans="1:8" x14ac:dyDescent="0.3">
      <c r="A649" t="s">
        <v>6565</v>
      </c>
      <c r="C649" t="s">
        <v>5267</v>
      </c>
      <c r="D649" t="s">
        <v>8853</v>
      </c>
      <c r="E649">
        <v>0</v>
      </c>
      <c r="F649">
        <v>647</v>
      </c>
      <c r="H649" t="s">
        <v>6565</v>
      </c>
    </row>
    <row r="650" spans="1:8" x14ac:dyDescent="0.3">
      <c r="A650" t="s">
        <v>6566</v>
      </c>
      <c r="C650" t="s">
        <v>5267</v>
      </c>
      <c r="D650" t="s">
        <v>8854</v>
      </c>
      <c r="E650">
        <v>0</v>
      </c>
      <c r="F650">
        <v>648</v>
      </c>
      <c r="H650" t="s">
        <v>6566</v>
      </c>
    </row>
    <row r="651" spans="1:8" x14ac:dyDescent="0.3">
      <c r="A651" t="s">
        <v>6567</v>
      </c>
      <c r="C651" t="s">
        <v>5267</v>
      </c>
      <c r="D651" t="s">
        <v>8855</v>
      </c>
      <c r="E651">
        <v>0</v>
      </c>
      <c r="F651">
        <v>649</v>
      </c>
      <c r="H651" t="s">
        <v>6567</v>
      </c>
    </row>
    <row r="652" spans="1:8" x14ac:dyDescent="0.3">
      <c r="A652" t="s">
        <v>6568</v>
      </c>
      <c r="C652" t="s">
        <v>5267</v>
      </c>
      <c r="D652" t="s">
        <v>8856</v>
      </c>
      <c r="E652">
        <v>0</v>
      </c>
      <c r="F652">
        <v>650</v>
      </c>
      <c r="H652" t="s">
        <v>6568</v>
      </c>
    </row>
    <row r="653" spans="1:8" x14ac:dyDescent="0.3">
      <c r="A653" t="s">
        <v>6569</v>
      </c>
      <c r="C653" t="s">
        <v>5267</v>
      </c>
      <c r="D653" t="s">
        <v>8857</v>
      </c>
      <c r="E653">
        <v>0</v>
      </c>
      <c r="F653">
        <v>651</v>
      </c>
      <c r="H653" t="s">
        <v>6569</v>
      </c>
    </row>
    <row r="654" spans="1:8" x14ac:dyDescent="0.3">
      <c r="A654" t="s">
        <v>6235</v>
      </c>
      <c r="C654" t="s">
        <v>5267</v>
      </c>
      <c r="D654" t="s">
        <v>8858</v>
      </c>
      <c r="E654">
        <v>0</v>
      </c>
      <c r="F654">
        <v>652</v>
      </c>
      <c r="H654" t="s">
        <v>6235</v>
      </c>
    </row>
    <row r="655" spans="1:8" x14ac:dyDescent="0.3">
      <c r="A655" t="s">
        <v>6570</v>
      </c>
      <c r="C655" t="s">
        <v>5267</v>
      </c>
      <c r="D655" t="s">
        <v>8859</v>
      </c>
      <c r="E655">
        <v>0</v>
      </c>
      <c r="F655">
        <v>653</v>
      </c>
      <c r="H655" t="s">
        <v>6570</v>
      </c>
    </row>
    <row r="656" spans="1:8" x14ac:dyDescent="0.3">
      <c r="A656" t="s">
        <v>6571</v>
      </c>
      <c r="C656" t="s">
        <v>5267</v>
      </c>
      <c r="D656" t="s">
        <v>8860</v>
      </c>
      <c r="E656">
        <v>0</v>
      </c>
      <c r="F656">
        <v>654</v>
      </c>
      <c r="H656" t="s">
        <v>6571</v>
      </c>
    </row>
    <row r="657" spans="1:8" x14ac:dyDescent="0.3">
      <c r="A657" t="s">
        <v>6572</v>
      </c>
      <c r="C657" t="s">
        <v>5267</v>
      </c>
      <c r="D657" t="s">
        <v>8861</v>
      </c>
      <c r="E657">
        <v>0</v>
      </c>
      <c r="F657">
        <v>655</v>
      </c>
      <c r="H657" t="s">
        <v>6572</v>
      </c>
    </row>
    <row r="658" spans="1:8" x14ac:dyDescent="0.3">
      <c r="A658" t="s">
        <v>6573</v>
      </c>
      <c r="C658" t="s">
        <v>5267</v>
      </c>
      <c r="D658" t="s">
        <v>8862</v>
      </c>
      <c r="E658">
        <v>0</v>
      </c>
      <c r="F658">
        <v>656</v>
      </c>
      <c r="H658" t="s">
        <v>6573</v>
      </c>
    </row>
    <row r="659" spans="1:8" x14ac:dyDescent="0.3">
      <c r="A659" t="s">
        <v>6574</v>
      </c>
      <c r="C659" t="s">
        <v>5267</v>
      </c>
      <c r="D659" t="s">
        <v>8863</v>
      </c>
      <c r="E659">
        <v>0</v>
      </c>
      <c r="F659">
        <v>657</v>
      </c>
      <c r="H659" t="s">
        <v>6574</v>
      </c>
    </row>
    <row r="660" spans="1:8" x14ac:dyDescent="0.3">
      <c r="A660" t="s">
        <v>6236</v>
      </c>
      <c r="C660" t="s">
        <v>5267</v>
      </c>
      <c r="D660" t="s">
        <v>8864</v>
      </c>
      <c r="E660">
        <v>0</v>
      </c>
      <c r="F660">
        <v>658</v>
      </c>
      <c r="H660" t="s">
        <v>6236</v>
      </c>
    </row>
    <row r="661" spans="1:8" x14ac:dyDescent="0.3">
      <c r="A661" t="s">
        <v>6237</v>
      </c>
      <c r="C661" t="s">
        <v>5267</v>
      </c>
      <c r="D661" t="s">
        <v>8865</v>
      </c>
      <c r="E661">
        <v>0</v>
      </c>
      <c r="F661">
        <v>659</v>
      </c>
      <c r="H661" t="s">
        <v>6237</v>
      </c>
    </row>
    <row r="662" spans="1:8" x14ac:dyDescent="0.3">
      <c r="A662" t="s">
        <v>6575</v>
      </c>
      <c r="C662" t="s">
        <v>5267</v>
      </c>
      <c r="D662" t="s">
        <v>8866</v>
      </c>
      <c r="E662">
        <v>0</v>
      </c>
      <c r="F662">
        <v>660</v>
      </c>
      <c r="H662" t="s">
        <v>6575</v>
      </c>
    </row>
    <row r="663" spans="1:8" x14ac:dyDescent="0.3">
      <c r="A663" t="s">
        <v>6243</v>
      </c>
      <c r="C663" t="s">
        <v>5267</v>
      </c>
      <c r="D663" t="s">
        <v>8867</v>
      </c>
      <c r="E663">
        <v>0</v>
      </c>
      <c r="F663">
        <v>661</v>
      </c>
      <c r="H663" t="s">
        <v>6243</v>
      </c>
    </row>
    <row r="664" spans="1:8" x14ac:dyDescent="0.3">
      <c r="A664" t="s">
        <v>6244</v>
      </c>
      <c r="C664" t="s">
        <v>5267</v>
      </c>
      <c r="D664" t="s">
        <v>8868</v>
      </c>
      <c r="E664">
        <v>0</v>
      </c>
      <c r="F664">
        <v>662</v>
      </c>
      <c r="H664" t="s">
        <v>6244</v>
      </c>
    </row>
    <row r="665" spans="1:8" x14ac:dyDescent="0.3">
      <c r="A665" t="s">
        <v>6576</v>
      </c>
      <c r="C665" t="s">
        <v>5267</v>
      </c>
      <c r="D665" t="s">
        <v>8869</v>
      </c>
      <c r="E665">
        <v>0</v>
      </c>
      <c r="F665">
        <v>663</v>
      </c>
      <c r="H665" t="s">
        <v>6576</v>
      </c>
    </row>
    <row r="666" spans="1:8" x14ac:dyDescent="0.3">
      <c r="A666" t="s">
        <v>6577</v>
      </c>
      <c r="C666" t="s">
        <v>5267</v>
      </c>
      <c r="D666" t="s">
        <v>8870</v>
      </c>
      <c r="E666">
        <v>0</v>
      </c>
      <c r="F666">
        <v>664</v>
      </c>
      <c r="H666" t="s">
        <v>6577</v>
      </c>
    </row>
    <row r="667" spans="1:8" x14ac:dyDescent="0.3">
      <c r="A667" t="s">
        <v>6578</v>
      </c>
      <c r="C667" t="s">
        <v>5267</v>
      </c>
      <c r="D667" t="s">
        <v>8871</v>
      </c>
      <c r="E667">
        <v>0</v>
      </c>
      <c r="F667">
        <v>665</v>
      </c>
      <c r="H667" t="s">
        <v>6578</v>
      </c>
    </row>
    <row r="668" spans="1:8" x14ac:dyDescent="0.3">
      <c r="A668" t="s">
        <v>6579</v>
      </c>
      <c r="C668" t="s">
        <v>5267</v>
      </c>
      <c r="D668" t="s">
        <v>8872</v>
      </c>
      <c r="E668">
        <v>0</v>
      </c>
      <c r="F668">
        <v>666</v>
      </c>
      <c r="H668" t="s">
        <v>6579</v>
      </c>
    </row>
    <row r="669" spans="1:8" x14ac:dyDescent="0.3">
      <c r="A669" t="s">
        <v>6580</v>
      </c>
      <c r="C669" t="s">
        <v>5267</v>
      </c>
      <c r="D669" t="s">
        <v>8873</v>
      </c>
      <c r="E669">
        <v>0</v>
      </c>
      <c r="F669">
        <v>667</v>
      </c>
      <c r="H669" t="s">
        <v>6580</v>
      </c>
    </row>
    <row r="670" spans="1:8" x14ac:dyDescent="0.3">
      <c r="A670" t="s">
        <v>6581</v>
      </c>
      <c r="C670" t="s">
        <v>5267</v>
      </c>
      <c r="D670" t="s">
        <v>8874</v>
      </c>
      <c r="E670">
        <v>0</v>
      </c>
      <c r="F670">
        <v>668</v>
      </c>
      <c r="H670" t="s">
        <v>6581</v>
      </c>
    </row>
    <row r="671" spans="1:8" x14ac:dyDescent="0.3">
      <c r="A671" t="s">
        <v>6582</v>
      </c>
      <c r="C671" t="s">
        <v>5267</v>
      </c>
      <c r="D671" t="s">
        <v>8875</v>
      </c>
      <c r="E671">
        <v>0</v>
      </c>
      <c r="F671">
        <v>669</v>
      </c>
      <c r="H671" t="s">
        <v>6582</v>
      </c>
    </row>
    <row r="672" spans="1:8" x14ac:dyDescent="0.3">
      <c r="A672" t="s">
        <v>6583</v>
      </c>
      <c r="C672" t="s">
        <v>5267</v>
      </c>
      <c r="D672" t="s">
        <v>8876</v>
      </c>
      <c r="E672">
        <v>0</v>
      </c>
      <c r="F672">
        <v>670</v>
      </c>
      <c r="H672" t="s">
        <v>6583</v>
      </c>
    </row>
    <row r="673" spans="1:8" x14ac:dyDescent="0.3">
      <c r="A673" t="s">
        <v>6584</v>
      </c>
      <c r="C673" t="s">
        <v>5267</v>
      </c>
      <c r="D673" t="s">
        <v>8877</v>
      </c>
      <c r="E673">
        <v>0</v>
      </c>
      <c r="F673">
        <v>671</v>
      </c>
      <c r="H673" t="s">
        <v>6584</v>
      </c>
    </row>
    <row r="674" spans="1:8" x14ac:dyDescent="0.3">
      <c r="A674" t="s">
        <v>6585</v>
      </c>
      <c r="C674" t="s">
        <v>5267</v>
      </c>
      <c r="D674" t="s">
        <v>8878</v>
      </c>
      <c r="E674">
        <v>0</v>
      </c>
      <c r="F674">
        <v>672</v>
      </c>
      <c r="H674" t="s">
        <v>6585</v>
      </c>
    </row>
    <row r="675" spans="1:8" x14ac:dyDescent="0.3">
      <c r="A675" t="s">
        <v>6586</v>
      </c>
      <c r="C675" t="s">
        <v>5267</v>
      </c>
      <c r="D675" t="s">
        <v>8879</v>
      </c>
      <c r="E675">
        <v>0</v>
      </c>
      <c r="F675">
        <v>673</v>
      </c>
      <c r="H675" t="s">
        <v>6586</v>
      </c>
    </row>
    <row r="676" spans="1:8" x14ac:dyDescent="0.3">
      <c r="A676" t="s">
        <v>6587</v>
      </c>
      <c r="C676" t="s">
        <v>5267</v>
      </c>
      <c r="D676" t="s">
        <v>8880</v>
      </c>
      <c r="E676">
        <v>0</v>
      </c>
      <c r="F676">
        <v>674</v>
      </c>
      <c r="H676" t="s">
        <v>6587</v>
      </c>
    </row>
    <row r="677" spans="1:8" x14ac:dyDescent="0.3">
      <c r="A677" t="s">
        <v>6588</v>
      </c>
      <c r="C677" t="s">
        <v>5267</v>
      </c>
      <c r="D677" t="s">
        <v>8881</v>
      </c>
      <c r="E677">
        <v>0</v>
      </c>
      <c r="F677">
        <v>675</v>
      </c>
      <c r="H677" t="s">
        <v>6588</v>
      </c>
    </row>
    <row r="678" spans="1:8" x14ac:dyDescent="0.3">
      <c r="A678" t="s">
        <v>6589</v>
      </c>
      <c r="C678" t="s">
        <v>5267</v>
      </c>
      <c r="D678" t="s">
        <v>8882</v>
      </c>
      <c r="E678">
        <v>0</v>
      </c>
      <c r="F678">
        <v>676</v>
      </c>
      <c r="H678" t="s">
        <v>6589</v>
      </c>
    </row>
    <row r="679" spans="1:8" x14ac:dyDescent="0.3">
      <c r="A679" t="s">
        <v>6590</v>
      </c>
      <c r="C679" t="s">
        <v>5267</v>
      </c>
      <c r="D679" t="s">
        <v>8883</v>
      </c>
      <c r="E679">
        <v>0</v>
      </c>
      <c r="F679">
        <v>677</v>
      </c>
      <c r="H679" t="s">
        <v>6590</v>
      </c>
    </row>
    <row r="680" spans="1:8" x14ac:dyDescent="0.3">
      <c r="A680" t="s">
        <v>6591</v>
      </c>
      <c r="C680" t="s">
        <v>5267</v>
      </c>
      <c r="D680" t="s">
        <v>8884</v>
      </c>
      <c r="E680">
        <v>0</v>
      </c>
      <c r="F680">
        <v>678</v>
      </c>
      <c r="H680" t="s">
        <v>6591</v>
      </c>
    </row>
    <row r="681" spans="1:8" x14ac:dyDescent="0.3">
      <c r="A681" t="s">
        <v>6592</v>
      </c>
      <c r="C681" t="s">
        <v>5267</v>
      </c>
      <c r="D681" t="s">
        <v>8885</v>
      </c>
      <c r="E681">
        <v>0</v>
      </c>
      <c r="F681">
        <v>679</v>
      </c>
      <c r="H681" t="s">
        <v>6592</v>
      </c>
    </row>
    <row r="682" spans="1:8" x14ac:dyDescent="0.3">
      <c r="A682" t="s">
        <v>6593</v>
      </c>
      <c r="C682" t="s">
        <v>5267</v>
      </c>
      <c r="D682" t="s">
        <v>8886</v>
      </c>
      <c r="E682">
        <v>0</v>
      </c>
      <c r="F682">
        <v>680</v>
      </c>
      <c r="H682" t="s">
        <v>6593</v>
      </c>
    </row>
    <row r="683" spans="1:8" x14ac:dyDescent="0.3">
      <c r="A683" t="s">
        <v>6594</v>
      </c>
      <c r="C683" t="s">
        <v>5267</v>
      </c>
      <c r="D683" t="s">
        <v>8887</v>
      </c>
      <c r="E683">
        <v>0</v>
      </c>
      <c r="F683">
        <v>681</v>
      </c>
      <c r="H683" t="s">
        <v>6594</v>
      </c>
    </row>
    <row r="684" spans="1:8" x14ac:dyDescent="0.3">
      <c r="A684" t="s">
        <v>6595</v>
      </c>
      <c r="C684" t="s">
        <v>5267</v>
      </c>
      <c r="D684" t="s">
        <v>8888</v>
      </c>
      <c r="E684">
        <v>0</v>
      </c>
      <c r="F684">
        <v>682</v>
      </c>
      <c r="H684" t="s">
        <v>6595</v>
      </c>
    </row>
    <row r="685" spans="1:8" x14ac:dyDescent="0.3">
      <c r="A685" t="s">
        <v>6596</v>
      </c>
      <c r="C685" t="s">
        <v>5267</v>
      </c>
      <c r="D685" t="s">
        <v>8889</v>
      </c>
      <c r="E685">
        <v>0</v>
      </c>
      <c r="F685">
        <v>683</v>
      </c>
      <c r="H685" t="s">
        <v>6596</v>
      </c>
    </row>
    <row r="686" spans="1:8" x14ac:dyDescent="0.3">
      <c r="A686" t="s">
        <v>6597</v>
      </c>
      <c r="C686" t="s">
        <v>5267</v>
      </c>
      <c r="D686" t="s">
        <v>8890</v>
      </c>
      <c r="E686">
        <v>0</v>
      </c>
      <c r="F686">
        <v>684</v>
      </c>
      <c r="H686" t="s">
        <v>6597</v>
      </c>
    </row>
    <row r="687" spans="1:8" x14ac:dyDescent="0.3">
      <c r="A687" t="s">
        <v>6598</v>
      </c>
      <c r="C687" t="s">
        <v>5267</v>
      </c>
      <c r="D687" t="s">
        <v>8891</v>
      </c>
      <c r="E687">
        <v>0</v>
      </c>
      <c r="F687">
        <v>685</v>
      </c>
      <c r="H687" t="s">
        <v>6598</v>
      </c>
    </row>
    <row r="688" spans="1:8" x14ac:dyDescent="0.3">
      <c r="A688" t="s">
        <v>6599</v>
      </c>
      <c r="C688" t="s">
        <v>5267</v>
      </c>
      <c r="D688" t="s">
        <v>8892</v>
      </c>
      <c r="E688">
        <v>0</v>
      </c>
      <c r="F688">
        <v>686</v>
      </c>
      <c r="H688" t="s">
        <v>6599</v>
      </c>
    </row>
    <row r="689" spans="1:8" x14ac:dyDescent="0.3">
      <c r="A689" t="s">
        <v>6600</v>
      </c>
      <c r="C689" t="s">
        <v>5267</v>
      </c>
      <c r="D689" t="s">
        <v>8893</v>
      </c>
      <c r="E689">
        <v>0</v>
      </c>
      <c r="F689">
        <v>687</v>
      </c>
      <c r="H689" t="s">
        <v>6600</v>
      </c>
    </row>
    <row r="690" spans="1:8" x14ac:dyDescent="0.3">
      <c r="A690" t="s">
        <v>6601</v>
      </c>
      <c r="C690" t="s">
        <v>5267</v>
      </c>
      <c r="D690" t="s">
        <v>8894</v>
      </c>
      <c r="E690">
        <v>0</v>
      </c>
      <c r="F690">
        <v>688</v>
      </c>
      <c r="H690" t="s">
        <v>6601</v>
      </c>
    </row>
    <row r="691" spans="1:8" x14ac:dyDescent="0.3">
      <c r="A691" t="s">
        <v>6602</v>
      </c>
      <c r="C691" t="s">
        <v>5267</v>
      </c>
      <c r="D691" t="s">
        <v>8895</v>
      </c>
      <c r="E691">
        <v>0</v>
      </c>
      <c r="F691">
        <v>689</v>
      </c>
      <c r="H691" t="s">
        <v>6602</v>
      </c>
    </row>
    <row r="692" spans="1:8" x14ac:dyDescent="0.3">
      <c r="A692" t="s">
        <v>6603</v>
      </c>
      <c r="C692" t="s">
        <v>5267</v>
      </c>
      <c r="D692" t="s">
        <v>8896</v>
      </c>
      <c r="E692">
        <v>0</v>
      </c>
      <c r="F692">
        <v>690</v>
      </c>
      <c r="H692" t="s">
        <v>6603</v>
      </c>
    </row>
    <row r="693" spans="1:8" x14ac:dyDescent="0.3">
      <c r="A693" t="s">
        <v>6604</v>
      </c>
      <c r="C693" t="s">
        <v>5267</v>
      </c>
      <c r="D693" t="s">
        <v>8897</v>
      </c>
      <c r="E693">
        <v>0</v>
      </c>
      <c r="F693">
        <v>691</v>
      </c>
      <c r="H693" t="s">
        <v>6604</v>
      </c>
    </row>
    <row r="694" spans="1:8" x14ac:dyDescent="0.3">
      <c r="A694" t="s">
        <v>6605</v>
      </c>
      <c r="C694" t="s">
        <v>5267</v>
      </c>
      <c r="D694" t="s">
        <v>8898</v>
      </c>
      <c r="E694">
        <v>0</v>
      </c>
      <c r="F694">
        <v>692</v>
      </c>
      <c r="H694" t="s">
        <v>6605</v>
      </c>
    </row>
    <row r="695" spans="1:8" x14ac:dyDescent="0.3">
      <c r="A695" t="s">
        <v>6606</v>
      </c>
      <c r="C695" t="s">
        <v>5267</v>
      </c>
      <c r="D695" t="s">
        <v>8899</v>
      </c>
      <c r="E695">
        <v>0</v>
      </c>
      <c r="F695">
        <v>693</v>
      </c>
      <c r="H695" t="s">
        <v>6606</v>
      </c>
    </row>
    <row r="696" spans="1:8" x14ac:dyDescent="0.3">
      <c r="A696" t="s">
        <v>6607</v>
      </c>
      <c r="C696" t="s">
        <v>5267</v>
      </c>
      <c r="D696" t="s">
        <v>8900</v>
      </c>
      <c r="E696">
        <v>0</v>
      </c>
      <c r="F696">
        <v>694</v>
      </c>
      <c r="H696" t="s">
        <v>6607</v>
      </c>
    </row>
    <row r="697" spans="1:8" x14ac:dyDescent="0.3">
      <c r="A697" t="s">
        <v>6608</v>
      </c>
      <c r="C697" t="s">
        <v>5267</v>
      </c>
      <c r="D697" t="s">
        <v>8901</v>
      </c>
      <c r="E697">
        <v>0</v>
      </c>
      <c r="F697">
        <v>695</v>
      </c>
      <c r="H697" t="s">
        <v>6608</v>
      </c>
    </row>
    <row r="698" spans="1:8" x14ac:dyDescent="0.3">
      <c r="A698" t="s">
        <v>6609</v>
      </c>
      <c r="C698" t="s">
        <v>5267</v>
      </c>
      <c r="D698" t="s">
        <v>8902</v>
      </c>
      <c r="E698">
        <v>0</v>
      </c>
      <c r="F698">
        <v>696</v>
      </c>
      <c r="H698" t="s">
        <v>6609</v>
      </c>
    </row>
    <row r="699" spans="1:8" x14ac:dyDescent="0.3">
      <c r="A699" t="s">
        <v>6610</v>
      </c>
      <c r="C699" t="s">
        <v>5267</v>
      </c>
      <c r="D699" t="s">
        <v>8903</v>
      </c>
      <c r="E699">
        <v>0</v>
      </c>
      <c r="F699">
        <v>697</v>
      </c>
      <c r="H699" t="s">
        <v>6610</v>
      </c>
    </row>
    <row r="700" spans="1:8" x14ac:dyDescent="0.3">
      <c r="A700" t="s">
        <v>6611</v>
      </c>
      <c r="C700" t="s">
        <v>5267</v>
      </c>
      <c r="D700" t="s">
        <v>8904</v>
      </c>
      <c r="E700">
        <v>0</v>
      </c>
      <c r="F700">
        <v>698</v>
      </c>
      <c r="H700" t="s">
        <v>6611</v>
      </c>
    </row>
    <row r="701" spans="1:8" x14ac:dyDescent="0.3">
      <c r="A701" t="s">
        <v>6612</v>
      </c>
      <c r="C701" t="s">
        <v>5267</v>
      </c>
      <c r="D701" t="s">
        <v>8905</v>
      </c>
      <c r="E701">
        <v>0</v>
      </c>
      <c r="F701">
        <v>699</v>
      </c>
      <c r="H701" t="s">
        <v>6612</v>
      </c>
    </row>
    <row r="702" spans="1:8" x14ac:dyDescent="0.3">
      <c r="A702" t="s">
        <v>6613</v>
      </c>
      <c r="C702" t="s">
        <v>5267</v>
      </c>
      <c r="D702" t="s">
        <v>8906</v>
      </c>
      <c r="E702">
        <v>0</v>
      </c>
      <c r="F702">
        <v>700</v>
      </c>
      <c r="H702" t="s">
        <v>6613</v>
      </c>
    </row>
    <row r="703" spans="1:8" x14ac:dyDescent="0.3">
      <c r="A703" t="s">
        <v>6614</v>
      </c>
      <c r="C703" t="s">
        <v>5267</v>
      </c>
      <c r="D703" t="s">
        <v>8907</v>
      </c>
      <c r="E703">
        <v>0</v>
      </c>
      <c r="F703">
        <v>701</v>
      </c>
      <c r="H703" t="s">
        <v>6614</v>
      </c>
    </row>
    <row r="704" spans="1:8" x14ac:dyDescent="0.3">
      <c r="A704" t="s">
        <v>6615</v>
      </c>
      <c r="C704" t="s">
        <v>5267</v>
      </c>
      <c r="D704" t="s">
        <v>8908</v>
      </c>
      <c r="E704">
        <v>0</v>
      </c>
      <c r="F704">
        <v>702</v>
      </c>
      <c r="H704" t="s">
        <v>6615</v>
      </c>
    </row>
    <row r="705" spans="1:8" x14ac:dyDescent="0.3">
      <c r="A705" t="s">
        <v>6616</v>
      </c>
      <c r="C705" t="s">
        <v>5267</v>
      </c>
      <c r="D705" t="s">
        <v>8909</v>
      </c>
      <c r="E705">
        <v>0</v>
      </c>
      <c r="F705">
        <v>703</v>
      </c>
      <c r="H705" t="s">
        <v>6616</v>
      </c>
    </row>
    <row r="706" spans="1:8" x14ac:dyDescent="0.3">
      <c r="A706" t="s">
        <v>6617</v>
      </c>
      <c r="C706" t="s">
        <v>5267</v>
      </c>
      <c r="D706" t="s">
        <v>8910</v>
      </c>
      <c r="E706">
        <v>0</v>
      </c>
      <c r="F706">
        <v>704</v>
      </c>
      <c r="H706" t="s">
        <v>6617</v>
      </c>
    </row>
    <row r="707" spans="1:8" x14ac:dyDescent="0.3">
      <c r="A707" t="s">
        <v>6618</v>
      </c>
      <c r="C707" t="s">
        <v>5267</v>
      </c>
      <c r="D707" t="s">
        <v>8911</v>
      </c>
      <c r="E707">
        <v>0</v>
      </c>
      <c r="F707">
        <v>705</v>
      </c>
      <c r="H707" t="s">
        <v>6618</v>
      </c>
    </row>
    <row r="708" spans="1:8" x14ac:dyDescent="0.3">
      <c r="A708" t="s">
        <v>6619</v>
      </c>
      <c r="C708" t="s">
        <v>5267</v>
      </c>
      <c r="D708" t="s">
        <v>8912</v>
      </c>
      <c r="E708">
        <v>0</v>
      </c>
      <c r="F708">
        <v>706</v>
      </c>
      <c r="H708" t="s">
        <v>6619</v>
      </c>
    </row>
    <row r="709" spans="1:8" x14ac:dyDescent="0.3">
      <c r="A709" t="s">
        <v>6620</v>
      </c>
      <c r="C709" t="s">
        <v>5267</v>
      </c>
      <c r="D709" t="s">
        <v>8913</v>
      </c>
      <c r="E709">
        <v>0</v>
      </c>
      <c r="F709">
        <v>707</v>
      </c>
      <c r="H709" t="s">
        <v>6620</v>
      </c>
    </row>
    <row r="710" spans="1:8" x14ac:dyDescent="0.3">
      <c r="A710" t="s">
        <v>6621</v>
      </c>
      <c r="C710" t="s">
        <v>5267</v>
      </c>
      <c r="D710" t="s">
        <v>8914</v>
      </c>
      <c r="E710">
        <v>0</v>
      </c>
      <c r="F710">
        <v>708</v>
      </c>
      <c r="H710" t="s">
        <v>6621</v>
      </c>
    </row>
    <row r="711" spans="1:8" x14ac:dyDescent="0.3">
      <c r="A711" t="s">
        <v>6622</v>
      </c>
      <c r="C711" t="s">
        <v>5267</v>
      </c>
      <c r="D711" t="s">
        <v>8915</v>
      </c>
      <c r="E711">
        <v>0</v>
      </c>
      <c r="F711">
        <v>709</v>
      </c>
      <c r="H711" t="s">
        <v>6622</v>
      </c>
    </row>
    <row r="712" spans="1:8" x14ac:dyDescent="0.3">
      <c r="A712" t="s">
        <v>6623</v>
      </c>
      <c r="C712" t="s">
        <v>5267</v>
      </c>
      <c r="D712" t="s">
        <v>8916</v>
      </c>
      <c r="E712">
        <v>0</v>
      </c>
      <c r="F712">
        <v>710</v>
      </c>
      <c r="H712" t="s">
        <v>6623</v>
      </c>
    </row>
    <row r="713" spans="1:8" x14ac:dyDescent="0.3">
      <c r="A713" t="s">
        <v>6624</v>
      </c>
      <c r="C713" t="s">
        <v>5267</v>
      </c>
      <c r="D713" t="s">
        <v>8917</v>
      </c>
      <c r="E713">
        <v>0</v>
      </c>
      <c r="F713">
        <v>711</v>
      </c>
      <c r="H713" t="s">
        <v>6624</v>
      </c>
    </row>
    <row r="714" spans="1:8" x14ac:dyDescent="0.3">
      <c r="A714" t="s">
        <v>6625</v>
      </c>
      <c r="C714" t="s">
        <v>5267</v>
      </c>
      <c r="D714" t="s">
        <v>8918</v>
      </c>
      <c r="E714">
        <v>0</v>
      </c>
      <c r="F714">
        <v>712</v>
      </c>
      <c r="H714" t="s">
        <v>6625</v>
      </c>
    </row>
    <row r="715" spans="1:8" x14ac:dyDescent="0.3">
      <c r="A715" t="s">
        <v>6626</v>
      </c>
      <c r="C715" t="s">
        <v>5267</v>
      </c>
      <c r="D715" t="s">
        <v>8919</v>
      </c>
      <c r="E715">
        <v>0</v>
      </c>
      <c r="F715">
        <v>713</v>
      </c>
      <c r="H715" t="s">
        <v>6626</v>
      </c>
    </row>
    <row r="716" spans="1:8" x14ac:dyDescent="0.3">
      <c r="A716" t="s">
        <v>6627</v>
      </c>
      <c r="C716" t="s">
        <v>5267</v>
      </c>
      <c r="D716" t="s">
        <v>8920</v>
      </c>
      <c r="E716">
        <v>0</v>
      </c>
      <c r="F716">
        <v>714</v>
      </c>
      <c r="H716" t="s">
        <v>6627</v>
      </c>
    </row>
    <row r="717" spans="1:8" x14ac:dyDescent="0.3">
      <c r="A717" t="s">
        <v>6628</v>
      </c>
      <c r="C717" t="s">
        <v>5267</v>
      </c>
      <c r="D717" t="s">
        <v>8921</v>
      </c>
      <c r="E717">
        <v>0</v>
      </c>
      <c r="F717">
        <v>715</v>
      </c>
      <c r="H717" t="s">
        <v>6628</v>
      </c>
    </row>
    <row r="718" spans="1:8" x14ac:dyDescent="0.3">
      <c r="A718" t="s">
        <v>6629</v>
      </c>
      <c r="C718" t="s">
        <v>5267</v>
      </c>
      <c r="D718" t="s">
        <v>8922</v>
      </c>
      <c r="E718">
        <v>0</v>
      </c>
      <c r="F718">
        <v>716</v>
      </c>
      <c r="H718" t="s">
        <v>6629</v>
      </c>
    </row>
    <row r="719" spans="1:8" x14ac:dyDescent="0.3">
      <c r="A719" t="s">
        <v>6630</v>
      </c>
      <c r="C719" t="s">
        <v>5267</v>
      </c>
      <c r="D719" t="s">
        <v>8923</v>
      </c>
      <c r="E719">
        <v>0</v>
      </c>
      <c r="F719">
        <v>717</v>
      </c>
      <c r="H719" t="s">
        <v>6630</v>
      </c>
    </row>
    <row r="720" spans="1:8" x14ac:dyDescent="0.3">
      <c r="A720" t="s">
        <v>6631</v>
      </c>
      <c r="C720" t="s">
        <v>5267</v>
      </c>
      <c r="D720" t="s">
        <v>8924</v>
      </c>
      <c r="E720">
        <v>0</v>
      </c>
      <c r="F720">
        <v>718</v>
      </c>
      <c r="H720" t="s">
        <v>6631</v>
      </c>
    </row>
    <row r="721" spans="1:8" x14ac:dyDescent="0.3">
      <c r="A721" t="s">
        <v>6632</v>
      </c>
      <c r="C721" t="s">
        <v>5267</v>
      </c>
      <c r="D721" t="s">
        <v>8925</v>
      </c>
      <c r="E721">
        <v>0</v>
      </c>
      <c r="F721">
        <v>719</v>
      </c>
      <c r="H721" t="s">
        <v>6632</v>
      </c>
    </row>
    <row r="722" spans="1:8" x14ac:dyDescent="0.3">
      <c r="A722" t="s">
        <v>6633</v>
      </c>
      <c r="C722" t="s">
        <v>5267</v>
      </c>
      <c r="D722" t="s">
        <v>8926</v>
      </c>
      <c r="E722">
        <v>0</v>
      </c>
      <c r="F722">
        <v>720</v>
      </c>
      <c r="H722" t="s">
        <v>6633</v>
      </c>
    </row>
    <row r="723" spans="1:8" x14ac:dyDescent="0.3">
      <c r="A723" t="s">
        <v>6634</v>
      </c>
      <c r="C723" t="s">
        <v>5267</v>
      </c>
      <c r="D723" t="s">
        <v>8927</v>
      </c>
      <c r="E723">
        <v>0</v>
      </c>
      <c r="F723">
        <v>721</v>
      </c>
      <c r="H723" t="s">
        <v>6634</v>
      </c>
    </row>
    <row r="724" spans="1:8" x14ac:dyDescent="0.3">
      <c r="A724" t="s">
        <v>6635</v>
      </c>
      <c r="C724" t="s">
        <v>5267</v>
      </c>
      <c r="D724" t="s">
        <v>8928</v>
      </c>
      <c r="E724">
        <v>0</v>
      </c>
      <c r="F724">
        <v>722</v>
      </c>
      <c r="H724" t="s">
        <v>6635</v>
      </c>
    </row>
    <row r="725" spans="1:8" x14ac:dyDescent="0.3">
      <c r="A725" t="s">
        <v>6636</v>
      </c>
      <c r="C725" t="s">
        <v>5267</v>
      </c>
      <c r="D725" t="s">
        <v>8929</v>
      </c>
      <c r="E725">
        <v>0</v>
      </c>
      <c r="F725">
        <v>723</v>
      </c>
      <c r="H725" t="s">
        <v>6636</v>
      </c>
    </row>
    <row r="726" spans="1:8" x14ac:dyDescent="0.3">
      <c r="A726" t="s">
        <v>6637</v>
      </c>
      <c r="C726" t="s">
        <v>5267</v>
      </c>
      <c r="D726" t="s">
        <v>8930</v>
      </c>
      <c r="E726">
        <v>0</v>
      </c>
      <c r="F726">
        <v>724</v>
      </c>
      <c r="H726" t="s">
        <v>6637</v>
      </c>
    </row>
    <row r="727" spans="1:8" x14ac:dyDescent="0.3">
      <c r="A727" t="s">
        <v>6638</v>
      </c>
      <c r="C727" t="s">
        <v>5267</v>
      </c>
      <c r="D727" t="s">
        <v>8931</v>
      </c>
      <c r="E727">
        <v>0</v>
      </c>
      <c r="F727">
        <v>725</v>
      </c>
      <c r="H727" t="s">
        <v>6638</v>
      </c>
    </row>
    <row r="728" spans="1:8" x14ac:dyDescent="0.3">
      <c r="A728" t="s">
        <v>6639</v>
      </c>
      <c r="C728" t="s">
        <v>5267</v>
      </c>
      <c r="D728" t="s">
        <v>8932</v>
      </c>
      <c r="E728">
        <v>0</v>
      </c>
      <c r="F728">
        <v>726</v>
      </c>
      <c r="H728" t="s">
        <v>6639</v>
      </c>
    </row>
    <row r="729" spans="1:8" x14ac:dyDescent="0.3">
      <c r="A729" t="s">
        <v>6640</v>
      </c>
      <c r="C729" t="s">
        <v>5267</v>
      </c>
      <c r="D729" t="s">
        <v>8933</v>
      </c>
      <c r="E729">
        <v>0</v>
      </c>
      <c r="F729">
        <v>727</v>
      </c>
      <c r="H729" t="s">
        <v>6640</v>
      </c>
    </row>
    <row r="730" spans="1:8" x14ac:dyDescent="0.3">
      <c r="A730" t="s">
        <v>6641</v>
      </c>
      <c r="C730" t="s">
        <v>5267</v>
      </c>
      <c r="D730" t="s">
        <v>8934</v>
      </c>
      <c r="E730">
        <v>0</v>
      </c>
      <c r="F730">
        <v>728</v>
      </c>
      <c r="H730" t="s">
        <v>6641</v>
      </c>
    </row>
    <row r="731" spans="1:8" x14ac:dyDescent="0.3">
      <c r="A731" t="s">
        <v>6642</v>
      </c>
      <c r="C731" t="s">
        <v>5267</v>
      </c>
      <c r="D731" t="s">
        <v>8935</v>
      </c>
      <c r="E731">
        <v>0</v>
      </c>
      <c r="F731">
        <v>729</v>
      </c>
      <c r="H731" t="s">
        <v>6642</v>
      </c>
    </row>
    <row r="732" spans="1:8" x14ac:dyDescent="0.3">
      <c r="A732" t="s">
        <v>6643</v>
      </c>
      <c r="C732" t="s">
        <v>5267</v>
      </c>
      <c r="D732" t="s">
        <v>8936</v>
      </c>
      <c r="E732">
        <v>0</v>
      </c>
      <c r="F732">
        <v>730</v>
      </c>
      <c r="H732" t="s">
        <v>6643</v>
      </c>
    </row>
    <row r="733" spans="1:8" x14ac:dyDescent="0.3">
      <c r="A733" t="s">
        <v>6644</v>
      </c>
      <c r="C733" t="s">
        <v>5267</v>
      </c>
      <c r="D733" t="s">
        <v>8937</v>
      </c>
      <c r="E733">
        <v>0</v>
      </c>
      <c r="F733">
        <v>731</v>
      </c>
      <c r="H733" t="s">
        <v>6644</v>
      </c>
    </row>
    <row r="734" spans="1:8" x14ac:dyDescent="0.3">
      <c r="A734" t="s">
        <v>6645</v>
      </c>
      <c r="C734" t="s">
        <v>5267</v>
      </c>
      <c r="D734" t="s">
        <v>8938</v>
      </c>
      <c r="E734">
        <v>0</v>
      </c>
      <c r="F734">
        <v>732</v>
      </c>
      <c r="H734" t="s">
        <v>6645</v>
      </c>
    </row>
    <row r="735" spans="1:8" x14ac:dyDescent="0.3">
      <c r="A735" t="s">
        <v>6646</v>
      </c>
      <c r="C735" t="s">
        <v>5267</v>
      </c>
      <c r="D735" t="s">
        <v>8939</v>
      </c>
      <c r="E735">
        <v>0</v>
      </c>
      <c r="F735">
        <v>733</v>
      </c>
      <c r="H735" t="s">
        <v>6646</v>
      </c>
    </row>
    <row r="736" spans="1:8" x14ac:dyDescent="0.3">
      <c r="A736" t="s">
        <v>6647</v>
      </c>
      <c r="C736" t="s">
        <v>5267</v>
      </c>
      <c r="D736" t="s">
        <v>8940</v>
      </c>
      <c r="E736">
        <v>0</v>
      </c>
      <c r="F736">
        <v>734</v>
      </c>
      <c r="H736" t="s">
        <v>6647</v>
      </c>
    </row>
    <row r="737" spans="1:8" x14ac:dyDescent="0.3">
      <c r="A737" t="s">
        <v>6648</v>
      </c>
      <c r="C737" t="s">
        <v>5267</v>
      </c>
      <c r="D737" t="s">
        <v>8941</v>
      </c>
      <c r="E737">
        <v>0</v>
      </c>
      <c r="F737">
        <v>735</v>
      </c>
      <c r="H737" t="s">
        <v>6648</v>
      </c>
    </row>
    <row r="738" spans="1:8" x14ac:dyDescent="0.3">
      <c r="A738" t="s">
        <v>6649</v>
      </c>
      <c r="C738" t="s">
        <v>5267</v>
      </c>
      <c r="D738" t="s">
        <v>8942</v>
      </c>
      <c r="E738">
        <v>0</v>
      </c>
      <c r="F738">
        <v>736</v>
      </c>
      <c r="H738" t="s">
        <v>6649</v>
      </c>
    </row>
    <row r="739" spans="1:8" x14ac:dyDescent="0.3">
      <c r="A739" t="s">
        <v>6650</v>
      </c>
      <c r="C739" t="s">
        <v>5267</v>
      </c>
      <c r="D739" t="s">
        <v>8943</v>
      </c>
      <c r="E739">
        <v>0</v>
      </c>
      <c r="F739">
        <v>737</v>
      </c>
      <c r="H739" t="s">
        <v>6650</v>
      </c>
    </row>
    <row r="740" spans="1:8" x14ac:dyDescent="0.3">
      <c r="A740" t="s">
        <v>6651</v>
      </c>
      <c r="C740" t="s">
        <v>5267</v>
      </c>
      <c r="D740" t="s">
        <v>8944</v>
      </c>
      <c r="E740">
        <v>0</v>
      </c>
      <c r="F740">
        <v>738</v>
      </c>
      <c r="H740" t="s">
        <v>6651</v>
      </c>
    </row>
    <row r="741" spans="1:8" x14ac:dyDescent="0.3">
      <c r="A741" t="s">
        <v>6652</v>
      </c>
      <c r="C741" t="s">
        <v>5267</v>
      </c>
      <c r="D741" t="s">
        <v>8945</v>
      </c>
      <c r="E741">
        <v>0</v>
      </c>
      <c r="F741">
        <v>739</v>
      </c>
      <c r="H741" t="s">
        <v>6652</v>
      </c>
    </row>
    <row r="742" spans="1:8" x14ac:dyDescent="0.3">
      <c r="A742" t="s">
        <v>6653</v>
      </c>
      <c r="C742" t="s">
        <v>5267</v>
      </c>
      <c r="D742" t="s">
        <v>8946</v>
      </c>
      <c r="E742">
        <v>0</v>
      </c>
      <c r="F742">
        <v>740</v>
      </c>
      <c r="H742" t="s">
        <v>6653</v>
      </c>
    </row>
    <row r="743" spans="1:8" x14ac:dyDescent="0.3">
      <c r="A743" t="s">
        <v>6654</v>
      </c>
      <c r="C743" t="s">
        <v>5267</v>
      </c>
      <c r="D743" t="s">
        <v>8947</v>
      </c>
      <c r="E743">
        <v>0</v>
      </c>
      <c r="F743">
        <v>741</v>
      </c>
      <c r="H743" t="s">
        <v>6654</v>
      </c>
    </row>
    <row r="744" spans="1:8" x14ac:dyDescent="0.3">
      <c r="A744" t="s">
        <v>6655</v>
      </c>
      <c r="C744" t="s">
        <v>5267</v>
      </c>
      <c r="D744" t="s">
        <v>8948</v>
      </c>
      <c r="E744">
        <v>0</v>
      </c>
      <c r="F744">
        <v>742</v>
      </c>
      <c r="H744" t="s">
        <v>6655</v>
      </c>
    </row>
    <row r="745" spans="1:8" x14ac:dyDescent="0.3">
      <c r="A745" t="s">
        <v>6656</v>
      </c>
      <c r="C745" t="s">
        <v>5267</v>
      </c>
      <c r="D745" t="s">
        <v>8949</v>
      </c>
      <c r="E745">
        <v>0</v>
      </c>
      <c r="F745">
        <v>743</v>
      </c>
      <c r="H745" t="s">
        <v>6656</v>
      </c>
    </row>
    <row r="746" spans="1:8" x14ac:dyDescent="0.3">
      <c r="A746" t="s">
        <v>6657</v>
      </c>
      <c r="C746" t="s">
        <v>5267</v>
      </c>
      <c r="D746" t="s">
        <v>8950</v>
      </c>
      <c r="E746">
        <v>0</v>
      </c>
      <c r="F746">
        <v>744</v>
      </c>
      <c r="H746" t="s">
        <v>6657</v>
      </c>
    </row>
    <row r="747" spans="1:8" x14ac:dyDescent="0.3">
      <c r="A747" t="s">
        <v>6658</v>
      </c>
      <c r="C747" t="s">
        <v>5267</v>
      </c>
      <c r="D747" t="s">
        <v>8951</v>
      </c>
      <c r="E747">
        <v>0</v>
      </c>
      <c r="F747">
        <v>745</v>
      </c>
      <c r="H747" t="s">
        <v>6658</v>
      </c>
    </row>
    <row r="748" spans="1:8" x14ac:dyDescent="0.3">
      <c r="A748" t="s">
        <v>6659</v>
      </c>
      <c r="C748" t="s">
        <v>5267</v>
      </c>
      <c r="D748" t="s">
        <v>8952</v>
      </c>
      <c r="E748">
        <v>0</v>
      </c>
      <c r="F748">
        <v>746</v>
      </c>
      <c r="H748" t="s">
        <v>6659</v>
      </c>
    </row>
    <row r="749" spans="1:8" x14ac:dyDescent="0.3">
      <c r="A749" t="s">
        <v>6660</v>
      </c>
      <c r="C749" t="s">
        <v>5267</v>
      </c>
      <c r="D749" t="s">
        <v>8953</v>
      </c>
      <c r="E749">
        <v>0</v>
      </c>
      <c r="F749">
        <v>747</v>
      </c>
      <c r="H749" t="s">
        <v>6660</v>
      </c>
    </row>
    <row r="750" spans="1:8" x14ac:dyDescent="0.3">
      <c r="A750" t="s">
        <v>6661</v>
      </c>
      <c r="C750" t="s">
        <v>5267</v>
      </c>
      <c r="D750" t="s">
        <v>8954</v>
      </c>
      <c r="E750">
        <v>0</v>
      </c>
      <c r="F750">
        <v>748</v>
      </c>
      <c r="H750" t="s">
        <v>6661</v>
      </c>
    </row>
    <row r="751" spans="1:8" x14ac:dyDescent="0.3">
      <c r="A751" t="s">
        <v>6662</v>
      </c>
      <c r="C751" t="s">
        <v>5267</v>
      </c>
      <c r="D751" t="s">
        <v>8955</v>
      </c>
      <c r="E751">
        <v>0</v>
      </c>
      <c r="F751">
        <v>749</v>
      </c>
      <c r="H751" t="s">
        <v>6662</v>
      </c>
    </row>
    <row r="752" spans="1:8" x14ac:dyDescent="0.3">
      <c r="A752" t="s">
        <v>6663</v>
      </c>
      <c r="C752" t="s">
        <v>5267</v>
      </c>
      <c r="D752" t="s">
        <v>8956</v>
      </c>
      <c r="E752">
        <v>0</v>
      </c>
      <c r="F752">
        <v>750</v>
      </c>
      <c r="H752" t="s">
        <v>6663</v>
      </c>
    </row>
    <row r="753" spans="1:8" x14ac:dyDescent="0.3">
      <c r="A753" t="s">
        <v>6664</v>
      </c>
      <c r="C753" t="s">
        <v>5267</v>
      </c>
      <c r="D753" t="s">
        <v>8957</v>
      </c>
      <c r="E753">
        <v>0</v>
      </c>
      <c r="F753">
        <v>751</v>
      </c>
      <c r="H753" t="s">
        <v>6664</v>
      </c>
    </row>
    <row r="754" spans="1:8" x14ac:dyDescent="0.3">
      <c r="A754" t="s">
        <v>6665</v>
      </c>
      <c r="C754" t="s">
        <v>5267</v>
      </c>
      <c r="D754" t="s">
        <v>8958</v>
      </c>
      <c r="E754">
        <v>0</v>
      </c>
      <c r="F754">
        <v>752</v>
      </c>
      <c r="H754" t="s">
        <v>6665</v>
      </c>
    </row>
    <row r="755" spans="1:8" x14ac:dyDescent="0.3">
      <c r="A755" t="s">
        <v>6666</v>
      </c>
      <c r="C755" t="s">
        <v>5267</v>
      </c>
      <c r="D755" t="s">
        <v>8959</v>
      </c>
      <c r="E755">
        <v>0</v>
      </c>
      <c r="F755">
        <v>753</v>
      </c>
      <c r="H755" t="s">
        <v>6666</v>
      </c>
    </row>
    <row r="756" spans="1:8" x14ac:dyDescent="0.3">
      <c r="A756" t="s">
        <v>6667</v>
      </c>
      <c r="C756" t="s">
        <v>5267</v>
      </c>
      <c r="D756" t="s">
        <v>8960</v>
      </c>
      <c r="E756">
        <v>0</v>
      </c>
      <c r="F756">
        <v>754</v>
      </c>
      <c r="H756" t="s">
        <v>6667</v>
      </c>
    </row>
    <row r="757" spans="1:8" x14ac:dyDescent="0.3">
      <c r="A757" t="s">
        <v>6668</v>
      </c>
      <c r="C757" t="s">
        <v>5267</v>
      </c>
      <c r="D757" t="s">
        <v>8961</v>
      </c>
      <c r="E757">
        <v>0</v>
      </c>
      <c r="F757">
        <v>755</v>
      </c>
      <c r="H757" t="s">
        <v>6668</v>
      </c>
    </row>
    <row r="758" spans="1:8" x14ac:dyDescent="0.3">
      <c r="A758" t="s">
        <v>6669</v>
      </c>
      <c r="C758" t="s">
        <v>5267</v>
      </c>
      <c r="D758" t="s">
        <v>8962</v>
      </c>
      <c r="E758">
        <v>0</v>
      </c>
      <c r="F758">
        <v>756</v>
      </c>
      <c r="H758" t="s">
        <v>6669</v>
      </c>
    </row>
    <row r="759" spans="1:8" x14ac:dyDescent="0.3">
      <c r="A759" t="s">
        <v>6670</v>
      </c>
      <c r="C759" t="s">
        <v>5267</v>
      </c>
      <c r="D759" t="s">
        <v>8963</v>
      </c>
      <c r="E759">
        <v>0</v>
      </c>
      <c r="F759">
        <v>757</v>
      </c>
      <c r="H759" t="s">
        <v>6670</v>
      </c>
    </row>
    <row r="760" spans="1:8" x14ac:dyDescent="0.3">
      <c r="A760" t="s">
        <v>6671</v>
      </c>
      <c r="C760" t="s">
        <v>5267</v>
      </c>
      <c r="D760" t="s">
        <v>8964</v>
      </c>
      <c r="E760">
        <v>0</v>
      </c>
      <c r="F760">
        <v>758</v>
      </c>
      <c r="H760" t="s">
        <v>6671</v>
      </c>
    </row>
    <row r="761" spans="1:8" x14ac:dyDescent="0.3">
      <c r="A761" t="s">
        <v>6672</v>
      </c>
      <c r="C761" t="s">
        <v>5267</v>
      </c>
      <c r="D761" t="s">
        <v>8965</v>
      </c>
      <c r="E761">
        <v>0</v>
      </c>
      <c r="F761">
        <v>759</v>
      </c>
      <c r="H761" t="s">
        <v>6672</v>
      </c>
    </row>
    <row r="762" spans="1:8" x14ac:dyDescent="0.3">
      <c r="A762" t="s">
        <v>6673</v>
      </c>
      <c r="C762" t="s">
        <v>5267</v>
      </c>
      <c r="D762" t="s">
        <v>8966</v>
      </c>
      <c r="E762">
        <v>0</v>
      </c>
      <c r="F762">
        <v>760</v>
      </c>
      <c r="H762" t="s">
        <v>6673</v>
      </c>
    </row>
    <row r="763" spans="1:8" x14ac:dyDescent="0.3">
      <c r="A763" t="s">
        <v>6674</v>
      </c>
      <c r="C763" t="s">
        <v>5267</v>
      </c>
      <c r="D763" t="s">
        <v>8967</v>
      </c>
      <c r="E763">
        <v>0</v>
      </c>
      <c r="F763">
        <v>761</v>
      </c>
      <c r="H763" t="s">
        <v>6674</v>
      </c>
    </row>
    <row r="764" spans="1:8" x14ac:dyDescent="0.3">
      <c r="A764" t="s">
        <v>6675</v>
      </c>
      <c r="C764" t="s">
        <v>5267</v>
      </c>
      <c r="D764" t="s">
        <v>8968</v>
      </c>
      <c r="E764">
        <v>0</v>
      </c>
      <c r="F764">
        <v>762</v>
      </c>
      <c r="H764" t="s">
        <v>6675</v>
      </c>
    </row>
    <row r="765" spans="1:8" x14ac:dyDescent="0.3">
      <c r="A765" t="s">
        <v>6676</v>
      </c>
      <c r="C765" t="s">
        <v>5267</v>
      </c>
      <c r="D765" t="s">
        <v>8969</v>
      </c>
      <c r="E765">
        <v>0</v>
      </c>
      <c r="F765">
        <v>763</v>
      </c>
      <c r="H765" t="s">
        <v>6676</v>
      </c>
    </row>
    <row r="766" spans="1:8" x14ac:dyDescent="0.3">
      <c r="A766" t="s">
        <v>6677</v>
      </c>
      <c r="C766" t="s">
        <v>5267</v>
      </c>
      <c r="D766" t="s">
        <v>8970</v>
      </c>
      <c r="E766">
        <v>0</v>
      </c>
      <c r="F766">
        <v>764</v>
      </c>
      <c r="H766" t="s">
        <v>6677</v>
      </c>
    </row>
    <row r="767" spans="1:8" x14ac:dyDescent="0.3">
      <c r="A767" t="s">
        <v>6678</v>
      </c>
      <c r="C767" t="s">
        <v>5267</v>
      </c>
      <c r="D767" t="s">
        <v>8971</v>
      </c>
      <c r="E767">
        <v>0</v>
      </c>
      <c r="F767">
        <v>765</v>
      </c>
      <c r="H767" t="s">
        <v>6678</v>
      </c>
    </row>
    <row r="768" spans="1:8" x14ac:dyDescent="0.3">
      <c r="A768" t="s">
        <v>6679</v>
      </c>
      <c r="C768" t="s">
        <v>5267</v>
      </c>
      <c r="D768" t="s">
        <v>8972</v>
      </c>
      <c r="E768">
        <v>0</v>
      </c>
      <c r="F768">
        <v>766</v>
      </c>
      <c r="H768" t="s">
        <v>6679</v>
      </c>
    </row>
    <row r="769" spans="1:8" x14ac:dyDescent="0.3">
      <c r="A769" t="s">
        <v>6680</v>
      </c>
      <c r="C769" t="s">
        <v>5267</v>
      </c>
      <c r="D769" t="s">
        <v>8973</v>
      </c>
      <c r="E769">
        <v>0</v>
      </c>
      <c r="F769">
        <v>767</v>
      </c>
      <c r="H769" t="s">
        <v>6680</v>
      </c>
    </row>
    <row r="770" spans="1:8" x14ac:dyDescent="0.3">
      <c r="A770" t="s">
        <v>6681</v>
      </c>
      <c r="C770" t="s">
        <v>5267</v>
      </c>
      <c r="D770" t="s">
        <v>8974</v>
      </c>
      <c r="E770">
        <v>0</v>
      </c>
      <c r="F770">
        <v>768</v>
      </c>
      <c r="H770" t="s">
        <v>6681</v>
      </c>
    </row>
    <row r="771" spans="1:8" x14ac:dyDescent="0.3">
      <c r="A771" t="s">
        <v>6682</v>
      </c>
      <c r="C771" t="s">
        <v>5267</v>
      </c>
      <c r="D771" t="s">
        <v>8975</v>
      </c>
      <c r="E771">
        <v>0</v>
      </c>
      <c r="F771">
        <v>769</v>
      </c>
      <c r="H771" t="s">
        <v>6682</v>
      </c>
    </row>
    <row r="772" spans="1:8" x14ac:dyDescent="0.3">
      <c r="A772" t="s">
        <v>6683</v>
      </c>
      <c r="C772" t="s">
        <v>5267</v>
      </c>
      <c r="D772" t="s">
        <v>8976</v>
      </c>
      <c r="E772">
        <v>0</v>
      </c>
      <c r="F772">
        <v>770</v>
      </c>
      <c r="H772" t="s">
        <v>6683</v>
      </c>
    </row>
    <row r="773" spans="1:8" x14ac:dyDescent="0.3">
      <c r="A773" t="s">
        <v>6684</v>
      </c>
      <c r="C773" t="s">
        <v>5267</v>
      </c>
      <c r="D773" t="s">
        <v>8977</v>
      </c>
      <c r="E773">
        <v>0</v>
      </c>
      <c r="F773">
        <v>771</v>
      </c>
      <c r="H773" t="s">
        <v>6684</v>
      </c>
    </row>
    <row r="774" spans="1:8" x14ac:dyDescent="0.3">
      <c r="A774" t="s">
        <v>6685</v>
      </c>
      <c r="C774" t="s">
        <v>5267</v>
      </c>
      <c r="D774" t="s">
        <v>8978</v>
      </c>
      <c r="E774">
        <v>0</v>
      </c>
      <c r="F774">
        <v>772</v>
      </c>
      <c r="H774" t="s">
        <v>6685</v>
      </c>
    </row>
    <row r="775" spans="1:8" x14ac:dyDescent="0.3">
      <c r="A775" t="s">
        <v>6686</v>
      </c>
      <c r="C775" t="s">
        <v>5267</v>
      </c>
      <c r="D775" t="s">
        <v>8979</v>
      </c>
      <c r="E775">
        <v>0</v>
      </c>
      <c r="F775">
        <v>773</v>
      </c>
      <c r="H775" t="s">
        <v>6686</v>
      </c>
    </row>
    <row r="776" spans="1:8" x14ac:dyDescent="0.3">
      <c r="A776" t="s">
        <v>6687</v>
      </c>
      <c r="C776" t="s">
        <v>5267</v>
      </c>
      <c r="D776" t="s">
        <v>8980</v>
      </c>
      <c r="E776">
        <v>0</v>
      </c>
      <c r="F776">
        <v>774</v>
      </c>
      <c r="H776" t="s">
        <v>6687</v>
      </c>
    </row>
    <row r="777" spans="1:8" x14ac:dyDescent="0.3">
      <c r="A777" t="s">
        <v>6688</v>
      </c>
      <c r="C777" t="s">
        <v>5267</v>
      </c>
      <c r="D777" t="s">
        <v>8981</v>
      </c>
      <c r="E777">
        <v>0</v>
      </c>
      <c r="F777">
        <v>775</v>
      </c>
      <c r="H777" t="s">
        <v>6688</v>
      </c>
    </row>
    <row r="778" spans="1:8" x14ac:dyDescent="0.3">
      <c r="A778" t="s">
        <v>6689</v>
      </c>
      <c r="C778" t="s">
        <v>5267</v>
      </c>
      <c r="D778" t="s">
        <v>8982</v>
      </c>
      <c r="E778">
        <v>0</v>
      </c>
      <c r="F778">
        <v>776</v>
      </c>
      <c r="H778" t="s">
        <v>6689</v>
      </c>
    </row>
    <row r="779" spans="1:8" x14ac:dyDescent="0.3">
      <c r="A779" t="s">
        <v>6690</v>
      </c>
      <c r="C779" t="s">
        <v>5267</v>
      </c>
      <c r="D779" t="s">
        <v>8983</v>
      </c>
      <c r="E779">
        <v>0</v>
      </c>
      <c r="F779">
        <v>777</v>
      </c>
      <c r="H779" t="s">
        <v>6690</v>
      </c>
    </row>
    <row r="780" spans="1:8" x14ac:dyDescent="0.3">
      <c r="A780" t="s">
        <v>6691</v>
      </c>
      <c r="C780" t="s">
        <v>5267</v>
      </c>
      <c r="D780" t="s">
        <v>8984</v>
      </c>
      <c r="E780">
        <v>0</v>
      </c>
      <c r="F780">
        <v>778</v>
      </c>
      <c r="H780" t="s">
        <v>6691</v>
      </c>
    </row>
    <row r="781" spans="1:8" x14ac:dyDescent="0.3">
      <c r="A781" t="s">
        <v>6692</v>
      </c>
      <c r="C781" t="s">
        <v>5267</v>
      </c>
      <c r="D781" t="s">
        <v>8985</v>
      </c>
      <c r="E781">
        <v>0</v>
      </c>
      <c r="F781">
        <v>779</v>
      </c>
      <c r="H781" t="s">
        <v>6692</v>
      </c>
    </row>
    <row r="782" spans="1:8" x14ac:dyDescent="0.3">
      <c r="A782" t="s">
        <v>6693</v>
      </c>
      <c r="C782" t="s">
        <v>5267</v>
      </c>
      <c r="D782" t="s">
        <v>8986</v>
      </c>
      <c r="E782">
        <v>0</v>
      </c>
      <c r="F782">
        <v>780</v>
      </c>
      <c r="H782" t="s">
        <v>6693</v>
      </c>
    </row>
    <row r="783" spans="1:8" x14ac:dyDescent="0.3">
      <c r="A783" t="s">
        <v>6694</v>
      </c>
      <c r="C783" t="s">
        <v>5267</v>
      </c>
      <c r="D783" t="s">
        <v>8987</v>
      </c>
      <c r="E783">
        <v>0</v>
      </c>
      <c r="F783">
        <v>781</v>
      </c>
      <c r="H783" t="s">
        <v>6694</v>
      </c>
    </row>
    <row r="784" spans="1:8" x14ac:dyDescent="0.3">
      <c r="A784" t="s">
        <v>6695</v>
      </c>
      <c r="C784" t="s">
        <v>5267</v>
      </c>
      <c r="D784" t="s">
        <v>8988</v>
      </c>
      <c r="E784">
        <v>0</v>
      </c>
      <c r="F784">
        <v>782</v>
      </c>
      <c r="H784" t="s">
        <v>6695</v>
      </c>
    </row>
    <row r="785" spans="1:8" x14ac:dyDescent="0.3">
      <c r="A785" t="s">
        <v>6696</v>
      </c>
      <c r="C785" t="s">
        <v>5267</v>
      </c>
      <c r="D785" t="s">
        <v>8989</v>
      </c>
      <c r="E785">
        <v>0</v>
      </c>
      <c r="F785">
        <v>783</v>
      </c>
      <c r="H785" t="s">
        <v>6696</v>
      </c>
    </row>
    <row r="786" spans="1:8" x14ac:dyDescent="0.3">
      <c r="A786" t="s">
        <v>6697</v>
      </c>
      <c r="C786" t="s">
        <v>5267</v>
      </c>
      <c r="D786" t="s">
        <v>8990</v>
      </c>
      <c r="E786">
        <v>0</v>
      </c>
      <c r="F786">
        <v>784</v>
      </c>
      <c r="H786" t="s">
        <v>6697</v>
      </c>
    </row>
    <row r="787" spans="1:8" x14ac:dyDescent="0.3">
      <c r="A787" t="s">
        <v>6698</v>
      </c>
      <c r="C787" t="s">
        <v>5267</v>
      </c>
      <c r="D787" t="s">
        <v>8991</v>
      </c>
      <c r="E787">
        <v>0</v>
      </c>
      <c r="F787">
        <v>785</v>
      </c>
      <c r="H787" t="s">
        <v>6698</v>
      </c>
    </row>
    <row r="788" spans="1:8" x14ac:dyDescent="0.3">
      <c r="A788" t="s">
        <v>6699</v>
      </c>
      <c r="C788" t="s">
        <v>5267</v>
      </c>
      <c r="D788" t="s">
        <v>8992</v>
      </c>
      <c r="E788">
        <v>0</v>
      </c>
      <c r="F788">
        <v>786</v>
      </c>
      <c r="H788" t="s">
        <v>6699</v>
      </c>
    </row>
    <row r="789" spans="1:8" x14ac:dyDescent="0.3">
      <c r="A789" t="s">
        <v>6700</v>
      </c>
      <c r="C789" t="s">
        <v>5267</v>
      </c>
      <c r="D789" t="s">
        <v>8993</v>
      </c>
      <c r="E789">
        <v>0</v>
      </c>
      <c r="F789">
        <v>787</v>
      </c>
      <c r="H789" t="s">
        <v>6700</v>
      </c>
    </row>
    <row r="790" spans="1:8" x14ac:dyDescent="0.3">
      <c r="A790" t="s">
        <v>6701</v>
      </c>
      <c r="C790" t="s">
        <v>5267</v>
      </c>
      <c r="D790" t="s">
        <v>8994</v>
      </c>
      <c r="E790">
        <v>0</v>
      </c>
      <c r="F790">
        <v>788</v>
      </c>
      <c r="H790" t="s">
        <v>6701</v>
      </c>
    </row>
    <row r="791" spans="1:8" x14ac:dyDescent="0.3">
      <c r="A791" t="s">
        <v>6702</v>
      </c>
      <c r="C791" t="s">
        <v>5267</v>
      </c>
      <c r="D791" t="s">
        <v>8995</v>
      </c>
      <c r="E791">
        <v>0</v>
      </c>
      <c r="F791">
        <v>789</v>
      </c>
      <c r="H791" t="s">
        <v>6702</v>
      </c>
    </row>
    <row r="792" spans="1:8" x14ac:dyDescent="0.3">
      <c r="A792" t="s">
        <v>6703</v>
      </c>
      <c r="C792" t="s">
        <v>5267</v>
      </c>
      <c r="D792" t="s">
        <v>8996</v>
      </c>
      <c r="E792">
        <v>0</v>
      </c>
      <c r="F792">
        <v>790</v>
      </c>
      <c r="H792" t="s">
        <v>6703</v>
      </c>
    </row>
    <row r="793" spans="1:8" x14ac:dyDescent="0.3">
      <c r="A793" t="s">
        <v>6704</v>
      </c>
      <c r="C793" t="s">
        <v>5267</v>
      </c>
      <c r="D793" t="s">
        <v>8997</v>
      </c>
      <c r="E793">
        <v>0</v>
      </c>
      <c r="F793">
        <v>791</v>
      </c>
      <c r="H793" t="s">
        <v>6704</v>
      </c>
    </row>
    <row r="794" spans="1:8" x14ac:dyDescent="0.3">
      <c r="A794" t="s">
        <v>6705</v>
      </c>
      <c r="C794" t="s">
        <v>5267</v>
      </c>
      <c r="D794" t="s">
        <v>8998</v>
      </c>
      <c r="E794">
        <v>0</v>
      </c>
      <c r="F794">
        <v>792</v>
      </c>
      <c r="H794" t="s">
        <v>6705</v>
      </c>
    </row>
    <row r="795" spans="1:8" x14ac:dyDescent="0.3">
      <c r="A795" t="s">
        <v>6706</v>
      </c>
      <c r="C795" t="s">
        <v>5267</v>
      </c>
      <c r="D795" t="s">
        <v>8999</v>
      </c>
      <c r="E795">
        <v>0</v>
      </c>
      <c r="F795">
        <v>793</v>
      </c>
      <c r="H795" t="s">
        <v>6706</v>
      </c>
    </row>
    <row r="796" spans="1:8" x14ac:dyDescent="0.3">
      <c r="A796" t="s">
        <v>6707</v>
      </c>
      <c r="C796" t="s">
        <v>5267</v>
      </c>
      <c r="D796" t="s">
        <v>9000</v>
      </c>
      <c r="E796">
        <v>0</v>
      </c>
      <c r="F796">
        <v>794</v>
      </c>
      <c r="H796" t="s">
        <v>6707</v>
      </c>
    </row>
    <row r="797" spans="1:8" x14ac:dyDescent="0.3">
      <c r="A797" t="s">
        <v>6708</v>
      </c>
      <c r="C797" t="s">
        <v>5267</v>
      </c>
      <c r="D797" t="s">
        <v>9001</v>
      </c>
      <c r="E797">
        <v>0</v>
      </c>
      <c r="F797">
        <v>795</v>
      </c>
      <c r="H797" t="s">
        <v>6708</v>
      </c>
    </row>
    <row r="798" spans="1:8" x14ac:dyDescent="0.3">
      <c r="A798" t="s">
        <v>6709</v>
      </c>
      <c r="C798" t="s">
        <v>5267</v>
      </c>
      <c r="D798" t="s">
        <v>9002</v>
      </c>
      <c r="E798">
        <v>0</v>
      </c>
      <c r="F798">
        <v>796</v>
      </c>
      <c r="H798" t="s">
        <v>6709</v>
      </c>
    </row>
    <row r="799" spans="1:8" x14ac:dyDescent="0.3">
      <c r="A799" t="s">
        <v>6710</v>
      </c>
      <c r="C799" t="s">
        <v>5267</v>
      </c>
      <c r="D799" t="s">
        <v>9003</v>
      </c>
      <c r="E799">
        <v>0</v>
      </c>
      <c r="F799">
        <v>797</v>
      </c>
      <c r="H799" t="s">
        <v>6710</v>
      </c>
    </row>
    <row r="800" spans="1:8" x14ac:dyDescent="0.3">
      <c r="A800" t="s">
        <v>6711</v>
      </c>
      <c r="C800" t="s">
        <v>5267</v>
      </c>
      <c r="D800" t="s">
        <v>9004</v>
      </c>
      <c r="E800">
        <v>0</v>
      </c>
      <c r="F800">
        <v>798</v>
      </c>
      <c r="H800" t="s">
        <v>6711</v>
      </c>
    </row>
    <row r="801" spans="1:8" x14ac:dyDescent="0.3">
      <c r="A801" t="s">
        <v>6712</v>
      </c>
      <c r="C801" t="s">
        <v>5267</v>
      </c>
      <c r="D801" t="s">
        <v>9005</v>
      </c>
      <c r="E801">
        <v>0</v>
      </c>
      <c r="F801">
        <v>799</v>
      </c>
      <c r="H801" t="s">
        <v>6712</v>
      </c>
    </row>
    <row r="802" spans="1:8" x14ac:dyDescent="0.3">
      <c r="A802" t="s">
        <v>6713</v>
      </c>
      <c r="C802" t="s">
        <v>5267</v>
      </c>
      <c r="D802" t="s">
        <v>9006</v>
      </c>
      <c r="E802">
        <v>0</v>
      </c>
      <c r="F802">
        <v>800</v>
      </c>
      <c r="H802" t="s">
        <v>6713</v>
      </c>
    </row>
    <row r="803" spans="1:8" x14ac:dyDescent="0.3">
      <c r="A803" t="s">
        <v>6714</v>
      </c>
      <c r="C803" t="s">
        <v>5267</v>
      </c>
      <c r="D803" t="s">
        <v>9007</v>
      </c>
      <c r="E803">
        <v>0</v>
      </c>
      <c r="F803">
        <v>801</v>
      </c>
      <c r="H803" t="s">
        <v>6714</v>
      </c>
    </row>
    <row r="804" spans="1:8" x14ac:dyDescent="0.3">
      <c r="A804" t="s">
        <v>6715</v>
      </c>
      <c r="C804" t="s">
        <v>5267</v>
      </c>
      <c r="D804" t="s">
        <v>9008</v>
      </c>
      <c r="E804">
        <v>0</v>
      </c>
      <c r="F804">
        <v>802</v>
      </c>
      <c r="H804" t="s">
        <v>6715</v>
      </c>
    </row>
    <row r="805" spans="1:8" x14ac:dyDescent="0.3">
      <c r="A805" t="s">
        <v>6716</v>
      </c>
      <c r="C805" t="s">
        <v>5267</v>
      </c>
      <c r="D805" t="s">
        <v>9009</v>
      </c>
      <c r="E805">
        <v>0</v>
      </c>
      <c r="F805">
        <v>803</v>
      </c>
      <c r="H805" t="s">
        <v>6716</v>
      </c>
    </row>
    <row r="806" spans="1:8" x14ac:dyDescent="0.3">
      <c r="A806" t="s">
        <v>6215</v>
      </c>
      <c r="C806" t="s">
        <v>5267</v>
      </c>
      <c r="D806" t="s">
        <v>9010</v>
      </c>
      <c r="E806">
        <v>0</v>
      </c>
      <c r="F806">
        <v>804</v>
      </c>
      <c r="H806" t="s">
        <v>6215</v>
      </c>
    </row>
    <row r="807" spans="1:8" x14ac:dyDescent="0.3">
      <c r="A807" t="s">
        <v>6717</v>
      </c>
      <c r="C807" t="s">
        <v>5267</v>
      </c>
      <c r="D807" t="s">
        <v>9011</v>
      </c>
      <c r="E807">
        <v>0</v>
      </c>
      <c r="F807">
        <v>805</v>
      </c>
      <c r="H807" t="s">
        <v>6717</v>
      </c>
    </row>
    <row r="808" spans="1:8" x14ac:dyDescent="0.3">
      <c r="A808" t="s">
        <v>6718</v>
      </c>
      <c r="C808" t="s">
        <v>5267</v>
      </c>
      <c r="D808" t="s">
        <v>9012</v>
      </c>
      <c r="E808">
        <v>0</v>
      </c>
      <c r="F808">
        <v>806</v>
      </c>
      <c r="H808" t="s">
        <v>6718</v>
      </c>
    </row>
    <row r="809" spans="1:8" x14ac:dyDescent="0.3">
      <c r="A809" t="s">
        <v>6719</v>
      </c>
      <c r="C809" t="s">
        <v>5267</v>
      </c>
      <c r="D809" t="s">
        <v>9013</v>
      </c>
      <c r="E809">
        <v>0</v>
      </c>
      <c r="F809">
        <v>807</v>
      </c>
      <c r="H809" t="s">
        <v>6719</v>
      </c>
    </row>
    <row r="810" spans="1:8" x14ac:dyDescent="0.3">
      <c r="A810" t="s">
        <v>6720</v>
      </c>
      <c r="C810" t="s">
        <v>5267</v>
      </c>
      <c r="D810" t="s">
        <v>9014</v>
      </c>
      <c r="E810">
        <v>0</v>
      </c>
      <c r="F810">
        <v>808</v>
      </c>
      <c r="H810" t="s">
        <v>6720</v>
      </c>
    </row>
    <row r="811" spans="1:8" x14ac:dyDescent="0.3">
      <c r="A811" t="s">
        <v>6721</v>
      </c>
      <c r="C811" t="s">
        <v>5267</v>
      </c>
      <c r="D811" t="s">
        <v>9015</v>
      </c>
      <c r="E811">
        <v>0</v>
      </c>
      <c r="F811">
        <v>809</v>
      </c>
      <c r="H811" t="s">
        <v>6721</v>
      </c>
    </row>
    <row r="812" spans="1:8" x14ac:dyDescent="0.3">
      <c r="A812" t="s">
        <v>6722</v>
      </c>
      <c r="C812" t="s">
        <v>5267</v>
      </c>
      <c r="D812" t="s">
        <v>9016</v>
      </c>
      <c r="E812">
        <v>0</v>
      </c>
      <c r="F812">
        <v>810</v>
      </c>
      <c r="H812" t="s">
        <v>6722</v>
      </c>
    </row>
    <row r="813" spans="1:8" x14ac:dyDescent="0.3">
      <c r="A813" t="s">
        <v>6723</v>
      </c>
      <c r="C813" t="s">
        <v>5267</v>
      </c>
      <c r="D813" t="s">
        <v>9017</v>
      </c>
      <c r="E813">
        <v>0</v>
      </c>
      <c r="F813">
        <v>811</v>
      </c>
      <c r="H813" t="s">
        <v>6723</v>
      </c>
    </row>
    <row r="814" spans="1:8" x14ac:dyDescent="0.3">
      <c r="A814" t="s">
        <v>6724</v>
      </c>
      <c r="C814" t="s">
        <v>5267</v>
      </c>
      <c r="D814" t="s">
        <v>9018</v>
      </c>
      <c r="E814">
        <v>0</v>
      </c>
      <c r="F814">
        <v>812</v>
      </c>
      <c r="H814" t="s">
        <v>6724</v>
      </c>
    </row>
    <row r="815" spans="1:8" x14ac:dyDescent="0.3">
      <c r="A815" t="s">
        <v>6725</v>
      </c>
      <c r="C815" t="s">
        <v>5267</v>
      </c>
      <c r="D815" t="s">
        <v>9019</v>
      </c>
      <c r="E815">
        <v>0</v>
      </c>
      <c r="F815">
        <v>813</v>
      </c>
      <c r="H815" t="s">
        <v>6725</v>
      </c>
    </row>
    <row r="816" spans="1:8" x14ac:dyDescent="0.3">
      <c r="A816" t="s">
        <v>6726</v>
      </c>
      <c r="C816" t="s">
        <v>5267</v>
      </c>
      <c r="D816" t="s">
        <v>9020</v>
      </c>
      <c r="E816">
        <v>0</v>
      </c>
      <c r="F816">
        <v>814</v>
      </c>
      <c r="H816" t="s">
        <v>6726</v>
      </c>
    </row>
    <row r="817" spans="1:8" x14ac:dyDescent="0.3">
      <c r="A817" t="s">
        <v>6265</v>
      </c>
      <c r="C817" t="s">
        <v>5267</v>
      </c>
      <c r="D817" t="s">
        <v>9021</v>
      </c>
      <c r="E817">
        <v>0</v>
      </c>
      <c r="F817">
        <v>815</v>
      </c>
      <c r="H817" t="s">
        <v>6265</v>
      </c>
    </row>
    <row r="818" spans="1:8" x14ac:dyDescent="0.3">
      <c r="A818" t="s">
        <v>6266</v>
      </c>
      <c r="C818" t="s">
        <v>5267</v>
      </c>
      <c r="D818" t="s">
        <v>9022</v>
      </c>
      <c r="E818">
        <v>0</v>
      </c>
      <c r="F818">
        <v>816</v>
      </c>
      <c r="H818" t="s">
        <v>6266</v>
      </c>
    </row>
    <row r="819" spans="1:8" x14ac:dyDescent="0.3">
      <c r="A819" t="s">
        <v>6727</v>
      </c>
      <c r="C819" t="s">
        <v>5267</v>
      </c>
      <c r="D819" t="s">
        <v>9023</v>
      </c>
      <c r="E819">
        <v>0</v>
      </c>
      <c r="F819">
        <v>817</v>
      </c>
      <c r="H819" t="s">
        <v>6727</v>
      </c>
    </row>
    <row r="820" spans="1:8" x14ac:dyDescent="0.3">
      <c r="A820" t="s">
        <v>6225</v>
      </c>
      <c r="C820" t="s">
        <v>5267</v>
      </c>
      <c r="D820" t="s">
        <v>9024</v>
      </c>
      <c r="E820">
        <v>0</v>
      </c>
      <c r="F820">
        <v>818</v>
      </c>
      <c r="H820" t="s">
        <v>6225</v>
      </c>
    </row>
    <row r="821" spans="1:8" x14ac:dyDescent="0.3">
      <c r="A821" t="s">
        <v>6728</v>
      </c>
      <c r="C821" t="s">
        <v>5267</v>
      </c>
      <c r="D821" t="s">
        <v>9025</v>
      </c>
      <c r="E821">
        <v>0</v>
      </c>
      <c r="F821">
        <v>819</v>
      </c>
      <c r="H821" t="s">
        <v>6728</v>
      </c>
    </row>
    <row r="822" spans="1:8" x14ac:dyDescent="0.3">
      <c r="A822" t="s">
        <v>6729</v>
      </c>
      <c r="C822" t="s">
        <v>5267</v>
      </c>
      <c r="D822" t="s">
        <v>9026</v>
      </c>
      <c r="E822">
        <v>0</v>
      </c>
      <c r="F822">
        <v>820</v>
      </c>
      <c r="H822" t="s">
        <v>6729</v>
      </c>
    </row>
    <row r="823" spans="1:8" x14ac:dyDescent="0.3">
      <c r="A823" t="s">
        <v>6730</v>
      </c>
      <c r="C823" t="s">
        <v>5267</v>
      </c>
      <c r="D823" t="s">
        <v>9027</v>
      </c>
      <c r="E823">
        <v>0</v>
      </c>
      <c r="F823">
        <v>821</v>
      </c>
      <c r="H823" t="s">
        <v>6730</v>
      </c>
    </row>
    <row r="824" spans="1:8" x14ac:dyDescent="0.3">
      <c r="A824" t="s">
        <v>6731</v>
      </c>
      <c r="C824" t="s">
        <v>5267</v>
      </c>
      <c r="D824" t="s">
        <v>9028</v>
      </c>
      <c r="E824">
        <v>0</v>
      </c>
      <c r="F824">
        <v>822</v>
      </c>
      <c r="H824" t="s">
        <v>6731</v>
      </c>
    </row>
    <row r="825" spans="1:8" x14ac:dyDescent="0.3">
      <c r="A825" t="s">
        <v>6732</v>
      </c>
      <c r="C825" t="s">
        <v>5267</v>
      </c>
      <c r="D825" t="s">
        <v>9029</v>
      </c>
      <c r="E825">
        <v>0</v>
      </c>
      <c r="F825">
        <v>823</v>
      </c>
      <c r="H825" t="s">
        <v>6732</v>
      </c>
    </row>
    <row r="826" spans="1:8" x14ac:dyDescent="0.3">
      <c r="A826" t="s">
        <v>6733</v>
      </c>
      <c r="C826" t="s">
        <v>5267</v>
      </c>
      <c r="D826" t="s">
        <v>9030</v>
      </c>
      <c r="E826">
        <v>0</v>
      </c>
      <c r="F826">
        <v>824</v>
      </c>
      <c r="H826" t="s">
        <v>6733</v>
      </c>
    </row>
    <row r="827" spans="1:8" x14ac:dyDescent="0.3">
      <c r="A827" t="s">
        <v>6734</v>
      </c>
      <c r="C827" t="s">
        <v>5267</v>
      </c>
      <c r="D827" t="s">
        <v>9031</v>
      </c>
      <c r="E827">
        <v>0</v>
      </c>
      <c r="F827">
        <v>825</v>
      </c>
      <c r="H827" t="s">
        <v>6734</v>
      </c>
    </row>
    <row r="828" spans="1:8" x14ac:dyDescent="0.3">
      <c r="A828" t="s">
        <v>6735</v>
      </c>
      <c r="C828" t="s">
        <v>5267</v>
      </c>
      <c r="D828" t="s">
        <v>9032</v>
      </c>
      <c r="E828">
        <v>0</v>
      </c>
      <c r="F828">
        <v>826</v>
      </c>
      <c r="H828" t="s">
        <v>6735</v>
      </c>
    </row>
    <row r="829" spans="1:8" x14ac:dyDescent="0.3">
      <c r="A829" t="s">
        <v>6736</v>
      </c>
      <c r="C829" t="s">
        <v>5267</v>
      </c>
      <c r="D829" t="s">
        <v>9033</v>
      </c>
      <c r="E829">
        <v>0</v>
      </c>
      <c r="F829">
        <v>827</v>
      </c>
      <c r="H829" t="s">
        <v>6736</v>
      </c>
    </row>
    <row r="830" spans="1:8" x14ac:dyDescent="0.3">
      <c r="A830" t="s">
        <v>6737</v>
      </c>
      <c r="C830" t="s">
        <v>5267</v>
      </c>
      <c r="D830" t="s">
        <v>9034</v>
      </c>
      <c r="E830">
        <v>0</v>
      </c>
      <c r="F830">
        <v>828</v>
      </c>
      <c r="H830" t="s">
        <v>6737</v>
      </c>
    </row>
    <row r="831" spans="1:8" x14ac:dyDescent="0.3">
      <c r="A831" t="s">
        <v>6738</v>
      </c>
      <c r="C831" t="s">
        <v>5267</v>
      </c>
      <c r="D831" t="s">
        <v>9035</v>
      </c>
      <c r="E831">
        <v>0</v>
      </c>
      <c r="F831">
        <v>829</v>
      </c>
      <c r="H831" t="s">
        <v>6738</v>
      </c>
    </row>
    <row r="832" spans="1:8" x14ac:dyDescent="0.3">
      <c r="A832" t="s">
        <v>6738</v>
      </c>
      <c r="C832" t="s">
        <v>5267</v>
      </c>
      <c r="D832" t="s">
        <v>9036</v>
      </c>
      <c r="E832">
        <v>0</v>
      </c>
      <c r="F832">
        <v>830</v>
      </c>
      <c r="H832" t="s">
        <v>6738</v>
      </c>
    </row>
    <row r="833" spans="1:8" x14ac:dyDescent="0.3">
      <c r="A833" t="s">
        <v>6739</v>
      </c>
      <c r="C833" t="s">
        <v>5267</v>
      </c>
      <c r="D833" t="s">
        <v>9037</v>
      </c>
      <c r="E833">
        <v>0</v>
      </c>
      <c r="F833">
        <v>831</v>
      </c>
      <c r="H833" t="s">
        <v>6739</v>
      </c>
    </row>
    <row r="834" spans="1:8" x14ac:dyDescent="0.3">
      <c r="A834" t="s">
        <v>5970</v>
      </c>
      <c r="C834" t="s">
        <v>5267</v>
      </c>
      <c r="D834" t="s">
        <v>9038</v>
      </c>
      <c r="E834">
        <v>0</v>
      </c>
      <c r="F834">
        <v>832</v>
      </c>
      <c r="H834" t="s">
        <v>5970</v>
      </c>
    </row>
    <row r="835" spans="1:8" x14ac:dyDescent="0.3">
      <c r="A835" t="s">
        <v>6740</v>
      </c>
      <c r="C835" t="s">
        <v>5267</v>
      </c>
      <c r="D835" t="s">
        <v>9039</v>
      </c>
      <c r="E835">
        <v>0</v>
      </c>
      <c r="F835">
        <v>833</v>
      </c>
      <c r="H835" t="s">
        <v>6740</v>
      </c>
    </row>
    <row r="836" spans="1:8" x14ac:dyDescent="0.3">
      <c r="A836" t="s">
        <v>6741</v>
      </c>
      <c r="C836" t="s">
        <v>5267</v>
      </c>
      <c r="D836" t="s">
        <v>9040</v>
      </c>
      <c r="E836">
        <v>0</v>
      </c>
      <c r="F836">
        <v>834</v>
      </c>
      <c r="H836" t="s">
        <v>6741</v>
      </c>
    </row>
    <row r="837" spans="1:8" x14ac:dyDescent="0.3">
      <c r="A837" t="s">
        <v>6742</v>
      </c>
      <c r="C837" t="s">
        <v>5267</v>
      </c>
      <c r="D837" t="s">
        <v>9041</v>
      </c>
      <c r="E837">
        <v>0</v>
      </c>
      <c r="F837">
        <v>835</v>
      </c>
      <c r="H837" t="s">
        <v>6742</v>
      </c>
    </row>
    <row r="838" spans="1:8" x14ac:dyDescent="0.3">
      <c r="A838" t="s">
        <v>6743</v>
      </c>
      <c r="C838" t="s">
        <v>5267</v>
      </c>
      <c r="D838" t="s">
        <v>9042</v>
      </c>
      <c r="E838">
        <v>0</v>
      </c>
      <c r="F838">
        <v>836</v>
      </c>
      <c r="H838" t="s">
        <v>6743</v>
      </c>
    </row>
    <row r="839" spans="1:8" x14ac:dyDescent="0.3">
      <c r="A839" t="s">
        <v>6744</v>
      </c>
      <c r="C839" t="s">
        <v>5267</v>
      </c>
      <c r="D839" t="s">
        <v>9043</v>
      </c>
      <c r="E839">
        <v>0</v>
      </c>
      <c r="F839">
        <v>837</v>
      </c>
      <c r="H839" t="s">
        <v>6744</v>
      </c>
    </row>
    <row r="840" spans="1:8" x14ac:dyDescent="0.3">
      <c r="A840" t="s">
        <v>6745</v>
      </c>
      <c r="C840" t="s">
        <v>5267</v>
      </c>
      <c r="D840" t="s">
        <v>9044</v>
      </c>
      <c r="E840">
        <v>0</v>
      </c>
      <c r="F840">
        <v>838</v>
      </c>
      <c r="H840" t="s">
        <v>6745</v>
      </c>
    </row>
    <row r="841" spans="1:8" x14ac:dyDescent="0.3">
      <c r="A841" t="s">
        <v>6746</v>
      </c>
      <c r="C841" t="s">
        <v>5267</v>
      </c>
      <c r="D841" t="s">
        <v>9045</v>
      </c>
      <c r="E841">
        <v>0</v>
      </c>
      <c r="F841">
        <v>839</v>
      </c>
      <c r="H841" t="s">
        <v>6746</v>
      </c>
    </row>
    <row r="842" spans="1:8" x14ac:dyDescent="0.3">
      <c r="A842" t="s">
        <v>6747</v>
      </c>
      <c r="C842" t="s">
        <v>5267</v>
      </c>
      <c r="D842" t="s">
        <v>9046</v>
      </c>
      <c r="E842">
        <v>0</v>
      </c>
      <c r="F842">
        <v>840</v>
      </c>
      <c r="H842" t="s">
        <v>6747</v>
      </c>
    </row>
    <row r="843" spans="1:8" x14ac:dyDescent="0.3">
      <c r="A843" t="s">
        <v>6748</v>
      </c>
      <c r="C843" t="s">
        <v>5267</v>
      </c>
      <c r="D843" t="s">
        <v>9047</v>
      </c>
      <c r="E843">
        <v>0</v>
      </c>
      <c r="F843">
        <v>841</v>
      </c>
      <c r="H843" t="s">
        <v>6748</v>
      </c>
    </row>
    <row r="844" spans="1:8" x14ac:dyDescent="0.3">
      <c r="A844" t="s">
        <v>6749</v>
      </c>
      <c r="C844" t="s">
        <v>5267</v>
      </c>
      <c r="D844" t="s">
        <v>9048</v>
      </c>
      <c r="E844">
        <v>0</v>
      </c>
      <c r="F844">
        <v>842</v>
      </c>
      <c r="H844" t="s">
        <v>6749</v>
      </c>
    </row>
    <row r="845" spans="1:8" x14ac:dyDescent="0.3">
      <c r="A845" t="s">
        <v>6750</v>
      </c>
      <c r="C845" t="s">
        <v>5267</v>
      </c>
      <c r="D845" t="s">
        <v>9049</v>
      </c>
      <c r="E845">
        <v>0</v>
      </c>
      <c r="F845">
        <v>843</v>
      </c>
      <c r="H845" t="s">
        <v>6750</v>
      </c>
    </row>
    <row r="846" spans="1:8" x14ac:dyDescent="0.3">
      <c r="A846" t="s">
        <v>6751</v>
      </c>
      <c r="C846" t="s">
        <v>5267</v>
      </c>
      <c r="D846" t="s">
        <v>9050</v>
      </c>
      <c r="E846">
        <v>0</v>
      </c>
      <c r="F846">
        <v>844</v>
      </c>
      <c r="H846" t="s">
        <v>6751</v>
      </c>
    </row>
    <row r="847" spans="1:8" x14ac:dyDescent="0.3">
      <c r="A847" t="s">
        <v>6752</v>
      </c>
      <c r="C847" t="s">
        <v>5267</v>
      </c>
      <c r="D847" t="s">
        <v>9051</v>
      </c>
      <c r="E847">
        <v>0</v>
      </c>
      <c r="F847">
        <v>845</v>
      </c>
      <c r="H847" t="s">
        <v>6752</v>
      </c>
    </row>
    <row r="848" spans="1:8" x14ac:dyDescent="0.3">
      <c r="A848" t="s">
        <v>6753</v>
      </c>
      <c r="C848" t="s">
        <v>5267</v>
      </c>
      <c r="D848" t="s">
        <v>9052</v>
      </c>
      <c r="E848">
        <v>0</v>
      </c>
      <c r="F848">
        <v>846</v>
      </c>
      <c r="H848" t="s">
        <v>6753</v>
      </c>
    </row>
    <row r="849" spans="1:8" x14ac:dyDescent="0.3">
      <c r="A849" t="s">
        <v>6754</v>
      </c>
      <c r="C849" t="s">
        <v>5267</v>
      </c>
      <c r="D849" t="s">
        <v>9053</v>
      </c>
      <c r="E849">
        <v>0</v>
      </c>
      <c r="F849">
        <v>847</v>
      </c>
      <c r="H849" t="s">
        <v>6754</v>
      </c>
    </row>
    <row r="850" spans="1:8" x14ac:dyDescent="0.3">
      <c r="A850" t="s">
        <v>6755</v>
      </c>
      <c r="C850" t="s">
        <v>5267</v>
      </c>
      <c r="D850" t="s">
        <v>9054</v>
      </c>
      <c r="E850">
        <v>0</v>
      </c>
      <c r="F850">
        <v>848</v>
      </c>
      <c r="H850" t="s">
        <v>6755</v>
      </c>
    </row>
    <row r="851" spans="1:8" x14ac:dyDescent="0.3">
      <c r="A851" t="s">
        <v>6756</v>
      </c>
      <c r="C851" t="s">
        <v>5267</v>
      </c>
      <c r="D851" t="s">
        <v>9055</v>
      </c>
      <c r="E851">
        <v>0</v>
      </c>
      <c r="F851">
        <v>849</v>
      </c>
      <c r="H851" t="s">
        <v>6756</v>
      </c>
    </row>
    <row r="852" spans="1:8" x14ac:dyDescent="0.3">
      <c r="A852" t="s">
        <v>6757</v>
      </c>
      <c r="C852" t="s">
        <v>5267</v>
      </c>
      <c r="D852" t="s">
        <v>9056</v>
      </c>
      <c r="E852">
        <v>0</v>
      </c>
      <c r="F852">
        <v>850</v>
      </c>
      <c r="H852" t="s">
        <v>6757</v>
      </c>
    </row>
    <row r="853" spans="1:8" x14ac:dyDescent="0.3">
      <c r="A853" t="s">
        <v>6758</v>
      </c>
      <c r="C853" t="s">
        <v>5267</v>
      </c>
      <c r="D853" t="s">
        <v>9057</v>
      </c>
      <c r="E853">
        <v>0</v>
      </c>
      <c r="F853">
        <v>851</v>
      </c>
      <c r="H853" t="s">
        <v>6758</v>
      </c>
    </row>
    <row r="854" spans="1:8" x14ac:dyDescent="0.3">
      <c r="A854" t="s">
        <v>6759</v>
      </c>
      <c r="C854" t="s">
        <v>5267</v>
      </c>
      <c r="D854" t="s">
        <v>9058</v>
      </c>
      <c r="E854">
        <v>0</v>
      </c>
      <c r="F854">
        <v>852</v>
      </c>
      <c r="H854" t="s">
        <v>6759</v>
      </c>
    </row>
    <row r="855" spans="1:8" x14ac:dyDescent="0.3">
      <c r="A855" t="s">
        <v>6760</v>
      </c>
      <c r="C855" t="s">
        <v>5267</v>
      </c>
      <c r="D855" t="s">
        <v>9059</v>
      </c>
      <c r="E855">
        <v>0</v>
      </c>
      <c r="F855">
        <v>853</v>
      </c>
      <c r="H855" t="s">
        <v>6760</v>
      </c>
    </row>
    <row r="856" spans="1:8" x14ac:dyDescent="0.3">
      <c r="A856" t="s">
        <v>6761</v>
      </c>
      <c r="C856" t="s">
        <v>5267</v>
      </c>
      <c r="D856" t="s">
        <v>9060</v>
      </c>
      <c r="E856">
        <v>0</v>
      </c>
      <c r="F856">
        <v>854</v>
      </c>
      <c r="H856" t="s">
        <v>6761</v>
      </c>
    </row>
    <row r="857" spans="1:8" x14ac:dyDescent="0.3">
      <c r="A857" t="s">
        <v>6762</v>
      </c>
      <c r="C857" t="s">
        <v>5267</v>
      </c>
      <c r="D857" t="s">
        <v>9061</v>
      </c>
      <c r="E857">
        <v>0</v>
      </c>
      <c r="F857">
        <v>855</v>
      </c>
      <c r="H857" t="s">
        <v>6762</v>
      </c>
    </row>
    <row r="858" spans="1:8" x14ac:dyDescent="0.3">
      <c r="A858" t="s">
        <v>6763</v>
      </c>
      <c r="C858" t="s">
        <v>5267</v>
      </c>
      <c r="D858" t="s">
        <v>9062</v>
      </c>
      <c r="E858">
        <v>0</v>
      </c>
      <c r="F858">
        <v>856</v>
      </c>
      <c r="H858" t="s">
        <v>6763</v>
      </c>
    </row>
    <row r="859" spans="1:8" x14ac:dyDescent="0.3">
      <c r="A859" t="s">
        <v>6764</v>
      </c>
      <c r="C859" t="s">
        <v>5267</v>
      </c>
      <c r="D859" t="s">
        <v>9063</v>
      </c>
      <c r="E859">
        <v>0</v>
      </c>
      <c r="F859">
        <v>857</v>
      </c>
      <c r="H859" t="s">
        <v>6764</v>
      </c>
    </row>
    <row r="860" spans="1:8" x14ac:dyDescent="0.3">
      <c r="A860" t="s">
        <v>6765</v>
      </c>
      <c r="C860" t="s">
        <v>5267</v>
      </c>
      <c r="D860" t="s">
        <v>9064</v>
      </c>
      <c r="E860">
        <v>0</v>
      </c>
      <c r="F860">
        <v>858</v>
      </c>
      <c r="H860" t="s">
        <v>6765</v>
      </c>
    </row>
    <row r="861" spans="1:8" x14ac:dyDescent="0.3">
      <c r="A861" t="s">
        <v>6766</v>
      </c>
      <c r="C861" t="s">
        <v>5267</v>
      </c>
      <c r="D861" t="s">
        <v>9065</v>
      </c>
      <c r="E861">
        <v>0</v>
      </c>
      <c r="F861">
        <v>859</v>
      </c>
      <c r="H861" t="s">
        <v>6766</v>
      </c>
    </row>
    <row r="862" spans="1:8" x14ac:dyDescent="0.3">
      <c r="A862" t="s">
        <v>6767</v>
      </c>
      <c r="C862" t="s">
        <v>5267</v>
      </c>
      <c r="D862" t="s">
        <v>9066</v>
      </c>
      <c r="E862">
        <v>0</v>
      </c>
      <c r="F862">
        <v>860</v>
      </c>
      <c r="H862" t="s">
        <v>6767</v>
      </c>
    </row>
    <row r="863" spans="1:8" x14ac:dyDescent="0.3">
      <c r="A863" t="s">
        <v>6768</v>
      </c>
      <c r="C863" t="s">
        <v>5267</v>
      </c>
      <c r="D863" t="s">
        <v>9067</v>
      </c>
      <c r="E863">
        <v>0</v>
      </c>
      <c r="F863">
        <v>861</v>
      </c>
      <c r="H863" t="s">
        <v>6768</v>
      </c>
    </row>
    <row r="864" spans="1:8" x14ac:dyDescent="0.3">
      <c r="A864" t="s">
        <v>6769</v>
      </c>
      <c r="C864" t="s">
        <v>5267</v>
      </c>
      <c r="D864" t="s">
        <v>9068</v>
      </c>
      <c r="E864">
        <v>0</v>
      </c>
      <c r="F864">
        <v>862</v>
      </c>
      <c r="H864" t="s">
        <v>6769</v>
      </c>
    </row>
    <row r="865" spans="1:8" x14ac:dyDescent="0.3">
      <c r="A865" t="s">
        <v>6770</v>
      </c>
      <c r="C865" t="s">
        <v>5267</v>
      </c>
      <c r="D865" t="s">
        <v>9069</v>
      </c>
      <c r="E865">
        <v>0</v>
      </c>
      <c r="F865">
        <v>863</v>
      </c>
      <c r="H865" t="s">
        <v>6770</v>
      </c>
    </row>
    <row r="866" spans="1:8" x14ac:dyDescent="0.3">
      <c r="A866" t="s">
        <v>6771</v>
      </c>
      <c r="C866" t="s">
        <v>5267</v>
      </c>
      <c r="D866" t="s">
        <v>9070</v>
      </c>
      <c r="E866">
        <v>0</v>
      </c>
      <c r="F866">
        <v>864</v>
      </c>
      <c r="H866" t="s">
        <v>6771</v>
      </c>
    </row>
    <row r="867" spans="1:8" x14ac:dyDescent="0.3">
      <c r="A867" t="s">
        <v>6772</v>
      </c>
      <c r="C867" t="s">
        <v>5267</v>
      </c>
      <c r="D867" t="s">
        <v>9071</v>
      </c>
      <c r="E867">
        <v>0</v>
      </c>
      <c r="F867">
        <v>865</v>
      </c>
      <c r="H867" t="s">
        <v>6772</v>
      </c>
    </row>
    <row r="868" spans="1:8" x14ac:dyDescent="0.3">
      <c r="A868" t="s">
        <v>6773</v>
      </c>
      <c r="C868" t="s">
        <v>5267</v>
      </c>
      <c r="D868" t="s">
        <v>9072</v>
      </c>
      <c r="E868">
        <v>0</v>
      </c>
      <c r="F868">
        <v>866</v>
      </c>
      <c r="H868" t="s">
        <v>6773</v>
      </c>
    </row>
    <row r="869" spans="1:8" x14ac:dyDescent="0.3">
      <c r="A869" t="s">
        <v>6774</v>
      </c>
      <c r="C869" t="s">
        <v>5267</v>
      </c>
      <c r="D869" t="s">
        <v>9073</v>
      </c>
      <c r="E869">
        <v>0</v>
      </c>
      <c r="F869">
        <v>867</v>
      </c>
      <c r="H869" t="s">
        <v>6774</v>
      </c>
    </row>
    <row r="870" spans="1:8" x14ac:dyDescent="0.3">
      <c r="A870" t="s">
        <v>6775</v>
      </c>
      <c r="C870" t="s">
        <v>5267</v>
      </c>
      <c r="D870" t="s">
        <v>9074</v>
      </c>
      <c r="E870">
        <v>0</v>
      </c>
      <c r="F870">
        <v>868</v>
      </c>
      <c r="H870" t="s">
        <v>6775</v>
      </c>
    </row>
    <row r="871" spans="1:8" x14ac:dyDescent="0.3">
      <c r="A871" t="s">
        <v>6776</v>
      </c>
      <c r="C871" t="s">
        <v>5267</v>
      </c>
      <c r="D871" t="s">
        <v>9075</v>
      </c>
      <c r="E871">
        <v>0</v>
      </c>
      <c r="F871">
        <v>869</v>
      </c>
      <c r="H871" t="s">
        <v>6776</v>
      </c>
    </row>
    <row r="872" spans="1:8" x14ac:dyDescent="0.3">
      <c r="A872" t="s">
        <v>6777</v>
      </c>
      <c r="C872" t="s">
        <v>5267</v>
      </c>
      <c r="D872" t="s">
        <v>9076</v>
      </c>
      <c r="E872">
        <v>0</v>
      </c>
      <c r="F872">
        <v>870</v>
      </c>
      <c r="H872" t="s">
        <v>6777</v>
      </c>
    </row>
    <row r="873" spans="1:8" x14ac:dyDescent="0.3">
      <c r="A873" t="s">
        <v>6778</v>
      </c>
      <c r="C873" t="s">
        <v>5267</v>
      </c>
      <c r="D873" t="s">
        <v>9077</v>
      </c>
      <c r="E873">
        <v>0</v>
      </c>
      <c r="F873">
        <v>871</v>
      </c>
      <c r="H873" t="s">
        <v>6778</v>
      </c>
    </row>
    <row r="874" spans="1:8" x14ac:dyDescent="0.3">
      <c r="A874" t="s">
        <v>6779</v>
      </c>
      <c r="C874" t="s">
        <v>5267</v>
      </c>
      <c r="D874" t="s">
        <v>9078</v>
      </c>
      <c r="E874">
        <v>0</v>
      </c>
      <c r="F874">
        <v>872</v>
      </c>
      <c r="H874" t="s">
        <v>6779</v>
      </c>
    </row>
    <row r="875" spans="1:8" x14ac:dyDescent="0.3">
      <c r="A875" t="s">
        <v>6780</v>
      </c>
      <c r="C875" t="s">
        <v>5267</v>
      </c>
      <c r="D875" t="s">
        <v>9079</v>
      </c>
      <c r="E875">
        <v>0</v>
      </c>
      <c r="F875">
        <v>873</v>
      </c>
      <c r="H875" t="s">
        <v>6780</v>
      </c>
    </row>
    <row r="876" spans="1:8" x14ac:dyDescent="0.3">
      <c r="A876" t="s">
        <v>6781</v>
      </c>
      <c r="C876" t="s">
        <v>5267</v>
      </c>
      <c r="D876" t="s">
        <v>9080</v>
      </c>
      <c r="E876">
        <v>0</v>
      </c>
      <c r="F876">
        <v>874</v>
      </c>
      <c r="H876" t="s">
        <v>6781</v>
      </c>
    </row>
    <row r="877" spans="1:8" x14ac:dyDescent="0.3">
      <c r="A877" t="s">
        <v>6782</v>
      </c>
      <c r="C877" t="s">
        <v>5267</v>
      </c>
      <c r="D877" t="s">
        <v>9081</v>
      </c>
      <c r="E877">
        <v>0</v>
      </c>
      <c r="F877">
        <v>875</v>
      </c>
      <c r="H877" t="s">
        <v>6782</v>
      </c>
    </row>
    <row r="878" spans="1:8" x14ac:dyDescent="0.3">
      <c r="A878" t="s">
        <v>6783</v>
      </c>
      <c r="C878" t="s">
        <v>5267</v>
      </c>
      <c r="D878" t="s">
        <v>9082</v>
      </c>
      <c r="E878">
        <v>0</v>
      </c>
      <c r="F878">
        <v>876</v>
      </c>
      <c r="H878" t="s">
        <v>6783</v>
      </c>
    </row>
    <row r="879" spans="1:8" x14ac:dyDescent="0.3">
      <c r="A879" t="s">
        <v>6784</v>
      </c>
      <c r="C879" t="s">
        <v>5267</v>
      </c>
      <c r="D879" t="s">
        <v>9083</v>
      </c>
      <c r="E879">
        <v>0</v>
      </c>
      <c r="F879">
        <v>877</v>
      </c>
      <c r="H879" t="s">
        <v>6784</v>
      </c>
    </row>
    <row r="880" spans="1:8" x14ac:dyDescent="0.3">
      <c r="A880" t="s">
        <v>6785</v>
      </c>
      <c r="C880" t="s">
        <v>5267</v>
      </c>
      <c r="D880" t="s">
        <v>9084</v>
      </c>
      <c r="E880">
        <v>0</v>
      </c>
      <c r="F880">
        <v>878</v>
      </c>
      <c r="H880" t="s">
        <v>6785</v>
      </c>
    </row>
    <row r="881" spans="1:8" x14ac:dyDescent="0.3">
      <c r="A881" t="s">
        <v>6786</v>
      </c>
      <c r="C881" t="s">
        <v>5267</v>
      </c>
      <c r="D881" t="s">
        <v>9085</v>
      </c>
      <c r="E881">
        <v>0</v>
      </c>
      <c r="F881">
        <v>879</v>
      </c>
      <c r="H881" t="s">
        <v>6786</v>
      </c>
    </row>
    <row r="882" spans="1:8" x14ac:dyDescent="0.3">
      <c r="A882" t="s">
        <v>6787</v>
      </c>
      <c r="C882" t="s">
        <v>5267</v>
      </c>
      <c r="D882" t="s">
        <v>9086</v>
      </c>
      <c r="E882">
        <v>0</v>
      </c>
      <c r="F882">
        <v>880</v>
      </c>
      <c r="H882" t="s">
        <v>6787</v>
      </c>
    </row>
    <row r="883" spans="1:8" x14ac:dyDescent="0.3">
      <c r="A883" t="s">
        <v>6239</v>
      </c>
      <c r="C883" t="s">
        <v>5267</v>
      </c>
      <c r="D883" t="s">
        <v>9087</v>
      </c>
      <c r="E883">
        <v>0</v>
      </c>
      <c r="F883">
        <v>881</v>
      </c>
      <c r="H883" t="s">
        <v>6239</v>
      </c>
    </row>
    <row r="884" spans="1:8" x14ac:dyDescent="0.3">
      <c r="A884" t="s">
        <v>6240</v>
      </c>
      <c r="C884" t="s">
        <v>5267</v>
      </c>
      <c r="D884" t="s">
        <v>9088</v>
      </c>
      <c r="E884">
        <v>0</v>
      </c>
      <c r="F884">
        <v>882</v>
      </c>
      <c r="H884" t="s">
        <v>6240</v>
      </c>
    </row>
    <row r="885" spans="1:8" x14ac:dyDescent="0.3">
      <c r="A885" t="s">
        <v>6241</v>
      </c>
      <c r="C885" t="s">
        <v>5267</v>
      </c>
      <c r="D885" t="s">
        <v>9089</v>
      </c>
      <c r="E885">
        <v>0</v>
      </c>
      <c r="F885">
        <v>883</v>
      </c>
      <c r="H885" t="s">
        <v>6241</v>
      </c>
    </row>
    <row r="886" spans="1:8" x14ac:dyDescent="0.3">
      <c r="A886" t="s">
        <v>6788</v>
      </c>
      <c r="C886" t="s">
        <v>5267</v>
      </c>
      <c r="D886" t="s">
        <v>9090</v>
      </c>
      <c r="E886">
        <v>0</v>
      </c>
      <c r="F886">
        <v>884</v>
      </c>
      <c r="H886" t="s">
        <v>6788</v>
      </c>
    </row>
    <row r="887" spans="1:8" x14ac:dyDescent="0.3">
      <c r="A887" t="s">
        <v>6789</v>
      </c>
      <c r="C887" t="s">
        <v>5267</v>
      </c>
      <c r="D887" t="s">
        <v>9091</v>
      </c>
      <c r="E887">
        <v>0</v>
      </c>
      <c r="F887">
        <v>885</v>
      </c>
      <c r="H887" t="s">
        <v>6789</v>
      </c>
    </row>
    <row r="888" spans="1:8" x14ac:dyDescent="0.3">
      <c r="A888" t="s">
        <v>6790</v>
      </c>
      <c r="C888" t="s">
        <v>5267</v>
      </c>
      <c r="D888" t="s">
        <v>9092</v>
      </c>
      <c r="E888">
        <v>0</v>
      </c>
      <c r="F888">
        <v>886</v>
      </c>
      <c r="H888" t="s">
        <v>6790</v>
      </c>
    </row>
    <row r="889" spans="1:8" x14ac:dyDescent="0.3">
      <c r="A889" t="s">
        <v>6791</v>
      </c>
      <c r="C889" t="s">
        <v>5267</v>
      </c>
      <c r="D889" t="s">
        <v>9093</v>
      </c>
      <c r="E889">
        <v>0</v>
      </c>
      <c r="F889">
        <v>887</v>
      </c>
      <c r="H889" t="s">
        <v>6791</v>
      </c>
    </row>
    <row r="890" spans="1:8" x14ac:dyDescent="0.3">
      <c r="A890" t="s">
        <v>6792</v>
      </c>
      <c r="C890" t="s">
        <v>5267</v>
      </c>
      <c r="D890" t="s">
        <v>9094</v>
      </c>
      <c r="E890">
        <v>0</v>
      </c>
      <c r="F890">
        <v>888</v>
      </c>
      <c r="H890" t="s">
        <v>6792</v>
      </c>
    </row>
    <row r="891" spans="1:8" x14ac:dyDescent="0.3">
      <c r="A891" t="s">
        <v>6793</v>
      </c>
      <c r="C891" t="s">
        <v>5267</v>
      </c>
      <c r="D891" t="s">
        <v>9095</v>
      </c>
      <c r="E891">
        <v>0</v>
      </c>
      <c r="F891">
        <v>889</v>
      </c>
      <c r="H891" t="s">
        <v>6793</v>
      </c>
    </row>
    <row r="892" spans="1:8" x14ac:dyDescent="0.3">
      <c r="A892" t="s">
        <v>6794</v>
      </c>
      <c r="C892" t="s">
        <v>5267</v>
      </c>
      <c r="D892" t="s">
        <v>9096</v>
      </c>
      <c r="E892">
        <v>0</v>
      </c>
      <c r="F892">
        <v>890</v>
      </c>
      <c r="H892" t="s">
        <v>6794</v>
      </c>
    </row>
    <row r="893" spans="1:8" x14ac:dyDescent="0.3">
      <c r="A893" t="s">
        <v>6795</v>
      </c>
      <c r="C893" t="s">
        <v>5267</v>
      </c>
      <c r="D893" t="s">
        <v>9097</v>
      </c>
      <c r="E893">
        <v>0</v>
      </c>
      <c r="F893">
        <v>891</v>
      </c>
      <c r="H893" t="s">
        <v>6795</v>
      </c>
    </row>
    <row r="894" spans="1:8" x14ac:dyDescent="0.3">
      <c r="A894" t="s">
        <v>6796</v>
      </c>
      <c r="C894" t="s">
        <v>5267</v>
      </c>
      <c r="D894" t="s">
        <v>9098</v>
      </c>
      <c r="E894">
        <v>0</v>
      </c>
      <c r="F894">
        <v>892</v>
      </c>
      <c r="H894" t="s">
        <v>6796</v>
      </c>
    </row>
    <row r="895" spans="1:8" x14ac:dyDescent="0.3">
      <c r="A895" t="s">
        <v>6797</v>
      </c>
      <c r="C895" t="s">
        <v>5267</v>
      </c>
      <c r="D895" t="s">
        <v>9099</v>
      </c>
      <c r="E895">
        <v>0</v>
      </c>
      <c r="F895">
        <v>893</v>
      </c>
      <c r="H895" t="s">
        <v>6797</v>
      </c>
    </row>
    <row r="896" spans="1:8" x14ac:dyDescent="0.3">
      <c r="A896" t="s">
        <v>6798</v>
      </c>
      <c r="C896" t="s">
        <v>5267</v>
      </c>
      <c r="D896" t="s">
        <v>9100</v>
      </c>
      <c r="E896">
        <v>0</v>
      </c>
      <c r="F896">
        <v>894</v>
      </c>
      <c r="H896" t="s">
        <v>6798</v>
      </c>
    </row>
    <row r="897" spans="1:8" x14ac:dyDescent="0.3">
      <c r="A897" t="s">
        <v>6799</v>
      </c>
      <c r="C897" t="s">
        <v>5267</v>
      </c>
      <c r="D897" t="s">
        <v>9101</v>
      </c>
      <c r="E897">
        <v>0</v>
      </c>
      <c r="F897">
        <v>895</v>
      </c>
      <c r="H897" t="s">
        <v>6799</v>
      </c>
    </row>
    <row r="898" spans="1:8" x14ac:dyDescent="0.3">
      <c r="A898" t="s">
        <v>6800</v>
      </c>
      <c r="C898" t="s">
        <v>5267</v>
      </c>
      <c r="D898" t="s">
        <v>9102</v>
      </c>
      <c r="E898">
        <v>0</v>
      </c>
      <c r="F898">
        <v>896</v>
      </c>
      <c r="H898" t="s">
        <v>6800</v>
      </c>
    </row>
    <row r="899" spans="1:8" x14ac:dyDescent="0.3">
      <c r="A899" t="s">
        <v>6801</v>
      </c>
      <c r="C899" t="s">
        <v>5267</v>
      </c>
      <c r="D899" t="s">
        <v>9103</v>
      </c>
      <c r="E899">
        <v>0</v>
      </c>
      <c r="F899">
        <v>897</v>
      </c>
      <c r="H899" t="s">
        <v>6801</v>
      </c>
    </row>
    <row r="900" spans="1:8" x14ac:dyDescent="0.3">
      <c r="A900" t="s">
        <v>6802</v>
      </c>
      <c r="C900" t="s">
        <v>5267</v>
      </c>
      <c r="D900" t="s">
        <v>9104</v>
      </c>
      <c r="E900">
        <v>0</v>
      </c>
      <c r="F900">
        <v>898</v>
      </c>
      <c r="H900" t="s">
        <v>6802</v>
      </c>
    </row>
    <row r="901" spans="1:8" x14ac:dyDescent="0.3">
      <c r="A901" t="s">
        <v>6803</v>
      </c>
      <c r="C901" t="s">
        <v>5267</v>
      </c>
      <c r="D901" t="s">
        <v>9105</v>
      </c>
      <c r="E901">
        <v>0</v>
      </c>
      <c r="F901">
        <v>899</v>
      </c>
      <c r="H901" t="s">
        <v>6803</v>
      </c>
    </row>
    <row r="902" spans="1:8" x14ac:dyDescent="0.3">
      <c r="A902" t="s">
        <v>6804</v>
      </c>
      <c r="C902" t="s">
        <v>5267</v>
      </c>
      <c r="D902" t="s">
        <v>9106</v>
      </c>
      <c r="E902">
        <v>0</v>
      </c>
      <c r="F902">
        <v>900</v>
      </c>
      <c r="H902" t="s">
        <v>6804</v>
      </c>
    </row>
    <row r="903" spans="1:8" x14ac:dyDescent="0.3">
      <c r="A903" t="s">
        <v>6805</v>
      </c>
      <c r="C903" t="s">
        <v>5267</v>
      </c>
      <c r="D903" t="s">
        <v>9107</v>
      </c>
      <c r="E903">
        <v>0</v>
      </c>
      <c r="F903">
        <v>901</v>
      </c>
      <c r="H903" t="s">
        <v>6805</v>
      </c>
    </row>
    <row r="904" spans="1:8" x14ac:dyDescent="0.3">
      <c r="A904" t="s">
        <v>6806</v>
      </c>
      <c r="C904" t="s">
        <v>5267</v>
      </c>
      <c r="D904" t="s">
        <v>9108</v>
      </c>
      <c r="E904">
        <v>0</v>
      </c>
      <c r="F904">
        <v>902</v>
      </c>
      <c r="H904" t="s">
        <v>6806</v>
      </c>
    </row>
    <row r="905" spans="1:8" x14ac:dyDescent="0.3">
      <c r="A905" t="s">
        <v>6807</v>
      </c>
      <c r="C905" t="s">
        <v>5267</v>
      </c>
      <c r="D905" t="s">
        <v>9109</v>
      </c>
      <c r="E905">
        <v>0</v>
      </c>
      <c r="F905">
        <v>903</v>
      </c>
      <c r="H905" t="s">
        <v>6807</v>
      </c>
    </row>
    <row r="906" spans="1:8" x14ac:dyDescent="0.3">
      <c r="A906" t="s">
        <v>6808</v>
      </c>
      <c r="C906" t="s">
        <v>5267</v>
      </c>
      <c r="D906" t="s">
        <v>9110</v>
      </c>
      <c r="E906">
        <v>0</v>
      </c>
      <c r="F906">
        <v>904</v>
      </c>
      <c r="H906" t="s">
        <v>6808</v>
      </c>
    </row>
    <row r="907" spans="1:8" x14ac:dyDescent="0.3">
      <c r="A907" t="s">
        <v>6809</v>
      </c>
      <c r="C907" t="s">
        <v>5267</v>
      </c>
      <c r="D907" t="s">
        <v>9111</v>
      </c>
      <c r="E907">
        <v>0</v>
      </c>
      <c r="F907">
        <v>905</v>
      </c>
      <c r="H907" t="s">
        <v>6809</v>
      </c>
    </row>
    <row r="908" spans="1:8" x14ac:dyDescent="0.3">
      <c r="A908" t="s">
        <v>6810</v>
      </c>
      <c r="C908" t="s">
        <v>5267</v>
      </c>
      <c r="D908" t="s">
        <v>9112</v>
      </c>
      <c r="E908">
        <v>0</v>
      </c>
      <c r="F908">
        <v>906</v>
      </c>
      <c r="H908" t="s">
        <v>6810</v>
      </c>
    </row>
    <row r="909" spans="1:8" x14ac:dyDescent="0.3">
      <c r="A909" t="s">
        <v>6811</v>
      </c>
      <c r="C909" t="s">
        <v>5267</v>
      </c>
      <c r="D909" t="s">
        <v>9113</v>
      </c>
      <c r="E909">
        <v>0</v>
      </c>
      <c r="F909">
        <v>907</v>
      </c>
      <c r="H909" t="s">
        <v>6811</v>
      </c>
    </row>
    <row r="910" spans="1:8" x14ac:dyDescent="0.3">
      <c r="A910" t="s">
        <v>6812</v>
      </c>
      <c r="C910" t="s">
        <v>5267</v>
      </c>
      <c r="D910" t="s">
        <v>9114</v>
      </c>
      <c r="E910">
        <v>0</v>
      </c>
      <c r="F910">
        <v>908</v>
      </c>
      <c r="H910" t="s">
        <v>6812</v>
      </c>
    </row>
    <row r="911" spans="1:8" x14ac:dyDescent="0.3">
      <c r="A911" t="s">
        <v>6813</v>
      </c>
      <c r="C911" t="s">
        <v>5267</v>
      </c>
      <c r="D911" t="s">
        <v>9115</v>
      </c>
      <c r="E911">
        <v>0</v>
      </c>
      <c r="F911">
        <v>909</v>
      </c>
      <c r="H911" t="s">
        <v>6813</v>
      </c>
    </row>
    <row r="912" spans="1:8" x14ac:dyDescent="0.3">
      <c r="A912" t="s">
        <v>6814</v>
      </c>
      <c r="C912" t="s">
        <v>5267</v>
      </c>
      <c r="D912" t="s">
        <v>9116</v>
      </c>
      <c r="E912">
        <v>0</v>
      </c>
      <c r="F912">
        <v>910</v>
      </c>
      <c r="H912" t="s">
        <v>6814</v>
      </c>
    </row>
    <row r="913" spans="1:8" x14ac:dyDescent="0.3">
      <c r="A913" t="s">
        <v>6815</v>
      </c>
      <c r="C913" t="s">
        <v>5267</v>
      </c>
      <c r="D913" t="s">
        <v>9117</v>
      </c>
      <c r="E913">
        <v>0</v>
      </c>
      <c r="F913">
        <v>911</v>
      </c>
      <c r="H913" t="s">
        <v>6815</v>
      </c>
    </row>
    <row r="914" spans="1:8" x14ac:dyDescent="0.3">
      <c r="A914" t="s">
        <v>6816</v>
      </c>
      <c r="C914" t="s">
        <v>5267</v>
      </c>
      <c r="D914" t="s">
        <v>9118</v>
      </c>
      <c r="E914">
        <v>0</v>
      </c>
      <c r="F914">
        <v>912</v>
      </c>
      <c r="H914" t="s">
        <v>6816</v>
      </c>
    </row>
    <row r="915" spans="1:8" x14ac:dyDescent="0.3">
      <c r="A915" t="s">
        <v>6817</v>
      </c>
      <c r="C915" t="s">
        <v>5267</v>
      </c>
      <c r="D915" t="s">
        <v>9119</v>
      </c>
      <c r="E915">
        <v>0</v>
      </c>
      <c r="F915">
        <v>913</v>
      </c>
      <c r="H915" t="s">
        <v>6817</v>
      </c>
    </row>
    <row r="916" spans="1:8" x14ac:dyDescent="0.3">
      <c r="A916" t="s">
        <v>6818</v>
      </c>
      <c r="C916" t="s">
        <v>5267</v>
      </c>
      <c r="D916" t="s">
        <v>9120</v>
      </c>
      <c r="E916">
        <v>0</v>
      </c>
      <c r="F916">
        <v>914</v>
      </c>
      <c r="H916" t="s">
        <v>6818</v>
      </c>
    </row>
    <row r="917" spans="1:8" x14ac:dyDescent="0.3">
      <c r="A917" t="s">
        <v>6819</v>
      </c>
      <c r="C917" t="s">
        <v>5267</v>
      </c>
      <c r="D917" t="s">
        <v>9121</v>
      </c>
      <c r="E917">
        <v>0</v>
      </c>
      <c r="F917">
        <v>915</v>
      </c>
      <c r="H917" t="s">
        <v>6819</v>
      </c>
    </row>
    <row r="918" spans="1:8" x14ac:dyDescent="0.3">
      <c r="A918" t="s">
        <v>6820</v>
      </c>
      <c r="C918" t="s">
        <v>5267</v>
      </c>
      <c r="D918" t="s">
        <v>9122</v>
      </c>
      <c r="E918">
        <v>0</v>
      </c>
      <c r="F918">
        <v>916</v>
      </c>
      <c r="H918" t="s">
        <v>6820</v>
      </c>
    </row>
    <row r="919" spans="1:8" x14ac:dyDescent="0.3">
      <c r="A919" t="s">
        <v>6821</v>
      </c>
      <c r="C919" t="s">
        <v>5267</v>
      </c>
      <c r="D919" t="s">
        <v>9123</v>
      </c>
      <c r="E919">
        <v>0</v>
      </c>
      <c r="F919">
        <v>917</v>
      </c>
      <c r="H919" t="s">
        <v>6821</v>
      </c>
    </row>
    <row r="920" spans="1:8" x14ac:dyDescent="0.3">
      <c r="A920" t="s">
        <v>6822</v>
      </c>
      <c r="C920" t="s">
        <v>5267</v>
      </c>
      <c r="D920" t="s">
        <v>9124</v>
      </c>
      <c r="E920">
        <v>0</v>
      </c>
      <c r="F920">
        <v>918</v>
      </c>
      <c r="H920" t="s">
        <v>6822</v>
      </c>
    </row>
    <row r="921" spans="1:8" x14ac:dyDescent="0.3">
      <c r="A921" t="s">
        <v>6823</v>
      </c>
      <c r="C921" t="s">
        <v>5267</v>
      </c>
      <c r="D921" t="s">
        <v>9125</v>
      </c>
      <c r="E921">
        <v>0</v>
      </c>
      <c r="F921">
        <v>919</v>
      </c>
      <c r="H921" t="s">
        <v>6823</v>
      </c>
    </row>
    <row r="922" spans="1:8" x14ac:dyDescent="0.3">
      <c r="A922" t="s">
        <v>6824</v>
      </c>
      <c r="C922" t="s">
        <v>5267</v>
      </c>
      <c r="D922" t="s">
        <v>9126</v>
      </c>
      <c r="E922">
        <v>0</v>
      </c>
      <c r="F922">
        <v>920</v>
      </c>
      <c r="H922" t="s">
        <v>6824</v>
      </c>
    </row>
    <row r="923" spans="1:8" x14ac:dyDescent="0.3">
      <c r="A923" t="s">
        <v>6825</v>
      </c>
      <c r="C923" t="s">
        <v>5267</v>
      </c>
      <c r="D923" t="s">
        <v>9127</v>
      </c>
      <c r="E923">
        <v>0</v>
      </c>
      <c r="F923">
        <v>921</v>
      </c>
      <c r="H923" t="s">
        <v>6825</v>
      </c>
    </row>
    <row r="924" spans="1:8" x14ac:dyDescent="0.3">
      <c r="A924" t="s">
        <v>6826</v>
      </c>
      <c r="C924" t="s">
        <v>5267</v>
      </c>
      <c r="D924" t="s">
        <v>9128</v>
      </c>
      <c r="E924">
        <v>0</v>
      </c>
      <c r="F924">
        <v>922</v>
      </c>
      <c r="H924" t="s">
        <v>6826</v>
      </c>
    </row>
    <row r="925" spans="1:8" x14ac:dyDescent="0.3">
      <c r="A925" t="s">
        <v>6827</v>
      </c>
      <c r="C925" t="s">
        <v>5267</v>
      </c>
      <c r="D925" t="s">
        <v>9129</v>
      </c>
      <c r="E925">
        <v>0</v>
      </c>
      <c r="F925">
        <v>923</v>
      </c>
      <c r="H925" t="s">
        <v>6827</v>
      </c>
    </row>
    <row r="926" spans="1:8" x14ac:dyDescent="0.3">
      <c r="A926" t="s">
        <v>6828</v>
      </c>
      <c r="C926" t="s">
        <v>5267</v>
      </c>
      <c r="D926" t="s">
        <v>9130</v>
      </c>
      <c r="E926">
        <v>0</v>
      </c>
      <c r="F926">
        <v>924</v>
      </c>
      <c r="H926" t="s">
        <v>6828</v>
      </c>
    </row>
    <row r="927" spans="1:8" x14ac:dyDescent="0.3">
      <c r="A927" t="s">
        <v>6829</v>
      </c>
      <c r="C927" t="s">
        <v>5267</v>
      </c>
      <c r="D927" t="s">
        <v>9131</v>
      </c>
      <c r="E927">
        <v>0</v>
      </c>
      <c r="F927">
        <v>925</v>
      </c>
      <c r="H927" t="s">
        <v>6829</v>
      </c>
    </row>
    <row r="928" spans="1:8" x14ac:dyDescent="0.3">
      <c r="A928" t="s">
        <v>6830</v>
      </c>
      <c r="C928" t="s">
        <v>5267</v>
      </c>
      <c r="D928" t="s">
        <v>9132</v>
      </c>
      <c r="E928">
        <v>0</v>
      </c>
      <c r="F928">
        <v>926</v>
      </c>
      <c r="H928" t="s">
        <v>6830</v>
      </c>
    </row>
    <row r="929" spans="1:8" x14ac:dyDescent="0.3">
      <c r="A929" t="s">
        <v>6831</v>
      </c>
      <c r="C929" t="s">
        <v>5267</v>
      </c>
      <c r="D929" t="s">
        <v>9133</v>
      </c>
      <c r="E929">
        <v>0</v>
      </c>
      <c r="F929">
        <v>927</v>
      </c>
      <c r="H929" t="s">
        <v>6831</v>
      </c>
    </row>
    <row r="930" spans="1:8" x14ac:dyDescent="0.3">
      <c r="A930" t="s">
        <v>6832</v>
      </c>
      <c r="C930" t="s">
        <v>5267</v>
      </c>
      <c r="D930" t="s">
        <v>9134</v>
      </c>
      <c r="E930">
        <v>0</v>
      </c>
      <c r="F930">
        <v>928</v>
      </c>
      <c r="H930" t="s">
        <v>6832</v>
      </c>
    </row>
    <row r="931" spans="1:8" x14ac:dyDescent="0.3">
      <c r="A931" t="s">
        <v>6833</v>
      </c>
      <c r="C931" t="s">
        <v>5267</v>
      </c>
      <c r="D931" t="s">
        <v>9135</v>
      </c>
      <c r="E931">
        <v>0</v>
      </c>
      <c r="F931">
        <v>929</v>
      </c>
      <c r="H931" t="s">
        <v>6833</v>
      </c>
    </row>
    <row r="932" spans="1:8" x14ac:dyDescent="0.3">
      <c r="A932" t="s">
        <v>6834</v>
      </c>
      <c r="C932" t="s">
        <v>5267</v>
      </c>
      <c r="D932" t="s">
        <v>9136</v>
      </c>
      <c r="E932">
        <v>0</v>
      </c>
      <c r="F932">
        <v>930</v>
      </c>
      <c r="H932" t="s">
        <v>6834</v>
      </c>
    </row>
    <row r="933" spans="1:8" x14ac:dyDescent="0.3">
      <c r="A933" t="s">
        <v>6835</v>
      </c>
      <c r="C933" t="s">
        <v>5267</v>
      </c>
      <c r="D933" t="s">
        <v>9137</v>
      </c>
      <c r="E933">
        <v>0</v>
      </c>
      <c r="F933">
        <v>931</v>
      </c>
      <c r="H933" t="s">
        <v>6835</v>
      </c>
    </row>
    <row r="934" spans="1:8" x14ac:dyDescent="0.3">
      <c r="A934" t="s">
        <v>6836</v>
      </c>
      <c r="C934" t="s">
        <v>5267</v>
      </c>
      <c r="D934" t="s">
        <v>9138</v>
      </c>
      <c r="E934">
        <v>0</v>
      </c>
      <c r="F934">
        <v>932</v>
      </c>
      <c r="H934" t="s">
        <v>6836</v>
      </c>
    </row>
    <row r="935" spans="1:8" x14ac:dyDescent="0.3">
      <c r="A935" t="s">
        <v>6837</v>
      </c>
      <c r="C935" t="s">
        <v>5267</v>
      </c>
      <c r="D935" t="s">
        <v>9139</v>
      </c>
      <c r="E935">
        <v>0</v>
      </c>
      <c r="F935">
        <v>933</v>
      </c>
      <c r="H935" t="s">
        <v>6837</v>
      </c>
    </row>
    <row r="936" spans="1:8" x14ac:dyDescent="0.3">
      <c r="A936" t="s">
        <v>6838</v>
      </c>
      <c r="C936" t="s">
        <v>5267</v>
      </c>
      <c r="D936" t="s">
        <v>9140</v>
      </c>
      <c r="E936">
        <v>0</v>
      </c>
      <c r="F936">
        <v>934</v>
      </c>
      <c r="H936" t="s">
        <v>6838</v>
      </c>
    </row>
    <row r="937" spans="1:8" x14ac:dyDescent="0.3">
      <c r="A937" t="s">
        <v>6839</v>
      </c>
      <c r="C937" t="s">
        <v>5267</v>
      </c>
      <c r="D937" t="s">
        <v>9141</v>
      </c>
      <c r="E937">
        <v>0</v>
      </c>
      <c r="F937">
        <v>935</v>
      </c>
      <c r="H937" t="s">
        <v>6839</v>
      </c>
    </row>
    <row r="938" spans="1:8" x14ac:dyDescent="0.3">
      <c r="A938" t="s">
        <v>6840</v>
      </c>
      <c r="C938" t="s">
        <v>5267</v>
      </c>
      <c r="D938" t="s">
        <v>9142</v>
      </c>
      <c r="E938">
        <v>0</v>
      </c>
      <c r="F938">
        <v>936</v>
      </c>
      <c r="H938" t="s">
        <v>6840</v>
      </c>
    </row>
    <row r="939" spans="1:8" x14ac:dyDescent="0.3">
      <c r="A939" t="s">
        <v>6841</v>
      </c>
      <c r="C939" t="s">
        <v>5267</v>
      </c>
      <c r="D939" t="s">
        <v>9143</v>
      </c>
      <c r="E939">
        <v>0</v>
      </c>
      <c r="F939">
        <v>937</v>
      </c>
      <c r="H939" t="s">
        <v>6841</v>
      </c>
    </row>
    <row r="940" spans="1:8" x14ac:dyDescent="0.3">
      <c r="A940" t="s">
        <v>6842</v>
      </c>
      <c r="C940" t="s">
        <v>5267</v>
      </c>
      <c r="D940" t="s">
        <v>9144</v>
      </c>
      <c r="E940">
        <v>0</v>
      </c>
      <c r="F940">
        <v>938</v>
      </c>
      <c r="H940" t="s">
        <v>6842</v>
      </c>
    </row>
    <row r="941" spans="1:8" x14ac:dyDescent="0.3">
      <c r="A941" t="s">
        <v>6843</v>
      </c>
      <c r="C941" t="s">
        <v>5267</v>
      </c>
      <c r="D941" t="s">
        <v>9145</v>
      </c>
      <c r="E941">
        <v>0</v>
      </c>
      <c r="F941">
        <v>939</v>
      </c>
      <c r="H941" t="s">
        <v>6843</v>
      </c>
    </row>
    <row r="942" spans="1:8" x14ac:dyDescent="0.3">
      <c r="A942" t="s">
        <v>6844</v>
      </c>
      <c r="C942" t="s">
        <v>5267</v>
      </c>
      <c r="D942" t="s">
        <v>9146</v>
      </c>
      <c r="E942">
        <v>0</v>
      </c>
      <c r="F942">
        <v>940</v>
      </c>
      <c r="H942" t="s">
        <v>6844</v>
      </c>
    </row>
    <row r="943" spans="1:8" x14ac:dyDescent="0.3">
      <c r="A943" t="s">
        <v>6845</v>
      </c>
      <c r="C943" t="s">
        <v>5267</v>
      </c>
      <c r="D943" t="s">
        <v>9147</v>
      </c>
      <c r="E943">
        <v>0</v>
      </c>
      <c r="F943">
        <v>941</v>
      </c>
      <c r="H943" t="s">
        <v>6845</v>
      </c>
    </row>
    <row r="944" spans="1:8" x14ac:dyDescent="0.3">
      <c r="A944" t="s">
        <v>6846</v>
      </c>
      <c r="C944" t="s">
        <v>5267</v>
      </c>
      <c r="D944" t="s">
        <v>9148</v>
      </c>
      <c r="E944">
        <v>0</v>
      </c>
      <c r="F944">
        <v>942</v>
      </c>
      <c r="H944" t="s">
        <v>6846</v>
      </c>
    </row>
    <row r="945" spans="1:8" x14ac:dyDescent="0.3">
      <c r="A945" t="s">
        <v>6847</v>
      </c>
      <c r="C945" t="s">
        <v>5267</v>
      </c>
      <c r="D945" t="s">
        <v>9149</v>
      </c>
      <c r="E945">
        <v>0</v>
      </c>
      <c r="F945">
        <v>943</v>
      </c>
      <c r="H945" t="s">
        <v>6847</v>
      </c>
    </row>
    <row r="946" spans="1:8" x14ac:dyDescent="0.3">
      <c r="A946" t="s">
        <v>6848</v>
      </c>
      <c r="C946" t="s">
        <v>5267</v>
      </c>
      <c r="D946" t="s">
        <v>9150</v>
      </c>
      <c r="E946">
        <v>0</v>
      </c>
      <c r="F946">
        <v>944</v>
      </c>
      <c r="H946" t="s">
        <v>6848</v>
      </c>
    </row>
    <row r="947" spans="1:8" x14ac:dyDescent="0.3">
      <c r="A947" t="s">
        <v>6849</v>
      </c>
      <c r="C947" t="s">
        <v>5267</v>
      </c>
      <c r="D947" t="s">
        <v>9151</v>
      </c>
      <c r="E947">
        <v>0</v>
      </c>
      <c r="F947">
        <v>945</v>
      </c>
      <c r="H947" t="s">
        <v>6849</v>
      </c>
    </row>
    <row r="948" spans="1:8" x14ac:dyDescent="0.3">
      <c r="A948" t="s">
        <v>6850</v>
      </c>
      <c r="C948" t="s">
        <v>5267</v>
      </c>
      <c r="D948" t="s">
        <v>9152</v>
      </c>
      <c r="E948">
        <v>0</v>
      </c>
      <c r="F948">
        <v>946</v>
      </c>
      <c r="H948" t="s">
        <v>6850</v>
      </c>
    </row>
    <row r="949" spans="1:8" x14ac:dyDescent="0.3">
      <c r="A949" t="s">
        <v>6851</v>
      </c>
      <c r="C949" t="s">
        <v>5267</v>
      </c>
      <c r="D949" t="s">
        <v>9153</v>
      </c>
      <c r="E949">
        <v>0</v>
      </c>
      <c r="F949">
        <v>947</v>
      </c>
      <c r="H949" t="s">
        <v>6851</v>
      </c>
    </row>
    <row r="950" spans="1:8" x14ac:dyDescent="0.3">
      <c r="A950" t="s">
        <v>6852</v>
      </c>
      <c r="C950" t="s">
        <v>5267</v>
      </c>
      <c r="D950" t="s">
        <v>9154</v>
      </c>
      <c r="E950">
        <v>0</v>
      </c>
      <c r="F950">
        <v>948</v>
      </c>
      <c r="H950" t="s">
        <v>6852</v>
      </c>
    </row>
    <row r="951" spans="1:8" x14ac:dyDescent="0.3">
      <c r="A951" t="s">
        <v>6853</v>
      </c>
      <c r="C951" t="s">
        <v>5267</v>
      </c>
      <c r="D951" t="s">
        <v>9155</v>
      </c>
      <c r="E951">
        <v>0</v>
      </c>
      <c r="F951">
        <v>949</v>
      </c>
      <c r="H951" t="s">
        <v>6853</v>
      </c>
    </row>
    <row r="952" spans="1:8" x14ac:dyDescent="0.3">
      <c r="A952" t="s">
        <v>6854</v>
      </c>
      <c r="C952" t="s">
        <v>5267</v>
      </c>
      <c r="D952" t="s">
        <v>9156</v>
      </c>
      <c r="E952">
        <v>0</v>
      </c>
      <c r="F952">
        <v>950</v>
      </c>
      <c r="H952" t="s">
        <v>6854</v>
      </c>
    </row>
    <row r="953" spans="1:8" x14ac:dyDescent="0.3">
      <c r="A953" t="s">
        <v>6855</v>
      </c>
      <c r="C953" t="s">
        <v>5267</v>
      </c>
      <c r="D953" t="s">
        <v>9157</v>
      </c>
      <c r="E953">
        <v>0</v>
      </c>
      <c r="F953">
        <v>951</v>
      </c>
      <c r="H953" t="s">
        <v>6855</v>
      </c>
    </row>
    <row r="954" spans="1:8" x14ac:dyDescent="0.3">
      <c r="A954" t="s">
        <v>6856</v>
      </c>
      <c r="C954" t="s">
        <v>5267</v>
      </c>
      <c r="D954" t="s">
        <v>9158</v>
      </c>
      <c r="E954">
        <v>0</v>
      </c>
      <c r="F954">
        <v>952</v>
      </c>
      <c r="H954" t="s">
        <v>6856</v>
      </c>
    </row>
    <row r="955" spans="1:8" x14ac:dyDescent="0.3">
      <c r="A955" t="s">
        <v>6857</v>
      </c>
      <c r="C955" t="s">
        <v>5267</v>
      </c>
      <c r="D955" t="s">
        <v>9159</v>
      </c>
      <c r="E955">
        <v>0</v>
      </c>
      <c r="F955">
        <v>953</v>
      </c>
      <c r="H955" t="s">
        <v>6857</v>
      </c>
    </row>
    <row r="956" spans="1:8" x14ac:dyDescent="0.3">
      <c r="A956" t="s">
        <v>6858</v>
      </c>
      <c r="C956" t="s">
        <v>5267</v>
      </c>
      <c r="D956" t="s">
        <v>9160</v>
      </c>
      <c r="E956">
        <v>0</v>
      </c>
      <c r="F956">
        <v>954</v>
      </c>
      <c r="H956" t="s">
        <v>6858</v>
      </c>
    </row>
    <row r="957" spans="1:8" x14ac:dyDescent="0.3">
      <c r="A957" t="s">
        <v>6859</v>
      </c>
      <c r="C957" t="s">
        <v>5267</v>
      </c>
      <c r="D957" t="s">
        <v>9161</v>
      </c>
      <c r="E957">
        <v>0</v>
      </c>
      <c r="F957">
        <v>955</v>
      </c>
      <c r="H957" t="s">
        <v>6859</v>
      </c>
    </row>
    <row r="958" spans="1:8" x14ac:dyDescent="0.3">
      <c r="A958" t="s">
        <v>6860</v>
      </c>
      <c r="C958" t="s">
        <v>5267</v>
      </c>
      <c r="D958" t="s">
        <v>9162</v>
      </c>
      <c r="E958">
        <v>0</v>
      </c>
      <c r="F958">
        <v>956</v>
      </c>
      <c r="H958" t="s">
        <v>6860</v>
      </c>
    </row>
    <row r="959" spans="1:8" x14ac:dyDescent="0.3">
      <c r="A959" t="s">
        <v>6861</v>
      </c>
      <c r="C959" t="s">
        <v>5267</v>
      </c>
      <c r="D959" t="s">
        <v>9163</v>
      </c>
      <c r="E959">
        <v>0</v>
      </c>
      <c r="F959">
        <v>957</v>
      </c>
      <c r="H959" t="s">
        <v>6861</v>
      </c>
    </row>
    <row r="960" spans="1:8" x14ac:dyDescent="0.3">
      <c r="A960" t="s">
        <v>6862</v>
      </c>
      <c r="C960" t="s">
        <v>5267</v>
      </c>
      <c r="D960" t="s">
        <v>9164</v>
      </c>
      <c r="E960">
        <v>0</v>
      </c>
      <c r="F960">
        <v>958</v>
      </c>
      <c r="H960" t="s">
        <v>6862</v>
      </c>
    </row>
    <row r="961" spans="1:8" x14ac:dyDescent="0.3">
      <c r="A961" t="s">
        <v>6863</v>
      </c>
      <c r="C961" t="s">
        <v>5267</v>
      </c>
      <c r="D961" t="s">
        <v>9165</v>
      </c>
      <c r="E961">
        <v>0</v>
      </c>
      <c r="F961">
        <v>959</v>
      </c>
      <c r="H961" t="s">
        <v>6863</v>
      </c>
    </row>
    <row r="962" spans="1:8" x14ac:dyDescent="0.3">
      <c r="A962" t="s">
        <v>6864</v>
      </c>
      <c r="C962" t="s">
        <v>5267</v>
      </c>
      <c r="D962" t="s">
        <v>9166</v>
      </c>
      <c r="E962">
        <v>0</v>
      </c>
      <c r="F962">
        <v>960</v>
      </c>
      <c r="H962" t="s">
        <v>6864</v>
      </c>
    </row>
    <row r="963" spans="1:8" x14ac:dyDescent="0.3">
      <c r="A963" t="s">
        <v>6865</v>
      </c>
      <c r="C963" t="s">
        <v>5267</v>
      </c>
      <c r="D963" t="s">
        <v>9167</v>
      </c>
      <c r="E963">
        <v>0</v>
      </c>
      <c r="F963">
        <v>961</v>
      </c>
      <c r="H963" t="s">
        <v>6865</v>
      </c>
    </row>
    <row r="964" spans="1:8" x14ac:dyDescent="0.3">
      <c r="A964" t="s">
        <v>6866</v>
      </c>
      <c r="C964" t="s">
        <v>5267</v>
      </c>
      <c r="D964" t="s">
        <v>9168</v>
      </c>
      <c r="E964">
        <v>0</v>
      </c>
      <c r="F964">
        <v>962</v>
      </c>
      <c r="H964" t="s">
        <v>6866</v>
      </c>
    </row>
    <row r="965" spans="1:8" x14ac:dyDescent="0.3">
      <c r="A965" t="s">
        <v>6867</v>
      </c>
      <c r="C965" t="s">
        <v>5267</v>
      </c>
      <c r="D965" t="s">
        <v>9169</v>
      </c>
      <c r="E965">
        <v>0</v>
      </c>
      <c r="F965">
        <v>963</v>
      </c>
      <c r="H965" t="s">
        <v>6867</v>
      </c>
    </row>
    <row r="966" spans="1:8" x14ac:dyDescent="0.3">
      <c r="A966" t="s">
        <v>6868</v>
      </c>
      <c r="C966" t="s">
        <v>5267</v>
      </c>
      <c r="D966" t="s">
        <v>9170</v>
      </c>
      <c r="E966">
        <v>0</v>
      </c>
      <c r="F966">
        <v>964</v>
      </c>
      <c r="H966" t="s">
        <v>6868</v>
      </c>
    </row>
    <row r="967" spans="1:8" x14ac:dyDescent="0.3">
      <c r="A967" t="s">
        <v>6869</v>
      </c>
      <c r="C967" t="s">
        <v>5267</v>
      </c>
      <c r="D967" t="s">
        <v>9171</v>
      </c>
      <c r="E967">
        <v>0</v>
      </c>
      <c r="F967">
        <v>965</v>
      </c>
      <c r="H967" t="s">
        <v>6869</v>
      </c>
    </row>
    <row r="968" spans="1:8" x14ac:dyDescent="0.3">
      <c r="A968" t="s">
        <v>6870</v>
      </c>
      <c r="C968" t="s">
        <v>5267</v>
      </c>
      <c r="D968" t="s">
        <v>9172</v>
      </c>
      <c r="E968">
        <v>0</v>
      </c>
      <c r="F968">
        <v>966</v>
      </c>
      <c r="H968" t="s">
        <v>6870</v>
      </c>
    </row>
    <row r="969" spans="1:8" x14ac:dyDescent="0.3">
      <c r="A969" t="s">
        <v>6871</v>
      </c>
      <c r="C969" t="s">
        <v>5267</v>
      </c>
      <c r="D969" t="s">
        <v>9173</v>
      </c>
      <c r="E969">
        <v>0</v>
      </c>
      <c r="F969">
        <v>967</v>
      </c>
      <c r="H969" t="s">
        <v>6871</v>
      </c>
    </row>
    <row r="970" spans="1:8" x14ac:dyDescent="0.3">
      <c r="A970" t="s">
        <v>6872</v>
      </c>
      <c r="C970" t="s">
        <v>5267</v>
      </c>
      <c r="D970" t="s">
        <v>9174</v>
      </c>
      <c r="E970">
        <v>0</v>
      </c>
      <c r="F970">
        <v>968</v>
      </c>
      <c r="H970" t="s">
        <v>6872</v>
      </c>
    </row>
    <row r="971" spans="1:8" x14ac:dyDescent="0.3">
      <c r="A971" t="s">
        <v>6873</v>
      </c>
      <c r="C971" t="s">
        <v>5267</v>
      </c>
      <c r="D971" t="s">
        <v>9175</v>
      </c>
      <c r="E971">
        <v>0</v>
      </c>
      <c r="F971">
        <v>969</v>
      </c>
      <c r="H971" t="s">
        <v>6873</v>
      </c>
    </row>
    <row r="972" spans="1:8" x14ac:dyDescent="0.3">
      <c r="A972" t="s">
        <v>6874</v>
      </c>
      <c r="C972" t="s">
        <v>5267</v>
      </c>
      <c r="D972" t="s">
        <v>9176</v>
      </c>
      <c r="E972">
        <v>0</v>
      </c>
      <c r="F972">
        <v>970</v>
      </c>
      <c r="H972" t="s">
        <v>6874</v>
      </c>
    </row>
    <row r="973" spans="1:8" x14ac:dyDescent="0.3">
      <c r="A973" t="s">
        <v>6875</v>
      </c>
      <c r="C973" t="s">
        <v>5267</v>
      </c>
      <c r="D973" t="s">
        <v>9177</v>
      </c>
      <c r="E973">
        <v>0</v>
      </c>
      <c r="F973">
        <v>971</v>
      </c>
      <c r="H973" t="s">
        <v>6875</v>
      </c>
    </row>
    <row r="974" spans="1:8" x14ac:dyDescent="0.3">
      <c r="A974" t="s">
        <v>6876</v>
      </c>
      <c r="C974" t="s">
        <v>5267</v>
      </c>
      <c r="D974" t="s">
        <v>9178</v>
      </c>
      <c r="E974">
        <v>0</v>
      </c>
      <c r="F974">
        <v>972</v>
      </c>
      <c r="H974" t="s">
        <v>6876</v>
      </c>
    </row>
    <row r="975" spans="1:8" x14ac:dyDescent="0.3">
      <c r="A975" t="s">
        <v>6877</v>
      </c>
      <c r="C975" t="s">
        <v>5267</v>
      </c>
      <c r="D975" t="s">
        <v>9179</v>
      </c>
      <c r="E975">
        <v>0</v>
      </c>
      <c r="F975">
        <v>973</v>
      </c>
      <c r="H975" t="s">
        <v>6877</v>
      </c>
    </row>
    <row r="976" spans="1:8" x14ac:dyDescent="0.3">
      <c r="A976" t="s">
        <v>6878</v>
      </c>
      <c r="C976" t="s">
        <v>5267</v>
      </c>
      <c r="D976" t="s">
        <v>9180</v>
      </c>
      <c r="E976">
        <v>0</v>
      </c>
      <c r="F976">
        <v>974</v>
      </c>
      <c r="H976" t="s">
        <v>6878</v>
      </c>
    </row>
    <row r="977" spans="1:8" x14ac:dyDescent="0.3">
      <c r="A977" t="s">
        <v>6879</v>
      </c>
      <c r="C977" t="s">
        <v>5267</v>
      </c>
      <c r="D977" t="s">
        <v>9181</v>
      </c>
      <c r="E977">
        <v>0</v>
      </c>
      <c r="F977">
        <v>975</v>
      </c>
      <c r="H977" t="s">
        <v>6879</v>
      </c>
    </row>
    <row r="978" spans="1:8" x14ac:dyDescent="0.3">
      <c r="A978" t="s">
        <v>6880</v>
      </c>
      <c r="C978" t="s">
        <v>5267</v>
      </c>
      <c r="D978" t="s">
        <v>9182</v>
      </c>
      <c r="E978">
        <v>0</v>
      </c>
      <c r="F978">
        <v>976</v>
      </c>
      <c r="H978" t="s">
        <v>6880</v>
      </c>
    </row>
    <row r="979" spans="1:8" x14ac:dyDescent="0.3">
      <c r="A979" t="s">
        <v>6881</v>
      </c>
      <c r="C979" t="s">
        <v>5267</v>
      </c>
      <c r="D979" t="s">
        <v>9183</v>
      </c>
      <c r="E979">
        <v>0</v>
      </c>
      <c r="F979">
        <v>977</v>
      </c>
      <c r="H979" t="s">
        <v>6881</v>
      </c>
    </row>
    <row r="980" spans="1:8" x14ac:dyDescent="0.3">
      <c r="A980" t="s">
        <v>6882</v>
      </c>
      <c r="C980" t="s">
        <v>5267</v>
      </c>
      <c r="D980" t="s">
        <v>9184</v>
      </c>
      <c r="E980">
        <v>0</v>
      </c>
      <c r="F980">
        <v>978</v>
      </c>
      <c r="H980" t="s">
        <v>6882</v>
      </c>
    </row>
    <row r="981" spans="1:8" x14ac:dyDescent="0.3">
      <c r="A981" t="s">
        <v>6883</v>
      </c>
      <c r="C981" t="s">
        <v>5267</v>
      </c>
      <c r="D981" t="s">
        <v>9185</v>
      </c>
      <c r="E981">
        <v>0</v>
      </c>
      <c r="F981">
        <v>979</v>
      </c>
      <c r="H981" t="s">
        <v>6883</v>
      </c>
    </row>
    <row r="982" spans="1:8" x14ac:dyDescent="0.3">
      <c r="A982" t="s">
        <v>6884</v>
      </c>
      <c r="C982" t="s">
        <v>5267</v>
      </c>
      <c r="D982" t="s">
        <v>9186</v>
      </c>
      <c r="E982">
        <v>0</v>
      </c>
      <c r="F982">
        <v>980</v>
      </c>
      <c r="H982" t="s">
        <v>6884</v>
      </c>
    </row>
    <row r="983" spans="1:8" x14ac:dyDescent="0.3">
      <c r="A983" t="s">
        <v>6885</v>
      </c>
      <c r="C983" t="s">
        <v>5267</v>
      </c>
      <c r="D983" t="s">
        <v>9187</v>
      </c>
      <c r="E983">
        <v>0</v>
      </c>
      <c r="F983">
        <v>981</v>
      </c>
      <c r="H983" t="s">
        <v>6885</v>
      </c>
    </row>
    <row r="984" spans="1:8" x14ac:dyDescent="0.3">
      <c r="A984" t="s">
        <v>6886</v>
      </c>
      <c r="C984" t="s">
        <v>5267</v>
      </c>
      <c r="D984" t="s">
        <v>9188</v>
      </c>
      <c r="E984">
        <v>0</v>
      </c>
      <c r="F984">
        <v>982</v>
      </c>
      <c r="H984" t="s">
        <v>6886</v>
      </c>
    </row>
    <row r="985" spans="1:8" x14ac:dyDescent="0.3">
      <c r="A985" t="s">
        <v>6887</v>
      </c>
      <c r="C985" t="s">
        <v>5267</v>
      </c>
      <c r="D985" t="s">
        <v>9189</v>
      </c>
      <c r="E985">
        <v>0</v>
      </c>
      <c r="F985">
        <v>983</v>
      </c>
      <c r="H985" t="s">
        <v>6887</v>
      </c>
    </row>
    <row r="986" spans="1:8" x14ac:dyDescent="0.3">
      <c r="A986" t="s">
        <v>6888</v>
      </c>
      <c r="C986" t="s">
        <v>5267</v>
      </c>
      <c r="D986" t="s">
        <v>9190</v>
      </c>
      <c r="E986">
        <v>0</v>
      </c>
      <c r="F986">
        <v>984</v>
      </c>
      <c r="H986" t="s">
        <v>6888</v>
      </c>
    </row>
    <row r="987" spans="1:8" x14ac:dyDescent="0.3">
      <c r="A987" t="s">
        <v>6889</v>
      </c>
      <c r="C987" t="s">
        <v>5267</v>
      </c>
      <c r="D987" t="s">
        <v>9191</v>
      </c>
      <c r="E987">
        <v>0</v>
      </c>
      <c r="F987">
        <v>985</v>
      </c>
      <c r="H987" t="s">
        <v>6889</v>
      </c>
    </row>
    <row r="988" spans="1:8" x14ac:dyDescent="0.3">
      <c r="A988" t="s">
        <v>6890</v>
      </c>
      <c r="C988" t="s">
        <v>5267</v>
      </c>
      <c r="D988" t="s">
        <v>9192</v>
      </c>
      <c r="E988">
        <v>0</v>
      </c>
      <c r="F988">
        <v>986</v>
      </c>
      <c r="H988" t="s">
        <v>6890</v>
      </c>
    </row>
    <row r="989" spans="1:8" x14ac:dyDescent="0.3">
      <c r="A989" t="s">
        <v>6891</v>
      </c>
      <c r="C989" t="s">
        <v>5267</v>
      </c>
      <c r="D989" t="s">
        <v>9193</v>
      </c>
      <c r="E989">
        <v>0</v>
      </c>
      <c r="F989">
        <v>987</v>
      </c>
      <c r="H989" t="s">
        <v>6891</v>
      </c>
    </row>
    <row r="990" spans="1:8" x14ac:dyDescent="0.3">
      <c r="A990" t="s">
        <v>6892</v>
      </c>
      <c r="C990" t="s">
        <v>5267</v>
      </c>
      <c r="D990" t="s">
        <v>9194</v>
      </c>
      <c r="E990">
        <v>0</v>
      </c>
      <c r="F990">
        <v>988</v>
      </c>
      <c r="H990" t="s">
        <v>6892</v>
      </c>
    </row>
    <row r="991" spans="1:8" x14ac:dyDescent="0.3">
      <c r="A991" t="s">
        <v>6893</v>
      </c>
      <c r="C991" t="s">
        <v>5267</v>
      </c>
      <c r="D991" t="s">
        <v>9195</v>
      </c>
      <c r="E991">
        <v>0</v>
      </c>
      <c r="F991">
        <v>989</v>
      </c>
      <c r="H991" t="s">
        <v>6893</v>
      </c>
    </row>
    <row r="992" spans="1:8" x14ac:dyDescent="0.3">
      <c r="A992" t="s">
        <v>6894</v>
      </c>
      <c r="C992" t="s">
        <v>5267</v>
      </c>
      <c r="D992" t="s">
        <v>9196</v>
      </c>
      <c r="E992">
        <v>0</v>
      </c>
      <c r="F992">
        <v>990</v>
      </c>
      <c r="H992" t="s">
        <v>6894</v>
      </c>
    </row>
    <row r="993" spans="1:8" x14ac:dyDescent="0.3">
      <c r="A993" t="s">
        <v>6542</v>
      </c>
      <c r="C993" t="s">
        <v>5267</v>
      </c>
      <c r="D993" t="s">
        <v>9197</v>
      </c>
      <c r="E993">
        <v>0</v>
      </c>
      <c r="F993">
        <v>991</v>
      </c>
      <c r="H993" t="s">
        <v>6542</v>
      </c>
    </row>
    <row r="994" spans="1:8" x14ac:dyDescent="0.3">
      <c r="A994" t="s">
        <v>6895</v>
      </c>
      <c r="C994" t="s">
        <v>5267</v>
      </c>
      <c r="D994" t="s">
        <v>9198</v>
      </c>
      <c r="E994">
        <v>0</v>
      </c>
      <c r="F994">
        <v>992</v>
      </c>
      <c r="H994" t="s">
        <v>6895</v>
      </c>
    </row>
    <row r="995" spans="1:8" x14ac:dyDescent="0.3">
      <c r="A995" t="s">
        <v>6896</v>
      </c>
      <c r="C995" t="s">
        <v>5267</v>
      </c>
      <c r="D995" t="s">
        <v>9199</v>
      </c>
      <c r="E995">
        <v>0</v>
      </c>
      <c r="F995">
        <v>993</v>
      </c>
      <c r="H995" t="s">
        <v>6896</v>
      </c>
    </row>
    <row r="996" spans="1:8" x14ac:dyDescent="0.3">
      <c r="A996" t="s">
        <v>6897</v>
      </c>
      <c r="C996" t="s">
        <v>5267</v>
      </c>
      <c r="D996" t="s">
        <v>9200</v>
      </c>
      <c r="E996">
        <v>0</v>
      </c>
      <c r="F996">
        <v>994</v>
      </c>
      <c r="H996" t="s">
        <v>6897</v>
      </c>
    </row>
    <row r="997" spans="1:8" x14ac:dyDescent="0.3">
      <c r="A997" t="s">
        <v>6898</v>
      </c>
      <c r="C997" t="s">
        <v>5267</v>
      </c>
      <c r="D997" t="s">
        <v>9201</v>
      </c>
      <c r="E997">
        <v>0</v>
      </c>
      <c r="F997">
        <v>995</v>
      </c>
      <c r="H997" t="s">
        <v>6898</v>
      </c>
    </row>
    <row r="998" spans="1:8" x14ac:dyDescent="0.3">
      <c r="A998" t="s">
        <v>6899</v>
      </c>
      <c r="C998" t="s">
        <v>5267</v>
      </c>
      <c r="D998" t="s">
        <v>9202</v>
      </c>
      <c r="E998">
        <v>0</v>
      </c>
      <c r="F998">
        <v>996</v>
      </c>
      <c r="H998" t="s">
        <v>6899</v>
      </c>
    </row>
    <row r="999" spans="1:8" x14ac:dyDescent="0.3">
      <c r="A999" t="s">
        <v>6900</v>
      </c>
      <c r="C999" t="s">
        <v>5267</v>
      </c>
      <c r="D999" t="s">
        <v>9203</v>
      </c>
      <c r="E999">
        <v>0</v>
      </c>
      <c r="F999">
        <v>997</v>
      </c>
      <c r="H999" t="s">
        <v>6900</v>
      </c>
    </row>
    <row r="1000" spans="1:8" x14ac:dyDescent="0.3">
      <c r="A1000" t="s">
        <v>6901</v>
      </c>
      <c r="C1000" t="s">
        <v>5267</v>
      </c>
      <c r="D1000" t="s">
        <v>9204</v>
      </c>
      <c r="E1000">
        <v>0</v>
      </c>
      <c r="F1000">
        <v>998</v>
      </c>
      <c r="H1000" t="s">
        <v>6901</v>
      </c>
    </row>
    <row r="1001" spans="1:8" x14ac:dyDescent="0.3">
      <c r="A1001" t="s">
        <v>6902</v>
      </c>
      <c r="C1001" t="s">
        <v>5267</v>
      </c>
      <c r="D1001" t="s">
        <v>9205</v>
      </c>
      <c r="E1001">
        <v>0</v>
      </c>
      <c r="F1001">
        <v>999</v>
      </c>
      <c r="H1001" t="s">
        <v>6902</v>
      </c>
    </row>
    <row r="1002" spans="1:8" x14ac:dyDescent="0.3">
      <c r="A1002" t="s">
        <v>6903</v>
      </c>
      <c r="C1002" t="s">
        <v>5267</v>
      </c>
      <c r="D1002" t="s">
        <v>9206</v>
      </c>
      <c r="E1002">
        <v>0</v>
      </c>
      <c r="F1002">
        <v>1000</v>
      </c>
      <c r="H1002" t="s">
        <v>6903</v>
      </c>
    </row>
    <row r="1003" spans="1:8" x14ac:dyDescent="0.3">
      <c r="A1003" t="s">
        <v>6904</v>
      </c>
      <c r="C1003" t="s">
        <v>5267</v>
      </c>
      <c r="D1003" t="s">
        <v>9207</v>
      </c>
      <c r="E1003">
        <v>0</v>
      </c>
      <c r="F1003">
        <v>1001</v>
      </c>
      <c r="H1003" t="s">
        <v>6904</v>
      </c>
    </row>
    <row r="1004" spans="1:8" x14ac:dyDescent="0.3">
      <c r="A1004" t="s">
        <v>6905</v>
      </c>
      <c r="C1004" t="s">
        <v>5267</v>
      </c>
      <c r="D1004" t="s">
        <v>9208</v>
      </c>
      <c r="E1004">
        <v>0</v>
      </c>
      <c r="F1004">
        <v>1002</v>
      </c>
      <c r="H1004" t="s">
        <v>6905</v>
      </c>
    </row>
    <row r="1005" spans="1:8" x14ac:dyDescent="0.3">
      <c r="A1005" t="s">
        <v>6906</v>
      </c>
      <c r="C1005" t="s">
        <v>5267</v>
      </c>
      <c r="D1005" t="s">
        <v>9209</v>
      </c>
      <c r="E1005">
        <v>0</v>
      </c>
      <c r="F1005">
        <v>1003</v>
      </c>
      <c r="H1005" t="s">
        <v>6906</v>
      </c>
    </row>
    <row r="1006" spans="1:8" x14ac:dyDescent="0.3">
      <c r="A1006" t="s">
        <v>6907</v>
      </c>
      <c r="C1006" t="s">
        <v>5267</v>
      </c>
      <c r="D1006" t="s">
        <v>9210</v>
      </c>
      <c r="E1006">
        <v>0</v>
      </c>
      <c r="F1006">
        <v>1004</v>
      </c>
      <c r="H1006" t="s">
        <v>6907</v>
      </c>
    </row>
    <row r="1007" spans="1:8" x14ac:dyDescent="0.3">
      <c r="A1007" t="s">
        <v>6908</v>
      </c>
      <c r="C1007" t="s">
        <v>5267</v>
      </c>
      <c r="D1007" t="s">
        <v>9211</v>
      </c>
      <c r="E1007">
        <v>0</v>
      </c>
      <c r="F1007">
        <v>1005</v>
      </c>
      <c r="H1007" t="s">
        <v>6908</v>
      </c>
    </row>
    <row r="1008" spans="1:8" x14ac:dyDescent="0.3">
      <c r="A1008" t="s">
        <v>6909</v>
      </c>
      <c r="C1008" t="s">
        <v>5267</v>
      </c>
      <c r="D1008" t="s">
        <v>9212</v>
      </c>
      <c r="E1008">
        <v>0</v>
      </c>
      <c r="F1008">
        <v>1006</v>
      </c>
      <c r="H1008" t="s">
        <v>6909</v>
      </c>
    </row>
    <row r="1009" spans="1:8" x14ac:dyDescent="0.3">
      <c r="A1009" t="s">
        <v>6910</v>
      </c>
      <c r="C1009" t="s">
        <v>5267</v>
      </c>
      <c r="D1009" t="s">
        <v>9213</v>
      </c>
      <c r="E1009">
        <v>0</v>
      </c>
      <c r="F1009">
        <v>1007</v>
      </c>
      <c r="H1009" t="s">
        <v>6910</v>
      </c>
    </row>
    <row r="1010" spans="1:8" x14ac:dyDescent="0.3">
      <c r="A1010" t="s">
        <v>6911</v>
      </c>
      <c r="C1010" t="s">
        <v>5267</v>
      </c>
      <c r="D1010" t="s">
        <v>9214</v>
      </c>
      <c r="E1010">
        <v>0</v>
      </c>
      <c r="F1010">
        <v>1008</v>
      </c>
      <c r="H1010" t="s">
        <v>6911</v>
      </c>
    </row>
    <row r="1011" spans="1:8" x14ac:dyDescent="0.3">
      <c r="A1011" t="s">
        <v>6912</v>
      </c>
      <c r="C1011" t="s">
        <v>5267</v>
      </c>
      <c r="D1011" t="s">
        <v>9215</v>
      </c>
      <c r="E1011">
        <v>0</v>
      </c>
      <c r="F1011">
        <v>1009</v>
      </c>
      <c r="H1011" t="s">
        <v>6912</v>
      </c>
    </row>
    <row r="1012" spans="1:8" x14ac:dyDescent="0.3">
      <c r="A1012" t="s">
        <v>6913</v>
      </c>
      <c r="C1012" t="s">
        <v>5267</v>
      </c>
      <c r="D1012" t="s">
        <v>9216</v>
      </c>
      <c r="E1012">
        <v>0</v>
      </c>
      <c r="F1012">
        <v>1010</v>
      </c>
      <c r="H1012" t="s">
        <v>6913</v>
      </c>
    </row>
    <row r="1013" spans="1:8" x14ac:dyDescent="0.3">
      <c r="A1013" t="s">
        <v>6914</v>
      </c>
      <c r="C1013" t="s">
        <v>5267</v>
      </c>
      <c r="D1013" t="s">
        <v>9217</v>
      </c>
      <c r="E1013">
        <v>0</v>
      </c>
      <c r="F1013">
        <v>1011</v>
      </c>
      <c r="H1013" t="s">
        <v>6914</v>
      </c>
    </row>
    <row r="1014" spans="1:8" x14ac:dyDescent="0.3">
      <c r="A1014" t="s">
        <v>6915</v>
      </c>
      <c r="C1014" t="s">
        <v>5267</v>
      </c>
      <c r="D1014" t="s">
        <v>9218</v>
      </c>
      <c r="E1014">
        <v>0</v>
      </c>
      <c r="F1014">
        <v>1012</v>
      </c>
      <c r="H1014" t="s">
        <v>6915</v>
      </c>
    </row>
    <row r="1015" spans="1:8" x14ac:dyDescent="0.3">
      <c r="A1015" t="s">
        <v>6916</v>
      </c>
      <c r="C1015" t="s">
        <v>5267</v>
      </c>
      <c r="D1015" t="s">
        <v>9219</v>
      </c>
      <c r="E1015">
        <v>0</v>
      </c>
      <c r="F1015">
        <v>1013</v>
      </c>
      <c r="H1015" t="s">
        <v>6916</v>
      </c>
    </row>
    <row r="1016" spans="1:8" x14ac:dyDescent="0.3">
      <c r="A1016" t="s">
        <v>6917</v>
      </c>
      <c r="C1016" t="s">
        <v>5267</v>
      </c>
      <c r="D1016" t="s">
        <v>9220</v>
      </c>
      <c r="E1016">
        <v>0</v>
      </c>
      <c r="F1016">
        <v>1014</v>
      </c>
      <c r="H1016" t="s">
        <v>6917</v>
      </c>
    </row>
    <row r="1017" spans="1:8" x14ac:dyDescent="0.3">
      <c r="A1017" t="s">
        <v>6918</v>
      </c>
      <c r="C1017" t="s">
        <v>5267</v>
      </c>
      <c r="D1017" t="s">
        <v>9221</v>
      </c>
      <c r="E1017">
        <v>0</v>
      </c>
      <c r="F1017">
        <v>1015</v>
      </c>
      <c r="H1017" t="s">
        <v>6918</v>
      </c>
    </row>
    <row r="1018" spans="1:8" x14ac:dyDescent="0.3">
      <c r="A1018" t="s">
        <v>6919</v>
      </c>
      <c r="C1018" t="s">
        <v>5267</v>
      </c>
      <c r="D1018" t="s">
        <v>9222</v>
      </c>
      <c r="E1018">
        <v>0</v>
      </c>
      <c r="F1018">
        <v>1016</v>
      </c>
      <c r="H1018" t="s">
        <v>6919</v>
      </c>
    </row>
    <row r="1019" spans="1:8" x14ac:dyDescent="0.3">
      <c r="A1019" t="s">
        <v>6920</v>
      </c>
      <c r="C1019" t="s">
        <v>5267</v>
      </c>
      <c r="D1019" t="s">
        <v>9223</v>
      </c>
      <c r="E1019">
        <v>0</v>
      </c>
      <c r="F1019">
        <v>1017</v>
      </c>
      <c r="H1019" t="s">
        <v>6920</v>
      </c>
    </row>
    <row r="1020" spans="1:8" x14ac:dyDescent="0.3">
      <c r="A1020" t="s">
        <v>6921</v>
      </c>
      <c r="C1020" t="s">
        <v>5267</v>
      </c>
      <c r="D1020" t="s">
        <v>9224</v>
      </c>
      <c r="E1020">
        <v>0</v>
      </c>
      <c r="F1020">
        <v>1018</v>
      </c>
      <c r="H1020" t="s">
        <v>6921</v>
      </c>
    </row>
    <row r="1021" spans="1:8" x14ac:dyDescent="0.3">
      <c r="A1021" t="s">
        <v>6922</v>
      </c>
      <c r="C1021" t="s">
        <v>5267</v>
      </c>
      <c r="D1021" t="s">
        <v>9225</v>
      </c>
      <c r="E1021">
        <v>0</v>
      </c>
      <c r="F1021">
        <v>1019</v>
      </c>
      <c r="H1021" t="s">
        <v>6922</v>
      </c>
    </row>
    <row r="1022" spans="1:8" x14ac:dyDescent="0.3">
      <c r="A1022" t="s">
        <v>6923</v>
      </c>
      <c r="C1022" t="s">
        <v>5267</v>
      </c>
      <c r="D1022" t="s">
        <v>9226</v>
      </c>
      <c r="E1022">
        <v>0</v>
      </c>
      <c r="F1022">
        <v>1020</v>
      </c>
      <c r="H1022" t="s">
        <v>6923</v>
      </c>
    </row>
    <row r="1023" spans="1:8" x14ac:dyDescent="0.3">
      <c r="A1023" t="s">
        <v>6924</v>
      </c>
      <c r="C1023" t="s">
        <v>5267</v>
      </c>
      <c r="D1023" t="s">
        <v>9227</v>
      </c>
      <c r="E1023">
        <v>0</v>
      </c>
      <c r="F1023">
        <v>1021</v>
      </c>
      <c r="H1023" t="s">
        <v>6924</v>
      </c>
    </row>
    <row r="1024" spans="1:8" x14ac:dyDescent="0.3">
      <c r="A1024" t="s">
        <v>6925</v>
      </c>
      <c r="C1024" t="s">
        <v>5267</v>
      </c>
      <c r="D1024" t="s">
        <v>9228</v>
      </c>
      <c r="E1024">
        <v>0</v>
      </c>
      <c r="F1024">
        <v>1022</v>
      </c>
      <c r="H1024" t="s">
        <v>6925</v>
      </c>
    </row>
    <row r="1025" spans="1:8" x14ac:dyDescent="0.3">
      <c r="A1025" t="s">
        <v>6926</v>
      </c>
      <c r="C1025" t="s">
        <v>5267</v>
      </c>
      <c r="D1025" t="s">
        <v>9229</v>
      </c>
      <c r="E1025">
        <v>0</v>
      </c>
      <c r="F1025">
        <v>1023</v>
      </c>
      <c r="H1025" t="s">
        <v>6926</v>
      </c>
    </row>
    <row r="1026" spans="1:8" x14ac:dyDescent="0.3">
      <c r="A1026" t="s">
        <v>6927</v>
      </c>
      <c r="C1026" t="s">
        <v>5267</v>
      </c>
      <c r="D1026" t="s">
        <v>9230</v>
      </c>
      <c r="E1026">
        <v>0</v>
      </c>
      <c r="F1026">
        <v>1024</v>
      </c>
      <c r="H1026" t="s">
        <v>6927</v>
      </c>
    </row>
    <row r="1027" spans="1:8" x14ac:dyDescent="0.3">
      <c r="A1027" t="s">
        <v>6928</v>
      </c>
      <c r="C1027" t="s">
        <v>5267</v>
      </c>
      <c r="D1027" t="s">
        <v>9231</v>
      </c>
      <c r="E1027">
        <v>0</v>
      </c>
      <c r="F1027">
        <v>1025</v>
      </c>
      <c r="H1027" t="s">
        <v>6928</v>
      </c>
    </row>
    <row r="1028" spans="1:8" x14ac:dyDescent="0.3">
      <c r="A1028" t="s">
        <v>6929</v>
      </c>
      <c r="C1028" t="s">
        <v>5267</v>
      </c>
      <c r="D1028" t="s">
        <v>9232</v>
      </c>
      <c r="E1028">
        <v>0</v>
      </c>
      <c r="F1028">
        <v>1026</v>
      </c>
      <c r="H1028" t="s">
        <v>6929</v>
      </c>
    </row>
    <row r="1029" spans="1:8" x14ac:dyDescent="0.3">
      <c r="A1029" t="s">
        <v>6930</v>
      </c>
      <c r="C1029" t="s">
        <v>5267</v>
      </c>
      <c r="D1029" t="s">
        <v>9233</v>
      </c>
      <c r="E1029">
        <v>0</v>
      </c>
      <c r="F1029">
        <v>1027</v>
      </c>
      <c r="H1029" t="s">
        <v>6930</v>
      </c>
    </row>
    <row r="1030" spans="1:8" x14ac:dyDescent="0.3">
      <c r="A1030" t="s">
        <v>6931</v>
      </c>
      <c r="C1030" t="s">
        <v>5267</v>
      </c>
      <c r="D1030" t="s">
        <v>9234</v>
      </c>
      <c r="E1030">
        <v>0</v>
      </c>
      <c r="F1030">
        <v>1028</v>
      </c>
      <c r="H1030" t="s">
        <v>6931</v>
      </c>
    </row>
    <row r="1031" spans="1:8" x14ac:dyDescent="0.3">
      <c r="A1031" t="s">
        <v>6932</v>
      </c>
      <c r="C1031" t="s">
        <v>5267</v>
      </c>
      <c r="D1031" t="s">
        <v>9235</v>
      </c>
      <c r="E1031">
        <v>0</v>
      </c>
      <c r="F1031">
        <v>1029</v>
      </c>
      <c r="H1031" t="s">
        <v>6932</v>
      </c>
    </row>
    <row r="1032" spans="1:8" x14ac:dyDescent="0.3">
      <c r="A1032" t="s">
        <v>6933</v>
      </c>
      <c r="C1032" t="s">
        <v>5267</v>
      </c>
      <c r="D1032" t="s">
        <v>9236</v>
      </c>
      <c r="E1032">
        <v>0</v>
      </c>
      <c r="F1032">
        <v>1030</v>
      </c>
      <c r="H1032" t="s">
        <v>6933</v>
      </c>
    </row>
    <row r="1033" spans="1:8" x14ac:dyDescent="0.3">
      <c r="A1033" t="s">
        <v>6934</v>
      </c>
      <c r="C1033" t="s">
        <v>5267</v>
      </c>
      <c r="D1033" t="s">
        <v>9237</v>
      </c>
      <c r="E1033">
        <v>0</v>
      </c>
      <c r="F1033">
        <v>1031</v>
      </c>
      <c r="H1033" t="s">
        <v>6934</v>
      </c>
    </row>
    <row r="1034" spans="1:8" x14ac:dyDescent="0.3">
      <c r="A1034" t="s">
        <v>6935</v>
      </c>
      <c r="C1034" t="s">
        <v>5267</v>
      </c>
      <c r="D1034" t="s">
        <v>9238</v>
      </c>
      <c r="E1034">
        <v>0</v>
      </c>
      <c r="F1034">
        <v>1032</v>
      </c>
      <c r="H1034" t="s">
        <v>6935</v>
      </c>
    </row>
    <row r="1035" spans="1:8" x14ac:dyDescent="0.3">
      <c r="A1035" t="s">
        <v>6936</v>
      </c>
      <c r="C1035" t="s">
        <v>5267</v>
      </c>
      <c r="D1035" t="s">
        <v>9239</v>
      </c>
      <c r="E1035">
        <v>0</v>
      </c>
      <c r="F1035">
        <v>1033</v>
      </c>
      <c r="H1035" t="s">
        <v>6936</v>
      </c>
    </row>
    <row r="1036" spans="1:8" x14ac:dyDescent="0.3">
      <c r="A1036" t="s">
        <v>6937</v>
      </c>
      <c r="C1036" t="s">
        <v>5267</v>
      </c>
      <c r="D1036" t="s">
        <v>9240</v>
      </c>
      <c r="E1036">
        <v>0</v>
      </c>
      <c r="F1036">
        <v>1034</v>
      </c>
      <c r="H1036" t="s">
        <v>6937</v>
      </c>
    </row>
    <row r="1037" spans="1:8" x14ac:dyDescent="0.3">
      <c r="A1037" t="s">
        <v>6938</v>
      </c>
      <c r="C1037" t="s">
        <v>5267</v>
      </c>
      <c r="D1037" t="s">
        <v>9241</v>
      </c>
      <c r="E1037">
        <v>0</v>
      </c>
      <c r="F1037">
        <v>1035</v>
      </c>
      <c r="H1037" t="s">
        <v>6938</v>
      </c>
    </row>
    <row r="1038" spans="1:8" x14ac:dyDescent="0.3">
      <c r="A1038" t="s">
        <v>6939</v>
      </c>
      <c r="C1038" t="s">
        <v>5267</v>
      </c>
      <c r="D1038" t="s">
        <v>9242</v>
      </c>
      <c r="E1038">
        <v>0</v>
      </c>
      <c r="F1038">
        <v>1036</v>
      </c>
      <c r="H1038" t="s">
        <v>6939</v>
      </c>
    </row>
    <row r="1039" spans="1:8" x14ac:dyDescent="0.3">
      <c r="A1039" t="s">
        <v>6940</v>
      </c>
      <c r="C1039" t="s">
        <v>5267</v>
      </c>
      <c r="D1039" t="s">
        <v>9243</v>
      </c>
      <c r="E1039">
        <v>0</v>
      </c>
      <c r="F1039">
        <v>1037</v>
      </c>
      <c r="H1039" t="s">
        <v>6940</v>
      </c>
    </row>
    <row r="1040" spans="1:8" x14ac:dyDescent="0.3">
      <c r="A1040" t="s">
        <v>6941</v>
      </c>
      <c r="C1040" t="s">
        <v>5267</v>
      </c>
      <c r="D1040" t="s">
        <v>9244</v>
      </c>
      <c r="E1040">
        <v>0</v>
      </c>
      <c r="F1040">
        <v>1038</v>
      </c>
      <c r="H1040" t="s">
        <v>6941</v>
      </c>
    </row>
    <row r="1041" spans="1:8" x14ac:dyDescent="0.3">
      <c r="A1041" t="s">
        <v>6942</v>
      </c>
      <c r="C1041" t="s">
        <v>5267</v>
      </c>
      <c r="D1041" t="s">
        <v>9245</v>
      </c>
      <c r="E1041">
        <v>0</v>
      </c>
      <c r="F1041">
        <v>1039</v>
      </c>
      <c r="H1041" t="s">
        <v>6942</v>
      </c>
    </row>
    <row r="1042" spans="1:8" x14ac:dyDescent="0.3">
      <c r="A1042" t="s">
        <v>6943</v>
      </c>
      <c r="C1042" t="s">
        <v>5267</v>
      </c>
      <c r="D1042" t="s">
        <v>9246</v>
      </c>
      <c r="E1042">
        <v>0</v>
      </c>
      <c r="F1042">
        <v>1040</v>
      </c>
      <c r="H1042" t="s">
        <v>6943</v>
      </c>
    </row>
    <row r="1043" spans="1:8" x14ac:dyDescent="0.3">
      <c r="A1043" t="s">
        <v>6944</v>
      </c>
      <c r="C1043" t="s">
        <v>5267</v>
      </c>
      <c r="D1043" t="s">
        <v>9247</v>
      </c>
      <c r="E1043">
        <v>0</v>
      </c>
      <c r="F1043">
        <v>1041</v>
      </c>
      <c r="H1043" t="s">
        <v>6944</v>
      </c>
    </row>
    <row r="1044" spans="1:8" x14ac:dyDescent="0.3">
      <c r="A1044" t="s">
        <v>6945</v>
      </c>
      <c r="C1044" t="s">
        <v>5267</v>
      </c>
      <c r="D1044" t="s">
        <v>9248</v>
      </c>
      <c r="E1044">
        <v>0</v>
      </c>
      <c r="F1044">
        <v>1042</v>
      </c>
      <c r="H1044" t="s">
        <v>6945</v>
      </c>
    </row>
    <row r="1045" spans="1:8" x14ac:dyDescent="0.3">
      <c r="A1045" t="s">
        <v>6946</v>
      </c>
      <c r="C1045" t="s">
        <v>5267</v>
      </c>
      <c r="D1045" t="s">
        <v>9249</v>
      </c>
      <c r="E1045">
        <v>0</v>
      </c>
      <c r="F1045">
        <v>1043</v>
      </c>
      <c r="H1045" t="s">
        <v>6946</v>
      </c>
    </row>
    <row r="1046" spans="1:8" x14ac:dyDescent="0.3">
      <c r="A1046" t="s">
        <v>6947</v>
      </c>
      <c r="C1046" t="s">
        <v>5267</v>
      </c>
      <c r="D1046" t="s">
        <v>9250</v>
      </c>
      <c r="E1046">
        <v>0</v>
      </c>
      <c r="F1046">
        <v>1044</v>
      </c>
      <c r="H1046" t="s">
        <v>6947</v>
      </c>
    </row>
    <row r="1047" spans="1:8" x14ac:dyDescent="0.3">
      <c r="A1047" t="s">
        <v>6948</v>
      </c>
      <c r="C1047" t="s">
        <v>5267</v>
      </c>
      <c r="D1047" t="s">
        <v>9251</v>
      </c>
      <c r="E1047">
        <v>0</v>
      </c>
      <c r="F1047">
        <v>1045</v>
      </c>
      <c r="H1047" t="s">
        <v>6948</v>
      </c>
    </row>
    <row r="1048" spans="1:8" x14ac:dyDescent="0.3">
      <c r="A1048" t="s">
        <v>6949</v>
      </c>
      <c r="C1048" t="s">
        <v>5267</v>
      </c>
      <c r="D1048" t="s">
        <v>9252</v>
      </c>
      <c r="E1048">
        <v>0</v>
      </c>
      <c r="F1048">
        <v>1046</v>
      </c>
      <c r="H1048" t="s">
        <v>6949</v>
      </c>
    </row>
    <row r="1049" spans="1:8" x14ac:dyDescent="0.3">
      <c r="A1049" t="s">
        <v>6950</v>
      </c>
      <c r="C1049" t="s">
        <v>5267</v>
      </c>
      <c r="D1049" t="s">
        <v>9253</v>
      </c>
      <c r="E1049">
        <v>0</v>
      </c>
      <c r="F1049">
        <v>1047</v>
      </c>
      <c r="H1049" t="s">
        <v>6950</v>
      </c>
    </row>
    <row r="1050" spans="1:8" x14ac:dyDescent="0.3">
      <c r="A1050" t="s">
        <v>6951</v>
      </c>
      <c r="C1050" t="s">
        <v>5267</v>
      </c>
      <c r="D1050" t="s">
        <v>9254</v>
      </c>
      <c r="E1050">
        <v>0</v>
      </c>
      <c r="F1050">
        <v>1048</v>
      </c>
      <c r="H1050" t="s">
        <v>6951</v>
      </c>
    </row>
    <row r="1051" spans="1:8" x14ac:dyDescent="0.3">
      <c r="A1051" t="s">
        <v>6952</v>
      </c>
      <c r="C1051" t="s">
        <v>5267</v>
      </c>
      <c r="D1051" t="s">
        <v>9255</v>
      </c>
      <c r="E1051">
        <v>0</v>
      </c>
      <c r="F1051">
        <v>1049</v>
      </c>
      <c r="H1051" t="s">
        <v>6952</v>
      </c>
    </row>
    <row r="1052" spans="1:8" x14ac:dyDescent="0.3">
      <c r="A1052" t="s">
        <v>6953</v>
      </c>
      <c r="C1052" t="s">
        <v>5267</v>
      </c>
      <c r="D1052" t="s">
        <v>9256</v>
      </c>
      <c r="E1052">
        <v>0</v>
      </c>
      <c r="F1052">
        <v>1050</v>
      </c>
      <c r="H1052" t="s">
        <v>6953</v>
      </c>
    </row>
    <row r="1053" spans="1:8" x14ac:dyDescent="0.3">
      <c r="A1053" t="s">
        <v>6954</v>
      </c>
      <c r="C1053" t="s">
        <v>5267</v>
      </c>
      <c r="D1053" t="s">
        <v>9257</v>
      </c>
      <c r="E1053">
        <v>0</v>
      </c>
      <c r="F1053">
        <v>1051</v>
      </c>
      <c r="H1053" t="s">
        <v>6954</v>
      </c>
    </row>
    <row r="1054" spans="1:8" x14ac:dyDescent="0.3">
      <c r="A1054" t="s">
        <v>6955</v>
      </c>
      <c r="C1054" t="s">
        <v>5267</v>
      </c>
      <c r="D1054" t="s">
        <v>9258</v>
      </c>
      <c r="E1054">
        <v>0</v>
      </c>
      <c r="F1054">
        <v>1052</v>
      </c>
      <c r="H1054" t="s">
        <v>6955</v>
      </c>
    </row>
    <row r="1055" spans="1:8" x14ac:dyDescent="0.3">
      <c r="A1055" t="s">
        <v>6956</v>
      </c>
      <c r="C1055" t="s">
        <v>5267</v>
      </c>
      <c r="D1055" t="s">
        <v>9259</v>
      </c>
      <c r="E1055">
        <v>0</v>
      </c>
      <c r="F1055">
        <v>1053</v>
      </c>
      <c r="H1055" t="s">
        <v>6956</v>
      </c>
    </row>
    <row r="1056" spans="1:8" x14ac:dyDescent="0.3">
      <c r="A1056" t="s">
        <v>6957</v>
      </c>
      <c r="C1056" t="s">
        <v>5267</v>
      </c>
      <c r="D1056" t="s">
        <v>9260</v>
      </c>
      <c r="E1056">
        <v>0</v>
      </c>
      <c r="F1056">
        <v>1054</v>
      </c>
      <c r="H1056" t="s">
        <v>6957</v>
      </c>
    </row>
    <row r="1057" spans="1:8" x14ac:dyDescent="0.3">
      <c r="A1057" t="s">
        <v>6958</v>
      </c>
      <c r="C1057" t="s">
        <v>5267</v>
      </c>
      <c r="D1057" t="s">
        <v>9261</v>
      </c>
      <c r="E1057">
        <v>0</v>
      </c>
      <c r="F1057">
        <v>1055</v>
      </c>
      <c r="H1057" t="s">
        <v>6958</v>
      </c>
    </row>
    <row r="1058" spans="1:8" x14ac:dyDescent="0.3">
      <c r="A1058" t="s">
        <v>6959</v>
      </c>
      <c r="C1058" t="s">
        <v>5267</v>
      </c>
      <c r="D1058" t="s">
        <v>9262</v>
      </c>
      <c r="E1058">
        <v>0</v>
      </c>
      <c r="F1058">
        <v>1056</v>
      </c>
      <c r="H1058" t="s">
        <v>6959</v>
      </c>
    </row>
    <row r="1059" spans="1:8" x14ac:dyDescent="0.3">
      <c r="A1059" t="s">
        <v>6960</v>
      </c>
      <c r="C1059" t="s">
        <v>5267</v>
      </c>
      <c r="D1059" t="s">
        <v>9263</v>
      </c>
      <c r="E1059">
        <v>0</v>
      </c>
      <c r="F1059">
        <v>1057</v>
      </c>
      <c r="H1059" t="s">
        <v>6960</v>
      </c>
    </row>
    <row r="1060" spans="1:8" x14ac:dyDescent="0.3">
      <c r="A1060" t="s">
        <v>6961</v>
      </c>
      <c r="C1060" t="s">
        <v>5267</v>
      </c>
      <c r="D1060" t="s">
        <v>9264</v>
      </c>
      <c r="E1060">
        <v>0</v>
      </c>
      <c r="F1060">
        <v>1058</v>
      </c>
      <c r="H1060" t="s">
        <v>6961</v>
      </c>
    </row>
    <row r="1061" spans="1:8" x14ac:dyDescent="0.3">
      <c r="A1061" t="s">
        <v>6962</v>
      </c>
      <c r="C1061" t="s">
        <v>5267</v>
      </c>
      <c r="D1061" t="s">
        <v>9265</v>
      </c>
      <c r="E1061">
        <v>0</v>
      </c>
      <c r="F1061">
        <v>1059</v>
      </c>
      <c r="H1061" t="s">
        <v>6962</v>
      </c>
    </row>
    <row r="1062" spans="1:8" x14ac:dyDescent="0.3">
      <c r="A1062" t="s">
        <v>6963</v>
      </c>
      <c r="C1062" t="s">
        <v>5267</v>
      </c>
      <c r="D1062" t="s">
        <v>9266</v>
      </c>
      <c r="E1062">
        <v>0</v>
      </c>
      <c r="F1062">
        <v>1060</v>
      </c>
      <c r="H1062" t="s">
        <v>6963</v>
      </c>
    </row>
    <row r="1063" spans="1:8" x14ac:dyDescent="0.3">
      <c r="A1063" t="s">
        <v>6964</v>
      </c>
      <c r="C1063" t="s">
        <v>5267</v>
      </c>
      <c r="D1063" t="s">
        <v>9267</v>
      </c>
      <c r="E1063">
        <v>0</v>
      </c>
      <c r="F1063">
        <v>1061</v>
      </c>
      <c r="H1063" t="s">
        <v>6964</v>
      </c>
    </row>
    <row r="1064" spans="1:8" x14ac:dyDescent="0.3">
      <c r="A1064" t="s">
        <v>6965</v>
      </c>
      <c r="C1064" t="s">
        <v>5267</v>
      </c>
      <c r="D1064" t="s">
        <v>9268</v>
      </c>
      <c r="E1064">
        <v>0</v>
      </c>
      <c r="F1064">
        <v>1062</v>
      </c>
      <c r="H1064" t="s">
        <v>6965</v>
      </c>
    </row>
    <row r="1065" spans="1:8" x14ac:dyDescent="0.3">
      <c r="A1065" t="s">
        <v>6966</v>
      </c>
      <c r="C1065" t="s">
        <v>5267</v>
      </c>
      <c r="D1065" t="s">
        <v>9269</v>
      </c>
      <c r="E1065">
        <v>0</v>
      </c>
      <c r="F1065">
        <v>1063</v>
      </c>
      <c r="H1065" t="s">
        <v>6966</v>
      </c>
    </row>
    <row r="1066" spans="1:8" x14ac:dyDescent="0.3">
      <c r="A1066" t="s">
        <v>6967</v>
      </c>
      <c r="C1066" t="s">
        <v>5267</v>
      </c>
      <c r="D1066" t="s">
        <v>9270</v>
      </c>
      <c r="E1066">
        <v>0</v>
      </c>
      <c r="F1066">
        <v>1064</v>
      </c>
      <c r="H1066" t="s">
        <v>6967</v>
      </c>
    </row>
    <row r="1067" spans="1:8" x14ac:dyDescent="0.3">
      <c r="A1067" t="s">
        <v>6968</v>
      </c>
      <c r="C1067" t="s">
        <v>5267</v>
      </c>
      <c r="D1067" t="s">
        <v>9271</v>
      </c>
      <c r="E1067">
        <v>0</v>
      </c>
      <c r="F1067">
        <v>1065</v>
      </c>
      <c r="H1067" t="s">
        <v>6968</v>
      </c>
    </row>
    <row r="1068" spans="1:8" x14ac:dyDescent="0.3">
      <c r="A1068" t="s">
        <v>6969</v>
      </c>
      <c r="C1068" t="s">
        <v>5267</v>
      </c>
      <c r="D1068" t="s">
        <v>9272</v>
      </c>
      <c r="E1068">
        <v>0</v>
      </c>
      <c r="F1068">
        <v>1066</v>
      </c>
      <c r="H1068" t="s">
        <v>6969</v>
      </c>
    </row>
    <row r="1069" spans="1:8" x14ac:dyDescent="0.3">
      <c r="A1069" t="s">
        <v>6970</v>
      </c>
      <c r="C1069" t="s">
        <v>5267</v>
      </c>
      <c r="D1069" t="s">
        <v>9273</v>
      </c>
      <c r="E1069">
        <v>0</v>
      </c>
      <c r="F1069">
        <v>1067</v>
      </c>
      <c r="H1069" t="s">
        <v>6970</v>
      </c>
    </row>
    <row r="1070" spans="1:8" x14ac:dyDescent="0.3">
      <c r="A1070" t="s">
        <v>6971</v>
      </c>
      <c r="C1070" t="s">
        <v>5267</v>
      </c>
      <c r="D1070" t="s">
        <v>9274</v>
      </c>
      <c r="E1070">
        <v>0</v>
      </c>
      <c r="F1070">
        <v>1068</v>
      </c>
      <c r="H1070" t="s">
        <v>6971</v>
      </c>
    </row>
    <row r="1071" spans="1:8" x14ac:dyDescent="0.3">
      <c r="A1071" t="s">
        <v>6972</v>
      </c>
      <c r="C1071" t="s">
        <v>5267</v>
      </c>
      <c r="D1071" t="s">
        <v>9275</v>
      </c>
      <c r="E1071">
        <v>0</v>
      </c>
      <c r="F1071">
        <v>1069</v>
      </c>
      <c r="H1071" t="s">
        <v>6972</v>
      </c>
    </row>
    <row r="1072" spans="1:8" x14ac:dyDescent="0.3">
      <c r="A1072" t="s">
        <v>6973</v>
      </c>
      <c r="C1072" t="s">
        <v>5267</v>
      </c>
      <c r="D1072" t="s">
        <v>9276</v>
      </c>
      <c r="E1072">
        <v>0</v>
      </c>
      <c r="F1072">
        <v>1070</v>
      </c>
      <c r="H1072" t="s">
        <v>6973</v>
      </c>
    </row>
    <row r="1073" spans="1:8" x14ac:dyDescent="0.3">
      <c r="A1073" t="s">
        <v>6974</v>
      </c>
      <c r="C1073" t="s">
        <v>5267</v>
      </c>
      <c r="D1073" t="s">
        <v>9277</v>
      </c>
      <c r="E1073">
        <v>0</v>
      </c>
      <c r="F1073">
        <v>1071</v>
      </c>
      <c r="H1073" t="s">
        <v>6974</v>
      </c>
    </row>
    <row r="1074" spans="1:8" x14ac:dyDescent="0.3">
      <c r="A1074" t="s">
        <v>6975</v>
      </c>
      <c r="C1074" t="s">
        <v>5267</v>
      </c>
      <c r="D1074" t="s">
        <v>9278</v>
      </c>
      <c r="E1074">
        <v>0</v>
      </c>
      <c r="F1074">
        <v>1072</v>
      </c>
      <c r="H1074" t="s">
        <v>6975</v>
      </c>
    </row>
    <row r="1075" spans="1:8" x14ac:dyDescent="0.3">
      <c r="A1075" t="s">
        <v>6976</v>
      </c>
      <c r="C1075" t="s">
        <v>5267</v>
      </c>
      <c r="D1075" t="s">
        <v>9279</v>
      </c>
      <c r="E1075">
        <v>0</v>
      </c>
      <c r="F1075">
        <v>1073</v>
      </c>
      <c r="H1075" t="s">
        <v>6976</v>
      </c>
    </row>
    <row r="1076" spans="1:8" x14ac:dyDescent="0.3">
      <c r="A1076" t="s">
        <v>6977</v>
      </c>
      <c r="C1076" t="s">
        <v>5267</v>
      </c>
      <c r="D1076" t="s">
        <v>9280</v>
      </c>
      <c r="E1076">
        <v>0</v>
      </c>
      <c r="F1076">
        <v>1074</v>
      </c>
      <c r="H1076" t="s">
        <v>6977</v>
      </c>
    </row>
    <row r="1077" spans="1:8" x14ac:dyDescent="0.3">
      <c r="A1077" t="s">
        <v>6978</v>
      </c>
      <c r="C1077" t="s">
        <v>5267</v>
      </c>
      <c r="D1077" t="s">
        <v>9281</v>
      </c>
      <c r="E1077">
        <v>0</v>
      </c>
      <c r="F1077">
        <v>1075</v>
      </c>
      <c r="H1077" t="s">
        <v>6978</v>
      </c>
    </row>
    <row r="1078" spans="1:8" x14ac:dyDescent="0.3">
      <c r="A1078" t="s">
        <v>6979</v>
      </c>
      <c r="C1078" t="s">
        <v>5267</v>
      </c>
      <c r="D1078" t="s">
        <v>9282</v>
      </c>
      <c r="E1078">
        <v>0</v>
      </c>
      <c r="F1078">
        <v>1076</v>
      </c>
      <c r="H1078" t="s">
        <v>6979</v>
      </c>
    </row>
    <row r="1079" spans="1:8" x14ac:dyDescent="0.3">
      <c r="A1079" t="s">
        <v>6980</v>
      </c>
      <c r="C1079" t="s">
        <v>5267</v>
      </c>
      <c r="D1079" t="s">
        <v>9283</v>
      </c>
      <c r="E1079">
        <v>0</v>
      </c>
      <c r="F1079">
        <v>1077</v>
      </c>
      <c r="H1079" t="s">
        <v>6980</v>
      </c>
    </row>
    <row r="1080" spans="1:8" x14ac:dyDescent="0.3">
      <c r="A1080" t="s">
        <v>6981</v>
      </c>
      <c r="C1080" t="s">
        <v>5267</v>
      </c>
      <c r="D1080" t="s">
        <v>9284</v>
      </c>
      <c r="E1080">
        <v>0</v>
      </c>
      <c r="F1080">
        <v>1078</v>
      </c>
      <c r="H1080" t="s">
        <v>6981</v>
      </c>
    </row>
    <row r="1081" spans="1:8" x14ac:dyDescent="0.3">
      <c r="A1081" t="s">
        <v>6982</v>
      </c>
      <c r="C1081" t="s">
        <v>5267</v>
      </c>
      <c r="D1081" t="s">
        <v>9285</v>
      </c>
      <c r="E1081">
        <v>0</v>
      </c>
      <c r="F1081">
        <v>1079</v>
      </c>
      <c r="H1081" t="s">
        <v>6982</v>
      </c>
    </row>
    <row r="1082" spans="1:8" x14ac:dyDescent="0.3">
      <c r="A1082" t="s">
        <v>6983</v>
      </c>
      <c r="C1082" t="s">
        <v>5267</v>
      </c>
      <c r="D1082" t="s">
        <v>9286</v>
      </c>
      <c r="E1082">
        <v>0</v>
      </c>
      <c r="F1082">
        <v>1080</v>
      </c>
      <c r="H1082" t="s">
        <v>6983</v>
      </c>
    </row>
    <row r="1083" spans="1:8" x14ac:dyDescent="0.3">
      <c r="A1083" t="s">
        <v>6984</v>
      </c>
      <c r="C1083" t="s">
        <v>5267</v>
      </c>
      <c r="D1083" t="s">
        <v>9287</v>
      </c>
      <c r="E1083">
        <v>0</v>
      </c>
      <c r="F1083">
        <v>1081</v>
      </c>
      <c r="H1083" t="s">
        <v>6984</v>
      </c>
    </row>
    <row r="1084" spans="1:8" x14ac:dyDescent="0.3">
      <c r="A1084" t="s">
        <v>6985</v>
      </c>
      <c r="C1084" t="s">
        <v>5267</v>
      </c>
      <c r="D1084" t="s">
        <v>9288</v>
      </c>
      <c r="E1084">
        <v>0</v>
      </c>
      <c r="F1084">
        <v>1082</v>
      </c>
      <c r="H1084" t="s">
        <v>6985</v>
      </c>
    </row>
    <row r="1085" spans="1:8" x14ac:dyDescent="0.3">
      <c r="A1085" t="s">
        <v>6986</v>
      </c>
      <c r="C1085" t="s">
        <v>5267</v>
      </c>
      <c r="D1085" t="s">
        <v>9289</v>
      </c>
      <c r="E1085">
        <v>0</v>
      </c>
      <c r="F1085">
        <v>1083</v>
      </c>
      <c r="H1085" t="s">
        <v>6986</v>
      </c>
    </row>
    <row r="1086" spans="1:8" x14ac:dyDescent="0.3">
      <c r="A1086" t="s">
        <v>6987</v>
      </c>
      <c r="C1086" t="s">
        <v>5267</v>
      </c>
      <c r="D1086" t="s">
        <v>9290</v>
      </c>
      <c r="E1086">
        <v>0</v>
      </c>
      <c r="F1086">
        <v>1084</v>
      </c>
      <c r="H1086" t="s">
        <v>6987</v>
      </c>
    </row>
    <row r="1087" spans="1:8" x14ac:dyDescent="0.3">
      <c r="A1087" t="s">
        <v>6988</v>
      </c>
      <c r="C1087" t="s">
        <v>5267</v>
      </c>
      <c r="D1087" t="s">
        <v>9291</v>
      </c>
      <c r="E1087">
        <v>0</v>
      </c>
      <c r="F1087">
        <v>1085</v>
      </c>
      <c r="H1087" t="s">
        <v>6988</v>
      </c>
    </row>
    <row r="1088" spans="1:8" x14ac:dyDescent="0.3">
      <c r="A1088" t="s">
        <v>6989</v>
      </c>
      <c r="C1088" t="s">
        <v>5267</v>
      </c>
      <c r="D1088" t="s">
        <v>9292</v>
      </c>
      <c r="E1088">
        <v>0</v>
      </c>
      <c r="F1088">
        <v>1086</v>
      </c>
      <c r="H1088" t="s">
        <v>6989</v>
      </c>
    </row>
    <row r="1089" spans="1:8" x14ac:dyDescent="0.3">
      <c r="A1089" t="s">
        <v>6990</v>
      </c>
      <c r="C1089" t="s">
        <v>5267</v>
      </c>
      <c r="D1089" t="s">
        <v>9293</v>
      </c>
      <c r="E1089">
        <v>0</v>
      </c>
      <c r="F1089">
        <v>1087</v>
      </c>
      <c r="H1089" t="s">
        <v>6990</v>
      </c>
    </row>
    <row r="1090" spans="1:8" x14ac:dyDescent="0.3">
      <c r="A1090" t="s">
        <v>6991</v>
      </c>
      <c r="C1090" t="s">
        <v>5267</v>
      </c>
      <c r="D1090" t="s">
        <v>9294</v>
      </c>
      <c r="E1090">
        <v>0</v>
      </c>
      <c r="F1090">
        <v>1088</v>
      </c>
      <c r="H1090" t="s">
        <v>6991</v>
      </c>
    </row>
    <row r="1091" spans="1:8" x14ac:dyDescent="0.3">
      <c r="A1091" t="s">
        <v>6992</v>
      </c>
      <c r="C1091" t="s">
        <v>5267</v>
      </c>
      <c r="D1091" t="s">
        <v>9295</v>
      </c>
      <c r="E1091">
        <v>0</v>
      </c>
      <c r="F1091">
        <v>1089</v>
      </c>
      <c r="H1091" t="s">
        <v>6992</v>
      </c>
    </row>
    <row r="1092" spans="1:8" x14ac:dyDescent="0.3">
      <c r="A1092" t="s">
        <v>6993</v>
      </c>
      <c r="C1092" t="s">
        <v>5267</v>
      </c>
      <c r="D1092" t="s">
        <v>9296</v>
      </c>
      <c r="E1092">
        <v>0</v>
      </c>
      <c r="F1092">
        <v>1090</v>
      </c>
      <c r="H1092" t="s">
        <v>6993</v>
      </c>
    </row>
    <row r="1093" spans="1:8" x14ac:dyDescent="0.3">
      <c r="A1093" t="s">
        <v>6994</v>
      </c>
      <c r="C1093" t="s">
        <v>5267</v>
      </c>
      <c r="D1093" t="s">
        <v>9297</v>
      </c>
      <c r="E1093">
        <v>0</v>
      </c>
      <c r="F1093">
        <v>1091</v>
      </c>
      <c r="H1093" t="s">
        <v>6994</v>
      </c>
    </row>
    <row r="1094" spans="1:8" x14ac:dyDescent="0.3">
      <c r="A1094" t="s">
        <v>6995</v>
      </c>
      <c r="C1094" t="s">
        <v>5267</v>
      </c>
      <c r="D1094" t="s">
        <v>9298</v>
      </c>
      <c r="E1094">
        <v>0</v>
      </c>
      <c r="F1094">
        <v>1092</v>
      </c>
      <c r="H1094" t="s">
        <v>6995</v>
      </c>
    </row>
    <row r="1095" spans="1:8" x14ac:dyDescent="0.3">
      <c r="A1095" t="s">
        <v>6996</v>
      </c>
      <c r="C1095" t="s">
        <v>5267</v>
      </c>
      <c r="D1095" t="s">
        <v>9299</v>
      </c>
      <c r="E1095">
        <v>0</v>
      </c>
      <c r="F1095">
        <v>1093</v>
      </c>
      <c r="H1095" t="s">
        <v>6996</v>
      </c>
    </row>
    <row r="1096" spans="1:8" x14ac:dyDescent="0.3">
      <c r="A1096" t="s">
        <v>6997</v>
      </c>
      <c r="C1096" t="s">
        <v>5267</v>
      </c>
      <c r="D1096" t="s">
        <v>9300</v>
      </c>
      <c r="E1096">
        <v>0</v>
      </c>
      <c r="F1096">
        <v>1094</v>
      </c>
      <c r="H1096" t="s">
        <v>6997</v>
      </c>
    </row>
    <row r="1097" spans="1:8" x14ac:dyDescent="0.3">
      <c r="A1097" t="s">
        <v>6998</v>
      </c>
      <c r="C1097" t="s">
        <v>5267</v>
      </c>
      <c r="D1097" t="s">
        <v>9301</v>
      </c>
      <c r="E1097">
        <v>0</v>
      </c>
      <c r="F1097">
        <v>1095</v>
      </c>
      <c r="H1097" t="s">
        <v>6998</v>
      </c>
    </row>
    <row r="1098" spans="1:8" x14ac:dyDescent="0.3">
      <c r="A1098" t="s">
        <v>6999</v>
      </c>
      <c r="C1098" t="s">
        <v>5267</v>
      </c>
      <c r="D1098" t="s">
        <v>9302</v>
      </c>
      <c r="E1098">
        <v>0</v>
      </c>
      <c r="F1098">
        <v>1096</v>
      </c>
      <c r="H1098" t="s">
        <v>6999</v>
      </c>
    </row>
    <row r="1099" spans="1:8" x14ac:dyDescent="0.3">
      <c r="A1099" t="s">
        <v>7000</v>
      </c>
      <c r="C1099" t="s">
        <v>5267</v>
      </c>
      <c r="D1099" t="s">
        <v>9303</v>
      </c>
      <c r="E1099">
        <v>0</v>
      </c>
      <c r="F1099">
        <v>1097</v>
      </c>
      <c r="H1099" t="s">
        <v>7000</v>
      </c>
    </row>
    <row r="1100" spans="1:8" x14ac:dyDescent="0.3">
      <c r="A1100" t="s">
        <v>7001</v>
      </c>
      <c r="C1100" t="s">
        <v>5267</v>
      </c>
      <c r="D1100" t="s">
        <v>9304</v>
      </c>
      <c r="E1100">
        <v>0</v>
      </c>
      <c r="F1100">
        <v>1098</v>
      </c>
      <c r="H1100" t="s">
        <v>7001</v>
      </c>
    </row>
    <row r="1101" spans="1:8" x14ac:dyDescent="0.3">
      <c r="A1101" t="s">
        <v>7002</v>
      </c>
      <c r="C1101" t="s">
        <v>5267</v>
      </c>
      <c r="D1101" t="s">
        <v>9305</v>
      </c>
      <c r="E1101">
        <v>0</v>
      </c>
      <c r="F1101">
        <v>1099</v>
      </c>
      <c r="H1101" t="s">
        <v>7002</v>
      </c>
    </row>
    <row r="1102" spans="1:8" x14ac:dyDescent="0.3">
      <c r="A1102" t="s">
        <v>7003</v>
      </c>
      <c r="C1102" t="s">
        <v>5267</v>
      </c>
      <c r="D1102" t="s">
        <v>9306</v>
      </c>
      <c r="E1102">
        <v>0</v>
      </c>
      <c r="F1102">
        <v>1100</v>
      </c>
      <c r="H1102" t="s">
        <v>7003</v>
      </c>
    </row>
    <row r="1103" spans="1:8" x14ac:dyDescent="0.3">
      <c r="A1103" t="s">
        <v>7004</v>
      </c>
      <c r="C1103" t="s">
        <v>5267</v>
      </c>
      <c r="D1103" t="s">
        <v>9307</v>
      </c>
      <c r="E1103">
        <v>0</v>
      </c>
      <c r="F1103">
        <v>1101</v>
      </c>
      <c r="H1103" t="s">
        <v>7004</v>
      </c>
    </row>
    <row r="1104" spans="1:8" x14ac:dyDescent="0.3">
      <c r="A1104" t="s">
        <v>7005</v>
      </c>
      <c r="C1104" t="s">
        <v>5267</v>
      </c>
      <c r="D1104" t="s">
        <v>9308</v>
      </c>
      <c r="E1104">
        <v>0</v>
      </c>
      <c r="F1104">
        <v>1102</v>
      </c>
      <c r="H1104" t="s">
        <v>7005</v>
      </c>
    </row>
    <row r="1105" spans="1:8" x14ac:dyDescent="0.3">
      <c r="A1105" t="s">
        <v>7006</v>
      </c>
      <c r="C1105" t="s">
        <v>5267</v>
      </c>
      <c r="D1105" t="s">
        <v>9309</v>
      </c>
      <c r="E1105">
        <v>0</v>
      </c>
      <c r="F1105">
        <v>1103</v>
      </c>
      <c r="H1105" t="s">
        <v>7006</v>
      </c>
    </row>
    <row r="1106" spans="1:8" x14ac:dyDescent="0.3">
      <c r="A1106" t="s">
        <v>7007</v>
      </c>
      <c r="C1106" t="s">
        <v>5267</v>
      </c>
      <c r="D1106" t="s">
        <v>9310</v>
      </c>
      <c r="E1106">
        <v>0</v>
      </c>
      <c r="F1106">
        <v>1104</v>
      </c>
      <c r="H1106" t="s">
        <v>7007</v>
      </c>
    </row>
    <row r="1107" spans="1:8" x14ac:dyDescent="0.3">
      <c r="A1107" t="s">
        <v>7008</v>
      </c>
      <c r="C1107" t="s">
        <v>5267</v>
      </c>
      <c r="D1107" t="s">
        <v>9311</v>
      </c>
      <c r="E1107">
        <v>0</v>
      </c>
      <c r="F1107">
        <v>1105</v>
      </c>
      <c r="H1107" t="s">
        <v>7008</v>
      </c>
    </row>
    <row r="1108" spans="1:8" x14ac:dyDescent="0.3">
      <c r="A1108" t="s">
        <v>7009</v>
      </c>
      <c r="C1108" t="s">
        <v>5267</v>
      </c>
      <c r="D1108" t="s">
        <v>9312</v>
      </c>
      <c r="E1108">
        <v>0</v>
      </c>
      <c r="F1108">
        <v>1106</v>
      </c>
      <c r="H1108" t="s">
        <v>7009</v>
      </c>
    </row>
    <row r="1109" spans="1:8" x14ac:dyDescent="0.3">
      <c r="A1109" t="s">
        <v>7010</v>
      </c>
      <c r="C1109" t="s">
        <v>5267</v>
      </c>
      <c r="D1109" t="s">
        <v>9313</v>
      </c>
      <c r="E1109">
        <v>0</v>
      </c>
      <c r="F1109">
        <v>1107</v>
      </c>
      <c r="H1109" t="s">
        <v>7010</v>
      </c>
    </row>
    <row r="1110" spans="1:8" x14ac:dyDescent="0.3">
      <c r="A1110" t="s">
        <v>7011</v>
      </c>
      <c r="C1110" t="s">
        <v>5267</v>
      </c>
      <c r="D1110" t="s">
        <v>9314</v>
      </c>
      <c r="E1110">
        <v>0</v>
      </c>
      <c r="F1110">
        <v>1108</v>
      </c>
      <c r="H1110" t="s">
        <v>7011</v>
      </c>
    </row>
    <row r="1111" spans="1:8" x14ac:dyDescent="0.3">
      <c r="A1111" t="s">
        <v>7012</v>
      </c>
      <c r="C1111" t="s">
        <v>5267</v>
      </c>
      <c r="D1111" t="s">
        <v>9315</v>
      </c>
      <c r="E1111">
        <v>0</v>
      </c>
      <c r="F1111">
        <v>1109</v>
      </c>
      <c r="H1111" t="s">
        <v>7012</v>
      </c>
    </row>
    <row r="1112" spans="1:8" x14ac:dyDescent="0.3">
      <c r="A1112" t="s">
        <v>7013</v>
      </c>
      <c r="C1112" t="s">
        <v>5267</v>
      </c>
      <c r="D1112" t="s">
        <v>9316</v>
      </c>
      <c r="E1112">
        <v>0</v>
      </c>
      <c r="F1112">
        <v>1110</v>
      </c>
      <c r="H1112" t="s">
        <v>7013</v>
      </c>
    </row>
    <row r="1113" spans="1:8" x14ac:dyDescent="0.3">
      <c r="A1113" t="s">
        <v>7014</v>
      </c>
      <c r="C1113" t="s">
        <v>5267</v>
      </c>
      <c r="D1113" t="s">
        <v>9317</v>
      </c>
      <c r="E1113">
        <v>0</v>
      </c>
      <c r="F1113">
        <v>1111</v>
      </c>
      <c r="H1113" t="s">
        <v>7014</v>
      </c>
    </row>
    <row r="1114" spans="1:8" x14ac:dyDescent="0.3">
      <c r="A1114" t="s">
        <v>7015</v>
      </c>
      <c r="C1114" t="s">
        <v>5267</v>
      </c>
      <c r="D1114" t="s">
        <v>9318</v>
      </c>
      <c r="E1114">
        <v>0</v>
      </c>
      <c r="F1114">
        <v>1112</v>
      </c>
      <c r="H1114" t="s">
        <v>7015</v>
      </c>
    </row>
    <row r="1115" spans="1:8" x14ac:dyDescent="0.3">
      <c r="A1115" t="s">
        <v>7016</v>
      </c>
      <c r="C1115" t="s">
        <v>5267</v>
      </c>
      <c r="D1115" t="s">
        <v>9319</v>
      </c>
      <c r="E1115">
        <v>0</v>
      </c>
      <c r="F1115">
        <v>1113</v>
      </c>
      <c r="H1115" t="s">
        <v>7016</v>
      </c>
    </row>
    <row r="1116" spans="1:8" x14ac:dyDescent="0.3">
      <c r="A1116" t="s">
        <v>7017</v>
      </c>
      <c r="C1116" t="s">
        <v>5267</v>
      </c>
      <c r="D1116" t="s">
        <v>9320</v>
      </c>
      <c r="E1116">
        <v>0</v>
      </c>
      <c r="F1116">
        <v>1114</v>
      </c>
      <c r="H1116" t="s">
        <v>7017</v>
      </c>
    </row>
    <row r="1117" spans="1:8" x14ac:dyDescent="0.3">
      <c r="A1117" t="s">
        <v>7018</v>
      </c>
      <c r="C1117" t="s">
        <v>5267</v>
      </c>
      <c r="D1117" t="s">
        <v>9321</v>
      </c>
      <c r="E1117">
        <v>0</v>
      </c>
      <c r="F1117">
        <v>1115</v>
      </c>
      <c r="H1117" t="s">
        <v>7018</v>
      </c>
    </row>
    <row r="1118" spans="1:8" x14ac:dyDescent="0.3">
      <c r="A1118" t="s">
        <v>7019</v>
      </c>
      <c r="C1118" t="s">
        <v>5267</v>
      </c>
      <c r="D1118" t="s">
        <v>9322</v>
      </c>
      <c r="E1118">
        <v>0</v>
      </c>
      <c r="F1118">
        <v>1116</v>
      </c>
      <c r="H1118" t="s">
        <v>7019</v>
      </c>
    </row>
    <row r="1119" spans="1:8" x14ac:dyDescent="0.3">
      <c r="A1119" t="s">
        <v>7020</v>
      </c>
      <c r="C1119" t="s">
        <v>5267</v>
      </c>
      <c r="D1119" t="s">
        <v>9323</v>
      </c>
      <c r="E1119">
        <v>0</v>
      </c>
      <c r="F1119">
        <v>1117</v>
      </c>
      <c r="H1119" t="s">
        <v>7020</v>
      </c>
    </row>
    <row r="1120" spans="1:8" x14ac:dyDescent="0.3">
      <c r="A1120" t="s">
        <v>7021</v>
      </c>
      <c r="C1120" t="s">
        <v>5267</v>
      </c>
      <c r="D1120" t="s">
        <v>9324</v>
      </c>
      <c r="E1120">
        <v>0</v>
      </c>
      <c r="F1120">
        <v>1118</v>
      </c>
      <c r="H1120" t="s">
        <v>7021</v>
      </c>
    </row>
    <row r="1121" spans="1:8" x14ac:dyDescent="0.3">
      <c r="A1121" t="s">
        <v>7022</v>
      </c>
      <c r="C1121" t="s">
        <v>5267</v>
      </c>
      <c r="D1121" t="s">
        <v>9325</v>
      </c>
      <c r="E1121">
        <v>0</v>
      </c>
      <c r="F1121">
        <v>1119</v>
      </c>
      <c r="H1121" t="s">
        <v>7022</v>
      </c>
    </row>
    <row r="1122" spans="1:8" x14ac:dyDescent="0.3">
      <c r="A1122" t="s">
        <v>7023</v>
      </c>
      <c r="C1122" t="s">
        <v>5267</v>
      </c>
      <c r="D1122" t="s">
        <v>9326</v>
      </c>
      <c r="E1122">
        <v>0</v>
      </c>
      <c r="F1122">
        <v>1120</v>
      </c>
      <c r="H1122" t="s">
        <v>7023</v>
      </c>
    </row>
    <row r="1123" spans="1:8" x14ac:dyDescent="0.3">
      <c r="A1123" t="s">
        <v>7024</v>
      </c>
      <c r="C1123" t="s">
        <v>5267</v>
      </c>
      <c r="D1123" t="s">
        <v>9327</v>
      </c>
      <c r="E1123">
        <v>0</v>
      </c>
      <c r="F1123">
        <v>1121</v>
      </c>
      <c r="H1123" t="s">
        <v>7024</v>
      </c>
    </row>
    <row r="1124" spans="1:8" x14ac:dyDescent="0.3">
      <c r="A1124" t="s">
        <v>7025</v>
      </c>
      <c r="C1124" t="s">
        <v>5267</v>
      </c>
      <c r="D1124" t="s">
        <v>9328</v>
      </c>
      <c r="E1124">
        <v>0</v>
      </c>
      <c r="F1124">
        <v>1122</v>
      </c>
      <c r="H1124" t="s">
        <v>7025</v>
      </c>
    </row>
    <row r="1125" spans="1:8" x14ac:dyDescent="0.3">
      <c r="A1125" t="s">
        <v>5956</v>
      </c>
      <c r="C1125" t="s">
        <v>5267</v>
      </c>
      <c r="D1125" t="s">
        <v>9329</v>
      </c>
      <c r="E1125">
        <v>0</v>
      </c>
      <c r="F1125">
        <v>1123</v>
      </c>
      <c r="H1125" t="s">
        <v>5956</v>
      </c>
    </row>
    <row r="1126" spans="1:8" x14ac:dyDescent="0.3">
      <c r="A1126" t="s">
        <v>7026</v>
      </c>
      <c r="C1126" t="s">
        <v>5267</v>
      </c>
      <c r="D1126" t="s">
        <v>9330</v>
      </c>
      <c r="E1126">
        <v>0</v>
      </c>
      <c r="F1126">
        <v>1124</v>
      </c>
      <c r="H1126" t="s">
        <v>7026</v>
      </c>
    </row>
    <row r="1127" spans="1:8" x14ac:dyDescent="0.3">
      <c r="A1127" t="s">
        <v>7027</v>
      </c>
      <c r="C1127" t="s">
        <v>5267</v>
      </c>
      <c r="D1127" t="s">
        <v>9331</v>
      </c>
      <c r="E1127">
        <v>0</v>
      </c>
      <c r="F1127">
        <v>1125</v>
      </c>
      <c r="H1127" t="s">
        <v>7027</v>
      </c>
    </row>
    <row r="1128" spans="1:8" x14ac:dyDescent="0.3">
      <c r="A1128" t="s">
        <v>7028</v>
      </c>
      <c r="C1128" t="s">
        <v>5267</v>
      </c>
      <c r="D1128" t="s">
        <v>9332</v>
      </c>
      <c r="E1128">
        <v>0</v>
      </c>
      <c r="F1128">
        <v>1126</v>
      </c>
      <c r="H1128" t="s">
        <v>7028</v>
      </c>
    </row>
    <row r="1129" spans="1:8" x14ac:dyDescent="0.3">
      <c r="A1129" t="s">
        <v>7029</v>
      </c>
      <c r="C1129" t="s">
        <v>5267</v>
      </c>
      <c r="D1129" t="s">
        <v>9333</v>
      </c>
      <c r="E1129">
        <v>0</v>
      </c>
      <c r="F1129">
        <v>1127</v>
      </c>
      <c r="H1129" t="s">
        <v>7029</v>
      </c>
    </row>
    <row r="1130" spans="1:8" x14ac:dyDescent="0.3">
      <c r="A1130" t="s">
        <v>7030</v>
      </c>
      <c r="C1130" t="s">
        <v>5267</v>
      </c>
      <c r="D1130" t="s">
        <v>9334</v>
      </c>
      <c r="E1130">
        <v>0</v>
      </c>
      <c r="F1130">
        <v>1128</v>
      </c>
      <c r="H1130" t="s">
        <v>7030</v>
      </c>
    </row>
    <row r="1131" spans="1:8" x14ac:dyDescent="0.3">
      <c r="A1131" t="s">
        <v>7031</v>
      </c>
      <c r="C1131" t="s">
        <v>5267</v>
      </c>
      <c r="D1131" t="s">
        <v>9335</v>
      </c>
      <c r="E1131">
        <v>0</v>
      </c>
      <c r="F1131">
        <v>1129</v>
      </c>
      <c r="H1131" t="s">
        <v>7031</v>
      </c>
    </row>
    <row r="1132" spans="1:8" x14ac:dyDescent="0.3">
      <c r="A1132" t="s">
        <v>7032</v>
      </c>
      <c r="C1132" t="s">
        <v>5267</v>
      </c>
      <c r="D1132" t="s">
        <v>9336</v>
      </c>
      <c r="E1132">
        <v>0</v>
      </c>
      <c r="F1132">
        <v>1130</v>
      </c>
      <c r="H1132" t="s">
        <v>7032</v>
      </c>
    </row>
    <row r="1133" spans="1:8" x14ac:dyDescent="0.3">
      <c r="A1133" t="s">
        <v>7033</v>
      </c>
      <c r="C1133" t="s">
        <v>5267</v>
      </c>
      <c r="D1133" t="s">
        <v>9337</v>
      </c>
      <c r="E1133">
        <v>0</v>
      </c>
      <c r="F1133">
        <v>1131</v>
      </c>
      <c r="H1133" t="s">
        <v>7033</v>
      </c>
    </row>
    <row r="1134" spans="1:8" x14ac:dyDescent="0.3">
      <c r="A1134" t="s">
        <v>7034</v>
      </c>
      <c r="C1134" t="s">
        <v>5267</v>
      </c>
      <c r="D1134" t="s">
        <v>9338</v>
      </c>
      <c r="E1134">
        <v>0</v>
      </c>
      <c r="F1134">
        <v>1132</v>
      </c>
      <c r="H1134" t="s">
        <v>7034</v>
      </c>
    </row>
    <row r="1135" spans="1:8" x14ac:dyDescent="0.3">
      <c r="A1135" t="s">
        <v>7035</v>
      </c>
      <c r="C1135" t="s">
        <v>5267</v>
      </c>
      <c r="D1135" t="s">
        <v>9339</v>
      </c>
      <c r="E1135">
        <v>0</v>
      </c>
      <c r="F1135">
        <v>1133</v>
      </c>
      <c r="H1135" t="s">
        <v>7035</v>
      </c>
    </row>
    <row r="1136" spans="1:8" x14ac:dyDescent="0.3">
      <c r="A1136" t="s">
        <v>7036</v>
      </c>
      <c r="C1136" t="s">
        <v>5267</v>
      </c>
      <c r="D1136" t="s">
        <v>9340</v>
      </c>
      <c r="E1136">
        <v>0</v>
      </c>
      <c r="F1136">
        <v>1134</v>
      </c>
      <c r="H1136" t="s">
        <v>7036</v>
      </c>
    </row>
    <row r="1137" spans="1:8" x14ac:dyDescent="0.3">
      <c r="A1137" t="s">
        <v>7037</v>
      </c>
      <c r="C1137" t="s">
        <v>5267</v>
      </c>
      <c r="D1137" t="s">
        <v>9341</v>
      </c>
      <c r="E1137">
        <v>0</v>
      </c>
      <c r="F1137">
        <v>1135</v>
      </c>
      <c r="H1137" t="s">
        <v>7037</v>
      </c>
    </row>
    <row r="1138" spans="1:8" x14ac:dyDescent="0.3">
      <c r="A1138" t="s">
        <v>7038</v>
      </c>
      <c r="C1138" t="s">
        <v>5267</v>
      </c>
      <c r="D1138" t="s">
        <v>9342</v>
      </c>
      <c r="E1138">
        <v>0</v>
      </c>
      <c r="F1138">
        <v>1136</v>
      </c>
      <c r="H1138" t="s">
        <v>7038</v>
      </c>
    </row>
    <row r="1139" spans="1:8" x14ac:dyDescent="0.3">
      <c r="A1139" t="s">
        <v>7039</v>
      </c>
      <c r="C1139" t="s">
        <v>5267</v>
      </c>
      <c r="D1139" t="s">
        <v>9343</v>
      </c>
      <c r="E1139">
        <v>0</v>
      </c>
      <c r="F1139">
        <v>1137</v>
      </c>
      <c r="H1139" t="s">
        <v>7039</v>
      </c>
    </row>
    <row r="1140" spans="1:8" x14ac:dyDescent="0.3">
      <c r="A1140" t="s">
        <v>7040</v>
      </c>
      <c r="C1140" t="s">
        <v>5267</v>
      </c>
      <c r="D1140" t="s">
        <v>9344</v>
      </c>
      <c r="E1140">
        <v>0</v>
      </c>
      <c r="F1140">
        <v>1138</v>
      </c>
      <c r="H1140" t="s">
        <v>7040</v>
      </c>
    </row>
    <row r="1141" spans="1:8" x14ac:dyDescent="0.3">
      <c r="A1141" t="s">
        <v>6277</v>
      </c>
      <c r="C1141" t="s">
        <v>5267</v>
      </c>
      <c r="D1141" t="s">
        <v>9345</v>
      </c>
      <c r="E1141">
        <v>0</v>
      </c>
      <c r="F1141">
        <v>1139</v>
      </c>
      <c r="H1141" t="s">
        <v>6277</v>
      </c>
    </row>
    <row r="1142" spans="1:8" x14ac:dyDescent="0.3">
      <c r="A1142" t="s">
        <v>7041</v>
      </c>
      <c r="C1142" t="s">
        <v>5267</v>
      </c>
      <c r="D1142" t="s">
        <v>9346</v>
      </c>
      <c r="E1142">
        <v>0</v>
      </c>
      <c r="F1142">
        <v>1140</v>
      </c>
      <c r="H1142" t="s">
        <v>7041</v>
      </c>
    </row>
    <row r="1143" spans="1:8" x14ac:dyDescent="0.3">
      <c r="A1143" t="s">
        <v>7042</v>
      </c>
      <c r="C1143" t="s">
        <v>5267</v>
      </c>
      <c r="D1143" t="s">
        <v>9347</v>
      </c>
      <c r="E1143">
        <v>0</v>
      </c>
      <c r="F1143">
        <v>1141</v>
      </c>
      <c r="H1143" t="s">
        <v>7042</v>
      </c>
    </row>
    <row r="1144" spans="1:8" x14ac:dyDescent="0.3">
      <c r="A1144" t="s">
        <v>7043</v>
      </c>
      <c r="C1144" t="s">
        <v>5267</v>
      </c>
      <c r="D1144" t="s">
        <v>9348</v>
      </c>
      <c r="E1144">
        <v>0</v>
      </c>
      <c r="F1144">
        <v>1142</v>
      </c>
      <c r="H1144" t="s">
        <v>7043</v>
      </c>
    </row>
    <row r="1145" spans="1:8" x14ac:dyDescent="0.3">
      <c r="A1145" t="s">
        <v>7044</v>
      </c>
      <c r="C1145" t="s">
        <v>5267</v>
      </c>
      <c r="D1145" t="s">
        <v>9349</v>
      </c>
      <c r="E1145">
        <v>0</v>
      </c>
      <c r="F1145">
        <v>1143</v>
      </c>
      <c r="H1145" t="s">
        <v>7044</v>
      </c>
    </row>
    <row r="1146" spans="1:8" x14ac:dyDescent="0.3">
      <c r="A1146" t="s">
        <v>7045</v>
      </c>
      <c r="C1146" t="s">
        <v>5267</v>
      </c>
      <c r="D1146" t="s">
        <v>9350</v>
      </c>
      <c r="E1146">
        <v>0</v>
      </c>
      <c r="F1146">
        <v>1144</v>
      </c>
      <c r="H1146" t="s">
        <v>7045</v>
      </c>
    </row>
    <row r="1147" spans="1:8" x14ac:dyDescent="0.3">
      <c r="A1147" t="s">
        <v>7046</v>
      </c>
      <c r="C1147" t="s">
        <v>5267</v>
      </c>
      <c r="D1147" t="s">
        <v>9351</v>
      </c>
      <c r="E1147">
        <v>0</v>
      </c>
      <c r="F1147">
        <v>1145</v>
      </c>
      <c r="H1147" t="s">
        <v>7046</v>
      </c>
    </row>
    <row r="1148" spans="1:8" x14ac:dyDescent="0.3">
      <c r="A1148" t="s">
        <v>7047</v>
      </c>
      <c r="C1148" t="s">
        <v>5267</v>
      </c>
      <c r="D1148" t="s">
        <v>9352</v>
      </c>
      <c r="E1148">
        <v>0</v>
      </c>
      <c r="F1148">
        <v>1146</v>
      </c>
      <c r="H1148" t="s">
        <v>7047</v>
      </c>
    </row>
    <row r="1149" spans="1:8" x14ac:dyDescent="0.3">
      <c r="A1149" t="s">
        <v>7048</v>
      </c>
      <c r="C1149" t="s">
        <v>5267</v>
      </c>
      <c r="D1149" t="s">
        <v>9353</v>
      </c>
      <c r="E1149">
        <v>0</v>
      </c>
      <c r="F1149">
        <v>1147</v>
      </c>
      <c r="H1149" t="s">
        <v>7048</v>
      </c>
    </row>
    <row r="1150" spans="1:8" x14ac:dyDescent="0.3">
      <c r="A1150" t="s">
        <v>7049</v>
      </c>
      <c r="C1150" t="s">
        <v>5267</v>
      </c>
      <c r="D1150" t="s">
        <v>9354</v>
      </c>
      <c r="E1150">
        <v>0</v>
      </c>
      <c r="F1150">
        <v>1148</v>
      </c>
      <c r="H1150" t="s">
        <v>7049</v>
      </c>
    </row>
    <row r="1151" spans="1:8" x14ac:dyDescent="0.3">
      <c r="A1151" t="s">
        <v>7050</v>
      </c>
      <c r="C1151" t="s">
        <v>5267</v>
      </c>
      <c r="D1151" t="s">
        <v>9355</v>
      </c>
      <c r="E1151">
        <v>0</v>
      </c>
      <c r="F1151">
        <v>1149</v>
      </c>
      <c r="H1151" t="s">
        <v>7050</v>
      </c>
    </row>
    <row r="1152" spans="1:8" x14ac:dyDescent="0.3">
      <c r="A1152" t="s">
        <v>7051</v>
      </c>
      <c r="C1152" t="s">
        <v>5267</v>
      </c>
      <c r="D1152" t="s">
        <v>9356</v>
      </c>
      <c r="E1152">
        <v>0</v>
      </c>
      <c r="F1152">
        <v>1150</v>
      </c>
      <c r="H1152" t="s">
        <v>7051</v>
      </c>
    </row>
    <row r="1153" spans="1:8" x14ac:dyDescent="0.3">
      <c r="A1153" t="s">
        <v>7052</v>
      </c>
      <c r="C1153" t="s">
        <v>5267</v>
      </c>
      <c r="D1153" t="s">
        <v>9357</v>
      </c>
      <c r="E1153">
        <v>0</v>
      </c>
      <c r="F1153">
        <v>1151</v>
      </c>
      <c r="H1153" t="s">
        <v>7052</v>
      </c>
    </row>
    <row r="1154" spans="1:8" x14ac:dyDescent="0.3">
      <c r="A1154" t="s">
        <v>7053</v>
      </c>
      <c r="C1154" t="s">
        <v>5267</v>
      </c>
      <c r="D1154" t="s">
        <v>9358</v>
      </c>
      <c r="E1154">
        <v>0</v>
      </c>
      <c r="F1154">
        <v>1152</v>
      </c>
      <c r="H1154" t="s">
        <v>7053</v>
      </c>
    </row>
    <row r="1155" spans="1:8" x14ac:dyDescent="0.3">
      <c r="A1155" t="s">
        <v>7054</v>
      </c>
      <c r="C1155" t="s">
        <v>5267</v>
      </c>
      <c r="D1155" t="s">
        <v>9359</v>
      </c>
      <c r="E1155">
        <v>0</v>
      </c>
      <c r="F1155">
        <v>1153</v>
      </c>
      <c r="H1155" t="s">
        <v>7054</v>
      </c>
    </row>
    <row r="1156" spans="1:8" x14ac:dyDescent="0.3">
      <c r="A1156" t="s">
        <v>7055</v>
      </c>
      <c r="C1156" t="s">
        <v>5267</v>
      </c>
      <c r="D1156" t="s">
        <v>9360</v>
      </c>
      <c r="E1156">
        <v>0</v>
      </c>
      <c r="F1156">
        <v>1154</v>
      </c>
      <c r="H1156" t="s">
        <v>7055</v>
      </c>
    </row>
    <row r="1157" spans="1:8" x14ac:dyDescent="0.3">
      <c r="A1157" t="s">
        <v>7056</v>
      </c>
      <c r="C1157" t="s">
        <v>5267</v>
      </c>
      <c r="D1157" t="s">
        <v>9361</v>
      </c>
      <c r="E1157">
        <v>0</v>
      </c>
      <c r="F1157">
        <v>1155</v>
      </c>
      <c r="H1157" t="s">
        <v>7056</v>
      </c>
    </row>
    <row r="1158" spans="1:8" x14ac:dyDescent="0.3">
      <c r="A1158" t="s">
        <v>7057</v>
      </c>
      <c r="C1158" t="s">
        <v>5267</v>
      </c>
      <c r="D1158" t="s">
        <v>9362</v>
      </c>
      <c r="E1158">
        <v>0</v>
      </c>
      <c r="F1158">
        <v>1156</v>
      </c>
      <c r="H1158" t="s">
        <v>7057</v>
      </c>
    </row>
    <row r="1159" spans="1:8" x14ac:dyDescent="0.3">
      <c r="A1159" t="s">
        <v>7058</v>
      </c>
      <c r="C1159" t="s">
        <v>5267</v>
      </c>
      <c r="D1159" t="s">
        <v>9363</v>
      </c>
      <c r="E1159">
        <v>0</v>
      </c>
      <c r="F1159">
        <v>1157</v>
      </c>
      <c r="H1159" t="s">
        <v>7058</v>
      </c>
    </row>
    <row r="1160" spans="1:8" x14ac:dyDescent="0.3">
      <c r="A1160" t="s">
        <v>7059</v>
      </c>
      <c r="C1160" t="s">
        <v>5267</v>
      </c>
      <c r="D1160" t="s">
        <v>9364</v>
      </c>
      <c r="E1160">
        <v>0</v>
      </c>
      <c r="F1160">
        <v>1158</v>
      </c>
      <c r="H1160" t="s">
        <v>7059</v>
      </c>
    </row>
    <row r="1161" spans="1:8" x14ac:dyDescent="0.3">
      <c r="A1161" t="s">
        <v>7060</v>
      </c>
      <c r="C1161" t="s">
        <v>5267</v>
      </c>
      <c r="D1161" t="s">
        <v>9365</v>
      </c>
      <c r="E1161">
        <v>0</v>
      </c>
      <c r="F1161">
        <v>1159</v>
      </c>
      <c r="H1161" t="s">
        <v>7060</v>
      </c>
    </row>
    <row r="1162" spans="1:8" x14ac:dyDescent="0.3">
      <c r="A1162" t="s">
        <v>7061</v>
      </c>
      <c r="C1162" t="s">
        <v>5267</v>
      </c>
      <c r="D1162" t="s">
        <v>9366</v>
      </c>
      <c r="E1162">
        <v>0</v>
      </c>
      <c r="F1162">
        <v>1160</v>
      </c>
      <c r="H1162" t="s">
        <v>7061</v>
      </c>
    </row>
    <row r="1163" spans="1:8" x14ac:dyDescent="0.3">
      <c r="A1163" t="s">
        <v>7062</v>
      </c>
      <c r="C1163" t="s">
        <v>5267</v>
      </c>
      <c r="D1163" t="s">
        <v>9367</v>
      </c>
      <c r="E1163">
        <v>0</v>
      </c>
      <c r="F1163">
        <v>1161</v>
      </c>
      <c r="H1163" t="s">
        <v>7062</v>
      </c>
    </row>
    <row r="1164" spans="1:8" x14ac:dyDescent="0.3">
      <c r="A1164" t="s">
        <v>7063</v>
      </c>
      <c r="C1164" t="s">
        <v>5267</v>
      </c>
      <c r="D1164" t="s">
        <v>9368</v>
      </c>
      <c r="E1164">
        <v>0</v>
      </c>
      <c r="F1164">
        <v>1162</v>
      </c>
      <c r="H1164" t="s">
        <v>7063</v>
      </c>
    </row>
    <row r="1165" spans="1:8" x14ac:dyDescent="0.3">
      <c r="A1165" t="s">
        <v>7064</v>
      </c>
      <c r="C1165" t="s">
        <v>5267</v>
      </c>
      <c r="D1165" t="s">
        <v>9369</v>
      </c>
      <c r="E1165">
        <v>0</v>
      </c>
      <c r="F1165">
        <v>1163</v>
      </c>
      <c r="H1165" t="s">
        <v>7064</v>
      </c>
    </row>
    <row r="1166" spans="1:8" x14ac:dyDescent="0.3">
      <c r="A1166" t="s">
        <v>7065</v>
      </c>
      <c r="C1166" t="s">
        <v>5267</v>
      </c>
      <c r="D1166" t="s">
        <v>9370</v>
      </c>
      <c r="E1166">
        <v>0</v>
      </c>
      <c r="F1166">
        <v>1164</v>
      </c>
      <c r="H1166" t="s">
        <v>7065</v>
      </c>
    </row>
    <row r="1167" spans="1:8" x14ac:dyDescent="0.3">
      <c r="A1167" t="s">
        <v>7066</v>
      </c>
      <c r="C1167" t="s">
        <v>5267</v>
      </c>
      <c r="D1167" t="s">
        <v>9371</v>
      </c>
      <c r="E1167">
        <v>0</v>
      </c>
      <c r="F1167">
        <v>1165</v>
      </c>
      <c r="H1167" t="s">
        <v>7066</v>
      </c>
    </row>
    <row r="1168" spans="1:8" x14ac:dyDescent="0.3">
      <c r="A1168" t="s">
        <v>7067</v>
      </c>
      <c r="C1168" t="s">
        <v>5267</v>
      </c>
      <c r="D1168" t="s">
        <v>9372</v>
      </c>
      <c r="E1168">
        <v>0</v>
      </c>
      <c r="F1168">
        <v>1166</v>
      </c>
      <c r="H1168" t="s">
        <v>7067</v>
      </c>
    </row>
    <row r="1169" spans="1:8" x14ac:dyDescent="0.3">
      <c r="A1169" t="s">
        <v>7068</v>
      </c>
      <c r="C1169" t="s">
        <v>5267</v>
      </c>
      <c r="D1169" t="s">
        <v>9373</v>
      </c>
      <c r="E1169">
        <v>0</v>
      </c>
      <c r="F1169">
        <v>1167</v>
      </c>
      <c r="H1169" t="s">
        <v>7068</v>
      </c>
    </row>
    <row r="1170" spans="1:8" x14ac:dyDescent="0.3">
      <c r="A1170" t="s">
        <v>7069</v>
      </c>
      <c r="C1170" t="s">
        <v>5267</v>
      </c>
      <c r="D1170" t="s">
        <v>9374</v>
      </c>
      <c r="E1170">
        <v>0</v>
      </c>
      <c r="F1170">
        <v>1168</v>
      </c>
      <c r="H1170" t="s">
        <v>7069</v>
      </c>
    </row>
    <row r="1171" spans="1:8" x14ac:dyDescent="0.3">
      <c r="A1171" t="s">
        <v>7070</v>
      </c>
      <c r="C1171" t="s">
        <v>5267</v>
      </c>
      <c r="D1171" t="s">
        <v>9375</v>
      </c>
      <c r="E1171">
        <v>0</v>
      </c>
      <c r="F1171">
        <v>1169</v>
      </c>
      <c r="H1171" t="s">
        <v>7070</v>
      </c>
    </row>
    <row r="1172" spans="1:8" x14ac:dyDescent="0.3">
      <c r="A1172" t="s">
        <v>7071</v>
      </c>
      <c r="C1172" t="s">
        <v>5267</v>
      </c>
      <c r="D1172" t="s">
        <v>9376</v>
      </c>
      <c r="E1172">
        <v>0</v>
      </c>
      <c r="F1172">
        <v>1170</v>
      </c>
      <c r="H1172" t="s">
        <v>7071</v>
      </c>
    </row>
    <row r="1173" spans="1:8" x14ac:dyDescent="0.3">
      <c r="A1173" t="s">
        <v>7072</v>
      </c>
      <c r="C1173" t="s">
        <v>5267</v>
      </c>
      <c r="D1173" t="s">
        <v>9377</v>
      </c>
      <c r="E1173">
        <v>0</v>
      </c>
      <c r="F1173">
        <v>1171</v>
      </c>
      <c r="H1173" t="s">
        <v>7072</v>
      </c>
    </row>
    <row r="1174" spans="1:8" x14ac:dyDescent="0.3">
      <c r="A1174" t="s">
        <v>7073</v>
      </c>
      <c r="C1174" t="s">
        <v>5267</v>
      </c>
      <c r="D1174" t="s">
        <v>9378</v>
      </c>
      <c r="E1174">
        <v>0</v>
      </c>
      <c r="F1174">
        <v>1172</v>
      </c>
      <c r="H1174" t="s">
        <v>7073</v>
      </c>
    </row>
    <row r="1175" spans="1:8" x14ac:dyDescent="0.3">
      <c r="A1175" t="s">
        <v>7074</v>
      </c>
      <c r="C1175" t="s">
        <v>5267</v>
      </c>
      <c r="D1175" t="s">
        <v>9379</v>
      </c>
      <c r="E1175">
        <v>0</v>
      </c>
      <c r="F1175">
        <v>1173</v>
      </c>
      <c r="H1175" t="s">
        <v>7074</v>
      </c>
    </row>
    <row r="1176" spans="1:8" x14ac:dyDescent="0.3">
      <c r="A1176" t="s">
        <v>7075</v>
      </c>
      <c r="C1176" t="s">
        <v>5267</v>
      </c>
      <c r="D1176" t="s">
        <v>9380</v>
      </c>
      <c r="E1176">
        <v>0</v>
      </c>
      <c r="F1176">
        <v>1174</v>
      </c>
      <c r="H1176" t="s">
        <v>7075</v>
      </c>
    </row>
    <row r="1177" spans="1:8" x14ac:dyDescent="0.3">
      <c r="A1177" t="s">
        <v>7076</v>
      </c>
      <c r="C1177" t="s">
        <v>5267</v>
      </c>
      <c r="D1177" t="s">
        <v>9381</v>
      </c>
      <c r="E1177">
        <v>0</v>
      </c>
      <c r="F1177">
        <v>1175</v>
      </c>
      <c r="H1177" t="s">
        <v>7076</v>
      </c>
    </row>
    <row r="1178" spans="1:8" x14ac:dyDescent="0.3">
      <c r="A1178" t="s">
        <v>7077</v>
      </c>
      <c r="C1178" t="s">
        <v>5267</v>
      </c>
      <c r="D1178" t="s">
        <v>9382</v>
      </c>
      <c r="E1178">
        <v>0</v>
      </c>
      <c r="F1178">
        <v>1176</v>
      </c>
      <c r="H1178" t="s">
        <v>7077</v>
      </c>
    </row>
    <row r="1179" spans="1:8" x14ac:dyDescent="0.3">
      <c r="A1179" t="s">
        <v>7078</v>
      </c>
      <c r="C1179" t="s">
        <v>5267</v>
      </c>
      <c r="D1179" t="s">
        <v>9383</v>
      </c>
      <c r="E1179">
        <v>0</v>
      </c>
      <c r="F1179">
        <v>1177</v>
      </c>
      <c r="H1179" t="s">
        <v>7078</v>
      </c>
    </row>
    <row r="1180" spans="1:8" x14ac:dyDescent="0.3">
      <c r="A1180" t="s">
        <v>7079</v>
      </c>
      <c r="C1180" t="s">
        <v>5267</v>
      </c>
      <c r="D1180" t="s">
        <v>9384</v>
      </c>
      <c r="E1180">
        <v>0</v>
      </c>
      <c r="F1180">
        <v>1178</v>
      </c>
      <c r="H1180" t="s">
        <v>7079</v>
      </c>
    </row>
    <row r="1181" spans="1:8" x14ac:dyDescent="0.3">
      <c r="A1181" t="s">
        <v>7080</v>
      </c>
      <c r="C1181" t="s">
        <v>5267</v>
      </c>
      <c r="D1181" t="s">
        <v>9385</v>
      </c>
      <c r="E1181">
        <v>0</v>
      </c>
      <c r="F1181">
        <v>1179</v>
      </c>
      <c r="H1181" t="s">
        <v>7080</v>
      </c>
    </row>
    <row r="1182" spans="1:8" x14ac:dyDescent="0.3">
      <c r="A1182" t="s">
        <v>7081</v>
      </c>
      <c r="C1182" t="s">
        <v>5267</v>
      </c>
      <c r="D1182" t="s">
        <v>9386</v>
      </c>
      <c r="E1182">
        <v>0</v>
      </c>
      <c r="F1182">
        <v>1180</v>
      </c>
      <c r="H1182" t="s">
        <v>7081</v>
      </c>
    </row>
    <row r="1183" spans="1:8" x14ac:dyDescent="0.3">
      <c r="A1183" t="s">
        <v>7082</v>
      </c>
      <c r="C1183" t="s">
        <v>5267</v>
      </c>
      <c r="D1183" t="s">
        <v>9387</v>
      </c>
      <c r="E1183">
        <v>0</v>
      </c>
      <c r="F1183">
        <v>1181</v>
      </c>
      <c r="H1183" t="s">
        <v>7082</v>
      </c>
    </row>
    <row r="1184" spans="1:8" x14ac:dyDescent="0.3">
      <c r="A1184" t="s">
        <v>7083</v>
      </c>
      <c r="C1184" t="s">
        <v>5267</v>
      </c>
      <c r="D1184" t="s">
        <v>9388</v>
      </c>
      <c r="E1184">
        <v>0</v>
      </c>
      <c r="F1184">
        <v>1182</v>
      </c>
      <c r="H1184" t="s">
        <v>7083</v>
      </c>
    </row>
    <row r="1185" spans="1:8" x14ac:dyDescent="0.3">
      <c r="A1185" t="s">
        <v>7084</v>
      </c>
      <c r="C1185" t="s">
        <v>5267</v>
      </c>
      <c r="D1185" t="s">
        <v>9389</v>
      </c>
      <c r="E1185">
        <v>0</v>
      </c>
      <c r="F1185">
        <v>1183</v>
      </c>
      <c r="H1185" t="s">
        <v>7084</v>
      </c>
    </row>
    <row r="1186" spans="1:8" x14ac:dyDescent="0.3">
      <c r="A1186" t="s">
        <v>7085</v>
      </c>
      <c r="C1186" t="s">
        <v>5267</v>
      </c>
      <c r="D1186" t="s">
        <v>9390</v>
      </c>
      <c r="E1186">
        <v>0</v>
      </c>
      <c r="F1186">
        <v>1184</v>
      </c>
      <c r="H1186" t="s">
        <v>7085</v>
      </c>
    </row>
    <row r="1187" spans="1:8" x14ac:dyDescent="0.3">
      <c r="A1187" t="s">
        <v>7086</v>
      </c>
      <c r="C1187" t="s">
        <v>5267</v>
      </c>
      <c r="D1187" t="s">
        <v>9391</v>
      </c>
      <c r="E1187">
        <v>0</v>
      </c>
      <c r="F1187">
        <v>1185</v>
      </c>
      <c r="H1187" t="s">
        <v>7086</v>
      </c>
    </row>
    <row r="1188" spans="1:8" x14ac:dyDescent="0.3">
      <c r="A1188" t="s">
        <v>7087</v>
      </c>
      <c r="C1188" t="s">
        <v>5267</v>
      </c>
      <c r="D1188" t="s">
        <v>9392</v>
      </c>
      <c r="E1188">
        <v>0</v>
      </c>
      <c r="F1188">
        <v>1186</v>
      </c>
      <c r="H1188" t="s">
        <v>7087</v>
      </c>
    </row>
    <row r="1189" spans="1:8" x14ac:dyDescent="0.3">
      <c r="A1189" t="s">
        <v>7088</v>
      </c>
      <c r="C1189" t="s">
        <v>5267</v>
      </c>
      <c r="D1189" t="s">
        <v>9393</v>
      </c>
      <c r="E1189">
        <v>0</v>
      </c>
      <c r="F1189">
        <v>1187</v>
      </c>
      <c r="H1189" t="s">
        <v>7088</v>
      </c>
    </row>
    <row r="1190" spans="1:8" x14ac:dyDescent="0.3">
      <c r="A1190" t="s">
        <v>7089</v>
      </c>
      <c r="C1190" t="s">
        <v>5267</v>
      </c>
      <c r="D1190" t="s">
        <v>9394</v>
      </c>
      <c r="E1190">
        <v>0</v>
      </c>
      <c r="F1190">
        <v>1188</v>
      </c>
      <c r="H1190" t="s">
        <v>7089</v>
      </c>
    </row>
    <row r="1191" spans="1:8" x14ac:dyDescent="0.3">
      <c r="A1191" t="s">
        <v>7090</v>
      </c>
      <c r="C1191" t="s">
        <v>5267</v>
      </c>
      <c r="D1191" t="s">
        <v>9395</v>
      </c>
      <c r="E1191">
        <v>0</v>
      </c>
      <c r="F1191">
        <v>1189</v>
      </c>
      <c r="H1191" t="s">
        <v>7090</v>
      </c>
    </row>
    <row r="1192" spans="1:8" x14ac:dyDescent="0.3">
      <c r="A1192" t="s">
        <v>7091</v>
      </c>
      <c r="C1192" t="s">
        <v>5267</v>
      </c>
      <c r="D1192" t="s">
        <v>9396</v>
      </c>
      <c r="E1192">
        <v>0</v>
      </c>
      <c r="F1192">
        <v>1190</v>
      </c>
      <c r="H1192" t="s">
        <v>7091</v>
      </c>
    </row>
    <row r="1193" spans="1:8" x14ac:dyDescent="0.3">
      <c r="A1193" t="s">
        <v>7092</v>
      </c>
      <c r="C1193" t="s">
        <v>5267</v>
      </c>
      <c r="D1193" t="s">
        <v>9397</v>
      </c>
      <c r="E1193">
        <v>0</v>
      </c>
      <c r="F1193">
        <v>1191</v>
      </c>
      <c r="H1193" t="s">
        <v>7092</v>
      </c>
    </row>
    <row r="1194" spans="1:8" x14ac:dyDescent="0.3">
      <c r="A1194" t="s">
        <v>7093</v>
      </c>
      <c r="C1194" t="s">
        <v>5267</v>
      </c>
      <c r="D1194" t="s">
        <v>9398</v>
      </c>
      <c r="E1194">
        <v>0</v>
      </c>
      <c r="F1194">
        <v>1192</v>
      </c>
      <c r="H1194" t="s">
        <v>7093</v>
      </c>
    </row>
    <row r="1195" spans="1:8" x14ac:dyDescent="0.3">
      <c r="A1195" t="s">
        <v>7094</v>
      </c>
      <c r="C1195" t="s">
        <v>5267</v>
      </c>
      <c r="D1195" t="s">
        <v>9399</v>
      </c>
      <c r="E1195">
        <v>0</v>
      </c>
      <c r="F1195">
        <v>1193</v>
      </c>
      <c r="H1195" t="s">
        <v>7094</v>
      </c>
    </row>
    <row r="1196" spans="1:8" x14ac:dyDescent="0.3">
      <c r="A1196" t="s">
        <v>7095</v>
      </c>
      <c r="C1196" t="s">
        <v>5267</v>
      </c>
      <c r="D1196" t="s">
        <v>9400</v>
      </c>
      <c r="E1196">
        <v>0</v>
      </c>
      <c r="F1196">
        <v>1194</v>
      </c>
      <c r="H1196" t="s">
        <v>7095</v>
      </c>
    </row>
    <row r="1197" spans="1:8" x14ac:dyDescent="0.3">
      <c r="A1197" t="s">
        <v>7096</v>
      </c>
      <c r="C1197" t="s">
        <v>5267</v>
      </c>
      <c r="D1197" t="s">
        <v>9401</v>
      </c>
      <c r="E1197">
        <v>0</v>
      </c>
      <c r="F1197">
        <v>1195</v>
      </c>
      <c r="H1197" t="s">
        <v>7096</v>
      </c>
    </row>
    <row r="1198" spans="1:8" x14ac:dyDescent="0.3">
      <c r="A1198" t="s">
        <v>7097</v>
      </c>
      <c r="C1198" t="s">
        <v>5267</v>
      </c>
      <c r="D1198" t="s">
        <v>9402</v>
      </c>
      <c r="E1198">
        <v>0</v>
      </c>
      <c r="F1198">
        <v>1196</v>
      </c>
      <c r="H1198" t="s">
        <v>7097</v>
      </c>
    </row>
    <row r="1199" spans="1:8" x14ac:dyDescent="0.3">
      <c r="A1199" t="s">
        <v>7098</v>
      </c>
      <c r="C1199" t="s">
        <v>5267</v>
      </c>
      <c r="D1199" t="s">
        <v>9403</v>
      </c>
      <c r="E1199">
        <v>0</v>
      </c>
      <c r="F1199">
        <v>1197</v>
      </c>
      <c r="H1199" t="s">
        <v>7098</v>
      </c>
    </row>
    <row r="1200" spans="1:8" x14ac:dyDescent="0.3">
      <c r="A1200" t="s">
        <v>7099</v>
      </c>
      <c r="C1200" t="s">
        <v>5267</v>
      </c>
      <c r="D1200" t="s">
        <v>9404</v>
      </c>
      <c r="E1200">
        <v>0</v>
      </c>
      <c r="F1200">
        <v>1198</v>
      </c>
      <c r="H1200" t="s">
        <v>7099</v>
      </c>
    </row>
    <row r="1201" spans="1:8" x14ac:dyDescent="0.3">
      <c r="A1201" t="s">
        <v>7100</v>
      </c>
      <c r="C1201" t="s">
        <v>5267</v>
      </c>
      <c r="D1201" t="s">
        <v>9405</v>
      </c>
      <c r="E1201">
        <v>0</v>
      </c>
      <c r="F1201">
        <v>1199</v>
      </c>
      <c r="H1201" t="s">
        <v>7100</v>
      </c>
    </row>
    <row r="1202" spans="1:8" x14ac:dyDescent="0.3">
      <c r="A1202" t="s">
        <v>7101</v>
      </c>
      <c r="C1202" t="s">
        <v>5267</v>
      </c>
      <c r="D1202" t="s">
        <v>9406</v>
      </c>
      <c r="E1202">
        <v>0</v>
      </c>
      <c r="F1202">
        <v>1200</v>
      </c>
      <c r="H1202" t="s">
        <v>7101</v>
      </c>
    </row>
    <row r="1203" spans="1:8" x14ac:dyDescent="0.3">
      <c r="A1203" t="s">
        <v>7102</v>
      </c>
      <c r="C1203" t="s">
        <v>5267</v>
      </c>
      <c r="D1203" t="s">
        <v>9407</v>
      </c>
      <c r="E1203">
        <v>0</v>
      </c>
      <c r="F1203">
        <v>1201</v>
      </c>
      <c r="H1203" t="s">
        <v>7102</v>
      </c>
    </row>
    <row r="1204" spans="1:8" x14ac:dyDescent="0.3">
      <c r="A1204" t="s">
        <v>7103</v>
      </c>
      <c r="C1204" t="s">
        <v>5267</v>
      </c>
      <c r="D1204" t="s">
        <v>9408</v>
      </c>
      <c r="E1204">
        <v>0</v>
      </c>
      <c r="F1204">
        <v>1202</v>
      </c>
      <c r="H1204" t="s">
        <v>7103</v>
      </c>
    </row>
    <row r="1205" spans="1:8" x14ac:dyDescent="0.3">
      <c r="A1205" t="s">
        <v>7104</v>
      </c>
      <c r="C1205" t="s">
        <v>5267</v>
      </c>
      <c r="D1205" t="s">
        <v>9409</v>
      </c>
      <c r="E1205">
        <v>0</v>
      </c>
      <c r="F1205">
        <v>1203</v>
      </c>
      <c r="H1205" t="s">
        <v>7104</v>
      </c>
    </row>
    <row r="1206" spans="1:8" x14ac:dyDescent="0.3">
      <c r="A1206" t="s">
        <v>7105</v>
      </c>
      <c r="C1206" t="s">
        <v>5267</v>
      </c>
      <c r="D1206" t="s">
        <v>9410</v>
      </c>
      <c r="E1206">
        <v>0</v>
      </c>
      <c r="F1206">
        <v>1204</v>
      </c>
      <c r="H1206" t="s">
        <v>7105</v>
      </c>
    </row>
    <row r="1207" spans="1:8" x14ac:dyDescent="0.3">
      <c r="A1207" t="s">
        <v>7106</v>
      </c>
      <c r="C1207" t="s">
        <v>5267</v>
      </c>
      <c r="D1207" t="s">
        <v>9411</v>
      </c>
      <c r="E1207">
        <v>0</v>
      </c>
      <c r="F1207">
        <v>1205</v>
      </c>
      <c r="H1207" t="s">
        <v>7106</v>
      </c>
    </row>
    <row r="1208" spans="1:8" x14ac:dyDescent="0.3">
      <c r="A1208" t="s">
        <v>7107</v>
      </c>
      <c r="C1208" t="s">
        <v>5267</v>
      </c>
      <c r="D1208" t="s">
        <v>9412</v>
      </c>
      <c r="E1208">
        <v>0</v>
      </c>
      <c r="F1208">
        <v>1206</v>
      </c>
      <c r="H1208" t="s">
        <v>7107</v>
      </c>
    </row>
    <row r="1209" spans="1:8" x14ac:dyDescent="0.3">
      <c r="A1209" t="s">
        <v>7108</v>
      </c>
      <c r="C1209" t="s">
        <v>5267</v>
      </c>
      <c r="D1209" t="s">
        <v>9413</v>
      </c>
      <c r="E1209">
        <v>0</v>
      </c>
      <c r="F1209">
        <v>1207</v>
      </c>
      <c r="H1209" t="s">
        <v>7108</v>
      </c>
    </row>
    <row r="1210" spans="1:8" x14ac:dyDescent="0.3">
      <c r="A1210" t="s">
        <v>7109</v>
      </c>
      <c r="C1210" t="s">
        <v>5267</v>
      </c>
      <c r="D1210" t="s">
        <v>9414</v>
      </c>
      <c r="E1210">
        <v>0</v>
      </c>
      <c r="F1210">
        <v>1208</v>
      </c>
      <c r="H1210" t="s">
        <v>7109</v>
      </c>
    </row>
    <row r="1211" spans="1:8" x14ac:dyDescent="0.3">
      <c r="A1211" t="s">
        <v>7110</v>
      </c>
      <c r="C1211" t="s">
        <v>5267</v>
      </c>
      <c r="D1211" t="s">
        <v>9415</v>
      </c>
      <c r="E1211">
        <v>0</v>
      </c>
      <c r="F1211">
        <v>1209</v>
      </c>
      <c r="H1211" t="s">
        <v>7110</v>
      </c>
    </row>
    <row r="1212" spans="1:8" x14ac:dyDescent="0.3">
      <c r="A1212" t="s">
        <v>7111</v>
      </c>
      <c r="C1212" t="s">
        <v>5267</v>
      </c>
      <c r="D1212" t="s">
        <v>9416</v>
      </c>
      <c r="E1212">
        <v>0</v>
      </c>
      <c r="F1212">
        <v>1210</v>
      </c>
      <c r="H1212" t="s">
        <v>7111</v>
      </c>
    </row>
    <row r="1213" spans="1:8" x14ac:dyDescent="0.3">
      <c r="A1213" t="s">
        <v>7112</v>
      </c>
      <c r="C1213" t="s">
        <v>5267</v>
      </c>
      <c r="D1213" t="s">
        <v>9417</v>
      </c>
      <c r="E1213">
        <v>0</v>
      </c>
      <c r="F1213">
        <v>1211</v>
      </c>
      <c r="H1213" t="s">
        <v>7112</v>
      </c>
    </row>
    <row r="1214" spans="1:8" x14ac:dyDescent="0.3">
      <c r="A1214" t="s">
        <v>7113</v>
      </c>
      <c r="C1214" t="s">
        <v>5267</v>
      </c>
      <c r="D1214" t="s">
        <v>9418</v>
      </c>
      <c r="E1214">
        <v>0</v>
      </c>
      <c r="F1214">
        <v>1212</v>
      </c>
      <c r="H1214" t="s">
        <v>7113</v>
      </c>
    </row>
    <row r="1215" spans="1:8" x14ac:dyDescent="0.3">
      <c r="A1215" t="s">
        <v>7114</v>
      </c>
      <c r="C1215" t="s">
        <v>5267</v>
      </c>
      <c r="D1215" t="s">
        <v>9419</v>
      </c>
      <c r="E1215">
        <v>0</v>
      </c>
      <c r="F1215">
        <v>1213</v>
      </c>
      <c r="H1215" t="s">
        <v>7114</v>
      </c>
    </row>
    <row r="1216" spans="1:8" x14ac:dyDescent="0.3">
      <c r="A1216" t="s">
        <v>7115</v>
      </c>
      <c r="C1216" t="s">
        <v>5267</v>
      </c>
      <c r="D1216" t="s">
        <v>9420</v>
      </c>
      <c r="E1216">
        <v>0</v>
      </c>
      <c r="F1216">
        <v>1214</v>
      </c>
      <c r="H1216" t="s">
        <v>7115</v>
      </c>
    </row>
    <row r="1217" spans="1:8" x14ac:dyDescent="0.3">
      <c r="A1217" t="s">
        <v>7116</v>
      </c>
      <c r="C1217" t="s">
        <v>5267</v>
      </c>
      <c r="D1217" t="s">
        <v>9421</v>
      </c>
      <c r="E1217">
        <v>0</v>
      </c>
      <c r="F1217">
        <v>1215</v>
      </c>
      <c r="H1217" t="s">
        <v>7116</v>
      </c>
    </row>
    <row r="1218" spans="1:8" x14ac:dyDescent="0.3">
      <c r="A1218" t="s">
        <v>7117</v>
      </c>
      <c r="C1218" t="s">
        <v>5267</v>
      </c>
      <c r="D1218" t="s">
        <v>9422</v>
      </c>
      <c r="E1218">
        <v>0</v>
      </c>
      <c r="F1218">
        <v>1216</v>
      </c>
      <c r="H1218" t="s">
        <v>7117</v>
      </c>
    </row>
    <row r="1219" spans="1:8" x14ac:dyDescent="0.3">
      <c r="A1219" t="s">
        <v>7118</v>
      </c>
      <c r="C1219" t="s">
        <v>5267</v>
      </c>
      <c r="D1219" t="s">
        <v>9423</v>
      </c>
      <c r="E1219">
        <v>0</v>
      </c>
      <c r="F1219">
        <v>1217</v>
      </c>
      <c r="H1219" t="s">
        <v>7118</v>
      </c>
    </row>
    <row r="1220" spans="1:8" x14ac:dyDescent="0.3">
      <c r="A1220" t="s">
        <v>7119</v>
      </c>
      <c r="C1220" t="s">
        <v>5267</v>
      </c>
      <c r="D1220" t="s">
        <v>9424</v>
      </c>
      <c r="E1220">
        <v>0</v>
      </c>
      <c r="F1220">
        <v>1218</v>
      </c>
      <c r="H1220" t="s">
        <v>7119</v>
      </c>
    </row>
    <row r="1221" spans="1:8" x14ac:dyDescent="0.3">
      <c r="A1221" t="s">
        <v>7120</v>
      </c>
      <c r="C1221" t="s">
        <v>5267</v>
      </c>
      <c r="D1221" t="s">
        <v>9425</v>
      </c>
      <c r="E1221">
        <v>0</v>
      </c>
      <c r="F1221">
        <v>1219</v>
      </c>
      <c r="H1221" t="s">
        <v>7120</v>
      </c>
    </row>
    <row r="1222" spans="1:8" x14ac:dyDescent="0.3">
      <c r="A1222" t="s">
        <v>7121</v>
      </c>
      <c r="C1222" t="s">
        <v>5267</v>
      </c>
      <c r="D1222" t="s">
        <v>9426</v>
      </c>
      <c r="E1222">
        <v>0</v>
      </c>
      <c r="F1222">
        <v>1220</v>
      </c>
      <c r="H1222" t="s">
        <v>7121</v>
      </c>
    </row>
    <row r="1223" spans="1:8" x14ac:dyDescent="0.3">
      <c r="A1223" t="s">
        <v>7122</v>
      </c>
      <c r="C1223" t="s">
        <v>5267</v>
      </c>
      <c r="D1223" t="s">
        <v>9427</v>
      </c>
      <c r="E1223">
        <v>0</v>
      </c>
      <c r="F1223">
        <v>1221</v>
      </c>
      <c r="H1223" t="s">
        <v>7122</v>
      </c>
    </row>
    <row r="1224" spans="1:8" x14ac:dyDescent="0.3">
      <c r="A1224" t="s">
        <v>7123</v>
      </c>
      <c r="C1224" t="s">
        <v>5267</v>
      </c>
      <c r="D1224" t="s">
        <v>9428</v>
      </c>
      <c r="E1224">
        <v>0</v>
      </c>
      <c r="F1224">
        <v>1222</v>
      </c>
      <c r="H1224" t="s">
        <v>7123</v>
      </c>
    </row>
    <row r="1225" spans="1:8" x14ac:dyDescent="0.3">
      <c r="A1225" t="s">
        <v>7124</v>
      </c>
      <c r="C1225" t="s">
        <v>5267</v>
      </c>
      <c r="D1225" t="s">
        <v>9429</v>
      </c>
      <c r="E1225">
        <v>0</v>
      </c>
      <c r="F1225">
        <v>1223</v>
      </c>
      <c r="H1225" t="s">
        <v>7124</v>
      </c>
    </row>
    <row r="1226" spans="1:8" x14ac:dyDescent="0.3">
      <c r="A1226" t="s">
        <v>7125</v>
      </c>
      <c r="C1226" t="s">
        <v>5267</v>
      </c>
      <c r="D1226" t="s">
        <v>9430</v>
      </c>
      <c r="E1226">
        <v>0</v>
      </c>
      <c r="F1226">
        <v>1224</v>
      </c>
      <c r="H1226" t="s">
        <v>7125</v>
      </c>
    </row>
    <row r="1227" spans="1:8" x14ac:dyDescent="0.3">
      <c r="A1227" t="s">
        <v>7126</v>
      </c>
      <c r="C1227" t="s">
        <v>5267</v>
      </c>
      <c r="D1227" t="s">
        <v>9431</v>
      </c>
      <c r="E1227">
        <v>0</v>
      </c>
      <c r="F1227">
        <v>1225</v>
      </c>
      <c r="H1227" t="s">
        <v>7126</v>
      </c>
    </row>
    <row r="1228" spans="1:8" x14ac:dyDescent="0.3">
      <c r="A1228" t="s">
        <v>7127</v>
      </c>
      <c r="C1228" t="s">
        <v>5267</v>
      </c>
      <c r="D1228" t="s">
        <v>9432</v>
      </c>
      <c r="E1228">
        <v>0</v>
      </c>
      <c r="F1228">
        <v>1226</v>
      </c>
      <c r="H1228" t="s">
        <v>7127</v>
      </c>
    </row>
    <row r="1229" spans="1:8" x14ac:dyDescent="0.3">
      <c r="A1229" t="s">
        <v>7128</v>
      </c>
      <c r="C1229" t="s">
        <v>5267</v>
      </c>
      <c r="D1229" t="s">
        <v>9433</v>
      </c>
      <c r="E1229">
        <v>0</v>
      </c>
      <c r="F1229">
        <v>1227</v>
      </c>
      <c r="H1229" t="s">
        <v>7128</v>
      </c>
    </row>
    <row r="1230" spans="1:8" x14ac:dyDescent="0.3">
      <c r="A1230" t="s">
        <v>7129</v>
      </c>
      <c r="C1230" t="s">
        <v>5267</v>
      </c>
      <c r="D1230" t="s">
        <v>9434</v>
      </c>
      <c r="E1230">
        <v>0</v>
      </c>
      <c r="F1230">
        <v>1228</v>
      </c>
      <c r="H1230" t="s">
        <v>7129</v>
      </c>
    </row>
    <row r="1231" spans="1:8" x14ac:dyDescent="0.3">
      <c r="A1231" t="s">
        <v>7130</v>
      </c>
      <c r="C1231" t="s">
        <v>5267</v>
      </c>
      <c r="D1231" t="s">
        <v>9435</v>
      </c>
      <c r="E1231">
        <v>0</v>
      </c>
      <c r="F1231">
        <v>1229</v>
      </c>
      <c r="H1231" t="s">
        <v>7130</v>
      </c>
    </row>
    <row r="1232" spans="1:8" x14ac:dyDescent="0.3">
      <c r="A1232" t="s">
        <v>7131</v>
      </c>
      <c r="C1232" t="s">
        <v>5267</v>
      </c>
      <c r="D1232" t="s">
        <v>9436</v>
      </c>
      <c r="E1232">
        <v>0</v>
      </c>
      <c r="F1232">
        <v>1230</v>
      </c>
      <c r="H1232" t="s">
        <v>7131</v>
      </c>
    </row>
    <row r="1233" spans="1:8" x14ac:dyDescent="0.3">
      <c r="A1233" t="s">
        <v>7132</v>
      </c>
      <c r="C1233" t="s">
        <v>5267</v>
      </c>
      <c r="D1233" t="s">
        <v>9437</v>
      </c>
      <c r="E1233">
        <v>0</v>
      </c>
      <c r="F1233">
        <v>1231</v>
      </c>
      <c r="H1233" t="s">
        <v>7132</v>
      </c>
    </row>
    <row r="1234" spans="1:8" x14ac:dyDescent="0.3">
      <c r="A1234" t="s">
        <v>7133</v>
      </c>
      <c r="C1234" t="s">
        <v>5267</v>
      </c>
      <c r="D1234" t="s">
        <v>9438</v>
      </c>
      <c r="E1234">
        <v>0</v>
      </c>
      <c r="F1234">
        <v>1232</v>
      </c>
      <c r="H1234" t="s">
        <v>7133</v>
      </c>
    </row>
    <row r="1235" spans="1:8" x14ac:dyDescent="0.3">
      <c r="A1235" t="s">
        <v>7134</v>
      </c>
      <c r="C1235" t="s">
        <v>5267</v>
      </c>
      <c r="D1235" t="s">
        <v>9439</v>
      </c>
      <c r="E1235">
        <v>0</v>
      </c>
      <c r="F1235">
        <v>1233</v>
      </c>
      <c r="H1235" t="s">
        <v>7134</v>
      </c>
    </row>
    <row r="1236" spans="1:8" x14ac:dyDescent="0.3">
      <c r="A1236" t="s">
        <v>7135</v>
      </c>
      <c r="C1236" t="s">
        <v>5267</v>
      </c>
      <c r="D1236" t="s">
        <v>9440</v>
      </c>
      <c r="E1236">
        <v>0</v>
      </c>
      <c r="F1236">
        <v>1234</v>
      </c>
      <c r="H1236" t="s">
        <v>7135</v>
      </c>
    </row>
    <row r="1237" spans="1:8" x14ac:dyDescent="0.3">
      <c r="A1237" t="s">
        <v>7136</v>
      </c>
      <c r="C1237" t="s">
        <v>5267</v>
      </c>
      <c r="D1237" t="s">
        <v>9441</v>
      </c>
      <c r="E1237">
        <v>0</v>
      </c>
      <c r="F1237">
        <v>1235</v>
      </c>
      <c r="H1237" t="s">
        <v>7136</v>
      </c>
    </row>
    <row r="1238" spans="1:8" x14ac:dyDescent="0.3">
      <c r="A1238" t="s">
        <v>7137</v>
      </c>
      <c r="C1238" t="s">
        <v>5267</v>
      </c>
      <c r="D1238" t="s">
        <v>9442</v>
      </c>
      <c r="E1238">
        <v>0</v>
      </c>
      <c r="F1238">
        <v>1236</v>
      </c>
      <c r="H1238" t="s">
        <v>7137</v>
      </c>
    </row>
    <row r="1239" spans="1:8" x14ac:dyDescent="0.3">
      <c r="A1239" t="s">
        <v>7138</v>
      </c>
      <c r="C1239" t="s">
        <v>5267</v>
      </c>
      <c r="D1239" t="s">
        <v>9443</v>
      </c>
      <c r="E1239">
        <v>0</v>
      </c>
      <c r="F1239">
        <v>1237</v>
      </c>
      <c r="H1239" t="s">
        <v>7138</v>
      </c>
    </row>
    <row r="1240" spans="1:8" x14ac:dyDescent="0.3">
      <c r="A1240" t="s">
        <v>7139</v>
      </c>
      <c r="C1240" t="s">
        <v>5267</v>
      </c>
      <c r="D1240" t="s">
        <v>9444</v>
      </c>
      <c r="E1240">
        <v>0</v>
      </c>
      <c r="F1240">
        <v>1238</v>
      </c>
      <c r="H1240" t="s">
        <v>7139</v>
      </c>
    </row>
    <row r="1241" spans="1:8" x14ac:dyDescent="0.3">
      <c r="A1241" t="s">
        <v>7140</v>
      </c>
      <c r="C1241" t="s">
        <v>5267</v>
      </c>
      <c r="D1241" t="s">
        <v>9445</v>
      </c>
      <c r="E1241">
        <v>0</v>
      </c>
      <c r="F1241">
        <v>1239</v>
      </c>
      <c r="H1241" t="s">
        <v>7140</v>
      </c>
    </row>
    <row r="1242" spans="1:8" x14ac:dyDescent="0.3">
      <c r="A1242" t="s">
        <v>7141</v>
      </c>
      <c r="C1242" t="s">
        <v>5267</v>
      </c>
      <c r="D1242" t="s">
        <v>9446</v>
      </c>
      <c r="E1242">
        <v>0</v>
      </c>
      <c r="F1242">
        <v>1240</v>
      </c>
      <c r="H1242" t="s">
        <v>7141</v>
      </c>
    </row>
    <row r="1243" spans="1:8" x14ac:dyDescent="0.3">
      <c r="A1243" t="s">
        <v>7142</v>
      </c>
      <c r="C1243" t="s">
        <v>5267</v>
      </c>
      <c r="D1243" t="s">
        <v>9447</v>
      </c>
      <c r="E1243">
        <v>0</v>
      </c>
      <c r="F1243">
        <v>1241</v>
      </c>
      <c r="H1243" t="s">
        <v>7142</v>
      </c>
    </row>
    <row r="1244" spans="1:8" x14ac:dyDescent="0.3">
      <c r="A1244" t="s">
        <v>7143</v>
      </c>
      <c r="C1244" t="s">
        <v>5267</v>
      </c>
      <c r="D1244" t="s">
        <v>9448</v>
      </c>
      <c r="E1244">
        <v>0</v>
      </c>
      <c r="F1244">
        <v>1242</v>
      </c>
      <c r="H1244" t="s">
        <v>7143</v>
      </c>
    </row>
    <row r="1245" spans="1:8" x14ac:dyDescent="0.3">
      <c r="A1245" t="s">
        <v>7144</v>
      </c>
      <c r="C1245" t="s">
        <v>5267</v>
      </c>
      <c r="D1245" t="s">
        <v>9449</v>
      </c>
      <c r="E1245">
        <v>0</v>
      </c>
      <c r="F1245">
        <v>1243</v>
      </c>
      <c r="H1245" t="s">
        <v>7144</v>
      </c>
    </row>
    <row r="1246" spans="1:8" x14ac:dyDescent="0.3">
      <c r="A1246" t="s">
        <v>7145</v>
      </c>
      <c r="C1246" t="s">
        <v>5267</v>
      </c>
      <c r="D1246" t="s">
        <v>9450</v>
      </c>
      <c r="E1246">
        <v>0</v>
      </c>
      <c r="F1246">
        <v>1244</v>
      </c>
      <c r="H1246" t="s">
        <v>7145</v>
      </c>
    </row>
    <row r="1247" spans="1:8" x14ac:dyDescent="0.3">
      <c r="A1247" t="s">
        <v>7146</v>
      </c>
      <c r="C1247" t="s">
        <v>5267</v>
      </c>
      <c r="D1247" t="s">
        <v>9451</v>
      </c>
      <c r="E1247">
        <v>0</v>
      </c>
      <c r="F1247">
        <v>1245</v>
      </c>
      <c r="H1247" t="s">
        <v>7146</v>
      </c>
    </row>
    <row r="1248" spans="1:8" x14ac:dyDescent="0.3">
      <c r="A1248" t="s">
        <v>7147</v>
      </c>
      <c r="C1248" t="s">
        <v>5267</v>
      </c>
      <c r="D1248" t="s">
        <v>9452</v>
      </c>
      <c r="E1248">
        <v>0</v>
      </c>
      <c r="F1248">
        <v>1246</v>
      </c>
      <c r="H1248" t="s">
        <v>7147</v>
      </c>
    </row>
    <row r="1249" spans="1:8" x14ac:dyDescent="0.3">
      <c r="A1249" t="s">
        <v>7148</v>
      </c>
      <c r="C1249" t="s">
        <v>5267</v>
      </c>
      <c r="D1249" t="s">
        <v>9453</v>
      </c>
      <c r="E1249">
        <v>0</v>
      </c>
      <c r="F1249">
        <v>1247</v>
      </c>
      <c r="H1249" t="s">
        <v>7148</v>
      </c>
    </row>
    <row r="1250" spans="1:8" x14ac:dyDescent="0.3">
      <c r="A1250" t="s">
        <v>7149</v>
      </c>
      <c r="C1250" t="s">
        <v>5267</v>
      </c>
      <c r="D1250" t="s">
        <v>9454</v>
      </c>
      <c r="E1250">
        <v>0</v>
      </c>
      <c r="F1250">
        <v>1248</v>
      </c>
      <c r="H1250" t="s">
        <v>7149</v>
      </c>
    </row>
    <row r="1251" spans="1:8" x14ac:dyDescent="0.3">
      <c r="A1251" t="s">
        <v>7150</v>
      </c>
      <c r="C1251" t="s">
        <v>5267</v>
      </c>
      <c r="D1251" t="s">
        <v>9455</v>
      </c>
      <c r="E1251">
        <v>0</v>
      </c>
      <c r="F1251">
        <v>1249</v>
      </c>
      <c r="H1251" t="s">
        <v>7150</v>
      </c>
    </row>
    <row r="1252" spans="1:8" x14ac:dyDescent="0.3">
      <c r="A1252" t="s">
        <v>7151</v>
      </c>
      <c r="C1252" t="s">
        <v>5267</v>
      </c>
      <c r="D1252" t="s">
        <v>9456</v>
      </c>
      <c r="E1252">
        <v>0</v>
      </c>
      <c r="F1252">
        <v>1250</v>
      </c>
      <c r="H1252" t="s">
        <v>7151</v>
      </c>
    </row>
    <row r="1253" spans="1:8" x14ac:dyDescent="0.3">
      <c r="A1253" t="s">
        <v>7152</v>
      </c>
      <c r="C1253" t="s">
        <v>5267</v>
      </c>
      <c r="D1253" t="s">
        <v>9457</v>
      </c>
      <c r="E1253">
        <v>0</v>
      </c>
      <c r="F1253">
        <v>1251</v>
      </c>
      <c r="H1253" t="s">
        <v>7152</v>
      </c>
    </row>
    <row r="1254" spans="1:8" x14ac:dyDescent="0.3">
      <c r="A1254" t="s">
        <v>7153</v>
      </c>
      <c r="C1254" t="s">
        <v>5267</v>
      </c>
      <c r="D1254" t="s">
        <v>9458</v>
      </c>
      <c r="E1254">
        <v>0</v>
      </c>
      <c r="F1254">
        <v>1252</v>
      </c>
      <c r="H1254" t="s">
        <v>7153</v>
      </c>
    </row>
    <row r="1255" spans="1:8" x14ac:dyDescent="0.3">
      <c r="A1255" t="s">
        <v>7154</v>
      </c>
      <c r="C1255" t="s">
        <v>5267</v>
      </c>
      <c r="D1255" t="s">
        <v>9459</v>
      </c>
      <c r="E1255">
        <v>0</v>
      </c>
      <c r="F1255">
        <v>1253</v>
      </c>
      <c r="H1255" t="s">
        <v>7154</v>
      </c>
    </row>
    <row r="1256" spans="1:8" x14ac:dyDescent="0.3">
      <c r="A1256" t="s">
        <v>7155</v>
      </c>
      <c r="C1256" t="s">
        <v>5267</v>
      </c>
      <c r="D1256" t="s">
        <v>9460</v>
      </c>
      <c r="E1256">
        <v>0</v>
      </c>
      <c r="F1256">
        <v>1254</v>
      </c>
      <c r="H1256" t="s">
        <v>7155</v>
      </c>
    </row>
    <row r="1257" spans="1:8" x14ac:dyDescent="0.3">
      <c r="A1257" t="s">
        <v>7156</v>
      </c>
      <c r="C1257" t="s">
        <v>5267</v>
      </c>
      <c r="D1257" t="s">
        <v>9461</v>
      </c>
      <c r="E1257">
        <v>0</v>
      </c>
      <c r="F1257">
        <v>1255</v>
      </c>
      <c r="H1257" t="s">
        <v>7156</v>
      </c>
    </row>
    <row r="1258" spans="1:8" x14ac:dyDescent="0.3">
      <c r="A1258" t="s">
        <v>7157</v>
      </c>
      <c r="C1258" t="s">
        <v>5267</v>
      </c>
      <c r="D1258" t="s">
        <v>9462</v>
      </c>
      <c r="E1258">
        <v>0</v>
      </c>
      <c r="F1258">
        <v>1256</v>
      </c>
      <c r="H1258" t="s">
        <v>7157</v>
      </c>
    </row>
    <row r="1259" spans="1:8" x14ac:dyDescent="0.3">
      <c r="A1259" t="s">
        <v>7158</v>
      </c>
      <c r="C1259" t="s">
        <v>5267</v>
      </c>
      <c r="D1259" t="s">
        <v>9463</v>
      </c>
      <c r="E1259">
        <v>0</v>
      </c>
      <c r="F1259">
        <v>1257</v>
      </c>
      <c r="H1259" t="s">
        <v>7158</v>
      </c>
    </row>
    <row r="1260" spans="1:8" x14ac:dyDescent="0.3">
      <c r="A1260" t="s">
        <v>7159</v>
      </c>
      <c r="C1260" t="s">
        <v>5267</v>
      </c>
      <c r="D1260" t="s">
        <v>9464</v>
      </c>
      <c r="E1260">
        <v>0</v>
      </c>
      <c r="F1260">
        <v>1258</v>
      </c>
      <c r="H1260" t="s">
        <v>7159</v>
      </c>
    </row>
    <row r="1261" spans="1:8" x14ac:dyDescent="0.3">
      <c r="A1261" t="s">
        <v>7160</v>
      </c>
      <c r="C1261" t="s">
        <v>5267</v>
      </c>
      <c r="D1261" t="s">
        <v>9465</v>
      </c>
      <c r="E1261">
        <v>0</v>
      </c>
      <c r="F1261">
        <v>1259</v>
      </c>
      <c r="H1261" t="s">
        <v>7160</v>
      </c>
    </row>
    <row r="1262" spans="1:8" x14ac:dyDescent="0.3">
      <c r="A1262" t="s">
        <v>7161</v>
      </c>
      <c r="C1262" t="s">
        <v>5267</v>
      </c>
      <c r="D1262" t="s">
        <v>9466</v>
      </c>
      <c r="E1262">
        <v>0</v>
      </c>
      <c r="F1262">
        <v>1260</v>
      </c>
      <c r="H1262" t="s">
        <v>7161</v>
      </c>
    </row>
    <row r="1263" spans="1:8" x14ac:dyDescent="0.3">
      <c r="A1263" t="s">
        <v>7162</v>
      </c>
      <c r="C1263" t="s">
        <v>5267</v>
      </c>
      <c r="D1263" t="s">
        <v>9467</v>
      </c>
      <c r="E1263">
        <v>0</v>
      </c>
      <c r="F1263">
        <v>1261</v>
      </c>
      <c r="H1263" t="s">
        <v>7162</v>
      </c>
    </row>
    <row r="1264" spans="1:8" x14ac:dyDescent="0.3">
      <c r="A1264" t="s">
        <v>7163</v>
      </c>
      <c r="C1264" t="s">
        <v>5267</v>
      </c>
      <c r="D1264" t="s">
        <v>9468</v>
      </c>
      <c r="E1264">
        <v>0</v>
      </c>
      <c r="F1264">
        <v>1262</v>
      </c>
      <c r="H1264" t="s">
        <v>7163</v>
      </c>
    </row>
    <row r="1265" spans="1:8" x14ac:dyDescent="0.3">
      <c r="A1265" t="s">
        <v>7164</v>
      </c>
      <c r="C1265" t="s">
        <v>5267</v>
      </c>
      <c r="D1265" t="s">
        <v>9469</v>
      </c>
      <c r="E1265">
        <v>0</v>
      </c>
      <c r="F1265">
        <v>1263</v>
      </c>
      <c r="H1265" t="s">
        <v>7164</v>
      </c>
    </row>
    <row r="1266" spans="1:8" x14ac:dyDescent="0.3">
      <c r="A1266" t="s">
        <v>7165</v>
      </c>
      <c r="C1266" t="s">
        <v>5267</v>
      </c>
      <c r="D1266" t="s">
        <v>9470</v>
      </c>
      <c r="E1266">
        <v>0</v>
      </c>
      <c r="F1266">
        <v>1264</v>
      </c>
      <c r="H1266" t="s">
        <v>7165</v>
      </c>
    </row>
    <row r="1267" spans="1:8" x14ac:dyDescent="0.3">
      <c r="A1267" t="s">
        <v>7166</v>
      </c>
      <c r="C1267" t="s">
        <v>5267</v>
      </c>
      <c r="D1267" t="s">
        <v>9471</v>
      </c>
      <c r="E1267">
        <v>0</v>
      </c>
      <c r="F1267">
        <v>1265</v>
      </c>
      <c r="H1267" t="s">
        <v>7166</v>
      </c>
    </row>
    <row r="1268" spans="1:8" x14ac:dyDescent="0.3">
      <c r="A1268" t="s">
        <v>7167</v>
      </c>
      <c r="C1268" t="s">
        <v>5267</v>
      </c>
      <c r="D1268" t="s">
        <v>9472</v>
      </c>
      <c r="E1268">
        <v>0</v>
      </c>
      <c r="F1268">
        <v>1266</v>
      </c>
      <c r="H1268" t="s">
        <v>7167</v>
      </c>
    </row>
    <row r="1269" spans="1:8" x14ac:dyDescent="0.3">
      <c r="A1269" t="s">
        <v>7168</v>
      </c>
      <c r="C1269" t="s">
        <v>5267</v>
      </c>
      <c r="D1269" t="s">
        <v>9473</v>
      </c>
      <c r="E1269">
        <v>0</v>
      </c>
      <c r="F1269">
        <v>1267</v>
      </c>
      <c r="H1269" t="s">
        <v>7168</v>
      </c>
    </row>
    <row r="1270" spans="1:8" x14ac:dyDescent="0.3">
      <c r="A1270" t="s">
        <v>7169</v>
      </c>
      <c r="C1270" t="s">
        <v>5267</v>
      </c>
      <c r="D1270" t="s">
        <v>9474</v>
      </c>
      <c r="E1270">
        <v>0</v>
      </c>
      <c r="F1270">
        <v>1268</v>
      </c>
      <c r="H1270" t="s">
        <v>7169</v>
      </c>
    </row>
    <row r="1271" spans="1:8" x14ac:dyDescent="0.3">
      <c r="A1271" t="s">
        <v>7170</v>
      </c>
      <c r="C1271" t="s">
        <v>5267</v>
      </c>
      <c r="D1271" t="s">
        <v>9475</v>
      </c>
      <c r="E1271">
        <v>0</v>
      </c>
      <c r="F1271">
        <v>1269</v>
      </c>
      <c r="H1271" t="s">
        <v>7170</v>
      </c>
    </row>
    <row r="1272" spans="1:8" x14ac:dyDescent="0.3">
      <c r="A1272" t="s">
        <v>7171</v>
      </c>
      <c r="C1272" t="s">
        <v>5267</v>
      </c>
      <c r="D1272" t="s">
        <v>9476</v>
      </c>
      <c r="E1272">
        <v>0</v>
      </c>
      <c r="F1272">
        <v>1270</v>
      </c>
      <c r="H1272" t="s">
        <v>7171</v>
      </c>
    </row>
    <row r="1273" spans="1:8" x14ac:dyDescent="0.3">
      <c r="A1273" t="s">
        <v>7172</v>
      </c>
      <c r="C1273" t="s">
        <v>5267</v>
      </c>
      <c r="D1273" t="s">
        <v>9477</v>
      </c>
      <c r="E1273">
        <v>0</v>
      </c>
      <c r="F1273">
        <v>1271</v>
      </c>
      <c r="H1273" t="s">
        <v>7172</v>
      </c>
    </row>
    <row r="1274" spans="1:8" x14ac:dyDescent="0.3">
      <c r="A1274" t="s">
        <v>7173</v>
      </c>
      <c r="C1274" t="s">
        <v>5267</v>
      </c>
      <c r="D1274" t="s">
        <v>9478</v>
      </c>
      <c r="E1274">
        <v>0</v>
      </c>
      <c r="F1274">
        <v>1272</v>
      </c>
      <c r="H1274" t="s">
        <v>7173</v>
      </c>
    </row>
    <row r="1275" spans="1:8" x14ac:dyDescent="0.3">
      <c r="A1275" t="s">
        <v>7174</v>
      </c>
      <c r="C1275" t="s">
        <v>5267</v>
      </c>
      <c r="D1275" t="s">
        <v>9479</v>
      </c>
      <c r="E1275">
        <v>0</v>
      </c>
      <c r="F1275">
        <v>1273</v>
      </c>
      <c r="H1275" t="s">
        <v>7174</v>
      </c>
    </row>
    <row r="1276" spans="1:8" x14ac:dyDescent="0.3">
      <c r="A1276" t="s">
        <v>7175</v>
      </c>
      <c r="C1276" t="s">
        <v>5267</v>
      </c>
      <c r="D1276" t="s">
        <v>9480</v>
      </c>
      <c r="E1276">
        <v>0</v>
      </c>
      <c r="F1276">
        <v>1274</v>
      </c>
      <c r="H1276" t="s">
        <v>7175</v>
      </c>
    </row>
    <row r="1277" spans="1:8" x14ac:dyDescent="0.3">
      <c r="A1277" t="s">
        <v>7176</v>
      </c>
      <c r="C1277" t="s">
        <v>5267</v>
      </c>
      <c r="D1277" t="s">
        <v>9481</v>
      </c>
      <c r="E1277">
        <v>0</v>
      </c>
      <c r="F1277">
        <v>1275</v>
      </c>
      <c r="H1277" t="s">
        <v>7176</v>
      </c>
    </row>
    <row r="1278" spans="1:8" x14ac:dyDescent="0.3">
      <c r="A1278" t="s">
        <v>7177</v>
      </c>
      <c r="C1278" t="s">
        <v>5267</v>
      </c>
      <c r="D1278" t="s">
        <v>9482</v>
      </c>
      <c r="E1278">
        <v>0</v>
      </c>
      <c r="F1278">
        <v>1276</v>
      </c>
      <c r="H1278" t="s">
        <v>7177</v>
      </c>
    </row>
    <row r="1279" spans="1:8" x14ac:dyDescent="0.3">
      <c r="A1279" t="s">
        <v>7178</v>
      </c>
      <c r="C1279" t="s">
        <v>5267</v>
      </c>
      <c r="D1279" t="s">
        <v>9483</v>
      </c>
      <c r="E1279">
        <v>0</v>
      </c>
      <c r="F1279">
        <v>1277</v>
      </c>
      <c r="H1279" t="s">
        <v>7178</v>
      </c>
    </row>
    <row r="1280" spans="1:8" x14ac:dyDescent="0.3">
      <c r="A1280" t="s">
        <v>7179</v>
      </c>
      <c r="C1280" t="s">
        <v>5267</v>
      </c>
      <c r="D1280" t="s">
        <v>9484</v>
      </c>
      <c r="E1280">
        <v>0</v>
      </c>
      <c r="F1280">
        <v>1278</v>
      </c>
      <c r="H1280" t="s">
        <v>7179</v>
      </c>
    </row>
    <row r="1281" spans="1:8" x14ac:dyDescent="0.3">
      <c r="A1281" t="s">
        <v>7180</v>
      </c>
      <c r="C1281" t="s">
        <v>5267</v>
      </c>
      <c r="D1281" t="s">
        <v>9485</v>
      </c>
      <c r="E1281">
        <v>0</v>
      </c>
      <c r="F1281">
        <v>1279</v>
      </c>
      <c r="H1281" t="s">
        <v>7180</v>
      </c>
    </row>
    <row r="1282" spans="1:8" x14ac:dyDescent="0.3">
      <c r="A1282" t="s">
        <v>7181</v>
      </c>
      <c r="C1282" t="s">
        <v>5267</v>
      </c>
      <c r="D1282" t="s">
        <v>9486</v>
      </c>
      <c r="E1282">
        <v>0</v>
      </c>
      <c r="F1282">
        <v>1280</v>
      </c>
      <c r="H1282" t="s">
        <v>7181</v>
      </c>
    </row>
    <row r="1283" spans="1:8" x14ac:dyDescent="0.3">
      <c r="A1283" t="s">
        <v>7182</v>
      </c>
      <c r="C1283" t="s">
        <v>5267</v>
      </c>
      <c r="D1283" t="s">
        <v>9487</v>
      </c>
      <c r="E1283">
        <v>0</v>
      </c>
      <c r="F1283">
        <v>1281</v>
      </c>
      <c r="H1283" t="s">
        <v>7182</v>
      </c>
    </row>
    <row r="1284" spans="1:8" x14ac:dyDescent="0.3">
      <c r="A1284" t="s">
        <v>7183</v>
      </c>
      <c r="C1284" t="s">
        <v>5267</v>
      </c>
      <c r="D1284" t="s">
        <v>9488</v>
      </c>
      <c r="E1284">
        <v>0</v>
      </c>
      <c r="F1284">
        <v>1282</v>
      </c>
      <c r="H1284" t="s">
        <v>7183</v>
      </c>
    </row>
    <row r="1285" spans="1:8" x14ac:dyDescent="0.3">
      <c r="A1285" t="s">
        <v>7184</v>
      </c>
      <c r="C1285" t="s">
        <v>5267</v>
      </c>
      <c r="D1285" t="s">
        <v>9489</v>
      </c>
      <c r="E1285">
        <v>0</v>
      </c>
      <c r="F1285">
        <v>1283</v>
      </c>
      <c r="H1285" t="s">
        <v>7184</v>
      </c>
    </row>
    <row r="1286" spans="1:8" x14ac:dyDescent="0.3">
      <c r="A1286" t="s">
        <v>7185</v>
      </c>
      <c r="C1286" t="s">
        <v>5267</v>
      </c>
      <c r="D1286" t="s">
        <v>9490</v>
      </c>
      <c r="E1286">
        <v>0</v>
      </c>
      <c r="F1286">
        <v>1284</v>
      </c>
      <c r="H1286" t="s">
        <v>7185</v>
      </c>
    </row>
    <row r="1287" spans="1:8" x14ac:dyDescent="0.3">
      <c r="A1287" t="s">
        <v>7186</v>
      </c>
      <c r="C1287" t="s">
        <v>5267</v>
      </c>
      <c r="D1287" t="s">
        <v>9491</v>
      </c>
      <c r="E1287">
        <v>0</v>
      </c>
      <c r="F1287">
        <v>1285</v>
      </c>
      <c r="H1287" t="s">
        <v>7186</v>
      </c>
    </row>
    <row r="1288" spans="1:8" x14ac:dyDescent="0.3">
      <c r="A1288" t="s">
        <v>7187</v>
      </c>
      <c r="C1288" t="s">
        <v>5267</v>
      </c>
      <c r="D1288" t="s">
        <v>9492</v>
      </c>
      <c r="E1288">
        <v>0</v>
      </c>
      <c r="F1288">
        <v>1286</v>
      </c>
      <c r="H1288" t="s">
        <v>7187</v>
      </c>
    </row>
    <row r="1289" spans="1:8" x14ac:dyDescent="0.3">
      <c r="A1289" t="s">
        <v>7188</v>
      </c>
      <c r="C1289" t="s">
        <v>5267</v>
      </c>
      <c r="D1289" t="s">
        <v>9493</v>
      </c>
      <c r="E1289">
        <v>0</v>
      </c>
      <c r="F1289">
        <v>1287</v>
      </c>
      <c r="H1289" t="s">
        <v>7188</v>
      </c>
    </row>
    <row r="1290" spans="1:8" x14ac:dyDescent="0.3">
      <c r="A1290" t="s">
        <v>7189</v>
      </c>
      <c r="C1290" t="s">
        <v>5267</v>
      </c>
      <c r="D1290" t="s">
        <v>9494</v>
      </c>
      <c r="E1290">
        <v>0</v>
      </c>
      <c r="F1290">
        <v>1288</v>
      </c>
      <c r="H1290" t="s">
        <v>7189</v>
      </c>
    </row>
    <row r="1291" spans="1:8" x14ac:dyDescent="0.3">
      <c r="A1291" t="s">
        <v>7190</v>
      </c>
      <c r="C1291" t="s">
        <v>5267</v>
      </c>
      <c r="D1291" t="s">
        <v>9495</v>
      </c>
      <c r="E1291">
        <v>0</v>
      </c>
      <c r="F1291">
        <v>1289</v>
      </c>
      <c r="H1291" t="s">
        <v>7190</v>
      </c>
    </row>
    <row r="1292" spans="1:8" x14ac:dyDescent="0.3">
      <c r="A1292" t="s">
        <v>7191</v>
      </c>
      <c r="C1292" t="s">
        <v>5267</v>
      </c>
      <c r="D1292" t="s">
        <v>9496</v>
      </c>
      <c r="E1292">
        <v>0</v>
      </c>
      <c r="F1292">
        <v>1290</v>
      </c>
      <c r="H1292" t="s">
        <v>7191</v>
      </c>
    </row>
    <row r="1293" spans="1:8" x14ac:dyDescent="0.3">
      <c r="A1293" t="s">
        <v>7192</v>
      </c>
      <c r="C1293" t="s">
        <v>5267</v>
      </c>
      <c r="D1293" t="s">
        <v>9497</v>
      </c>
      <c r="E1293">
        <v>0</v>
      </c>
      <c r="F1293">
        <v>1291</v>
      </c>
      <c r="H1293" t="s">
        <v>7192</v>
      </c>
    </row>
    <row r="1294" spans="1:8" x14ac:dyDescent="0.3">
      <c r="A1294" t="s">
        <v>7193</v>
      </c>
      <c r="C1294" t="s">
        <v>5267</v>
      </c>
      <c r="D1294" t="s">
        <v>9498</v>
      </c>
      <c r="E1294">
        <v>0</v>
      </c>
      <c r="F1294">
        <v>1292</v>
      </c>
      <c r="H1294" t="s">
        <v>7193</v>
      </c>
    </row>
    <row r="1295" spans="1:8" x14ac:dyDescent="0.3">
      <c r="A1295" t="s">
        <v>7194</v>
      </c>
      <c r="C1295" t="s">
        <v>5267</v>
      </c>
      <c r="D1295" t="s">
        <v>9499</v>
      </c>
      <c r="E1295">
        <v>0</v>
      </c>
      <c r="F1295">
        <v>1293</v>
      </c>
      <c r="H1295" t="s">
        <v>7194</v>
      </c>
    </row>
    <row r="1296" spans="1:8" x14ac:dyDescent="0.3">
      <c r="A1296" t="s">
        <v>7195</v>
      </c>
      <c r="C1296" t="s">
        <v>5267</v>
      </c>
      <c r="D1296" t="s">
        <v>9500</v>
      </c>
      <c r="E1296">
        <v>0</v>
      </c>
      <c r="F1296">
        <v>1294</v>
      </c>
      <c r="H1296" t="s">
        <v>7195</v>
      </c>
    </row>
    <row r="1297" spans="1:8" x14ac:dyDescent="0.3">
      <c r="A1297" t="s">
        <v>7196</v>
      </c>
      <c r="C1297" t="s">
        <v>5267</v>
      </c>
      <c r="D1297" t="s">
        <v>9501</v>
      </c>
      <c r="E1297">
        <v>0</v>
      </c>
      <c r="F1297">
        <v>1295</v>
      </c>
      <c r="H1297" t="s">
        <v>7196</v>
      </c>
    </row>
    <row r="1298" spans="1:8" x14ac:dyDescent="0.3">
      <c r="A1298" t="s">
        <v>7197</v>
      </c>
      <c r="C1298" t="s">
        <v>5267</v>
      </c>
      <c r="D1298" t="s">
        <v>9502</v>
      </c>
      <c r="E1298">
        <v>0</v>
      </c>
      <c r="F1298">
        <v>1296</v>
      </c>
      <c r="H1298" t="s">
        <v>7197</v>
      </c>
    </row>
    <row r="1299" spans="1:8" x14ac:dyDescent="0.3">
      <c r="A1299" t="s">
        <v>7198</v>
      </c>
      <c r="C1299" t="s">
        <v>5267</v>
      </c>
      <c r="D1299" t="s">
        <v>9503</v>
      </c>
      <c r="E1299">
        <v>0</v>
      </c>
      <c r="F1299">
        <v>1297</v>
      </c>
      <c r="H1299" t="s">
        <v>7198</v>
      </c>
    </row>
    <row r="1300" spans="1:8" x14ac:dyDescent="0.3">
      <c r="A1300" t="s">
        <v>7199</v>
      </c>
      <c r="C1300" t="s">
        <v>5267</v>
      </c>
      <c r="D1300" t="s">
        <v>9504</v>
      </c>
      <c r="E1300">
        <v>0</v>
      </c>
      <c r="F1300">
        <v>1298</v>
      </c>
      <c r="H1300" t="s">
        <v>7199</v>
      </c>
    </row>
    <row r="1301" spans="1:8" x14ac:dyDescent="0.3">
      <c r="A1301" t="s">
        <v>7200</v>
      </c>
      <c r="C1301" t="s">
        <v>5267</v>
      </c>
      <c r="D1301" t="s">
        <v>9505</v>
      </c>
      <c r="E1301">
        <v>0</v>
      </c>
      <c r="F1301">
        <v>1299</v>
      </c>
      <c r="H1301" t="s">
        <v>7200</v>
      </c>
    </row>
    <row r="1302" spans="1:8" x14ac:dyDescent="0.3">
      <c r="A1302" t="s">
        <v>7201</v>
      </c>
      <c r="C1302" t="s">
        <v>5267</v>
      </c>
      <c r="D1302" t="s">
        <v>9506</v>
      </c>
      <c r="E1302">
        <v>0</v>
      </c>
      <c r="F1302">
        <v>1300</v>
      </c>
      <c r="H1302" t="s">
        <v>7201</v>
      </c>
    </row>
    <row r="1303" spans="1:8" x14ac:dyDescent="0.3">
      <c r="A1303" t="s">
        <v>7202</v>
      </c>
      <c r="C1303" t="s">
        <v>5267</v>
      </c>
      <c r="D1303" t="s">
        <v>9507</v>
      </c>
      <c r="E1303">
        <v>0</v>
      </c>
      <c r="F1303">
        <v>1301</v>
      </c>
      <c r="H1303" t="s">
        <v>7202</v>
      </c>
    </row>
    <row r="1304" spans="1:8" x14ac:dyDescent="0.3">
      <c r="A1304" t="s">
        <v>7203</v>
      </c>
      <c r="C1304" t="s">
        <v>5267</v>
      </c>
      <c r="D1304" t="s">
        <v>9508</v>
      </c>
      <c r="E1304">
        <v>0</v>
      </c>
      <c r="F1304">
        <v>1302</v>
      </c>
      <c r="H1304" t="s">
        <v>7203</v>
      </c>
    </row>
    <row r="1305" spans="1:8" x14ac:dyDescent="0.3">
      <c r="A1305" t="s">
        <v>7204</v>
      </c>
      <c r="C1305" t="s">
        <v>5267</v>
      </c>
      <c r="D1305" t="s">
        <v>9509</v>
      </c>
      <c r="E1305">
        <v>0</v>
      </c>
      <c r="F1305">
        <v>1303</v>
      </c>
      <c r="H1305" t="s">
        <v>7204</v>
      </c>
    </row>
    <row r="1306" spans="1:8" x14ac:dyDescent="0.3">
      <c r="A1306" t="s">
        <v>7205</v>
      </c>
      <c r="C1306" t="s">
        <v>5267</v>
      </c>
      <c r="D1306" t="s">
        <v>9510</v>
      </c>
      <c r="E1306">
        <v>0</v>
      </c>
      <c r="F1306">
        <v>1304</v>
      </c>
      <c r="H1306" t="s">
        <v>7205</v>
      </c>
    </row>
    <row r="1307" spans="1:8" x14ac:dyDescent="0.3">
      <c r="A1307" t="s">
        <v>7206</v>
      </c>
      <c r="C1307" t="s">
        <v>5267</v>
      </c>
      <c r="D1307" t="s">
        <v>9511</v>
      </c>
      <c r="E1307">
        <v>0</v>
      </c>
      <c r="F1307">
        <v>1305</v>
      </c>
      <c r="H1307" t="s">
        <v>7206</v>
      </c>
    </row>
    <row r="1308" spans="1:8" x14ac:dyDescent="0.3">
      <c r="A1308" t="s">
        <v>7207</v>
      </c>
      <c r="C1308" t="s">
        <v>5267</v>
      </c>
      <c r="D1308" t="s">
        <v>9512</v>
      </c>
      <c r="E1308">
        <v>0</v>
      </c>
      <c r="F1308">
        <v>1306</v>
      </c>
      <c r="H1308" t="s">
        <v>7207</v>
      </c>
    </row>
    <row r="1309" spans="1:8" x14ac:dyDescent="0.3">
      <c r="A1309" t="s">
        <v>7208</v>
      </c>
      <c r="C1309" t="s">
        <v>5267</v>
      </c>
      <c r="D1309" t="s">
        <v>9513</v>
      </c>
      <c r="E1309">
        <v>0</v>
      </c>
      <c r="F1309">
        <v>1307</v>
      </c>
      <c r="H1309" t="s">
        <v>7208</v>
      </c>
    </row>
    <row r="1310" spans="1:8" x14ac:dyDescent="0.3">
      <c r="A1310" t="s">
        <v>7209</v>
      </c>
      <c r="C1310" t="s">
        <v>5267</v>
      </c>
      <c r="D1310" t="s">
        <v>9514</v>
      </c>
      <c r="E1310">
        <v>0</v>
      </c>
      <c r="F1310">
        <v>1308</v>
      </c>
      <c r="H1310" t="s">
        <v>7209</v>
      </c>
    </row>
    <row r="1311" spans="1:8" x14ac:dyDescent="0.3">
      <c r="A1311" t="s">
        <v>7210</v>
      </c>
      <c r="C1311" t="s">
        <v>5267</v>
      </c>
      <c r="D1311" t="s">
        <v>9515</v>
      </c>
      <c r="E1311">
        <v>0</v>
      </c>
      <c r="F1311">
        <v>1309</v>
      </c>
      <c r="H1311" t="s">
        <v>7210</v>
      </c>
    </row>
    <row r="1312" spans="1:8" x14ac:dyDescent="0.3">
      <c r="A1312" t="s">
        <v>7211</v>
      </c>
      <c r="C1312" t="s">
        <v>5267</v>
      </c>
      <c r="D1312" t="s">
        <v>9516</v>
      </c>
      <c r="E1312">
        <v>0</v>
      </c>
      <c r="F1312">
        <v>1310</v>
      </c>
      <c r="H1312" t="s">
        <v>7211</v>
      </c>
    </row>
    <row r="1313" spans="1:8" x14ac:dyDescent="0.3">
      <c r="A1313" t="s">
        <v>7212</v>
      </c>
      <c r="C1313" t="s">
        <v>5267</v>
      </c>
      <c r="D1313" t="s">
        <v>9517</v>
      </c>
      <c r="E1313">
        <v>0</v>
      </c>
      <c r="F1313">
        <v>1311</v>
      </c>
      <c r="H1313" t="s">
        <v>7212</v>
      </c>
    </row>
    <row r="1314" spans="1:8" x14ac:dyDescent="0.3">
      <c r="A1314" t="s">
        <v>7213</v>
      </c>
      <c r="C1314" t="s">
        <v>5267</v>
      </c>
      <c r="D1314" t="s">
        <v>9518</v>
      </c>
      <c r="E1314">
        <v>0</v>
      </c>
      <c r="F1314">
        <v>1312</v>
      </c>
      <c r="H1314" t="s">
        <v>7213</v>
      </c>
    </row>
    <row r="1315" spans="1:8" x14ac:dyDescent="0.3">
      <c r="A1315" t="s">
        <v>7214</v>
      </c>
      <c r="C1315" t="s">
        <v>5267</v>
      </c>
      <c r="D1315" t="s">
        <v>9519</v>
      </c>
      <c r="E1315">
        <v>0</v>
      </c>
      <c r="F1315">
        <v>1313</v>
      </c>
      <c r="H1315" t="s">
        <v>7214</v>
      </c>
    </row>
    <row r="1316" spans="1:8" x14ac:dyDescent="0.3">
      <c r="A1316" t="s">
        <v>7215</v>
      </c>
      <c r="C1316" t="s">
        <v>5267</v>
      </c>
      <c r="D1316" t="s">
        <v>9520</v>
      </c>
      <c r="E1316">
        <v>0</v>
      </c>
      <c r="F1316">
        <v>1314</v>
      </c>
      <c r="H1316" t="s">
        <v>7215</v>
      </c>
    </row>
    <row r="1317" spans="1:8" x14ac:dyDescent="0.3">
      <c r="A1317" t="s">
        <v>7216</v>
      </c>
      <c r="C1317" t="s">
        <v>5267</v>
      </c>
      <c r="D1317" t="s">
        <v>9521</v>
      </c>
      <c r="E1317">
        <v>0</v>
      </c>
      <c r="F1317">
        <v>1315</v>
      </c>
      <c r="H1317" t="s">
        <v>7216</v>
      </c>
    </row>
    <row r="1318" spans="1:8" x14ac:dyDescent="0.3">
      <c r="A1318" t="s">
        <v>7217</v>
      </c>
      <c r="C1318" t="s">
        <v>5267</v>
      </c>
      <c r="D1318" t="s">
        <v>9522</v>
      </c>
      <c r="E1318">
        <v>0</v>
      </c>
      <c r="F1318">
        <v>1316</v>
      </c>
      <c r="H1318" t="s">
        <v>7217</v>
      </c>
    </row>
    <row r="1319" spans="1:8" x14ac:dyDescent="0.3">
      <c r="A1319" t="s">
        <v>7218</v>
      </c>
      <c r="C1319" t="s">
        <v>5267</v>
      </c>
      <c r="D1319" t="s">
        <v>9523</v>
      </c>
      <c r="E1319">
        <v>0</v>
      </c>
      <c r="F1319">
        <v>1317</v>
      </c>
      <c r="H1319" t="s">
        <v>7218</v>
      </c>
    </row>
    <row r="1320" spans="1:8" x14ac:dyDescent="0.3">
      <c r="A1320" t="s">
        <v>7219</v>
      </c>
      <c r="C1320" t="s">
        <v>5267</v>
      </c>
      <c r="D1320" t="s">
        <v>9524</v>
      </c>
      <c r="E1320">
        <v>0</v>
      </c>
      <c r="F1320">
        <v>1318</v>
      </c>
      <c r="H1320" t="s">
        <v>7219</v>
      </c>
    </row>
    <row r="1321" spans="1:8" x14ac:dyDescent="0.3">
      <c r="A1321" t="s">
        <v>7220</v>
      </c>
      <c r="C1321" t="s">
        <v>5267</v>
      </c>
      <c r="D1321" t="s">
        <v>9525</v>
      </c>
      <c r="E1321">
        <v>0</v>
      </c>
      <c r="F1321">
        <v>1319</v>
      </c>
      <c r="H1321" t="s">
        <v>7220</v>
      </c>
    </row>
    <row r="1322" spans="1:8" x14ac:dyDescent="0.3">
      <c r="A1322" t="s">
        <v>7221</v>
      </c>
      <c r="C1322" t="s">
        <v>5267</v>
      </c>
      <c r="D1322" t="s">
        <v>9526</v>
      </c>
      <c r="E1322">
        <v>0</v>
      </c>
      <c r="F1322">
        <v>1320</v>
      </c>
      <c r="H1322" t="s">
        <v>7221</v>
      </c>
    </row>
    <row r="1323" spans="1:8" x14ac:dyDescent="0.3">
      <c r="A1323" t="s">
        <v>7222</v>
      </c>
      <c r="C1323" t="s">
        <v>5267</v>
      </c>
      <c r="D1323" t="s">
        <v>9527</v>
      </c>
      <c r="E1323">
        <v>0</v>
      </c>
      <c r="F1323">
        <v>1321</v>
      </c>
      <c r="H1323" t="s">
        <v>7222</v>
      </c>
    </row>
    <row r="1324" spans="1:8" x14ac:dyDescent="0.3">
      <c r="A1324" t="s">
        <v>7223</v>
      </c>
      <c r="C1324" t="s">
        <v>5267</v>
      </c>
      <c r="D1324" t="s">
        <v>9528</v>
      </c>
      <c r="E1324">
        <v>0</v>
      </c>
      <c r="F1324">
        <v>1322</v>
      </c>
      <c r="H1324" t="s">
        <v>7223</v>
      </c>
    </row>
    <row r="1325" spans="1:8" x14ac:dyDescent="0.3">
      <c r="A1325" t="s">
        <v>7224</v>
      </c>
      <c r="C1325" t="s">
        <v>5267</v>
      </c>
      <c r="D1325" t="s">
        <v>9529</v>
      </c>
      <c r="E1325">
        <v>0</v>
      </c>
      <c r="F1325">
        <v>1323</v>
      </c>
      <c r="H1325" t="s">
        <v>7224</v>
      </c>
    </row>
    <row r="1326" spans="1:8" x14ac:dyDescent="0.3">
      <c r="A1326" t="s">
        <v>7225</v>
      </c>
      <c r="C1326" t="s">
        <v>5267</v>
      </c>
      <c r="D1326" t="s">
        <v>9530</v>
      </c>
      <c r="E1326">
        <v>0</v>
      </c>
      <c r="F1326">
        <v>1324</v>
      </c>
      <c r="H1326" t="s">
        <v>7225</v>
      </c>
    </row>
    <row r="1327" spans="1:8" x14ac:dyDescent="0.3">
      <c r="A1327" t="s">
        <v>7226</v>
      </c>
      <c r="C1327" t="s">
        <v>5267</v>
      </c>
      <c r="D1327" t="s">
        <v>9531</v>
      </c>
      <c r="E1327">
        <v>0</v>
      </c>
      <c r="F1327">
        <v>1325</v>
      </c>
      <c r="H1327" t="s">
        <v>7226</v>
      </c>
    </row>
    <row r="1328" spans="1:8" x14ac:dyDescent="0.3">
      <c r="A1328" t="s">
        <v>7227</v>
      </c>
      <c r="C1328" t="s">
        <v>5267</v>
      </c>
      <c r="D1328" t="s">
        <v>9532</v>
      </c>
      <c r="E1328">
        <v>0</v>
      </c>
      <c r="F1328">
        <v>1326</v>
      </c>
      <c r="H1328" t="s">
        <v>7227</v>
      </c>
    </row>
    <row r="1329" spans="1:8" x14ac:dyDescent="0.3">
      <c r="A1329" t="s">
        <v>7228</v>
      </c>
      <c r="C1329" t="s">
        <v>5267</v>
      </c>
      <c r="D1329" t="s">
        <v>9533</v>
      </c>
      <c r="E1329">
        <v>0</v>
      </c>
      <c r="F1329">
        <v>1327</v>
      </c>
      <c r="H1329" t="s">
        <v>7228</v>
      </c>
    </row>
    <row r="1330" spans="1:8" x14ac:dyDescent="0.3">
      <c r="A1330" t="s">
        <v>7229</v>
      </c>
      <c r="C1330" t="s">
        <v>5267</v>
      </c>
      <c r="D1330" t="s">
        <v>9534</v>
      </c>
      <c r="E1330">
        <v>0</v>
      </c>
      <c r="F1330">
        <v>1328</v>
      </c>
      <c r="H1330" t="s">
        <v>7229</v>
      </c>
    </row>
    <row r="1331" spans="1:8" x14ac:dyDescent="0.3">
      <c r="A1331" t="s">
        <v>7230</v>
      </c>
      <c r="C1331" t="s">
        <v>5267</v>
      </c>
      <c r="D1331" t="s">
        <v>9535</v>
      </c>
      <c r="E1331">
        <v>0</v>
      </c>
      <c r="F1331">
        <v>1329</v>
      </c>
      <c r="H1331" t="s">
        <v>7230</v>
      </c>
    </row>
    <row r="1332" spans="1:8" x14ac:dyDescent="0.3">
      <c r="A1332" t="s">
        <v>7231</v>
      </c>
      <c r="C1332" t="s">
        <v>5267</v>
      </c>
      <c r="D1332" t="s">
        <v>9536</v>
      </c>
      <c r="E1332">
        <v>0</v>
      </c>
      <c r="F1332">
        <v>1330</v>
      </c>
      <c r="H1332" t="s">
        <v>7231</v>
      </c>
    </row>
    <row r="1333" spans="1:8" x14ac:dyDescent="0.3">
      <c r="A1333" t="s">
        <v>7232</v>
      </c>
      <c r="C1333" t="s">
        <v>5267</v>
      </c>
      <c r="D1333" t="s">
        <v>9537</v>
      </c>
      <c r="E1333">
        <v>0</v>
      </c>
      <c r="F1333">
        <v>1331</v>
      </c>
      <c r="H1333" t="s">
        <v>7232</v>
      </c>
    </row>
    <row r="1334" spans="1:8" x14ac:dyDescent="0.3">
      <c r="A1334" t="s">
        <v>7233</v>
      </c>
      <c r="C1334" t="s">
        <v>5267</v>
      </c>
      <c r="D1334" t="s">
        <v>9538</v>
      </c>
      <c r="E1334">
        <v>0</v>
      </c>
      <c r="F1334">
        <v>1332</v>
      </c>
      <c r="H1334" t="s">
        <v>7233</v>
      </c>
    </row>
    <row r="1335" spans="1:8" x14ac:dyDescent="0.3">
      <c r="A1335" t="s">
        <v>7234</v>
      </c>
      <c r="C1335" t="s">
        <v>5267</v>
      </c>
      <c r="D1335" t="s">
        <v>9539</v>
      </c>
      <c r="E1335">
        <v>0</v>
      </c>
      <c r="F1335">
        <v>1333</v>
      </c>
      <c r="H1335" t="s">
        <v>7234</v>
      </c>
    </row>
    <row r="1336" spans="1:8" x14ac:dyDescent="0.3">
      <c r="A1336" t="s">
        <v>7235</v>
      </c>
      <c r="C1336" t="s">
        <v>5267</v>
      </c>
      <c r="D1336" t="s">
        <v>9540</v>
      </c>
      <c r="E1336">
        <v>0</v>
      </c>
      <c r="F1336">
        <v>1334</v>
      </c>
      <c r="H1336" t="s">
        <v>7235</v>
      </c>
    </row>
    <row r="1337" spans="1:8" x14ac:dyDescent="0.3">
      <c r="A1337" t="s">
        <v>7236</v>
      </c>
      <c r="C1337" t="s">
        <v>5267</v>
      </c>
      <c r="D1337" t="s">
        <v>9541</v>
      </c>
      <c r="E1337">
        <v>0</v>
      </c>
      <c r="F1337">
        <v>1335</v>
      </c>
      <c r="H1337" t="s">
        <v>7236</v>
      </c>
    </row>
    <row r="1338" spans="1:8" x14ac:dyDescent="0.3">
      <c r="A1338" t="s">
        <v>7237</v>
      </c>
      <c r="C1338" t="s">
        <v>5267</v>
      </c>
      <c r="D1338" t="s">
        <v>9542</v>
      </c>
      <c r="E1338">
        <v>0</v>
      </c>
      <c r="F1338">
        <v>1336</v>
      </c>
      <c r="H1338" t="s">
        <v>7237</v>
      </c>
    </row>
    <row r="1339" spans="1:8" x14ac:dyDescent="0.3">
      <c r="A1339" t="s">
        <v>7238</v>
      </c>
      <c r="C1339" t="s">
        <v>5267</v>
      </c>
      <c r="D1339" t="s">
        <v>9543</v>
      </c>
      <c r="E1339">
        <v>0</v>
      </c>
      <c r="F1339">
        <v>1337</v>
      </c>
      <c r="H1339" t="s">
        <v>7238</v>
      </c>
    </row>
    <row r="1340" spans="1:8" x14ac:dyDescent="0.3">
      <c r="A1340" t="s">
        <v>7239</v>
      </c>
      <c r="C1340" t="s">
        <v>5267</v>
      </c>
      <c r="D1340" t="s">
        <v>9544</v>
      </c>
      <c r="E1340">
        <v>0</v>
      </c>
      <c r="F1340">
        <v>1338</v>
      </c>
      <c r="H1340" t="s">
        <v>7239</v>
      </c>
    </row>
    <row r="1341" spans="1:8" x14ac:dyDescent="0.3">
      <c r="A1341" t="s">
        <v>7240</v>
      </c>
      <c r="C1341" t="s">
        <v>5267</v>
      </c>
      <c r="D1341" t="s">
        <v>9545</v>
      </c>
      <c r="E1341">
        <v>0</v>
      </c>
      <c r="F1341">
        <v>1339</v>
      </c>
      <c r="H1341" t="s">
        <v>7240</v>
      </c>
    </row>
    <row r="1342" spans="1:8" x14ac:dyDescent="0.3">
      <c r="A1342" t="s">
        <v>7241</v>
      </c>
      <c r="C1342" t="s">
        <v>5267</v>
      </c>
      <c r="D1342" t="s">
        <v>9546</v>
      </c>
      <c r="E1342">
        <v>0</v>
      </c>
      <c r="F1342">
        <v>1340</v>
      </c>
      <c r="H1342" t="s">
        <v>7241</v>
      </c>
    </row>
    <row r="1343" spans="1:8" x14ac:dyDescent="0.3">
      <c r="A1343" t="s">
        <v>7242</v>
      </c>
      <c r="C1343" t="s">
        <v>5267</v>
      </c>
      <c r="D1343" t="s">
        <v>9547</v>
      </c>
      <c r="E1343">
        <v>0</v>
      </c>
      <c r="F1343">
        <v>1341</v>
      </c>
      <c r="H1343" t="s">
        <v>7242</v>
      </c>
    </row>
    <row r="1344" spans="1:8" x14ac:dyDescent="0.3">
      <c r="A1344" t="s">
        <v>7243</v>
      </c>
      <c r="C1344" t="s">
        <v>5267</v>
      </c>
      <c r="D1344" t="s">
        <v>9548</v>
      </c>
      <c r="E1344">
        <v>0</v>
      </c>
      <c r="F1344">
        <v>1342</v>
      </c>
      <c r="H1344" t="s">
        <v>7243</v>
      </c>
    </row>
    <row r="1345" spans="1:8" x14ac:dyDescent="0.3">
      <c r="A1345" t="s">
        <v>7244</v>
      </c>
      <c r="C1345" t="s">
        <v>5267</v>
      </c>
      <c r="D1345" t="s">
        <v>9549</v>
      </c>
      <c r="E1345">
        <v>0</v>
      </c>
      <c r="F1345">
        <v>1343</v>
      </c>
      <c r="H1345" t="s">
        <v>7244</v>
      </c>
    </row>
    <row r="1346" spans="1:8" x14ac:dyDescent="0.3">
      <c r="A1346" t="s">
        <v>7245</v>
      </c>
      <c r="C1346" t="s">
        <v>5267</v>
      </c>
      <c r="D1346" t="s">
        <v>9550</v>
      </c>
      <c r="E1346">
        <v>0</v>
      </c>
      <c r="F1346">
        <v>1344</v>
      </c>
      <c r="H1346" t="s">
        <v>7245</v>
      </c>
    </row>
    <row r="1347" spans="1:8" x14ac:dyDescent="0.3">
      <c r="A1347" t="s">
        <v>7246</v>
      </c>
      <c r="C1347" t="s">
        <v>5267</v>
      </c>
      <c r="D1347" t="s">
        <v>9551</v>
      </c>
      <c r="E1347">
        <v>0</v>
      </c>
      <c r="F1347">
        <v>1345</v>
      </c>
      <c r="H1347" t="s">
        <v>7246</v>
      </c>
    </row>
    <row r="1348" spans="1:8" x14ac:dyDescent="0.3">
      <c r="A1348" t="s">
        <v>7247</v>
      </c>
      <c r="C1348" t="s">
        <v>5267</v>
      </c>
      <c r="D1348" t="s">
        <v>9552</v>
      </c>
      <c r="E1348">
        <v>0</v>
      </c>
      <c r="F1348">
        <v>1346</v>
      </c>
      <c r="H1348" t="s">
        <v>7247</v>
      </c>
    </row>
    <row r="1349" spans="1:8" x14ac:dyDescent="0.3">
      <c r="A1349" t="s">
        <v>7248</v>
      </c>
      <c r="C1349" t="s">
        <v>5267</v>
      </c>
      <c r="D1349" t="s">
        <v>9553</v>
      </c>
      <c r="E1349">
        <v>0</v>
      </c>
      <c r="F1349">
        <v>1347</v>
      </c>
      <c r="H1349" t="s">
        <v>7248</v>
      </c>
    </row>
    <row r="1350" spans="1:8" x14ac:dyDescent="0.3">
      <c r="A1350" t="s">
        <v>7249</v>
      </c>
      <c r="C1350" t="s">
        <v>5267</v>
      </c>
      <c r="D1350" t="s">
        <v>9554</v>
      </c>
      <c r="E1350">
        <v>0</v>
      </c>
      <c r="F1350">
        <v>1348</v>
      </c>
      <c r="H1350" t="s">
        <v>7249</v>
      </c>
    </row>
    <row r="1351" spans="1:8" x14ac:dyDescent="0.3">
      <c r="A1351" t="s">
        <v>7250</v>
      </c>
      <c r="C1351" t="s">
        <v>5267</v>
      </c>
      <c r="D1351" t="s">
        <v>9555</v>
      </c>
      <c r="E1351">
        <v>0</v>
      </c>
      <c r="F1351">
        <v>1349</v>
      </c>
      <c r="H1351" t="s">
        <v>7250</v>
      </c>
    </row>
    <row r="1352" spans="1:8" x14ac:dyDescent="0.3">
      <c r="A1352" t="s">
        <v>7251</v>
      </c>
      <c r="C1352" t="s">
        <v>5267</v>
      </c>
      <c r="D1352" t="s">
        <v>9556</v>
      </c>
      <c r="E1352">
        <v>0</v>
      </c>
      <c r="F1352">
        <v>1350</v>
      </c>
      <c r="H1352" t="s">
        <v>7251</v>
      </c>
    </row>
    <row r="1353" spans="1:8" x14ac:dyDescent="0.3">
      <c r="A1353" t="s">
        <v>7252</v>
      </c>
      <c r="C1353" t="s">
        <v>5267</v>
      </c>
      <c r="D1353" t="s">
        <v>9557</v>
      </c>
      <c r="E1353">
        <v>0</v>
      </c>
      <c r="F1353">
        <v>1351</v>
      </c>
      <c r="H1353" t="s">
        <v>7252</v>
      </c>
    </row>
    <row r="1354" spans="1:8" x14ac:dyDescent="0.3">
      <c r="A1354" t="s">
        <v>7253</v>
      </c>
      <c r="C1354" t="s">
        <v>5267</v>
      </c>
      <c r="D1354" t="s">
        <v>9558</v>
      </c>
      <c r="E1354">
        <v>0</v>
      </c>
      <c r="F1354">
        <v>1352</v>
      </c>
      <c r="H1354" t="s">
        <v>7253</v>
      </c>
    </row>
    <row r="1355" spans="1:8" x14ac:dyDescent="0.3">
      <c r="A1355" t="s">
        <v>7254</v>
      </c>
      <c r="C1355" t="s">
        <v>5267</v>
      </c>
      <c r="D1355" t="s">
        <v>9559</v>
      </c>
      <c r="E1355">
        <v>0</v>
      </c>
      <c r="F1355">
        <v>1353</v>
      </c>
      <c r="H1355" t="s">
        <v>7254</v>
      </c>
    </row>
    <row r="1356" spans="1:8" x14ac:dyDescent="0.3">
      <c r="A1356" t="s">
        <v>7255</v>
      </c>
      <c r="C1356" t="s">
        <v>5267</v>
      </c>
      <c r="D1356" t="s">
        <v>9560</v>
      </c>
      <c r="E1356">
        <v>0</v>
      </c>
      <c r="F1356">
        <v>1354</v>
      </c>
      <c r="H1356" t="s">
        <v>7255</v>
      </c>
    </row>
    <row r="1357" spans="1:8" x14ac:dyDescent="0.3">
      <c r="A1357" t="s">
        <v>7256</v>
      </c>
      <c r="C1357" t="s">
        <v>5267</v>
      </c>
      <c r="D1357" t="s">
        <v>9561</v>
      </c>
      <c r="E1357">
        <v>0</v>
      </c>
      <c r="F1357">
        <v>1355</v>
      </c>
      <c r="H1357" t="s">
        <v>7256</v>
      </c>
    </row>
    <row r="1358" spans="1:8" x14ac:dyDescent="0.3">
      <c r="A1358" t="s">
        <v>7257</v>
      </c>
      <c r="C1358" t="s">
        <v>5267</v>
      </c>
      <c r="D1358" t="s">
        <v>9562</v>
      </c>
      <c r="E1358">
        <v>0</v>
      </c>
      <c r="F1358">
        <v>1356</v>
      </c>
      <c r="H1358" t="s">
        <v>7257</v>
      </c>
    </row>
    <row r="1359" spans="1:8" x14ac:dyDescent="0.3">
      <c r="A1359" t="s">
        <v>7258</v>
      </c>
      <c r="C1359" t="s">
        <v>5267</v>
      </c>
      <c r="D1359" t="s">
        <v>9563</v>
      </c>
      <c r="E1359">
        <v>0</v>
      </c>
      <c r="F1359">
        <v>1357</v>
      </c>
      <c r="H1359" t="s">
        <v>7258</v>
      </c>
    </row>
    <row r="1360" spans="1:8" x14ac:dyDescent="0.3">
      <c r="A1360" t="s">
        <v>7259</v>
      </c>
      <c r="C1360" t="s">
        <v>5267</v>
      </c>
      <c r="D1360" t="s">
        <v>9564</v>
      </c>
      <c r="E1360">
        <v>0</v>
      </c>
      <c r="F1360">
        <v>1358</v>
      </c>
      <c r="H1360" t="s">
        <v>7259</v>
      </c>
    </row>
    <row r="1361" spans="1:8" x14ac:dyDescent="0.3">
      <c r="A1361" t="s">
        <v>7260</v>
      </c>
      <c r="C1361" t="s">
        <v>5267</v>
      </c>
      <c r="D1361" t="s">
        <v>9565</v>
      </c>
      <c r="E1361">
        <v>0</v>
      </c>
      <c r="F1361">
        <v>1359</v>
      </c>
      <c r="H1361" t="s">
        <v>7260</v>
      </c>
    </row>
    <row r="1362" spans="1:8" x14ac:dyDescent="0.3">
      <c r="A1362" t="s">
        <v>7261</v>
      </c>
      <c r="C1362" t="s">
        <v>5267</v>
      </c>
      <c r="D1362" t="s">
        <v>9566</v>
      </c>
      <c r="E1362">
        <v>0</v>
      </c>
      <c r="F1362">
        <v>1360</v>
      </c>
      <c r="H1362" t="s">
        <v>7261</v>
      </c>
    </row>
    <row r="1363" spans="1:8" x14ac:dyDescent="0.3">
      <c r="A1363" t="s">
        <v>7262</v>
      </c>
      <c r="C1363" t="s">
        <v>5267</v>
      </c>
      <c r="D1363" t="s">
        <v>9567</v>
      </c>
      <c r="E1363">
        <v>0</v>
      </c>
      <c r="F1363">
        <v>1361</v>
      </c>
      <c r="H1363" t="s">
        <v>7262</v>
      </c>
    </row>
    <row r="1364" spans="1:8" x14ac:dyDescent="0.3">
      <c r="A1364" t="s">
        <v>7263</v>
      </c>
      <c r="C1364" t="s">
        <v>5267</v>
      </c>
      <c r="D1364" t="s">
        <v>9568</v>
      </c>
      <c r="E1364">
        <v>0</v>
      </c>
      <c r="F1364">
        <v>1362</v>
      </c>
      <c r="H1364" t="s">
        <v>7263</v>
      </c>
    </row>
    <row r="1365" spans="1:8" x14ac:dyDescent="0.3">
      <c r="A1365" t="s">
        <v>7264</v>
      </c>
      <c r="C1365" t="s">
        <v>5267</v>
      </c>
      <c r="D1365" t="s">
        <v>9569</v>
      </c>
      <c r="E1365">
        <v>0</v>
      </c>
      <c r="F1365">
        <v>1363</v>
      </c>
      <c r="H1365" t="s">
        <v>7264</v>
      </c>
    </row>
    <row r="1366" spans="1:8" x14ac:dyDescent="0.3">
      <c r="A1366" t="s">
        <v>7265</v>
      </c>
      <c r="C1366" t="s">
        <v>5267</v>
      </c>
      <c r="D1366" t="s">
        <v>9570</v>
      </c>
      <c r="E1366">
        <v>0</v>
      </c>
      <c r="F1366">
        <v>1364</v>
      </c>
      <c r="H1366" t="s">
        <v>7265</v>
      </c>
    </row>
    <row r="1367" spans="1:8" x14ac:dyDescent="0.3">
      <c r="A1367" t="s">
        <v>7266</v>
      </c>
      <c r="C1367" t="s">
        <v>5267</v>
      </c>
      <c r="D1367" t="s">
        <v>9571</v>
      </c>
      <c r="E1367">
        <v>0</v>
      </c>
      <c r="F1367">
        <v>1365</v>
      </c>
      <c r="H1367" t="s">
        <v>7266</v>
      </c>
    </row>
    <row r="1368" spans="1:8" x14ac:dyDescent="0.3">
      <c r="A1368" t="s">
        <v>7267</v>
      </c>
      <c r="C1368" t="s">
        <v>5267</v>
      </c>
      <c r="D1368" t="s">
        <v>9572</v>
      </c>
      <c r="E1368">
        <v>0</v>
      </c>
      <c r="F1368">
        <v>1366</v>
      </c>
      <c r="H1368" t="s">
        <v>7267</v>
      </c>
    </row>
    <row r="1369" spans="1:8" x14ac:dyDescent="0.3">
      <c r="A1369" t="s">
        <v>7268</v>
      </c>
      <c r="C1369" t="s">
        <v>5267</v>
      </c>
      <c r="D1369" t="s">
        <v>9573</v>
      </c>
      <c r="E1369">
        <v>0</v>
      </c>
      <c r="F1369">
        <v>1367</v>
      </c>
      <c r="H1369" t="s">
        <v>7268</v>
      </c>
    </row>
    <row r="1370" spans="1:8" x14ac:dyDescent="0.3">
      <c r="A1370" t="s">
        <v>7269</v>
      </c>
      <c r="C1370" t="s">
        <v>5267</v>
      </c>
      <c r="D1370" t="s">
        <v>9574</v>
      </c>
      <c r="E1370">
        <v>0</v>
      </c>
      <c r="F1370">
        <v>1368</v>
      </c>
      <c r="H1370" t="s">
        <v>7269</v>
      </c>
    </row>
    <row r="1371" spans="1:8" x14ac:dyDescent="0.3">
      <c r="A1371" t="s">
        <v>7270</v>
      </c>
      <c r="C1371" t="s">
        <v>5267</v>
      </c>
      <c r="D1371" t="s">
        <v>9575</v>
      </c>
      <c r="E1371">
        <v>0</v>
      </c>
      <c r="F1371">
        <v>1369</v>
      </c>
      <c r="H1371" t="s">
        <v>7270</v>
      </c>
    </row>
    <row r="1372" spans="1:8" x14ac:dyDescent="0.3">
      <c r="A1372" t="s">
        <v>7271</v>
      </c>
      <c r="C1372" t="s">
        <v>5267</v>
      </c>
      <c r="D1372" t="s">
        <v>9576</v>
      </c>
      <c r="E1372">
        <v>0</v>
      </c>
      <c r="F1372">
        <v>1370</v>
      </c>
      <c r="H1372" t="s">
        <v>7271</v>
      </c>
    </row>
    <row r="1373" spans="1:8" x14ac:dyDescent="0.3">
      <c r="A1373" t="s">
        <v>7272</v>
      </c>
      <c r="C1373" t="s">
        <v>5267</v>
      </c>
      <c r="D1373" t="s">
        <v>9577</v>
      </c>
      <c r="E1373">
        <v>0</v>
      </c>
      <c r="F1373">
        <v>1371</v>
      </c>
      <c r="H1373" t="s">
        <v>7272</v>
      </c>
    </row>
    <row r="1374" spans="1:8" x14ac:dyDescent="0.3">
      <c r="A1374" t="s">
        <v>7273</v>
      </c>
      <c r="C1374" t="s">
        <v>5267</v>
      </c>
      <c r="D1374" t="s">
        <v>9578</v>
      </c>
      <c r="E1374">
        <v>0</v>
      </c>
      <c r="F1374">
        <v>1372</v>
      </c>
      <c r="H1374" t="s">
        <v>7273</v>
      </c>
    </row>
    <row r="1375" spans="1:8" x14ac:dyDescent="0.3">
      <c r="A1375" t="s">
        <v>7274</v>
      </c>
      <c r="C1375" t="s">
        <v>5267</v>
      </c>
      <c r="D1375" t="s">
        <v>9579</v>
      </c>
      <c r="E1375">
        <v>0</v>
      </c>
      <c r="F1375">
        <v>1373</v>
      </c>
      <c r="H1375" t="s">
        <v>7274</v>
      </c>
    </row>
    <row r="1376" spans="1:8" x14ac:dyDescent="0.3">
      <c r="A1376" t="s">
        <v>7275</v>
      </c>
      <c r="C1376" t="s">
        <v>5267</v>
      </c>
      <c r="D1376" t="s">
        <v>9580</v>
      </c>
      <c r="E1376">
        <v>0</v>
      </c>
      <c r="F1376">
        <v>1374</v>
      </c>
      <c r="H1376" t="s">
        <v>7275</v>
      </c>
    </row>
    <row r="1377" spans="1:8" x14ac:dyDescent="0.3">
      <c r="A1377" t="s">
        <v>7276</v>
      </c>
      <c r="C1377" t="s">
        <v>5267</v>
      </c>
      <c r="D1377" t="s">
        <v>9581</v>
      </c>
      <c r="E1377">
        <v>0</v>
      </c>
      <c r="F1377">
        <v>1375</v>
      </c>
      <c r="H1377" t="s">
        <v>7276</v>
      </c>
    </row>
    <row r="1378" spans="1:8" x14ac:dyDescent="0.3">
      <c r="A1378" t="s">
        <v>7277</v>
      </c>
      <c r="C1378" t="s">
        <v>5267</v>
      </c>
      <c r="D1378" t="s">
        <v>9582</v>
      </c>
      <c r="E1378">
        <v>0</v>
      </c>
      <c r="F1378">
        <v>1376</v>
      </c>
      <c r="H1378" t="s">
        <v>7277</v>
      </c>
    </row>
    <row r="1379" spans="1:8" x14ac:dyDescent="0.3">
      <c r="A1379" t="s">
        <v>7278</v>
      </c>
      <c r="C1379" t="s">
        <v>5267</v>
      </c>
      <c r="D1379" t="s">
        <v>9583</v>
      </c>
      <c r="E1379">
        <v>0</v>
      </c>
      <c r="F1379">
        <v>1377</v>
      </c>
      <c r="H1379" t="s">
        <v>7278</v>
      </c>
    </row>
    <row r="1380" spans="1:8" x14ac:dyDescent="0.3">
      <c r="A1380" t="s">
        <v>7279</v>
      </c>
      <c r="C1380" t="s">
        <v>5267</v>
      </c>
      <c r="D1380" t="s">
        <v>9584</v>
      </c>
      <c r="E1380">
        <v>0</v>
      </c>
      <c r="F1380">
        <v>1378</v>
      </c>
      <c r="H1380" t="s">
        <v>7279</v>
      </c>
    </row>
    <row r="1381" spans="1:8" x14ac:dyDescent="0.3">
      <c r="A1381" t="s">
        <v>7280</v>
      </c>
      <c r="C1381" t="s">
        <v>5267</v>
      </c>
      <c r="D1381" t="s">
        <v>9585</v>
      </c>
      <c r="E1381">
        <v>0</v>
      </c>
      <c r="F1381">
        <v>1379</v>
      </c>
      <c r="H1381" t="s">
        <v>7280</v>
      </c>
    </row>
    <row r="1382" spans="1:8" x14ac:dyDescent="0.3">
      <c r="A1382" t="s">
        <v>7281</v>
      </c>
      <c r="C1382" t="s">
        <v>5267</v>
      </c>
      <c r="D1382" t="s">
        <v>9586</v>
      </c>
      <c r="E1382">
        <v>0</v>
      </c>
      <c r="F1382">
        <v>1380</v>
      </c>
      <c r="H1382" t="s">
        <v>7281</v>
      </c>
    </row>
    <row r="1383" spans="1:8" x14ac:dyDescent="0.3">
      <c r="A1383" t="s">
        <v>7282</v>
      </c>
      <c r="C1383" t="s">
        <v>5267</v>
      </c>
      <c r="D1383" t="s">
        <v>9587</v>
      </c>
      <c r="E1383">
        <v>0</v>
      </c>
      <c r="F1383">
        <v>1381</v>
      </c>
      <c r="H1383" t="s">
        <v>7282</v>
      </c>
    </row>
    <row r="1384" spans="1:8" x14ac:dyDescent="0.3">
      <c r="A1384" t="s">
        <v>7283</v>
      </c>
      <c r="C1384" t="s">
        <v>5267</v>
      </c>
      <c r="D1384" t="s">
        <v>9588</v>
      </c>
      <c r="E1384">
        <v>0</v>
      </c>
      <c r="F1384">
        <v>1382</v>
      </c>
      <c r="H1384" t="s">
        <v>7283</v>
      </c>
    </row>
    <row r="1385" spans="1:8" x14ac:dyDescent="0.3">
      <c r="A1385" t="s">
        <v>7284</v>
      </c>
      <c r="C1385" t="s">
        <v>5267</v>
      </c>
      <c r="D1385" t="s">
        <v>9589</v>
      </c>
      <c r="E1385">
        <v>0</v>
      </c>
      <c r="F1385">
        <v>1383</v>
      </c>
      <c r="H1385" t="s">
        <v>7284</v>
      </c>
    </row>
    <row r="1386" spans="1:8" x14ac:dyDescent="0.3">
      <c r="A1386" t="s">
        <v>7285</v>
      </c>
      <c r="C1386" t="s">
        <v>5267</v>
      </c>
      <c r="D1386" t="s">
        <v>9590</v>
      </c>
      <c r="E1386">
        <v>0</v>
      </c>
      <c r="F1386">
        <v>1384</v>
      </c>
      <c r="H1386" t="s">
        <v>7285</v>
      </c>
    </row>
    <row r="1387" spans="1:8" x14ac:dyDescent="0.3">
      <c r="A1387" t="s">
        <v>7286</v>
      </c>
      <c r="C1387" t="s">
        <v>5267</v>
      </c>
      <c r="D1387" t="s">
        <v>9591</v>
      </c>
      <c r="E1387">
        <v>0</v>
      </c>
      <c r="F1387">
        <v>1385</v>
      </c>
      <c r="H1387" t="s">
        <v>7286</v>
      </c>
    </row>
    <row r="1388" spans="1:8" x14ac:dyDescent="0.3">
      <c r="A1388" t="s">
        <v>7287</v>
      </c>
      <c r="C1388" t="s">
        <v>5267</v>
      </c>
      <c r="D1388" t="s">
        <v>9592</v>
      </c>
      <c r="E1388">
        <v>0</v>
      </c>
      <c r="F1388">
        <v>1386</v>
      </c>
      <c r="H1388" t="s">
        <v>7287</v>
      </c>
    </row>
    <row r="1389" spans="1:8" x14ac:dyDescent="0.3">
      <c r="A1389" t="s">
        <v>7288</v>
      </c>
      <c r="C1389" t="s">
        <v>5267</v>
      </c>
      <c r="D1389" t="s">
        <v>9593</v>
      </c>
      <c r="E1389">
        <v>0</v>
      </c>
      <c r="F1389">
        <v>1387</v>
      </c>
      <c r="H1389" t="s">
        <v>7288</v>
      </c>
    </row>
    <row r="1390" spans="1:8" x14ac:dyDescent="0.3">
      <c r="A1390" t="s">
        <v>7289</v>
      </c>
      <c r="C1390" t="s">
        <v>5267</v>
      </c>
      <c r="D1390" t="s">
        <v>9594</v>
      </c>
      <c r="E1390">
        <v>0</v>
      </c>
      <c r="F1390">
        <v>1388</v>
      </c>
      <c r="H1390" t="s">
        <v>7289</v>
      </c>
    </row>
    <row r="1391" spans="1:8" x14ac:dyDescent="0.3">
      <c r="A1391" t="s">
        <v>7290</v>
      </c>
      <c r="C1391" t="s">
        <v>5267</v>
      </c>
      <c r="D1391" t="s">
        <v>9595</v>
      </c>
      <c r="E1391">
        <v>0</v>
      </c>
      <c r="F1391">
        <v>1389</v>
      </c>
      <c r="H1391" t="s">
        <v>7290</v>
      </c>
    </row>
    <row r="1392" spans="1:8" x14ac:dyDescent="0.3">
      <c r="A1392" t="s">
        <v>7291</v>
      </c>
      <c r="C1392" t="s">
        <v>5267</v>
      </c>
      <c r="D1392" t="s">
        <v>9596</v>
      </c>
      <c r="E1392">
        <v>0</v>
      </c>
      <c r="F1392">
        <v>1390</v>
      </c>
      <c r="H1392" t="s">
        <v>7291</v>
      </c>
    </row>
    <row r="1393" spans="1:8" x14ac:dyDescent="0.3">
      <c r="A1393" t="s">
        <v>7292</v>
      </c>
      <c r="C1393" t="s">
        <v>5267</v>
      </c>
      <c r="D1393" t="s">
        <v>9597</v>
      </c>
      <c r="E1393">
        <v>0</v>
      </c>
      <c r="F1393">
        <v>1391</v>
      </c>
      <c r="H1393" t="s">
        <v>7292</v>
      </c>
    </row>
    <row r="1394" spans="1:8" x14ac:dyDescent="0.3">
      <c r="A1394" t="s">
        <v>7293</v>
      </c>
      <c r="C1394" t="s">
        <v>5267</v>
      </c>
      <c r="D1394" t="s">
        <v>9598</v>
      </c>
      <c r="E1394">
        <v>0</v>
      </c>
      <c r="F1394">
        <v>1392</v>
      </c>
      <c r="H1394" t="s">
        <v>7293</v>
      </c>
    </row>
    <row r="1395" spans="1:8" x14ac:dyDescent="0.3">
      <c r="A1395" t="s">
        <v>7294</v>
      </c>
      <c r="C1395" t="s">
        <v>5267</v>
      </c>
      <c r="D1395" t="s">
        <v>9599</v>
      </c>
      <c r="E1395">
        <v>0</v>
      </c>
      <c r="F1395">
        <v>1393</v>
      </c>
      <c r="H1395" t="s">
        <v>7294</v>
      </c>
    </row>
    <row r="1396" spans="1:8" x14ac:dyDescent="0.3">
      <c r="A1396" t="s">
        <v>6396</v>
      </c>
      <c r="C1396" t="s">
        <v>5267</v>
      </c>
      <c r="D1396" t="s">
        <v>9600</v>
      </c>
      <c r="E1396">
        <v>0</v>
      </c>
      <c r="F1396">
        <v>1394</v>
      </c>
      <c r="H1396" t="s">
        <v>6396</v>
      </c>
    </row>
    <row r="1397" spans="1:8" x14ac:dyDescent="0.3">
      <c r="A1397" t="s">
        <v>7295</v>
      </c>
      <c r="C1397" t="s">
        <v>5267</v>
      </c>
      <c r="D1397" t="s">
        <v>9601</v>
      </c>
      <c r="E1397">
        <v>0</v>
      </c>
      <c r="F1397">
        <v>1395</v>
      </c>
      <c r="H1397" t="s">
        <v>7295</v>
      </c>
    </row>
    <row r="1398" spans="1:8" x14ac:dyDescent="0.3">
      <c r="A1398" t="s">
        <v>7296</v>
      </c>
      <c r="C1398" t="s">
        <v>5267</v>
      </c>
      <c r="D1398" t="s">
        <v>9602</v>
      </c>
      <c r="E1398">
        <v>0</v>
      </c>
      <c r="F1398">
        <v>1396</v>
      </c>
      <c r="H1398" t="s">
        <v>7296</v>
      </c>
    </row>
    <row r="1399" spans="1:8" x14ac:dyDescent="0.3">
      <c r="A1399" t="s">
        <v>7297</v>
      </c>
      <c r="C1399" t="s">
        <v>5267</v>
      </c>
      <c r="D1399" t="s">
        <v>9603</v>
      </c>
      <c r="E1399">
        <v>0</v>
      </c>
      <c r="F1399">
        <v>1397</v>
      </c>
      <c r="H1399" t="s">
        <v>7297</v>
      </c>
    </row>
    <row r="1400" spans="1:8" x14ac:dyDescent="0.3">
      <c r="A1400" t="s">
        <v>7298</v>
      </c>
      <c r="C1400" t="s">
        <v>5267</v>
      </c>
      <c r="D1400" t="s">
        <v>9604</v>
      </c>
      <c r="E1400">
        <v>0</v>
      </c>
      <c r="F1400">
        <v>1398</v>
      </c>
      <c r="H1400" t="s">
        <v>7298</v>
      </c>
    </row>
    <row r="1401" spans="1:8" x14ac:dyDescent="0.3">
      <c r="A1401" t="s">
        <v>7299</v>
      </c>
      <c r="C1401" t="s">
        <v>5267</v>
      </c>
      <c r="D1401" t="s">
        <v>9605</v>
      </c>
      <c r="E1401">
        <v>0</v>
      </c>
      <c r="F1401">
        <v>1399</v>
      </c>
      <c r="H1401" t="s">
        <v>7299</v>
      </c>
    </row>
    <row r="1402" spans="1:8" x14ac:dyDescent="0.3">
      <c r="A1402" t="s">
        <v>6397</v>
      </c>
      <c r="C1402" t="s">
        <v>5267</v>
      </c>
      <c r="D1402" t="s">
        <v>9606</v>
      </c>
      <c r="E1402">
        <v>0</v>
      </c>
      <c r="F1402">
        <v>1400</v>
      </c>
      <c r="H1402" t="s">
        <v>6397</v>
      </c>
    </row>
    <row r="1403" spans="1:8" x14ac:dyDescent="0.3">
      <c r="A1403" t="s">
        <v>6398</v>
      </c>
      <c r="C1403" t="s">
        <v>5267</v>
      </c>
      <c r="D1403" t="s">
        <v>9607</v>
      </c>
      <c r="E1403">
        <v>0</v>
      </c>
      <c r="F1403">
        <v>1401</v>
      </c>
      <c r="H1403" t="s">
        <v>6398</v>
      </c>
    </row>
    <row r="1404" spans="1:8" x14ac:dyDescent="0.3">
      <c r="A1404" t="s">
        <v>7300</v>
      </c>
      <c r="C1404" t="s">
        <v>5267</v>
      </c>
      <c r="D1404" t="s">
        <v>9608</v>
      </c>
      <c r="E1404">
        <v>0</v>
      </c>
      <c r="F1404">
        <v>1402</v>
      </c>
      <c r="H1404" t="s">
        <v>7300</v>
      </c>
    </row>
    <row r="1405" spans="1:8" x14ac:dyDescent="0.3">
      <c r="A1405" t="s">
        <v>7301</v>
      </c>
      <c r="C1405" t="s">
        <v>5267</v>
      </c>
      <c r="D1405" t="s">
        <v>9609</v>
      </c>
      <c r="E1405">
        <v>0</v>
      </c>
      <c r="F1405">
        <v>1403</v>
      </c>
      <c r="H1405" t="s">
        <v>7301</v>
      </c>
    </row>
    <row r="1406" spans="1:8" x14ac:dyDescent="0.3">
      <c r="A1406" t="s">
        <v>7302</v>
      </c>
      <c r="C1406" t="s">
        <v>5267</v>
      </c>
      <c r="D1406" t="s">
        <v>9610</v>
      </c>
      <c r="E1406">
        <v>0</v>
      </c>
      <c r="F1406">
        <v>1404</v>
      </c>
      <c r="H1406" t="s">
        <v>7302</v>
      </c>
    </row>
    <row r="1407" spans="1:8" x14ac:dyDescent="0.3">
      <c r="A1407" t="s">
        <v>7303</v>
      </c>
      <c r="C1407" t="s">
        <v>5267</v>
      </c>
      <c r="D1407" t="s">
        <v>9611</v>
      </c>
      <c r="E1407">
        <v>0</v>
      </c>
      <c r="F1407">
        <v>1405</v>
      </c>
      <c r="H1407" t="s">
        <v>7303</v>
      </c>
    </row>
    <row r="1408" spans="1:8" x14ac:dyDescent="0.3">
      <c r="A1408" t="s">
        <v>7304</v>
      </c>
      <c r="C1408" t="s">
        <v>5267</v>
      </c>
      <c r="D1408" t="s">
        <v>9612</v>
      </c>
      <c r="E1408">
        <v>0</v>
      </c>
      <c r="F1408">
        <v>1406</v>
      </c>
      <c r="H1408" t="s">
        <v>7304</v>
      </c>
    </row>
    <row r="1409" spans="1:8" x14ac:dyDescent="0.3">
      <c r="A1409" t="s">
        <v>7305</v>
      </c>
      <c r="C1409" t="s">
        <v>5267</v>
      </c>
      <c r="D1409" t="s">
        <v>9613</v>
      </c>
      <c r="E1409">
        <v>0</v>
      </c>
      <c r="F1409">
        <v>1407</v>
      </c>
      <c r="H1409" t="s">
        <v>7305</v>
      </c>
    </row>
    <row r="1410" spans="1:8" x14ac:dyDescent="0.3">
      <c r="A1410" t="s">
        <v>7306</v>
      </c>
      <c r="C1410" t="s">
        <v>5267</v>
      </c>
      <c r="D1410" t="s">
        <v>9614</v>
      </c>
      <c r="E1410">
        <v>0</v>
      </c>
      <c r="F1410">
        <v>1408</v>
      </c>
      <c r="H1410" t="s">
        <v>7306</v>
      </c>
    </row>
    <row r="1411" spans="1:8" x14ac:dyDescent="0.3">
      <c r="A1411" t="s">
        <v>7307</v>
      </c>
      <c r="C1411" t="s">
        <v>5267</v>
      </c>
      <c r="D1411" t="s">
        <v>9615</v>
      </c>
      <c r="E1411">
        <v>0</v>
      </c>
      <c r="F1411">
        <v>1409</v>
      </c>
      <c r="H1411" t="s">
        <v>7307</v>
      </c>
    </row>
    <row r="1412" spans="1:8" x14ac:dyDescent="0.3">
      <c r="A1412" t="s">
        <v>7308</v>
      </c>
      <c r="C1412" t="s">
        <v>5267</v>
      </c>
      <c r="D1412" t="s">
        <v>9616</v>
      </c>
      <c r="E1412">
        <v>0</v>
      </c>
      <c r="F1412">
        <v>1410</v>
      </c>
      <c r="H1412" t="s">
        <v>7308</v>
      </c>
    </row>
    <row r="1413" spans="1:8" x14ac:dyDescent="0.3">
      <c r="A1413" t="s">
        <v>7309</v>
      </c>
      <c r="C1413" t="s">
        <v>5267</v>
      </c>
      <c r="D1413" t="s">
        <v>9617</v>
      </c>
      <c r="E1413">
        <v>0</v>
      </c>
      <c r="F1413">
        <v>1411</v>
      </c>
      <c r="H1413" t="s">
        <v>7309</v>
      </c>
    </row>
    <row r="1414" spans="1:8" x14ac:dyDescent="0.3">
      <c r="A1414" t="s">
        <v>7310</v>
      </c>
      <c r="C1414" t="s">
        <v>5267</v>
      </c>
      <c r="D1414" t="s">
        <v>9618</v>
      </c>
      <c r="E1414">
        <v>0</v>
      </c>
      <c r="F1414">
        <v>1412</v>
      </c>
      <c r="H1414" t="s">
        <v>7310</v>
      </c>
    </row>
    <row r="1415" spans="1:8" x14ac:dyDescent="0.3">
      <c r="A1415" t="s">
        <v>7311</v>
      </c>
      <c r="C1415" t="s">
        <v>5267</v>
      </c>
      <c r="D1415" t="s">
        <v>9619</v>
      </c>
      <c r="E1415">
        <v>0</v>
      </c>
      <c r="F1415">
        <v>1413</v>
      </c>
      <c r="H1415" t="s">
        <v>7311</v>
      </c>
    </row>
    <row r="1416" spans="1:8" x14ac:dyDescent="0.3">
      <c r="A1416" t="s">
        <v>7312</v>
      </c>
      <c r="C1416" t="s">
        <v>5267</v>
      </c>
      <c r="D1416" t="s">
        <v>9620</v>
      </c>
      <c r="E1416">
        <v>0</v>
      </c>
      <c r="F1416">
        <v>1414</v>
      </c>
      <c r="H1416" t="s">
        <v>7312</v>
      </c>
    </row>
    <row r="1417" spans="1:8" x14ac:dyDescent="0.3">
      <c r="A1417" t="s">
        <v>7313</v>
      </c>
      <c r="C1417" t="s">
        <v>5267</v>
      </c>
      <c r="D1417" t="s">
        <v>9621</v>
      </c>
      <c r="E1417">
        <v>0</v>
      </c>
      <c r="F1417">
        <v>1415</v>
      </c>
      <c r="H1417" t="s">
        <v>7313</v>
      </c>
    </row>
    <row r="1418" spans="1:8" x14ac:dyDescent="0.3">
      <c r="A1418" t="s">
        <v>7314</v>
      </c>
      <c r="C1418" t="s">
        <v>5267</v>
      </c>
      <c r="D1418" t="s">
        <v>9622</v>
      </c>
      <c r="E1418">
        <v>0</v>
      </c>
      <c r="F1418">
        <v>1416</v>
      </c>
      <c r="H1418" t="s">
        <v>7314</v>
      </c>
    </row>
    <row r="1419" spans="1:8" x14ac:dyDescent="0.3">
      <c r="A1419" t="s">
        <v>7315</v>
      </c>
      <c r="C1419" t="s">
        <v>5267</v>
      </c>
      <c r="D1419" t="s">
        <v>9623</v>
      </c>
      <c r="E1419">
        <v>0</v>
      </c>
      <c r="F1419">
        <v>1417</v>
      </c>
      <c r="H1419" t="s">
        <v>7315</v>
      </c>
    </row>
    <row r="1420" spans="1:8" x14ac:dyDescent="0.3">
      <c r="A1420" t="s">
        <v>7316</v>
      </c>
      <c r="C1420" t="s">
        <v>5267</v>
      </c>
      <c r="D1420" t="s">
        <v>9624</v>
      </c>
      <c r="E1420">
        <v>0</v>
      </c>
      <c r="F1420">
        <v>1418</v>
      </c>
      <c r="H1420" t="s">
        <v>7316</v>
      </c>
    </row>
    <row r="1421" spans="1:8" x14ac:dyDescent="0.3">
      <c r="A1421" t="s">
        <v>7317</v>
      </c>
      <c r="C1421" t="s">
        <v>5267</v>
      </c>
      <c r="D1421" t="s">
        <v>9625</v>
      </c>
      <c r="E1421">
        <v>0</v>
      </c>
      <c r="F1421">
        <v>1419</v>
      </c>
      <c r="H1421" t="s">
        <v>7317</v>
      </c>
    </row>
    <row r="1422" spans="1:8" x14ac:dyDescent="0.3">
      <c r="A1422" t="s">
        <v>7318</v>
      </c>
      <c r="C1422" t="s">
        <v>5267</v>
      </c>
      <c r="D1422" t="s">
        <v>9626</v>
      </c>
      <c r="E1422">
        <v>0</v>
      </c>
      <c r="F1422">
        <v>1420</v>
      </c>
      <c r="H1422" t="s">
        <v>7318</v>
      </c>
    </row>
    <row r="1423" spans="1:8" x14ac:dyDescent="0.3">
      <c r="A1423" t="s">
        <v>7319</v>
      </c>
      <c r="C1423" t="s">
        <v>5267</v>
      </c>
      <c r="D1423" t="s">
        <v>9627</v>
      </c>
      <c r="E1423">
        <v>0</v>
      </c>
      <c r="F1423">
        <v>1421</v>
      </c>
      <c r="H1423" t="s">
        <v>7319</v>
      </c>
    </row>
    <row r="1424" spans="1:8" x14ac:dyDescent="0.3">
      <c r="A1424" t="s">
        <v>7320</v>
      </c>
      <c r="C1424" t="s">
        <v>5267</v>
      </c>
      <c r="D1424" t="s">
        <v>9628</v>
      </c>
      <c r="E1424">
        <v>0</v>
      </c>
      <c r="F1424">
        <v>1422</v>
      </c>
      <c r="H1424" t="s">
        <v>7320</v>
      </c>
    </row>
    <row r="1425" spans="1:8" x14ac:dyDescent="0.3">
      <c r="A1425" t="s">
        <v>7321</v>
      </c>
      <c r="C1425" t="s">
        <v>5267</v>
      </c>
      <c r="D1425" t="s">
        <v>9629</v>
      </c>
      <c r="E1425">
        <v>0</v>
      </c>
      <c r="F1425">
        <v>1423</v>
      </c>
      <c r="H1425" t="s">
        <v>7321</v>
      </c>
    </row>
    <row r="1426" spans="1:8" x14ac:dyDescent="0.3">
      <c r="A1426" t="s">
        <v>7322</v>
      </c>
      <c r="C1426" t="s">
        <v>5267</v>
      </c>
      <c r="D1426" t="s">
        <v>9630</v>
      </c>
      <c r="E1426">
        <v>0</v>
      </c>
      <c r="F1426">
        <v>1424</v>
      </c>
      <c r="H1426" t="s">
        <v>7322</v>
      </c>
    </row>
    <row r="1427" spans="1:8" x14ac:dyDescent="0.3">
      <c r="A1427" t="s">
        <v>7323</v>
      </c>
      <c r="C1427" t="s">
        <v>5267</v>
      </c>
      <c r="D1427" t="s">
        <v>9631</v>
      </c>
      <c r="E1427">
        <v>0</v>
      </c>
      <c r="F1427">
        <v>1425</v>
      </c>
      <c r="H1427" t="s">
        <v>7323</v>
      </c>
    </row>
    <row r="1428" spans="1:8" x14ac:dyDescent="0.3">
      <c r="A1428" t="s">
        <v>7324</v>
      </c>
      <c r="C1428" t="s">
        <v>5267</v>
      </c>
      <c r="D1428" t="s">
        <v>9632</v>
      </c>
      <c r="E1428">
        <v>0</v>
      </c>
      <c r="F1428">
        <v>1426</v>
      </c>
      <c r="H1428" t="s">
        <v>7324</v>
      </c>
    </row>
    <row r="1429" spans="1:8" x14ac:dyDescent="0.3">
      <c r="A1429" t="s">
        <v>7325</v>
      </c>
      <c r="C1429" t="s">
        <v>5267</v>
      </c>
      <c r="D1429" t="s">
        <v>9633</v>
      </c>
      <c r="E1429">
        <v>0</v>
      </c>
      <c r="F1429">
        <v>1427</v>
      </c>
      <c r="H1429" t="s">
        <v>7325</v>
      </c>
    </row>
    <row r="1430" spans="1:8" x14ac:dyDescent="0.3">
      <c r="A1430" t="s">
        <v>7326</v>
      </c>
      <c r="C1430" t="s">
        <v>5267</v>
      </c>
      <c r="D1430" t="s">
        <v>9634</v>
      </c>
      <c r="E1430">
        <v>0</v>
      </c>
      <c r="F1430">
        <v>1428</v>
      </c>
      <c r="H1430" t="s">
        <v>7326</v>
      </c>
    </row>
    <row r="1431" spans="1:8" x14ac:dyDescent="0.3">
      <c r="A1431" t="s">
        <v>7327</v>
      </c>
      <c r="C1431" t="s">
        <v>5267</v>
      </c>
      <c r="D1431" t="s">
        <v>9635</v>
      </c>
      <c r="E1431">
        <v>0</v>
      </c>
      <c r="F1431">
        <v>1429</v>
      </c>
      <c r="H1431" t="s">
        <v>7327</v>
      </c>
    </row>
    <row r="1432" spans="1:8" x14ac:dyDescent="0.3">
      <c r="A1432" t="s">
        <v>7328</v>
      </c>
      <c r="C1432" t="s">
        <v>5267</v>
      </c>
      <c r="D1432" t="s">
        <v>9636</v>
      </c>
      <c r="E1432">
        <v>0</v>
      </c>
      <c r="F1432">
        <v>1430</v>
      </c>
      <c r="H1432" t="s">
        <v>7328</v>
      </c>
    </row>
    <row r="1433" spans="1:8" x14ac:dyDescent="0.3">
      <c r="A1433" t="s">
        <v>7329</v>
      </c>
      <c r="C1433" t="s">
        <v>5267</v>
      </c>
      <c r="D1433" t="s">
        <v>9637</v>
      </c>
      <c r="E1433">
        <v>0</v>
      </c>
      <c r="F1433">
        <v>1431</v>
      </c>
      <c r="H1433" t="s">
        <v>7329</v>
      </c>
    </row>
    <row r="1434" spans="1:8" x14ac:dyDescent="0.3">
      <c r="A1434" t="s">
        <v>7330</v>
      </c>
      <c r="C1434" t="s">
        <v>5267</v>
      </c>
      <c r="D1434" t="s">
        <v>9638</v>
      </c>
      <c r="E1434">
        <v>0</v>
      </c>
      <c r="F1434">
        <v>1432</v>
      </c>
      <c r="H1434" t="s">
        <v>7330</v>
      </c>
    </row>
    <row r="1435" spans="1:8" x14ac:dyDescent="0.3">
      <c r="A1435" t="s">
        <v>7331</v>
      </c>
      <c r="C1435" t="s">
        <v>5267</v>
      </c>
      <c r="D1435" t="s">
        <v>9639</v>
      </c>
      <c r="E1435">
        <v>0</v>
      </c>
      <c r="F1435">
        <v>1433</v>
      </c>
      <c r="H1435" t="s">
        <v>7331</v>
      </c>
    </row>
    <row r="1436" spans="1:8" x14ac:dyDescent="0.3">
      <c r="A1436" t="s">
        <v>7332</v>
      </c>
      <c r="C1436" t="s">
        <v>5267</v>
      </c>
      <c r="D1436" t="s">
        <v>9640</v>
      </c>
      <c r="E1436">
        <v>0</v>
      </c>
      <c r="F1436">
        <v>1434</v>
      </c>
      <c r="H1436" t="s">
        <v>7332</v>
      </c>
    </row>
    <row r="1437" spans="1:8" x14ac:dyDescent="0.3">
      <c r="A1437" t="s">
        <v>7333</v>
      </c>
      <c r="C1437" t="s">
        <v>5267</v>
      </c>
      <c r="D1437" t="s">
        <v>9641</v>
      </c>
      <c r="E1437">
        <v>0</v>
      </c>
      <c r="F1437">
        <v>1435</v>
      </c>
      <c r="H1437" t="s">
        <v>7333</v>
      </c>
    </row>
    <row r="1438" spans="1:8" x14ac:dyDescent="0.3">
      <c r="A1438" t="s">
        <v>7334</v>
      </c>
      <c r="C1438" t="s">
        <v>5267</v>
      </c>
      <c r="D1438" t="s">
        <v>9642</v>
      </c>
      <c r="E1438">
        <v>0</v>
      </c>
      <c r="F1438">
        <v>1436</v>
      </c>
      <c r="H1438" t="s">
        <v>7334</v>
      </c>
    </row>
    <row r="1439" spans="1:8" x14ac:dyDescent="0.3">
      <c r="A1439" t="s">
        <v>7335</v>
      </c>
      <c r="C1439" t="s">
        <v>5267</v>
      </c>
      <c r="D1439" t="s">
        <v>9643</v>
      </c>
      <c r="E1439">
        <v>0</v>
      </c>
      <c r="F1439">
        <v>1437</v>
      </c>
      <c r="H1439" t="s">
        <v>7335</v>
      </c>
    </row>
    <row r="1440" spans="1:8" x14ac:dyDescent="0.3">
      <c r="A1440" t="s">
        <v>7336</v>
      </c>
      <c r="C1440" t="s">
        <v>5267</v>
      </c>
      <c r="D1440" t="s">
        <v>9644</v>
      </c>
      <c r="E1440">
        <v>0</v>
      </c>
      <c r="F1440">
        <v>1438</v>
      </c>
      <c r="H1440" t="s">
        <v>7336</v>
      </c>
    </row>
    <row r="1441" spans="1:8" x14ac:dyDescent="0.3">
      <c r="A1441" t="s">
        <v>7337</v>
      </c>
      <c r="C1441" t="s">
        <v>5267</v>
      </c>
      <c r="D1441" t="s">
        <v>9645</v>
      </c>
      <c r="E1441">
        <v>0</v>
      </c>
      <c r="F1441">
        <v>1439</v>
      </c>
      <c r="H1441" t="s">
        <v>7337</v>
      </c>
    </row>
    <row r="1442" spans="1:8" x14ac:dyDescent="0.3">
      <c r="A1442" t="s">
        <v>7338</v>
      </c>
      <c r="C1442" t="s">
        <v>5267</v>
      </c>
      <c r="D1442" t="s">
        <v>9646</v>
      </c>
      <c r="E1442">
        <v>0</v>
      </c>
      <c r="F1442">
        <v>1440</v>
      </c>
      <c r="H1442" t="s">
        <v>7338</v>
      </c>
    </row>
    <row r="1443" spans="1:8" x14ac:dyDescent="0.3">
      <c r="A1443" t="s">
        <v>7339</v>
      </c>
      <c r="C1443" t="s">
        <v>5267</v>
      </c>
      <c r="D1443" t="s">
        <v>9647</v>
      </c>
      <c r="E1443">
        <v>0</v>
      </c>
      <c r="F1443">
        <v>1441</v>
      </c>
      <c r="H1443" t="s">
        <v>7339</v>
      </c>
    </row>
    <row r="1444" spans="1:8" x14ac:dyDescent="0.3">
      <c r="A1444" t="s">
        <v>7340</v>
      </c>
      <c r="C1444" t="s">
        <v>5267</v>
      </c>
      <c r="D1444" t="s">
        <v>9648</v>
      </c>
      <c r="E1444">
        <v>0</v>
      </c>
      <c r="F1444">
        <v>1442</v>
      </c>
      <c r="H1444" t="s">
        <v>7340</v>
      </c>
    </row>
    <row r="1445" spans="1:8" x14ac:dyDescent="0.3">
      <c r="A1445" t="s">
        <v>7341</v>
      </c>
      <c r="C1445" t="s">
        <v>5267</v>
      </c>
      <c r="D1445" t="s">
        <v>9649</v>
      </c>
      <c r="E1445">
        <v>0</v>
      </c>
      <c r="F1445">
        <v>1443</v>
      </c>
      <c r="H1445" t="s">
        <v>7341</v>
      </c>
    </row>
    <row r="1446" spans="1:8" x14ac:dyDescent="0.3">
      <c r="A1446" t="s">
        <v>7342</v>
      </c>
      <c r="C1446" t="s">
        <v>5267</v>
      </c>
      <c r="D1446" t="s">
        <v>9650</v>
      </c>
      <c r="E1446">
        <v>0</v>
      </c>
      <c r="F1446">
        <v>1444</v>
      </c>
      <c r="H1446" t="s">
        <v>7342</v>
      </c>
    </row>
    <row r="1447" spans="1:8" x14ac:dyDescent="0.3">
      <c r="A1447" t="s">
        <v>7343</v>
      </c>
      <c r="C1447" t="s">
        <v>5267</v>
      </c>
      <c r="D1447" t="s">
        <v>9651</v>
      </c>
      <c r="E1447">
        <v>0</v>
      </c>
      <c r="F1447">
        <v>1445</v>
      </c>
      <c r="H1447" t="s">
        <v>7343</v>
      </c>
    </row>
    <row r="1448" spans="1:8" x14ac:dyDescent="0.3">
      <c r="A1448" t="s">
        <v>7344</v>
      </c>
      <c r="C1448" t="s">
        <v>5267</v>
      </c>
      <c r="D1448" t="s">
        <v>9652</v>
      </c>
      <c r="E1448">
        <v>0</v>
      </c>
      <c r="F1448">
        <v>1446</v>
      </c>
      <c r="H1448" t="s">
        <v>7344</v>
      </c>
    </row>
    <row r="1449" spans="1:8" x14ac:dyDescent="0.3">
      <c r="A1449" t="s">
        <v>6405</v>
      </c>
      <c r="C1449" t="s">
        <v>5267</v>
      </c>
      <c r="D1449" t="s">
        <v>9653</v>
      </c>
      <c r="E1449">
        <v>0</v>
      </c>
      <c r="F1449">
        <v>1447</v>
      </c>
      <c r="H1449" t="s">
        <v>6405</v>
      </c>
    </row>
    <row r="1450" spans="1:8" x14ac:dyDescent="0.3">
      <c r="A1450" t="s">
        <v>6406</v>
      </c>
      <c r="C1450" t="s">
        <v>5267</v>
      </c>
      <c r="D1450" t="s">
        <v>9654</v>
      </c>
      <c r="E1450">
        <v>0</v>
      </c>
      <c r="F1450">
        <v>1448</v>
      </c>
      <c r="H1450" t="s">
        <v>6406</v>
      </c>
    </row>
    <row r="1451" spans="1:8" x14ac:dyDescent="0.3">
      <c r="A1451" t="s">
        <v>6407</v>
      </c>
      <c r="C1451" t="s">
        <v>5267</v>
      </c>
      <c r="D1451" t="s">
        <v>9655</v>
      </c>
      <c r="E1451">
        <v>0</v>
      </c>
      <c r="F1451">
        <v>1449</v>
      </c>
      <c r="H1451" t="s">
        <v>6407</v>
      </c>
    </row>
    <row r="1452" spans="1:8" x14ac:dyDescent="0.3">
      <c r="A1452" t="s">
        <v>7345</v>
      </c>
      <c r="C1452" t="s">
        <v>5267</v>
      </c>
      <c r="D1452" t="s">
        <v>9656</v>
      </c>
      <c r="E1452">
        <v>0</v>
      </c>
      <c r="F1452">
        <v>1450</v>
      </c>
      <c r="H1452" t="s">
        <v>7345</v>
      </c>
    </row>
    <row r="1453" spans="1:8" x14ac:dyDescent="0.3">
      <c r="A1453" t="s">
        <v>6454</v>
      </c>
      <c r="C1453" t="s">
        <v>5267</v>
      </c>
      <c r="D1453" t="s">
        <v>9657</v>
      </c>
      <c r="E1453">
        <v>0</v>
      </c>
      <c r="F1453">
        <v>1451</v>
      </c>
      <c r="H1453" t="s">
        <v>6454</v>
      </c>
    </row>
    <row r="1454" spans="1:8" x14ac:dyDescent="0.3">
      <c r="A1454" t="s">
        <v>6455</v>
      </c>
      <c r="C1454" t="s">
        <v>5267</v>
      </c>
      <c r="D1454" t="s">
        <v>9658</v>
      </c>
      <c r="E1454">
        <v>0</v>
      </c>
      <c r="F1454">
        <v>1452</v>
      </c>
      <c r="H1454" t="s">
        <v>6455</v>
      </c>
    </row>
    <row r="1455" spans="1:8" x14ac:dyDescent="0.3">
      <c r="A1455" t="s">
        <v>7346</v>
      </c>
      <c r="C1455" t="s">
        <v>5267</v>
      </c>
      <c r="D1455" t="s">
        <v>9659</v>
      </c>
      <c r="E1455">
        <v>0</v>
      </c>
      <c r="F1455">
        <v>1453</v>
      </c>
      <c r="H1455" t="s">
        <v>7346</v>
      </c>
    </row>
    <row r="1456" spans="1:8" x14ac:dyDescent="0.3">
      <c r="A1456" t="s">
        <v>7347</v>
      </c>
      <c r="C1456" t="s">
        <v>5267</v>
      </c>
      <c r="D1456" t="s">
        <v>9660</v>
      </c>
      <c r="E1456">
        <v>0</v>
      </c>
      <c r="F1456">
        <v>1454</v>
      </c>
      <c r="H1456" t="s">
        <v>7347</v>
      </c>
    </row>
    <row r="1457" spans="1:8" x14ac:dyDescent="0.3">
      <c r="A1457" t="s">
        <v>7348</v>
      </c>
      <c r="C1457" t="s">
        <v>5267</v>
      </c>
      <c r="D1457" t="s">
        <v>9661</v>
      </c>
      <c r="E1457">
        <v>0</v>
      </c>
      <c r="F1457">
        <v>1455</v>
      </c>
      <c r="H1457" t="s">
        <v>7348</v>
      </c>
    </row>
    <row r="1458" spans="1:8" x14ac:dyDescent="0.3">
      <c r="A1458" t="s">
        <v>7349</v>
      </c>
      <c r="C1458" t="s">
        <v>5267</v>
      </c>
      <c r="D1458" t="s">
        <v>9662</v>
      </c>
      <c r="E1458">
        <v>0</v>
      </c>
      <c r="F1458">
        <v>1456</v>
      </c>
      <c r="H1458" t="s">
        <v>7349</v>
      </c>
    </row>
    <row r="1459" spans="1:8" x14ac:dyDescent="0.3">
      <c r="A1459" t="s">
        <v>7350</v>
      </c>
      <c r="C1459" t="s">
        <v>5267</v>
      </c>
      <c r="D1459" t="s">
        <v>9663</v>
      </c>
      <c r="E1459">
        <v>0</v>
      </c>
      <c r="F1459">
        <v>1457</v>
      </c>
      <c r="H1459" t="s">
        <v>7350</v>
      </c>
    </row>
    <row r="1460" spans="1:8" x14ac:dyDescent="0.3">
      <c r="A1460" t="s">
        <v>7351</v>
      </c>
      <c r="C1460" t="s">
        <v>5267</v>
      </c>
      <c r="D1460" t="s">
        <v>9664</v>
      </c>
      <c r="E1460">
        <v>0</v>
      </c>
      <c r="F1460">
        <v>1458</v>
      </c>
      <c r="H1460" t="s">
        <v>7351</v>
      </c>
    </row>
    <row r="1461" spans="1:8" x14ac:dyDescent="0.3">
      <c r="A1461" t="s">
        <v>7352</v>
      </c>
      <c r="C1461" t="s">
        <v>5267</v>
      </c>
      <c r="D1461" t="s">
        <v>9665</v>
      </c>
      <c r="E1461">
        <v>0</v>
      </c>
      <c r="F1461">
        <v>1459</v>
      </c>
      <c r="H1461" t="s">
        <v>7352</v>
      </c>
    </row>
    <row r="1462" spans="1:8" x14ac:dyDescent="0.3">
      <c r="A1462" t="s">
        <v>7353</v>
      </c>
      <c r="C1462" t="s">
        <v>5267</v>
      </c>
      <c r="D1462" t="s">
        <v>9666</v>
      </c>
      <c r="E1462">
        <v>0</v>
      </c>
      <c r="F1462">
        <v>1460</v>
      </c>
      <c r="H1462" t="s">
        <v>7353</v>
      </c>
    </row>
    <row r="1463" spans="1:8" x14ac:dyDescent="0.3">
      <c r="A1463" t="s">
        <v>7354</v>
      </c>
      <c r="C1463" t="s">
        <v>5267</v>
      </c>
      <c r="D1463" t="s">
        <v>9667</v>
      </c>
      <c r="E1463">
        <v>0</v>
      </c>
      <c r="F1463">
        <v>1461</v>
      </c>
      <c r="H1463" t="s">
        <v>7354</v>
      </c>
    </row>
    <row r="1464" spans="1:8" x14ac:dyDescent="0.3">
      <c r="A1464" t="s">
        <v>7355</v>
      </c>
      <c r="C1464" t="s">
        <v>5267</v>
      </c>
      <c r="D1464" t="s">
        <v>9668</v>
      </c>
      <c r="E1464">
        <v>0</v>
      </c>
      <c r="F1464">
        <v>1462</v>
      </c>
      <c r="H1464" t="s">
        <v>7355</v>
      </c>
    </row>
    <row r="1465" spans="1:8" x14ac:dyDescent="0.3">
      <c r="A1465" t="s">
        <v>7356</v>
      </c>
      <c r="C1465" t="s">
        <v>5267</v>
      </c>
      <c r="D1465" t="s">
        <v>9669</v>
      </c>
      <c r="E1465">
        <v>0</v>
      </c>
      <c r="F1465">
        <v>1463</v>
      </c>
      <c r="H1465" t="s">
        <v>7356</v>
      </c>
    </row>
    <row r="1466" spans="1:8" x14ac:dyDescent="0.3">
      <c r="A1466" t="s">
        <v>7357</v>
      </c>
      <c r="C1466" t="s">
        <v>5267</v>
      </c>
      <c r="D1466" t="s">
        <v>9670</v>
      </c>
      <c r="E1466">
        <v>0</v>
      </c>
      <c r="F1466">
        <v>1464</v>
      </c>
      <c r="H1466" t="s">
        <v>7357</v>
      </c>
    </row>
    <row r="1467" spans="1:8" x14ac:dyDescent="0.3">
      <c r="A1467" t="s">
        <v>7358</v>
      </c>
      <c r="C1467" t="s">
        <v>5267</v>
      </c>
      <c r="D1467" t="s">
        <v>9671</v>
      </c>
      <c r="E1467">
        <v>0</v>
      </c>
      <c r="F1467">
        <v>1465</v>
      </c>
      <c r="H1467" t="s">
        <v>7358</v>
      </c>
    </row>
    <row r="1468" spans="1:8" x14ac:dyDescent="0.3">
      <c r="A1468" t="s">
        <v>7359</v>
      </c>
      <c r="C1468" t="s">
        <v>5267</v>
      </c>
      <c r="D1468" t="s">
        <v>9672</v>
      </c>
      <c r="E1468">
        <v>0</v>
      </c>
      <c r="F1468">
        <v>1466</v>
      </c>
      <c r="H1468" t="s">
        <v>7359</v>
      </c>
    </row>
    <row r="1469" spans="1:8" x14ac:dyDescent="0.3">
      <c r="A1469" t="s">
        <v>7360</v>
      </c>
      <c r="C1469" t="s">
        <v>5267</v>
      </c>
      <c r="D1469" t="s">
        <v>9673</v>
      </c>
      <c r="E1469">
        <v>0</v>
      </c>
      <c r="F1469">
        <v>1467</v>
      </c>
      <c r="H1469" t="s">
        <v>7360</v>
      </c>
    </row>
    <row r="1470" spans="1:8" x14ac:dyDescent="0.3">
      <c r="A1470" t="s">
        <v>7361</v>
      </c>
      <c r="C1470" t="s">
        <v>5267</v>
      </c>
      <c r="D1470" t="s">
        <v>9674</v>
      </c>
      <c r="E1470">
        <v>0</v>
      </c>
      <c r="F1470">
        <v>1468</v>
      </c>
      <c r="H1470" t="s">
        <v>7361</v>
      </c>
    </row>
    <row r="1471" spans="1:8" x14ac:dyDescent="0.3">
      <c r="A1471" t="s">
        <v>7362</v>
      </c>
      <c r="C1471" t="s">
        <v>5267</v>
      </c>
      <c r="D1471" t="s">
        <v>9675</v>
      </c>
      <c r="E1471">
        <v>0</v>
      </c>
      <c r="F1471">
        <v>1469</v>
      </c>
      <c r="H1471" t="s">
        <v>7362</v>
      </c>
    </row>
    <row r="1472" spans="1:8" x14ac:dyDescent="0.3">
      <c r="A1472" t="s">
        <v>7363</v>
      </c>
      <c r="C1472" t="s">
        <v>5267</v>
      </c>
      <c r="D1472" t="s">
        <v>9676</v>
      </c>
      <c r="E1472">
        <v>0</v>
      </c>
      <c r="F1472">
        <v>1470</v>
      </c>
      <c r="H1472" t="s">
        <v>7363</v>
      </c>
    </row>
    <row r="1473" spans="1:8" x14ac:dyDescent="0.3">
      <c r="A1473" t="s">
        <v>7364</v>
      </c>
      <c r="C1473" t="s">
        <v>5267</v>
      </c>
      <c r="D1473" t="s">
        <v>9677</v>
      </c>
      <c r="E1473">
        <v>0</v>
      </c>
      <c r="F1473">
        <v>1471</v>
      </c>
      <c r="H1473" t="s">
        <v>7364</v>
      </c>
    </row>
    <row r="1474" spans="1:8" x14ac:dyDescent="0.3">
      <c r="A1474" t="s">
        <v>7365</v>
      </c>
      <c r="C1474" t="s">
        <v>5267</v>
      </c>
      <c r="D1474" t="s">
        <v>9678</v>
      </c>
      <c r="E1474">
        <v>0</v>
      </c>
      <c r="F1474">
        <v>1472</v>
      </c>
      <c r="H1474" t="s">
        <v>7365</v>
      </c>
    </row>
    <row r="1475" spans="1:8" x14ac:dyDescent="0.3">
      <c r="A1475" t="s">
        <v>7366</v>
      </c>
      <c r="C1475" t="s">
        <v>5267</v>
      </c>
      <c r="D1475" t="s">
        <v>9679</v>
      </c>
      <c r="E1475">
        <v>0</v>
      </c>
      <c r="F1475">
        <v>1473</v>
      </c>
      <c r="H1475" t="s">
        <v>7366</v>
      </c>
    </row>
    <row r="1476" spans="1:8" x14ac:dyDescent="0.3">
      <c r="A1476" t="s">
        <v>7367</v>
      </c>
      <c r="C1476" t="s">
        <v>5267</v>
      </c>
      <c r="D1476" t="s">
        <v>9680</v>
      </c>
      <c r="E1476">
        <v>0</v>
      </c>
      <c r="F1476">
        <v>1474</v>
      </c>
      <c r="H1476" t="s">
        <v>7367</v>
      </c>
    </row>
    <row r="1477" spans="1:8" x14ac:dyDescent="0.3">
      <c r="A1477" t="s">
        <v>7368</v>
      </c>
      <c r="C1477" t="s">
        <v>5267</v>
      </c>
      <c r="D1477" t="s">
        <v>9681</v>
      </c>
      <c r="E1477">
        <v>0</v>
      </c>
      <c r="F1477">
        <v>1475</v>
      </c>
      <c r="H1477" t="s">
        <v>7368</v>
      </c>
    </row>
    <row r="1478" spans="1:8" x14ac:dyDescent="0.3">
      <c r="A1478" t="s">
        <v>7369</v>
      </c>
      <c r="C1478" t="s">
        <v>5267</v>
      </c>
      <c r="D1478" t="s">
        <v>9682</v>
      </c>
      <c r="E1478">
        <v>0</v>
      </c>
      <c r="F1478">
        <v>1476</v>
      </c>
      <c r="H1478" t="s">
        <v>7369</v>
      </c>
    </row>
    <row r="1479" spans="1:8" x14ac:dyDescent="0.3">
      <c r="A1479" t="s">
        <v>7370</v>
      </c>
      <c r="C1479" t="s">
        <v>5267</v>
      </c>
      <c r="D1479" t="s">
        <v>9683</v>
      </c>
      <c r="E1479">
        <v>0</v>
      </c>
      <c r="F1479">
        <v>1477</v>
      </c>
      <c r="H1479" t="s">
        <v>7370</v>
      </c>
    </row>
    <row r="1480" spans="1:8" x14ac:dyDescent="0.3">
      <c r="A1480" t="s">
        <v>7371</v>
      </c>
      <c r="C1480" t="s">
        <v>5267</v>
      </c>
      <c r="D1480" t="s">
        <v>9684</v>
      </c>
      <c r="E1480">
        <v>0</v>
      </c>
      <c r="F1480">
        <v>1478</v>
      </c>
      <c r="H1480" t="s">
        <v>7371</v>
      </c>
    </row>
    <row r="1481" spans="1:8" x14ac:dyDescent="0.3">
      <c r="A1481" t="s">
        <v>7372</v>
      </c>
      <c r="C1481" t="s">
        <v>5267</v>
      </c>
      <c r="D1481" t="s">
        <v>9685</v>
      </c>
      <c r="E1481">
        <v>0</v>
      </c>
      <c r="F1481">
        <v>1479</v>
      </c>
      <c r="H1481" t="s">
        <v>7372</v>
      </c>
    </row>
    <row r="1482" spans="1:8" x14ac:dyDescent="0.3">
      <c r="A1482" t="s">
        <v>7373</v>
      </c>
      <c r="C1482" t="s">
        <v>5267</v>
      </c>
      <c r="D1482" t="s">
        <v>9686</v>
      </c>
      <c r="E1482">
        <v>0</v>
      </c>
      <c r="F1482">
        <v>1480</v>
      </c>
      <c r="H1482" t="s">
        <v>7373</v>
      </c>
    </row>
    <row r="1483" spans="1:8" x14ac:dyDescent="0.3">
      <c r="A1483" t="s">
        <v>7374</v>
      </c>
      <c r="C1483" t="s">
        <v>5267</v>
      </c>
      <c r="D1483" t="s">
        <v>9687</v>
      </c>
      <c r="E1483">
        <v>0</v>
      </c>
      <c r="F1483">
        <v>1481</v>
      </c>
      <c r="H1483" t="s">
        <v>7374</v>
      </c>
    </row>
    <row r="1484" spans="1:8" x14ac:dyDescent="0.3">
      <c r="A1484" t="s">
        <v>7375</v>
      </c>
      <c r="C1484" t="s">
        <v>5267</v>
      </c>
      <c r="D1484" t="s">
        <v>9688</v>
      </c>
      <c r="E1484">
        <v>0</v>
      </c>
      <c r="F1484">
        <v>1482</v>
      </c>
      <c r="H1484" t="s">
        <v>7375</v>
      </c>
    </row>
    <row r="1485" spans="1:8" x14ac:dyDescent="0.3">
      <c r="A1485" t="s">
        <v>7376</v>
      </c>
      <c r="C1485" t="s">
        <v>5267</v>
      </c>
      <c r="D1485" t="s">
        <v>9689</v>
      </c>
      <c r="E1485">
        <v>0</v>
      </c>
      <c r="F1485">
        <v>1483</v>
      </c>
      <c r="H1485" t="s">
        <v>7376</v>
      </c>
    </row>
    <row r="1486" spans="1:8" x14ac:dyDescent="0.3">
      <c r="A1486" t="s">
        <v>7377</v>
      </c>
      <c r="C1486" t="s">
        <v>5267</v>
      </c>
      <c r="D1486" t="s">
        <v>9690</v>
      </c>
      <c r="E1486">
        <v>0</v>
      </c>
      <c r="F1486">
        <v>1484</v>
      </c>
      <c r="H1486" t="s">
        <v>7377</v>
      </c>
    </row>
    <row r="1487" spans="1:8" x14ac:dyDescent="0.3">
      <c r="A1487" t="s">
        <v>7378</v>
      </c>
      <c r="C1487" t="s">
        <v>5267</v>
      </c>
      <c r="D1487" t="s">
        <v>9691</v>
      </c>
      <c r="E1487">
        <v>0</v>
      </c>
      <c r="F1487">
        <v>1485</v>
      </c>
      <c r="H1487" t="s">
        <v>7378</v>
      </c>
    </row>
    <row r="1488" spans="1:8" x14ac:dyDescent="0.3">
      <c r="A1488" t="s">
        <v>7379</v>
      </c>
      <c r="C1488" t="s">
        <v>5267</v>
      </c>
      <c r="D1488" t="s">
        <v>9692</v>
      </c>
      <c r="E1488">
        <v>0</v>
      </c>
      <c r="F1488">
        <v>1486</v>
      </c>
      <c r="H1488" t="s">
        <v>7379</v>
      </c>
    </row>
    <row r="1489" spans="1:8" x14ac:dyDescent="0.3">
      <c r="A1489" t="s">
        <v>7380</v>
      </c>
      <c r="C1489" t="s">
        <v>5267</v>
      </c>
      <c r="D1489" t="s">
        <v>9693</v>
      </c>
      <c r="E1489">
        <v>0</v>
      </c>
      <c r="F1489">
        <v>1487</v>
      </c>
      <c r="H1489" t="s">
        <v>7380</v>
      </c>
    </row>
    <row r="1490" spans="1:8" x14ac:dyDescent="0.3">
      <c r="A1490" t="s">
        <v>7381</v>
      </c>
      <c r="C1490" t="s">
        <v>5267</v>
      </c>
      <c r="D1490" t="s">
        <v>9694</v>
      </c>
      <c r="E1490">
        <v>0</v>
      </c>
      <c r="F1490">
        <v>1488</v>
      </c>
      <c r="H1490" t="s">
        <v>7381</v>
      </c>
    </row>
    <row r="1491" spans="1:8" x14ac:dyDescent="0.3">
      <c r="A1491" t="s">
        <v>7382</v>
      </c>
      <c r="C1491" t="s">
        <v>5267</v>
      </c>
      <c r="D1491" t="s">
        <v>9695</v>
      </c>
      <c r="E1491">
        <v>0</v>
      </c>
      <c r="F1491">
        <v>1489</v>
      </c>
      <c r="H1491" t="s">
        <v>7382</v>
      </c>
    </row>
    <row r="1492" spans="1:8" x14ac:dyDescent="0.3">
      <c r="A1492" t="s">
        <v>7383</v>
      </c>
      <c r="C1492" t="s">
        <v>5267</v>
      </c>
      <c r="D1492" t="s">
        <v>9696</v>
      </c>
      <c r="E1492">
        <v>0</v>
      </c>
      <c r="F1492">
        <v>1490</v>
      </c>
      <c r="H1492" t="s">
        <v>7383</v>
      </c>
    </row>
    <row r="1493" spans="1:8" x14ac:dyDescent="0.3">
      <c r="A1493" t="s">
        <v>7384</v>
      </c>
      <c r="C1493" t="s">
        <v>5267</v>
      </c>
      <c r="D1493" t="s">
        <v>9697</v>
      </c>
      <c r="E1493">
        <v>0</v>
      </c>
      <c r="F1493">
        <v>1491</v>
      </c>
      <c r="H1493" t="s">
        <v>7384</v>
      </c>
    </row>
    <row r="1494" spans="1:8" x14ac:dyDescent="0.3">
      <c r="A1494" t="s">
        <v>7385</v>
      </c>
      <c r="C1494" t="s">
        <v>5267</v>
      </c>
      <c r="D1494" t="s">
        <v>9698</v>
      </c>
      <c r="E1494">
        <v>0</v>
      </c>
      <c r="F1494">
        <v>1492</v>
      </c>
      <c r="H1494" t="s">
        <v>7385</v>
      </c>
    </row>
    <row r="1495" spans="1:8" x14ac:dyDescent="0.3">
      <c r="A1495" t="s">
        <v>7386</v>
      </c>
      <c r="C1495" t="s">
        <v>5267</v>
      </c>
      <c r="D1495" t="s">
        <v>9699</v>
      </c>
      <c r="E1495">
        <v>0</v>
      </c>
      <c r="F1495">
        <v>1493</v>
      </c>
      <c r="H1495" t="s">
        <v>7386</v>
      </c>
    </row>
    <row r="1496" spans="1:8" x14ac:dyDescent="0.3">
      <c r="A1496" t="s">
        <v>7387</v>
      </c>
      <c r="C1496" t="s">
        <v>5267</v>
      </c>
      <c r="D1496" t="s">
        <v>9700</v>
      </c>
      <c r="E1496">
        <v>0</v>
      </c>
      <c r="F1496">
        <v>1494</v>
      </c>
      <c r="H1496" t="s">
        <v>7387</v>
      </c>
    </row>
    <row r="1497" spans="1:8" x14ac:dyDescent="0.3">
      <c r="A1497" t="s">
        <v>7388</v>
      </c>
      <c r="C1497" t="s">
        <v>5267</v>
      </c>
      <c r="D1497" t="s">
        <v>9701</v>
      </c>
      <c r="E1497">
        <v>0</v>
      </c>
      <c r="F1497">
        <v>1495</v>
      </c>
      <c r="H1497" t="s">
        <v>7388</v>
      </c>
    </row>
    <row r="1498" spans="1:8" x14ac:dyDescent="0.3">
      <c r="A1498" t="s">
        <v>7389</v>
      </c>
      <c r="C1498" t="s">
        <v>5267</v>
      </c>
      <c r="D1498" t="s">
        <v>9702</v>
      </c>
      <c r="E1498">
        <v>0</v>
      </c>
      <c r="F1498">
        <v>1496</v>
      </c>
      <c r="H1498" t="s">
        <v>7389</v>
      </c>
    </row>
    <row r="1499" spans="1:8" x14ac:dyDescent="0.3">
      <c r="A1499" t="s">
        <v>7390</v>
      </c>
      <c r="C1499" t="s">
        <v>5267</v>
      </c>
      <c r="D1499" t="s">
        <v>9703</v>
      </c>
      <c r="E1499">
        <v>0</v>
      </c>
      <c r="F1499">
        <v>1497</v>
      </c>
      <c r="H1499" t="s">
        <v>7390</v>
      </c>
    </row>
    <row r="1500" spans="1:8" x14ac:dyDescent="0.3">
      <c r="A1500" t="s">
        <v>7391</v>
      </c>
      <c r="C1500" t="s">
        <v>5267</v>
      </c>
      <c r="D1500" t="s">
        <v>9704</v>
      </c>
      <c r="E1500">
        <v>0</v>
      </c>
      <c r="F1500">
        <v>1498</v>
      </c>
      <c r="H1500" t="s">
        <v>7391</v>
      </c>
    </row>
    <row r="1501" spans="1:8" x14ac:dyDescent="0.3">
      <c r="A1501" t="s">
        <v>7392</v>
      </c>
      <c r="C1501" t="s">
        <v>5267</v>
      </c>
      <c r="D1501" t="s">
        <v>9705</v>
      </c>
      <c r="E1501">
        <v>0</v>
      </c>
      <c r="F1501">
        <v>1499</v>
      </c>
      <c r="H1501" t="s">
        <v>7392</v>
      </c>
    </row>
    <row r="1502" spans="1:8" x14ac:dyDescent="0.3">
      <c r="A1502" t="s">
        <v>7393</v>
      </c>
      <c r="C1502" t="s">
        <v>5267</v>
      </c>
      <c r="D1502" t="s">
        <v>9706</v>
      </c>
      <c r="E1502">
        <v>0</v>
      </c>
      <c r="F1502">
        <v>1500</v>
      </c>
      <c r="H1502" t="s">
        <v>7393</v>
      </c>
    </row>
    <row r="1503" spans="1:8" x14ac:dyDescent="0.3">
      <c r="A1503" t="s">
        <v>7394</v>
      </c>
      <c r="C1503" t="s">
        <v>5267</v>
      </c>
      <c r="D1503" t="s">
        <v>9707</v>
      </c>
      <c r="E1503">
        <v>0</v>
      </c>
      <c r="F1503">
        <v>1501</v>
      </c>
      <c r="H1503" t="s">
        <v>7394</v>
      </c>
    </row>
    <row r="1504" spans="1:8" x14ac:dyDescent="0.3">
      <c r="A1504" t="s">
        <v>7395</v>
      </c>
      <c r="C1504" t="s">
        <v>5267</v>
      </c>
      <c r="D1504" t="s">
        <v>9708</v>
      </c>
      <c r="E1504">
        <v>0</v>
      </c>
      <c r="F1504">
        <v>1502</v>
      </c>
      <c r="H1504" t="s">
        <v>7395</v>
      </c>
    </row>
    <row r="1505" spans="1:8" x14ac:dyDescent="0.3">
      <c r="A1505" t="s">
        <v>7396</v>
      </c>
      <c r="C1505" t="s">
        <v>5267</v>
      </c>
      <c r="D1505" t="s">
        <v>9709</v>
      </c>
      <c r="E1505">
        <v>0</v>
      </c>
      <c r="F1505">
        <v>1503</v>
      </c>
      <c r="H1505" t="s">
        <v>7396</v>
      </c>
    </row>
    <row r="1506" spans="1:8" x14ac:dyDescent="0.3">
      <c r="A1506" t="s">
        <v>7397</v>
      </c>
      <c r="C1506" t="s">
        <v>5267</v>
      </c>
      <c r="D1506" t="s">
        <v>9710</v>
      </c>
      <c r="E1506">
        <v>0</v>
      </c>
      <c r="F1506">
        <v>1504</v>
      </c>
      <c r="H1506" t="s">
        <v>7397</v>
      </c>
    </row>
    <row r="1507" spans="1:8" x14ac:dyDescent="0.3">
      <c r="A1507" t="s">
        <v>7398</v>
      </c>
      <c r="C1507" t="s">
        <v>5267</v>
      </c>
      <c r="D1507" t="s">
        <v>9711</v>
      </c>
      <c r="E1507">
        <v>0</v>
      </c>
      <c r="F1507">
        <v>1505</v>
      </c>
      <c r="H1507" t="s">
        <v>7398</v>
      </c>
    </row>
    <row r="1508" spans="1:8" x14ac:dyDescent="0.3">
      <c r="A1508" t="s">
        <v>7399</v>
      </c>
      <c r="C1508" t="s">
        <v>5267</v>
      </c>
      <c r="D1508" t="s">
        <v>9712</v>
      </c>
      <c r="E1508">
        <v>0</v>
      </c>
      <c r="F1508">
        <v>1506</v>
      </c>
      <c r="H1508" t="s">
        <v>7399</v>
      </c>
    </row>
    <row r="1509" spans="1:8" x14ac:dyDescent="0.3">
      <c r="A1509" t="s">
        <v>7400</v>
      </c>
      <c r="C1509" t="s">
        <v>5267</v>
      </c>
      <c r="D1509" t="s">
        <v>9713</v>
      </c>
      <c r="E1509">
        <v>0</v>
      </c>
      <c r="F1509">
        <v>1507</v>
      </c>
      <c r="H1509" t="s">
        <v>7400</v>
      </c>
    </row>
    <row r="1510" spans="1:8" x14ac:dyDescent="0.3">
      <c r="A1510" t="s">
        <v>7401</v>
      </c>
      <c r="C1510" t="s">
        <v>5267</v>
      </c>
      <c r="D1510" t="s">
        <v>9714</v>
      </c>
      <c r="E1510">
        <v>0</v>
      </c>
      <c r="F1510">
        <v>1508</v>
      </c>
      <c r="H1510" t="s">
        <v>7401</v>
      </c>
    </row>
    <row r="1511" spans="1:8" x14ac:dyDescent="0.3">
      <c r="A1511" t="s">
        <v>7402</v>
      </c>
      <c r="C1511" t="s">
        <v>5267</v>
      </c>
      <c r="D1511" t="s">
        <v>9715</v>
      </c>
      <c r="E1511">
        <v>0</v>
      </c>
      <c r="F1511">
        <v>1509</v>
      </c>
      <c r="H1511" t="s">
        <v>7402</v>
      </c>
    </row>
    <row r="1512" spans="1:8" x14ac:dyDescent="0.3">
      <c r="A1512" t="s">
        <v>7403</v>
      </c>
      <c r="C1512" t="s">
        <v>5267</v>
      </c>
      <c r="D1512" t="s">
        <v>9716</v>
      </c>
      <c r="E1512">
        <v>0</v>
      </c>
      <c r="F1512">
        <v>1510</v>
      </c>
      <c r="H1512" t="s">
        <v>7403</v>
      </c>
    </row>
    <row r="1513" spans="1:8" x14ac:dyDescent="0.3">
      <c r="A1513" t="s">
        <v>7404</v>
      </c>
      <c r="C1513" t="s">
        <v>5267</v>
      </c>
      <c r="D1513" t="s">
        <v>9717</v>
      </c>
      <c r="E1513">
        <v>0</v>
      </c>
      <c r="F1513">
        <v>1511</v>
      </c>
      <c r="H1513" t="s">
        <v>7404</v>
      </c>
    </row>
    <row r="1514" spans="1:8" x14ac:dyDescent="0.3">
      <c r="A1514" t="s">
        <v>7405</v>
      </c>
      <c r="C1514" t="s">
        <v>5267</v>
      </c>
      <c r="D1514" t="s">
        <v>9718</v>
      </c>
      <c r="E1514">
        <v>0</v>
      </c>
      <c r="F1514">
        <v>1512</v>
      </c>
      <c r="H1514" t="s">
        <v>7405</v>
      </c>
    </row>
    <row r="1515" spans="1:8" x14ac:dyDescent="0.3">
      <c r="A1515" t="s">
        <v>7406</v>
      </c>
      <c r="C1515" t="s">
        <v>5267</v>
      </c>
      <c r="D1515" t="s">
        <v>9719</v>
      </c>
      <c r="E1515">
        <v>0</v>
      </c>
      <c r="F1515">
        <v>1513</v>
      </c>
      <c r="H1515" t="s">
        <v>7406</v>
      </c>
    </row>
    <row r="1516" spans="1:8" x14ac:dyDescent="0.3">
      <c r="A1516" t="s">
        <v>7407</v>
      </c>
      <c r="C1516" t="s">
        <v>5267</v>
      </c>
      <c r="D1516" t="s">
        <v>9720</v>
      </c>
      <c r="E1516">
        <v>0</v>
      </c>
      <c r="F1516">
        <v>1514</v>
      </c>
      <c r="H1516" t="s">
        <v>7407</v>
      </c>
    </row>
    <row r="1517" spans="1:8" x14ac:dyDescent="0.3">
      <c r="A1517" t="s">
        <v>7408</v>
      </c>
      <c r="C1517" t="s">
        <v>5267</v>
      </c>
      <c r="D1517" t="s">
        <v>9721</v>
      </c>
      <c r="E1517">
        <v>0</v>
      </c>
      <c r="F1517">
        <v>1515</v>
      </c>
      <c r="H1517" t="s">
        <v>7408</v>
      </c>
    </row>
    <row r="1518" spans="1:8" x14ac:dyDescent="0.3">
      <c r="A1518" t="s">
        <v>7409</v>
      </c>
      <c r="C1518" t="s">
        <v>5267</v>
      </c>
      <c r="D1518" t="s">
        <v>9722</v>
      </c>
      <c r="E1518">
        <v>0</v>
      </c>
      <c r="F1518">
        <v>1516</v>
      </c>
      <c r="H1518" t="s">
        <v>7409</v>
      </c>
    </row>
    <row r="1519" spans="1:8" x14ac:dyDescent="0.3">
      <c r="A1519" t="s">
        <v>7410</v>
      </c>
      <c r="C1519" t="s">
        <v>5267</v>
      </c>
      <c r="D1519" t="s">
        <v>9723</v>
      </c>
      <c r="E1519">
        <v>0</v>
      </c>
      <c r="F1519">
        <v>1517</v>
      </c>
      <c r="H1519" t="s">
        <v>7410</v>
      </c>
    </row>
    <row r="1520" spans="1:8" x14ac:dyDescent="0.3">
      <c r="A1520" t="s">
        <v>7411</v>
      </c>
      <c r="C1520" t="s">
        <v>5267</v>
      </c>
      <c r="D1520" t="s">
        <v>9724</v>
      </c>
      <c r="E1520">
        <v>0</v>
      </c>
      <c r="F1520">
        <v>1518</v>
      </c>
      <c r="H1520" t="s">
        <v>7411</v>
      </c>
    </row>
    <row r="1521" spans="1:8" x14ac:dyDescent="0.3">
      <c r="A1521" t="s">
        <v>7412</v>
      </c>
      <c r="C1521" t="s">
        <v>5267</v>
      </c>
      <c r="D1521" t="s">
        <v>9725</v>
      </c>
      <c r="E1521">
        <v>0</v>
      </c>
      <c r="F1521">
        <v>1519</v>
      </c>
      <c r="H1521" t="s">
        <v>7412</v>
      </c>
    </row>
    <row r="1522" spans="1:8" x14ac:dyDescent="0.3">
      <c r="A1522" t="s">
        <v>7413</v>
      </c>
      <c r="C1522" t="s">
        <v>5267</v>
      </c>
      <c r="D1522" t="s">
        <v>9726</v>
      </c>
      <c r="E1522">
        <v>0</v>
      </c>
      <c r="F1522">
        <v>1520</v>
      </c>
      <c r="H1522" t="s">
        <v>7413</v>
      </c>
    </row>
    <row r="1523" spans="1:8" x14ac:dyDescent="0.3">
      <c r="A1523" t="s">
        <v>7414</v>
      </c>
      <c r="C1523" t="s">
        <v>5267</v>
      </c>
      <c r="D1523" t="s">
        <v>9727</v>
      </c>
      <c r="E1523">
        <v>0</v>
      </c>
      <c r="F1523">
        <v>1521</v>
      </c>
      <c r="H1523" t="s">
        <v>7414</v>
      </c>
    </row>
    <row r="1524" spans="1:8" x14ac:dyDescent="0.3">
      <c r="A1524" t="s">
        <v>7415</v>
      </c>
      <c r="C1524" t="s">
        <v>5267</v>
      </c>
      <c r="D1524" t="s">
        <v>9728</v>
      </c>
      <c r="E1524">
        <v>0</v>
      </c>
      <c r="F1524">
        <v>1522</v>
      </c>
      <c r="H1524" t="s">
        <v>7415</v>
      </c>
    </row>
    <row r="1525" spans="1:8" x14ac:dyDescent="0.3">
      <c r="A1525" t="s">
        <v>7416</v>
      </c>
      <c r="C1525" t="s">
        <v>5267</v>
      </c>
      <c r="D1525" t="s">
        <v>9729</v>
      </c>
      <c r="E1525">
        <v>0</v>
      </c>
      <c r="F1525">
        <v>1523</v>
      </c>
      <c r="H1525" t="s">
        <v>7416</v>
      </c>
    </row>
    <row r="1526" spans="1:8" x14ac:dyDescent="0.3">
      <c r="A1526" t="s">
        <v>7417</v>
      </c>
      <c r="C1526" t="s">
        <v>5267</v>
      </c>
      <c r="D1526" t="s">
        <v>9730</v>
      </c>
      <c r="E1526">
        <v>0</v>
      </c>
      <c r="F1526">
        <v>1524</v>
      </c>
      <c r="H1526" t="s">
        <v>7417</v>
      </c>
    </row>
    <row r="1527" spans="1:8" x14ac:dyDescent="0.3">
      <c r="A1527" t="s">
        <v>7418</v>
      </c>
      <c r="C1527" t="s">
        <v>5267</v>
      </c>
      <c r="D1527" t="s">
        <v>9731</v>
      </c>
      <c r="E1527">
        <v>0</v>
      </c>
      <c r="F1527">
        <v>1525</v>
      </c>
      <c r="H1527" t="s">
        <v>7418</v>
      </c>
    </row>
    <row r="1528" spans="1:8" x14ac:dyDescent="0.3">
      <c r="A1528" t="s">
        <v>7419</v>
      </c>
      <c r="C1528" t="s">
        <v>5267</v>
      </c>
      <c r="D1528" t="s">
        <v>9732</v>
      </c>
      <c r="E1528">
        <v>0</v>
      </c>
      <c r="F1528">
        <v>1526</v>
      </c>
      <c r="H1528" t="s">
        <v>7419</v>
      </c>
    </row>
    <row r="1529" spans="1:8" x14ac:dyDescent="0.3">
      <c r="A1529" t="s">
        <v>7420</v>
      </c>
      <c r="C1529" t="s">
        <v>5267</v>
      </c>
      <c r="D1529" t="s">
        <v>9733</v>
      </c>
      <c r="E1529">
        <v>0</v>
      </c>
      <c r="F1529">
        <v>1527</v>
      </c>
      <c r="H1529" t="s">
        <v>7420</v>
      </c>
    </row>
    <row r="1530" spans="1:8" x14ac:dyDescent="0.3">
      <c r="A1530" t="s">
        <v>7421</v>
      </c>
      <c r="C1530" t="s">
        <v>5267</v>
      </c>
      <c r="D1530" t="s">
        <v>9734</v>
      </c>
      <c r="E1530">
        <v>0</v>
      </c>
      <c r="F1530">
        <v>1528</v>
      </c>
      <c r="H1530" t="s">
        <v>7421</v>
      </c>
    </row>
    <row r="1531" spans="1:8" x14ac:dyDescent="0.3">
      <c r="A1531" t="s">
        <v>7422</v>
      </c>
      <c r="C1531" t="s">
        <v>5267</v>
      </c>
      <c r="D1531" t="s">
        <v>9735</v>
      </c>
      <c r="E1531">
        <v>0</v>
      </c>
      <c r="F1531">
        <v>1529</v>
      </c>
      <c r="H1531" t="s">
        <v>7422</v>
      </c>
    </row>
    <row r="1532" spans="1:8" x14ac:dyDescent="0.3">
      <c r="A1532" t="s">
        <v>7423</v>
      </c>
      <c r="C1532" t="s">
        <v>5267</v>
      </c>
      <c r="D1532" t="s">
        <v>9736</v>
      </c>
      <c r="E1532">
        <v>0</v>
      </c>
      <c r="F1532">
        <v>1530</v>
      </c>
      <c r="H1532" t="s">
        <v>7423</v>
      </c>
    </row>
    <row r="1533" spans="1:8" x14ac:dyDescent="0.3">
      <c r="A1533" t="s">
        <v>7424</v>
      </c>
      <c r="C1533" t="s">
        <v>5267</v>
      </c>
      <c r="D1533" t="s">
        <v>9737</v>
      </c>
      <c r="E1533">
        <v>0</v>
      </c>
      <c r="F1533">
        <v>1531</v>
      </c>
      <c r="H1533" t="s">
        <v>7424</v>
      </c>
    </row>
    <row r="1534" spans="1:8" x14ac:dyDescent="0.3">
      <c r="A1534" t="s">
        <v>7425</v>
      </c>
      <c r="C1534" t="s">
        <v>5267</v>
      </c>
      <c r="D1534" t="s">
        <v>9738</v>
      </c>
      <c r="E1534">
        <v>0</v>
      </c>
      <c r="F1534">
        <v>1532</v>
      </c>
      <c r="H1534" t="s">
        <v>7425</v>
      </c>
    </row>
    <row r="1535" spans="1:8" x14ac:dyDescent="0.3">
      <c r="A1535" t="s">
        <v>7426</v>
      </c>
      <c r="C1535" t="s">
        <v>5267</v>
      </c>
      <c r="D1535" t="s">
        <v>9739</v>
      </c>
      <c r="E1535">
        <v>0</v>
      </c>
      <c r="F1535">
        <v>1533</v>
      </c>
      <c r="H1535" t="s">
        <v>7426</v>
      </c>
    </row>
    <row r="1536" spans="1:8" x14ac:dyDescent="0.3">
      <c r="A1536" t="s">
        <v>7427</v>
      </c>
      <c r="C1536" t="s">
        <v>5267</v>
      </c>
      <c r="D1536" t="s">
        <v>9740</v>
      </c>
      <c r="E1536">
        <v>0</v>
      </c>
      <c r="F1536">
        <v>1534</v>
      </c>
      <c r="H1536" t="s">
        <v>7427</v>
      </c>
    </row>
    <row r="1537" spans="1:8" x14ac:dyDescent="0.3">
      <c r="A1537" t="s">
        <v>7428</v>
      </c>
      <c r="C1537" t="s">
        <v>5267</v>
      </c>
      <c r="D1537" t="s">
        <v>9741</v>
      </c>
      <c r="E1537">
        <v>0</v>
      </c>
      <c r="F1537">
        <v>1535</v>
      </c>
      <c r="H1537" t="s">
        <v>7428</v>
      </c>
    </row>
    <row r="1538" spans="1:8" x14ac:dyDescent="0.3">
      <c r="A1538" t="s">
        <v>7429</v>
      </c>
      <c r="C1538" t="s">
        <v>5267</v>
      </c>
      <c r="D1538" t="s">
        <v>9742</v>
      </c>
      <c r="E1538">
        <v>0</v>
      </c>
      <c r="F1538">
        <v>1536</v>
      </c>
      <c r="H1538" t="s">
        <v>7429</v>
      </c>
    </row>
    <row r="1539" spans="1:8" x14ac:dyDescent="0.3">
      <c r="A1539" t="s">
        <v>7430</v>
      </c>
      <c r="C1539" t="s">
        <v>5267</v>
      </c>
      <c r="D1539" t="s">
        <v>9743</v>
      </c>
      <c r="E1539">
        <v>0</v>
      </c>
      <c r="F1539">
        <v>1537</v>
      </c>
      <c r="H1539" t="s">
        <v>7430</v>
      </c>
    </row>
    <row r="1540" spans="1:8" x14ac:dyDescent="0.3">
      <c r="A1540" t="s">
        <v>7431</v>
      </c>
      <c r="C1540" t="s">
        <v>5267</v>
      </c>
      <c r="D1540" t="s">
        <v>9744</v>
      </c>
      <c r="E1540">
        <v>0</v>
      </c>
      <c r="F1540">
        <v>1538</v>
      </c>
      <c r="H1540" t="s">
        <v>7431</v>
      </c>
    </row>
    <row r="1541" spans="1:8" x14ac:dyDescent="0.3">
      <c r="A1541" t="s">
        <v>7432</v>
      </c>
      <c r="C1541" t="s">
        <v>5267</v>
      </c>
      <c r="D1541" t="s">
        <v>9745</v>
      </c>
      <c r="E1541">
        <v>0</v>
      </c>
      <c r="F1541">
        <v>1539</v>
      </c>
      <c r="H1541" t="s">
        <v>7432</v>
      </c>
    </row>
    <row r="1542" spans="1:8" x14ac:dyDescent="0.3">
      <c r="A1542" t="s">
        <v>7433</v>
      </c>
      <c r="C1542" t="s">
        <v>5267</v>
      </c>
      <c r="D1542" t="s">
        <v>9746</v>
      </c>
      <c r="E1542">
        <v>0</v>
      </c>
      <c r="F1542">
        <v>1540</v>
      </c>
      <c r="H1542" t="s">
        <v>7433</v>
      </c>
    </row>
    <row r="1543" spans="1:8" x14ac:dyDescent="0.3">
      <c r="A1543" t="s">
        <v>7434</v>
      </c>
      <c r="C1543" t="s">
        <v>5267</v>
      </c>
      <c r="D1543" t="s">
        <v>9747</v>
      </c>
      <c r="E1543">
        <v>0</v>
      </c>
      <c r="F1543">
        <v>1541</v>
      </c>
      <c r="H1543" t="s">
        <v>7434</v>
      </c>
    </row>
    <row r="1544" spans="1:8" x14ac:dyDescent="0.3">
      <c r="A1544" t="s">
        <v>7435</v>
      </c>
      <c r="C1544" t="s">
        <v>5267</v>
      </c>
      <c r="D1544" t="s">
        <v>9748</v>
      </c>
      <c r="E1544">
        <v>0</v>
      </c>
      <c r="F1544">
        <v>1542</v>
      </c>
      <c r="H1544" t="s">
        <v>7435</v>
      </c>
    </row>
    <row r="1545" spans="1:8" x14ac:dyDescent="0.3">
      <c r="A1545" t="s">
        <v>7436</v>
      </c>
      <c r="C1545" t="s">
        <v>5267</v>
      </c>
      <c r="D1545" t="s">
        <v>9749</v>
      </c>
      <c r="E1545">
        <v>0</v>
      </c>
      <c r="F1545">
        <v>1543</v>
      </c>
      <c r="H1545" t="s">
        <v>7436</v>
      </c>
    </row>
    <row r="1546" spans="1:8" x14ac:dyDescent="0.3">
      <c r="A1546" t="s">
        <v>7437</v>
      </c>
      <c r="C1546" t="s">
        <v>5267</v>
      </c>
      <c r="D1546" t="s">
        <v>9750</v>
      </c>
      <c r="E1546">
        <v>0</v>
      </c>
      <c r="F1546">
        <v>1544</v>
      </c>
      <c r="H1546" t="s">
        <v>7437</v>
      </c>
    </row>
    <row r="1547" spans="1:8" x14ac:dyDescent="0.3">
      <c r="A1547" t="s">
        <v>7438</v>
      </c>
      <c r="C1547" t="s">
        <v>5267</v>
      </c>
      <c r="D1547" t="s">
        <v>9751</v>
      </c>
      <c r="E1547">
        <v>0</v>
      </c>
      <c r="F1547">
        <v>1545</v>
      </c>
      <c r="H1547" t="s">
        <v>7438</v>
      </c>
    </row>
    <row r="1548" spans="1:8" x14ac:dyDescent="0.3">
      <c r="A1548" t="s">
        <v>7439</v>
      </c>
      <c r="C1548" t="s">
        <v>5267</v>
      </c>
      <c r="D1548" t="s">
        <v>9752</v>
      </c>
      <c r="E1548">
        <v>0</v>
      </c>
      <c r="F1548">
        <v>1546</v>
      </c>
      <c r="H1548" t="s">
        <v>7439</v>
      </c>
    </row>
    <row r="1549" spans="1:8" x14ac:dyDescent="0.3">
      <c r="A1549" t="s">
        <v>7440</v>
      </c>
      <c r="C1549" t="s">
        <v>5267</v>
      </c>
      <c r="D1549" t="s">
        <v>9753</v>
      </c>
      <c r="E1549">
        <v>0</v>
      </c>
      <c r="F1549">
        <v>1547</v>
      </c>
      <c r="H1549" t="s">
        <v>7440</v>
      </c>
    </row>
    <row r="1550" spans="1:8" x14ac:dyDescent="0.3">
      <c r="A1550" t="s">
        <v>7441</v>
      </c>
      <c r="C1550" t="s">
        <v>5267</v>
      </c>
      <c r="D1550" t="s">
        <v>9754</v>
      </c>
      <c r="E1550">
        <v>0</v>
      </c>
      <c r="F1550">
        <v>1548</v>
      </c>
      <c r="H1550" t="s">
        <v>7441</v>
      </c>
    </row>
    <row r="1551" spans="1:8" x14ac:dyDescent="0.3">
      <c r="A1551" t="s">
        <v>7442</v>
      </c>
      <c r="C1551" t="s">
        <v>5267</v>
      </c>
      <c r="D1551" t="s">
        <v>9755</v>
      </c>
      <c r="E1551">
        <v>0</v>
      </c>
      <c r="F1551">
        <v>1549</v>
      </c>
      <c r="H1551" t="s">
        <v>7442</v>
      </c>
    </row>
    <row r="1552" spans="1:8" x14ac:dyDescent="0.3">
      <c r="A1552" t="s">
        <v>7443</v>
      </c>
      <c r="C1552" t="s">
        <v>5267</v>
      </c>
      <c r="D1552" t="s">
        <v>9756</v>
      </c>
      <c r="E1552">
        <v>0</v>
      </c>
      <c r="F1552">
        <v>1550</v>
      </c>
      <c r="H1552" t="s">
        <v>7443</v>
      </c>
    </row>
    <row r="1553" spans="1:8" x14ac:dyDescent="0.3">
      <c r="A1553" t="s">
        <v>7444</v>
      </c>
      <c r="C1553" t="s">
        <v>5267</v>
      </c>
      <c r="D1553" t="s">
        <v>9757</v>
      </c>
      <c r="E1553">
        <v>0</v>
      </c>
      <c r="F1553">
        <v>1551</v>
      </c>
      <c r="H1553" t="s">
        <v>7444</v>
      </c>
    </row>
    <row r="1554" spans="1:8" x14ac:dyDescent="0.3">
      <c r="A1554" t="s">
        <v>7445</v>
      </c>
      <c r="C1554" t="s">
        <v>5267</v>
      </c>
      <c r="D1554" t="s">
        <v>9758</v>
      </c>
      <c r="E1554">
        <v>0</v>
      </c>
      <c r="F1554">
        <v>1552</v>
      </c>
      <c r="H1554" t="s">
        <v>7445</v>
      </c>
    </row>
    <row r="1555" spans="1:8" x14ac:dyDescent="0.3">
      <c r="A1555" t="s">
        <v>7446</v>
      </c>
      <c r="C1555" t="s">
        <v>5267</v>
      </c>
      <c r="D1555" t="s">
        <v>9759</v>
      </c>
      <c r="E1555">
        <v>0</v>
      </c>
      <c r="F1555">
        <v>1553</v>
      </c>
      <c r="H1555" t="s">
        <v>7446</v>
      </c>
    </row>
    <row r="1556" spans="1:8" x14ac:dyDescent="0.3">
      <c r="A1556" t="s">
        <v>7447</v>
      </c>
      <c r="C1556" t="s">
        <v>5267</v>
      </c>
      <c r="D1556" t="s">
        <v>9760</v>
      </c>
      <c r="E1556">
        <v>0</v>
      </c>
      <c r="F1556">
        <v>1554</v>
      </c>
      <c r="H1556" t="s">
        <v>7447</v>
      </c>
    </row>
    <row r="1557" spans="1:8" x14ac:dyDescent="0.3">
      <c r="A1557" t="s">
        <v>7448</v>
      </c>
      <c r="C1557" t="s">
        <v>5267</v>
      </c>
      <c r="D1557" t="s">
        <v>9761</v>
      </c>
      <c r="E1557">
        <v>0</v>
      </c>
      <c r="F1557">
        <v>1555</v>
      </c>
      <c r="H1557" t="s">
        <v>7448</v>
      </c>
    </row>
    <row r="1558" spans="1:8" x14ac:dyDescent="0.3">
      <c r="A1558" t="s">
        <v>7449</v>
      </c>
      <c r="C1558" t="s">
        <v>5267</v>
      </c>
      <c r="D1558" t="s">
        <v>9762</v>
      </c>
      <c r="E1558">
        <v>0</v>
      </c>
      <c r="F1558">
        <v>1556</v>
      </c>
      <c r="H1558" t="s">
        <v>7449</v>
      </c>
    </row>
    <row r="1559" spans="1:8" x14ac:dyDescent="0.3">
      <c r="A1559" t="s">
        <v>7450</v>
      </c>
      <c r="C1559" t="s">
        <v>5267</v>
      </c>
      <c r="D1559" t="s">
        <v>9763</v>
      </c>
      <c r="E1559">
        <v>0</v>
      </c>
      <c r="F1559">
        <v>1557</v>
      </c>
      <c r="H1559" t="s">
        <v>7450</v>
      </c>
    </row>
    <row r="1560" spans="1:8" x14ac:dyDescent="0.3">
      <c r="A1560" t="s">
        <v>7451</v>
      </c>
      <c r="C1560" t="s">
        <v>5267</v>
      </c>
      <c r="D1560" t="s">
        <v>9764</v>
      </c>
      <c r="E1560">
        <v>0</v>
      </c>
      <c r="F1560">
        <v>1558</v>
      </c>
      <c r="H1560" t="s">
        <v>7451</v>
      </c>
    </row>
    <row r="1561" spans="1:8" x14ac:dyDescent="0.3">
      <c r="A1561" t="s">
        <v>7452</v>
      </c>
      <c r="C1561" t="s">
        <v>5267</v>
      </c>
      <c r="D1561" t="s">
        <v>9765</v>
      </c>
      <c r="E1561">
        <v>0</v>
      </c>
      <c r="F1561">
        <v>1559</v>
      </c>
      <c r="H1561" t="s">
        <v>7452</v>
      </c>
    </row>
    <row r="1562" spans="1:8" x14ac:dyDescent="0.3">
      <c r="A1562" t="s">
        <v>7453</v>
      </c>
      <c r="C1562" t="s">
        <v>5267</v>
      </c>
      <c r="D1562" t="s">
        <v>9766</v>
      </c>
      <c r="E1562">
        <v>0</v>
      </c>
      <c r="F1562">
        <v>1560</v>
      </c>
      <c r="H1562" t="s">
        <v>7453</v>
      </c>
    </row>
    <row r="1563" spans="1:8" x14ac:dyDescent="0.3">
      <c r="A1563" t="s">
        <v>6449</v>
      </c>
      <c r="C1563" t="s">
        <v>5267</v>
      </c>
      <c r="D1563" t="s">
        <v>9767</v>
      </c>
      <c r="E1563">
        <v>0</v>
      </c>
      <c r="F1563">
        <v>1561</v>
      </c>
      <c r="H1563" t="s">
        <v>6449</v>
      </c>
    </row>
    <row r="1564" spans="1:8" x14ac:dyDescent="0.3">
      <c r="A1564" t="s">
        <v>7454</v>
      </c>
      <c r="C1564" t="s">
        <v>5267</v>
      </c>
      <c r="D1564" t="s">
        <v>9768</v>
      </c>
      <c r="E1564">
        <v>0</v>
      </c>
      <c r="F1564">
        <v>1562</v>
      </c>
      <c r="H1564" t="s">
        <v>7454</v>
      </c>
    </row>
    <row r="1565" spans="1:8" x14ac:dyDescent="0.3">
      <c r="A1565" t="s">
        <v>7455</v>
      </c>
      <c r="C1565" t="s">
        <v>5267</v>
      </c>
      <c r="D1565" t="s">
        <v>9769</v>
      </c>
      <c r="E1565">
        <v>0</v>
      </c>
      <c r="F1565">
        <v>1563</v>
      </c>
      <c r="H1565" t="s">
        <v>7455</v>
      </c>
    </row>
    <row r="1566" spans="1:8" x14ac:dyDescent="0.3">
      <c r="A1566" t="s">
        <v>7456</v>
      </c>
      <c r="C1566" t="s">
        <v>5267</v>
      </c>
      <c r="D1566" t="s">
        <v>9770</v>
      </c>
      <c r="E1566">
        <v>0</v>
      </c>
      <c r="F1566">
        <v>1564</v>
      </c>
      <c r="H1566" t="s">
        <v>7456</v>
      </c>
    </row>
    <row r="1567" spans="1:8" x14ac:dyDescent="0.3">
      <c r="A1567" t="s">
        <v>7457</v>
      </c>
      <c r="C1567" t="s">
        <v>5267</v>
      </c>
      <c r="D1567" t="s">
        <v>9771</v>
      </c>
      <c r="E1567">
        <v>0</v>
      </c>
      <c r="F1567">
        <v>1565</v>
      </c>
      <c r="H1567" t="s">
        <v>7457</v>
      </c>
    </row>
    <row r="1568" spans="1:8" x14ac:dyDescent="0.3">
      <c r="A1568" t="s">
        <v>7458</v>
      </c>
      <c r="C1568" t="s">
        <v>5267</v>
      </c>
      <c r="D1568" t="s">
        <v>9772</v>
      </c>
      <c r="E1568">
        <v>0</v>
      </c>
      <c r="F1568">
        <v>1566</v>
      </c>
      <c r="H1568" t="s">
        <v>7458</v>
      </c>
    </row>
    <row r="1569" spans="1:8" x14ac:dyDescent="0.3">
      <c r="A1569" t="s">
        <v>7459</v>
      </c>
      <c r="C1569" t="s">
        <v>5267</v>
      </c>
      <c r="D1569" t="s">
        <v>9773</v>
      </c>
      <c r="E1569">
        <v>0</v>
      </c>
      <c r="F1569">
        <v>1567</v>
      </c>
      <c r="H1569" t="s">
        <v>7459</v>
      </c>
    </row>
    <row r="1570" spans="1:8" x14ac:dyDescent="0.3">
      <c r="A1570" t="s">
        <v>7460</v>
      </c>
      <c r="C1570" t="s">
        <v>5267</v>
      </c>
      <c r="D1570" t="s">
        <v>9774</v>
      </c>
      <c r="E1570">
        <v>0</v>
      </c>
      <c r="F1570">
        <v>1568</v>
      </c>
      <c r="H1570" t="s">
        <v>7460</v>
      </c>
    </row>
    <row r="1571" spans="1:8" x14ac:dyDescent="0.3">
      <c r="A1571" t="s">
        <v>7461</v>
      </c>
      <c r="C1571" t="s">
        <v>5267</v>
      </c>
      <c r="D1571" t="s">
        <v>9775</v>
      </c>
      <c r="E1571">
        <v>0</v>
      </c>
      <c r="F1571">
        <v>1569</v>
      </c>
      <c r="H1571" t="s">
        <v>7461</v>
      </c>
    </row>
    <row r="1572" spans="1:8" x14ac:dyDescent="0.3">
      <c r="A1572" t="s">
        <v>7462</v>
      </c>
      <c r="C1572" t="s">
        <v>5267</v>
      </c>
      <c r="D1572" t="s">
        <v>9776</v>
      </c>
      <c r="E1572">
        <v>0</v>
      </c>
      <c r="F1572">
        <v>1570</v>
      </c>
      <c r="H1572" t="s">
        <v>7462</v>
      </c>
    </row>
    <row r="1573" spans="1:8" x14ac:dyDescent="0.3">
      <c r="A1573" t="s">
        <v>7463</v>
      </c>
      <c r="C1573" t="s">
        <v>5267</v>
      </c>
      <c r="D1573" t="s">
        <v>9777</v>
      </c>
      <c r="E1573">
        <v>0</v>
      </c>
      <c r="F1573">
        <v>1571</v>
      </c>
      <c r="H1573" t="s">
        <v>7463</v>
      </c>
    </row>
    <row r="1574" spans="1:8" x14ac:dyDescent="0.3">
      <c r="A1574" t="s">
        <v>7464</v>
      </c>
      <c r="C1574" t="s">
        <v>5267</v>
      </c>
      <c r="D1574" t="s">
        <v>9778</v>
      </c>
      <c r="E1574">
        <v>0</v>
      </c>
      <c r="F1574">
        <v>1572</v>
      </c>
      <c r="H1574" t="s">
        <v>7464</v>
      </c>
    </row>
    <row r="1575" spans="1:8" x14ac:dyDescent="0.3">
      <c r="A1575" t="s">
        <v>7465</v>
      </c>
      <c r="C1575" t="s">
        <v>5267</v>
      </c>
      <c r="D1575" t="s">
        <v>9779</v>
      </c>
      <c r="E1575">
        <v>0</v>
      </c>
      <c r="F1575">
        <v>1573</v>
      </c>
      <c r="H1575" t="s">
        <v>7465</v>
      </c>
    </row>
    <row r="1576" spans="1:8" x14ac:dyDescent="0.3">
      <c r="A1576" t="s">
        <v>7466</v>
      </c>
      <c r="C1576" t="s">
        <v>5267</v>
      </c>
      <c r="D1576" t="s">
        <v>9780</v>
      </c>
      <c r="E1576">
        <v>0</v>
      </c>
      <c r="F1576">
        <v>1574</v>
      </c>
      <c r="H1576" t="s">
        <v>7466</v>
      </c>
    </row>
    <row r="1577" spans="1:8" x14ac:dyDescent="0.3">
      <c r="A1577" t="s">
        <v>7467</v>
      </c>
      <c r="C1577" t="s">
        <v>5267</v>
      </c>
      <c r="D1577" t="s">
        <v>9781</v>
      </c>
      <c r="E1577">
        <v>0</v>
      </c>
      <c r="F1577">
        <v>1575</v>
      </c>
      <c r="H1577" t="s">
        <v>7467</v>
      </c>
    </row>
    <row r="1578" spans="1:8" x14ac:dyDescent="0.3">
      <c r="A1578" t="s">
        <v>7468</v>
      </c>
      <c r="C1578" t="s">
        <v>5267</v>
      </c>
      <c r="D1578" t="s">
        <v>9782</v>
      </c>
      <c r="E1578">
        <v>0</v>
      </c>
      <c r="F1578">
        <v>1576</v>
      </c>
      <c r="H1578" t="s">
        <v>7468</v>
      </c>
    </row>
    <row r="1579" spans="1:8" x14ac:dyDescent="0.3">
      <c r="A1579" t="s">
        <v>7469</v>
      </c>
      <c r="C1579" t="s">
        <v>5267</v>
      </c>
      <c r="D1579" t="s">
        <v>9783</v>
      </c>
      <c r="E1579">
        <v>0</v>
      </c>
      <c r="F1579">
        <v>1577</v>
      </c>
      <c r="H1579" t="s">
        <v>7469</v>
      </c>
    </row>
    <row r="1580" spans="1:8" x14ac:dyDescent="0.3">
      <c r="A1580" t="s">
        <v>7470</v>
      </c>
      <c r="C1580" t="s">
        <v>5267</v>
      </c>
      <c r="D1580" t="s">
        <v>9784</v>
      </c>
      <c r="E1580">
        <v>0</v>
      </c>
      <c r="F1580">
        <v>1578</v>
      </c>
      <c r="H1580" t="s">
        <v>7470</v>
      </c>
    </row>
    <row r="1581" spans="1:8" x14ac:dyDescent="0.3">
      <c r="A1581" t="s">
        <v>7471</v>
      </c>
      <c r="C1581" t="s">
        <v>5267</v>
      </c>
      <c r="D1581" t="s">
        <v>9785</v>
      </c>
      <c r="E1581">
        <v>0</v>
      </c>
      <c r="F1581">
        <v>1579</v>
      </c>
      <c r="H1581" t="s">
        <v>7471</v>
      </c>
    </row>
    <row r="1582" spans="1:8" x14ac:dyDescent="0.3">
      <c r="A1582" t="s">
        <v>7472</v>
      </c>
      <c r="C1582" t="s">
        <v>5267</v>
      </c>
      <c r="D1582" t="s">
        <v>9786</v>
      </c>
      <c r="E1582">
        <v>0</v>
      </c>
      <c r="F1582">
        <v>1580</v>
      </c>
      <c r="H1582" t="s">
        <v>7472</v>
      </c>
    </row>
    <row r="1583" spans="1:8" x14ac:dyDescent="0.3">
      <c r="A1583" t="s">
        <v>7473</v>
      </c>
      <c r="C1583" t="s">
        <v>5267</v>
      </c>
      <c r="D1583" t="s">
        <v>9787</v>
      </c>
      <c r="E1583">
        <v>0</v>
      </c>
      <c r="F1583">
        <v>1581</v>
      </c>
      <c r="H1583" t="s">
        <v>7473</v>
      </c>
    </row>
    <row r="1584" spans="1:8" x14ac:dyDescent="0.3">
      <c r="A1584" t="s">
        <v>7474</v>
      </c>
      <c r="C1584" t="s">
        <v>5267</v>
      </c>
      <c r="D1584" t="s">
        <v>9788</v>
      </c>
      <c r="E1584">
        <v>0</v>
      </c>
      <c r="F1584">
        <v>1582</v>
      </c>
      <c r="H1584" t="s">
        <v>7474</v>
      </c>
    </row>
    <row r="1585" spans="1:8" x14ac:dyDescent="0.3">
      <c r="A1585" t="s">
        <v>7475</v>
      </c>
      <c r="C1585" t="s">
        <v>5267</v>
      </c>
      <c r="D1585" t="s">
        <v>9789</v>
      </c>
      <c r="E1585">
        <v>0</v>
      </c>
      <c r="F1585">
        <v>1583</v>
      </c>
      <c r="H1585" t="s">
        <v>7475</v>
      </c>
    </row>
    <row r="1586" spans="1:8" x14ac:dyDescent="0.3">
      <c r="A1586" t="s">
        <v>7476</v>
      </c>
      <c r="C1586" t="s">
        <v>5267</v>
      </c>
      <c r="D1586" t="s">
        <v>9790</v>
      </c>
      <c r="E1586">
        <v>0</v>
      </c>
      <c r="F1586">
        <v>1584</v>
      </c>
      <c r="H1586" t="s">
        <v>7476</v>
      </c>
    </row>
    <row r="1587" spans="1:8" x14ac:dyDescent="0.3">
      <c r="A1587" t="s">
        <v>7477</v>
      </c>
      <c r="C1587" t="s">
        <v>5267</v>
      </c>
      <c r="D1587" t="s">
        <v>9791</v>
      </c>
      <c r="E1587">
        <v>0</v>
      </c>
      <c r="F1587">
        <v>1585</v>
      </c>
      <c r="H1587" t="s">
        <v>7477</v>
      </c>
    </row>
    <row r="1588" spans="1:8" x14ac:dyDescent="0.3">
      <c r="A1588" t="s">
        <v>7478</v>
      </c>
      <c r="C1588" t="s">
        <v>5267</v>
      </c>
      <c r="D1588" t="s">
        <v>9792</v>
      </c>
      <c r="E1588">
        <v>0</v>
      </c>
      <c r="F1588">
        <v>1586</v>
      </c>
      <c r="H1588" t="s">
        <v>7478</v>
      </c>
    </row>
    <row r="1589" spans="1:8" x14ac:dyDescent="0.3">
      <c r="A1589" t="s">
        <v>7479</v>
      </c>
      <c r="C1589" t="s">
        <v>5267</v>
      </c>
      <c r="D1589" t="s">
        <v>9793</v>
      </c>
      <c r="E1589">
        <v>0</v>
      </c>
      <c r="F1589">
        <v>1587</v>
      </c>
      <c r="H1589" t="s">
        <v>7479</v>
      </c>
    </row>
    <row r="1590" spans="1:8" x14ac:dyDescent="0.3">
      <c r="A1590" t="s">
        <v>7480</v>
      </c>
      <c r="C1590" t="s">
        <v>5267</v>
      </c>
      <c r="D1590" t="s">
        <v>9794</v>
      </c>
      <c r="E1590">
        <v>0</v>
      </c>
      <c r="F1590">
        <v>1588</v>
      </c>
      <c r="H1590" t="s">
        <v>7480</v>
      </c>
    </row>
    <row r="1591" spans="1:8" x14ac:dyDescent="0.3">
      <c r="A1591" t="s">
        <v>7481</v>
      </c>
      <c r="C1591" t="s">
        <v>5267</v>
      </c>
      <c r="D1591" t="s">
        <v>9795</v>
      </c>
      <c r="E1591">
        <v>0</v>
      </c>
      <c r="F1591">
        <v>1589</v>
      </c>
      <c r="H1591" t="s">
        <v>7481</v>
      </c>
    </row>
    <row r="1592" spans="1:8" x14ac:dyDescent="0.3">
      <c r="A1592" t="s">
        <v>7482</v>
      </c>
      <c r="C1592" t="s">
        <v>5267</v>
      </c>
      <c r="D1592" t="s">
        <v>9796</v>
      </c>
      <c r="E1592">
        <v>0</v>
      </c>
      <c r="F1592">
        <v>1590</v>
      </c>
      <c r="H1592" t="s">
        <v>7482</v>
      </c>
    </row>
    <row r="1593" spans="1:8" x14ac:dyDescent="0.3">
      <c r="A1593" t="s">
        <v>7483</v>
      </c>
      <c r="C1593" t="s">
        <v>5267</v>
      </c>
      <c r="D1593" t="s">
        <v>9797</v>
      </c>
      <c r="E1593">
        <v>0</v>
      </c>
      <c r="F1593">
        <v>1591</v>
      </c>
      <c r="H1593" t="s">
        <v>7483</v>
      </c>
    </row>
    <row r="1594" spans="1:8" x14ac:dyDescent="0.3">
      <c r="A1594" t="s">
        <v>7484</v>
      </c>
      <c r="C1594" t="s">
        <v>5267</v>
      </c>
      <c r="D1594" t="s">
        <v>9798</v>
      </c>
      <c r="E1594">
        <v>0</v>
      </c>
      <c r="F1594">
        <v>1592</v>
      </c>
      <c r="H1594" t="s">
        <v>7484</v>
      </c>
    </row>
    <row r="1595" spans="1:8" x14ac:dyDescent="0.3">
      <c r="A1595" t="s">
        <v>7485</v>
      </c>
      <c r="C1595" t="s">
        <v>5267</v>
      </c>
      <c r="D1595" t="s">
        <v>9799</v>
      </c>
      <c r="E1595">
        <v>0</v>
      </c>
      <c r="F1595">
        <v>1593</v>
      </c>
      <c r="H1595" t="s">
        <v>7485</v>
      </c>
    </row>
    <row r="1596" spans="1:8" x14ac:dyDescent="0.3">
      <c r="A1596" t="s">
        <v>7486</v>
      </c>
      <c r="C1596" t="s">
        <v>5267</v>
      </c>
      <c r="D1596" t="s">
        <v>9800</v>
      </c>
      <c r="E1596">
        <v>0</v>
      </c>
      <c r="F1596">
        <v>1594</v>
      </c>
      <c r="H1596" t="s">
        <v>7486</v>
      </c>
    </row>
    <row r="1597" spans="1:8" x14ac:dyDescent="0.3">
      <c r="A1597" t="s">
        <v>7487</v>
      </c>
      <c r="C1597" t="s">
        <v>5267</v>
      </c>
      <c r="D1597" t="s">
        <v>9801</v>
      </c>
      <c r="E1597">
        <v>0</v>
      </c>
      <c r="F1597">
        <v>1595</v>
      </c>
      <c r="H1597" t="s">
        <v>7487</v>
      </c>
    </row>
    <row r="1598" spans="1:8" x14ac:dyDescent="0.3">
      <c r="A1598" t="s">
        <v>7488</v>
      </c>
      <c r="C1598" t="s">
        <v>5267</v>
      </c>
      <c r="D1598" t="s">
        <v>9802</v>
      </c>
      <c r="E1598">
        <v>0</v>
      </c>
      <c r="F1598">
        <v>1596</v>
      </c>
      <c r="H1598" t="s">
        <v>7488</v>
      </c>
    </row>
    <row r="1599" spans="1:8" x14ac:dyDescent="0.3">
      <c r="A1599" t="s">
        <v>7489</v>
      </c>
      <c r="C1599" t="s">
        <v>5267</v>
      </c>
      <c r="D1599" t="s">
        <v>9803</v>
      </c>
      <c r="E1599">
        <v>0</v>
      </c>
      <c r="F1599">
        <v>1597</v>
      </c>
      <c r="H1599" t="s">
        <v>7489</v>
      </c>
    </row>
    <row r="1600" spans="1:8" x14ac:dyDescent="0.3">
      <c r="A1600" t="s">
        <v>7490</v>
      </c>
      <c r="C1600" t="s">
        <v>5267</v>
      </c>
      <c r="D1600" t="s">
        <v>9804</v>
      </c>
      <c r="E1600">
        <v>0</v>
      </c>
      <c r="F1600">
        <v>1598</v>
      </c>
      <c r="H1600" t="s">
        <v>7490</v>
      </c>
    </row>
    <row r="1601" spans="1:8" x14ac:dyDescent="0.3">
      <c r="A1601" t="s">
        <v>7491</v>
      </c>
      <c r="C1601" t="s">
        <v>5267</v>
      </c>
      <c r="D1601" t="s">
        <v>9805</v>
      </c>
      <c r="E1601">
        <v>0</v>
      </c>
      <c r="F1601">
        <v>1599</v>
      </c>
      <c r="H1601" t="s">
        <v>7491</v>
      </c>
    </row>
    <row r="1602" spans="1:8" x14ac:dyDescent="0.3">
      <c r="A1602" t="s">
        <v>7492</v>
      </c>
      <c r="C1602" t="s">
        <v>5267</v>
      </c>
      <c r="D1602" t="s">
        <v>9806</v>
      </c>
      <c r="E1602">
        <v>0</v>
      </c>
      <c r="F1602">
        <v>1600</v>
      </c>
      <c r="H1602" t="s">
        <v>7492</v>
      </c>
    </row>
    <row r="1603" spans="1:8" x14ac:dyDescent="0.3">
      <c r="A1603" t="s">
        <v>7493</v>
      </c>
      <c r="C1603" t="s">
        <v>5267</v>
      </c>
      <c r="D1603" t="s">
        <v>9807</v>
      </c>
      <c r="E1603">
        <v>0</v>
      </c>
      <c r="F1603">
        <v>1601</v>
      </c>
      <c r="H1603" t="s">
        <v>7493</v>
      </c>
    </row>
    <row r="1604" spans="1:8" x14ac:dyDescent="0.3">
      <c r="A1604" t="s">
        <v>7494</v>
      </c>
      <c r="C1604" t="s">
        <v>5267</v>
      </c>
      <c r="D1604" t="s">
        <v>9808</v>
      </c>
      <c r="E1604">
        <v>0</v>
      </c>
      <c r="F1604">
        <v>1602</v>
      </c>
      <c r="H1604" t="s">
        <v>7494</v>
      </c>
    </row>
    <row r="1605" spans="1:8" x14ac:dyDescent="0.3">
      <c r="A1605" t="s">
        <v>7495</v>
      </c>
      <c r="C1605" t="s">
        <v>5267</v>
      </c>
      <c r="D1605" t="s">
        <v>9809</v>
      </c>
      <c r="E1605">
        <v>0</v>
      </c>
      <c r="F1605">
        <v>1603</v>
      </c>
      <c r="H1605" t="s">
        <v>7495</v>
      </c>
    </row>
    <row r="1606" spans="1:8" x14ac:dyDescent="0.3">
      <c r="A1606" t="s">
        <v>7496</v>
      </c>
      <c r="C1606" t="s">
        <v>5267</v>
      </c>
      <c r="D1606" t="s">
        <v>9810</v>
      </c>
      <c r="E1606">
        <v>0</v>
      </c>
      <c r="F1606">
        <v>1604</v>
      </c>
      <c r="H1606" t="s">
        <v>7496</v>
      </c>
    </row>
    <row r="1607" spans="1:8" x14ac:dyDescent="0.3">
      <c r="A1607" t="s">
        <v>7497</v>
      </c>
      <c r="C1607" t="s">
        <v>5267</v>
      </c>
      <c r="D1607" t="s">
        <v>9811</v>
      </c>
      <c r="E1607">
        <v>0</v>
      </c>
      <c r="F1607">
        <v>1605</v>
      </c>
      <c r="H1607" t="s">
        <v>7497</v>
      </c>
    </row>
    <row r="1608" spans="1:8" x14ac:dyDescent="0.3">
      <c r="A1608" t="s">
        <v>7498</v>
      </c>
      <c r="C1608" t="s">
        <v>5267</v>
      </c>
      <c r="D1608" t="s">
        <v>9812</v>
      </c>
      <c r="E1608">
        <v>0</v>
      </c>
      <c r="F1608">
        <v>1606</v>
      </c>
      <c r="H1608" t="s">
        <v>7498</v>
      </c>
    </row>
    <row r="1609" spans="1:8" x14ac:dyDescent="0.3">
      <c r="A1609" t="s">
        <v>7499</v>
      </c>
      <c r="C1609" t="s">
        <v>5267</v>
      </c>
      <c r="D1609" t="s">
        <v>9813</v>
      </c>
      <c r="E1609">
        <v>0</v>
      </c>
      <c r="F1609">
        <v>1607</v>
      </c>
      <c r="H1609" t="s">
        <v>7499</v>
      </c>
    </row>
    <row r="1610" spans="1:8" x14ac:dyDescent="0.3">
      <c r="A1610" t="s">
        <v>7500</v>
      </c>
      <c r="C1610" t="s">
        <v>5267</v>
      </c>
      <c r="D1610" t="s">
        <v>9814</v>
      </c>
      <c r="E1610">
        <v>0</v>
      </c>
      <c r="F1610">
        <v>1608</v>
      </c>
      <c r="H1610" t="s">
        <v>7500</v>
      </c>
    </row>
    <row r="1611" spans="1:8" x14ac:dyDescent="0.3">
      <c r="A1611" t="s">
        <v>7501</v>
      </c>
      <c r="C1611" t="s">
        <v>5267</v>
      </c>
      <c r="D1611" t="s">
        <v>9815</v>
      </c>
      <c r="E1611">
        <v>0</v>
      </c>
      <c r="F1611">
        <v>1609</v>
      </c>
      <c r="H1611" t="s">
        <v>7501</v>
      </c>
    </row>
    <row r="1612" spans="1:8" x14ac:dyDescent="0.3">
      <c r="A1612" t="s">
        <v>7502</v>
      </c>
      <c r="C1612" t="s">
        <v>5267</v>
      </c>
      <c r="D1612" t="s">
        <v>9816</v>
      </c>
      <c r="E1612">
        <v>0</v>
      </c>
      <c r="F1612">
        <v>1610</v>
      </c>
      <c r="H1612" t="s">
        <v>7502</v>
      </c>
    </row>
    <row r="1613" spans="1:8" x14ac:dyDescent="0.3">
      <c r="A1613" t="s">
        <v>7503</v>
      </c>
      <c r="C1613" t="s">
        <v>5267</v>
      </c>
      <c r="D1613" t="s">
        <v>9817</v>
      </c>
      <c r="E1613">
        <v>0</v>
      </c>
      <c r="F1613">
        <v>1611</v>
      </c>
      <c r="H1613" t="s">
        <v>7503</v>
      </c>
    </row>
    <row r="1614" spans="1:8" x14ac:dyDescent="0.3">
      <c r="A1614" t="s">
        <v>7504</v>
      </c>
      <c r="C1614" t="s">
        <v>5267</v>
      </c>
      <c r="D1614" t="s">
        <v>9818</v>
      </c>
      <c r="E1614">
        <v>0</v>
      </c>
      <c r="F1614">
        <v>1612</v>
      </c>
      <c r="H1614" t="s">
        <v>7504</v>
      </c>
    </row>
    <row r="1615" spans="1:8" x14ac:dyDescent="0.3">
      <c r="A1615" t="s">
        <v>7505</v>
      </c>
      <c r="C1615" t="s">
        <v>5267</v>
      </c>
      <c r="D1615" t="s">
        <v>9819</v>
      </c>
      <c r="E1615">
        <v>0</v>
      </c>
      <c r="F1615">
        <v>1613</v>
      </c>
      <c r="H1615" t="s">
        <v>7505</v>
      </c>
    </row>
    <row r="1616" spans="1:8" x14ac:dyDescent="0.3">
      <c r="A1616" t="s">
        <v>7506</v>
      </c>
      <c r="C1616" t="s">
        <v>5267</v>
      </c>
      <c r="D1616" t="s">
        <v>9820</v>
      </c>
      <c r="E1616">
        <v>0</v>
      </c>
      <c r="F1616">
        <v>1614</v>
      </c>
      <c r="H1616" t="s">
        <v>7506</v>
      </c>
    </row>
    <row r="1617" spans="1:8" x14ac:dyDescent="0.3">
      <c r="A1617" t="s">
        <v>7507</v>
      </c>
      <c r="C1617" t="s">
        <v>5267</v>
      </c>
      <c r="D1617" t="s">
        <v>9821</v>
      </c>
      <c r="E1617">
        <v>0</v>
      </c>
      <c r="F1617">
        <v>1615</v>
      </c>
      <c r="H1617" t="s">
        <v>7507</v>
      </c>
    </row>
    <row r="1618" spans="1:8" x14ac:dyDescent="0.3">
      <c r="A1618" t="s">
        <v>7508</v>
      </c>
      <c r="C1618" t="s">
        <v>5267</v>
      </c>
      <c r="D1618" t="s">
        <v>9822</v>
      </c>
      <c r="E1618">
        <v>0</v>
      </c>
      <c r="F1618">
        <v>1616</v>
      </c>
      <c r="H1618" t="s">
        <v>7508</v>
      </c>
    </row>
    <row r="1619" spans="1:8" x14ac:dyDescent="0.3">
      <c r="A1619" t="s">
        <v>7509</v>
      </c>
      <c r="C1619" t="s">
        <v>5267</v>
      </c>
      <c r="D1619" t="s">
        <v>9823</v>
      </c>
      <c r="E1619">
        <v>0</v>
      </c>
      <c r="F1619">
        <v>1617</v>
      </c>
      <c r="H1619" t="s">
        <v>7509</v>
      </c>
    </row>
    <row r="1620" spans="1:8" x14ac:dyDescent="0.3">
      <c r="A1620" t="s">
        <v>7510</v>
      </c>
      <c r="C1620" t="s">
        <v>5267</v>
      </c>
      <c r="D1620" t="s">
        <v>9824</v>
      </c>
      <c r="E1620">
        <v>0</v>
      </c>
      <c r="F1620">
        <v>1618</v>
      </c>
      <c r="H1620" t="s">
        <v>7510</v>
      </c>
    </row>
    <row r="1621" spans="1:8" x14ac:dyDescent="0.3">
      <c r="A1621" t="s">
        <v>7511</v>
      </c>
      <c r="C1621" t="s">
        <v>5267</v>
      </c>
      <c r="D1621" t="s">
        <v>9825</v>
      </c>
      <c r="E1621">
        <v>0</v>
      </c>
      <c r="F1621">
        <v>1619</v>
      </c>
      <c r="H1621" t="s">
        <v>7511</v>
      </c>
    </row>
    <row r="1622" spans="1:8" x14ac:dyDescent="0.3">
      <c r="A1622" t="s">
        <v>7512</v>
      </c>
      <c r="C1622" t="s">
        <v>5267</v>
      </c>
      <c r="D1622" t="s">
        <v>9826</v>
      </c>
      <c r="E1622">
        <v>0</v>
      </c>
      <c r="F1622">
        <v>1620</v>
      </c>
      <c r="H1622" t="s">
        <v>7512</v>
      </c>
    </row>
    <row r="1623" spans="1:8" x14ac:dyDescent="0.3">
      <c r="A1623" t="s">
        <v>7513</v>
      </c>
      <c r="C1623" t="s">
        <v>5267</v>
      </c>
      <c r="D1623" t="s">
        <v>9827</v>
      </c>
      <c r="E1623">
        <v>0</v>
      </c>
      <c r="F1623">
        <v>1621</v>
      </c>
      <c r="H1623" t="s">
        <v>7513</v>
      </c>
    </row>
    <row r="1624" spans="1:8" x14ac:dyDescent="0.3">
      <c r="A1624" t="s">
        <v>7514</v>
      </c>
      <c r="C1624" t="s">
        <v>5267</v>
      </c>
      <c r="D1624" t="s">
        <v>9828</v>
      </c>
      <c r="E1624">
        <v>0</v>
      </c>
      <c r="F1624">
        <v>1622</v>
      </c>
      <c r="H1624" t="s">
        <v>7514</v>
      </c>
    </row>
    <row r="1625" spans="1:8" x14ac:dyDescent="0.3">
      <c r="A1625" t="s">
        <v>7515</v>
      </c>
      <c r="C1625" t="s">
        <v>5267</v>
      </c>
      <c r="D1625" t="s">
        <v>9829</v>
      </c>
      <c r="E1625">
        <v>0</v>
      </c>
      <c r="F1625">
        <v>1623</v>
      </c>
      <c r="H1625" t="s">
        <v>7515</v>
      </c>
    </row>
    <row r="1626" spans="1:8" x14ac:dyDescent="0.3">
      <c r="A1626" t="s">
        <v>7516</v>
      </c>
      <c r="C1626" t="s">
        <v>5267</v>
      </c>
      <c r="D1626" t="s">
        <v>9830</v>
      </c>
      <c r="E1626">
        <v>0</v>
      </c>
      <c r="F1626">
        <v>1624</v>
      </c>
      <c r="H1626" t="s">
        <v>7516</v>
      </c>
    </row>
    <row r="1627" spans="1:8" x14ac:dyDescent="0.3">
      <c r="A1627" t="s">
        <v>7517</v>
      </c>
      <c r="C1627" t="s">
        <v>5267</v>
      </c>
      <c r="D1627" t="s">
        <v>9831</v>
      </c>
      <c r="E1627">
        <v>0</v>
      </c>
      <c r="F1627">
        <v>1625</v>
      </c>
      <c r="H1627" t="s">
        <v>7517</v>
      </c>
    </row>
    <row r="1628" spans="1:8" x14ac:dyDescent="0.3">
      <c r="A1628" t="s">
        <v>7518</v>
      </c>
      <c r="C1628" t="s">
        <v>5267</v>
      </c>
      <c r="D1628" t="s">
        <v>9832</v>
      </c>
      <c r="E1628">
        <v>0</v>
      </c>
      <c r="F1628">
        <v>1626</v>
      </c>
      <c r="H1628" t="s">
        <v>7518</v>
      </c>
    </row>
    <row r="1629" spans="1:8" x14ac:dyDescent="0.3">
      <c r="A1629" t="s">
        <v>7519</v>
      </c>
      <c r="C1629" t="s">
        <v>5267</v>
      </c>
      <c r="D1629" t="s">
        <v>9833</v>
      </c>
      <c r="E1629">
        <v>0</v>
      </c>
      <c r="F1629">
        <v>1627</v>
      </c>
      <c r="H1629" t="s">
        <v>7519</v>
      </c>
    </row>
    <row r="1630" spans="1:8" x14ac:dyDescent="0.3">
      <c r="A1630" t="s">
        <v>7520</v>
      </c>
      <c r="C1630" t="s">
        <v>5267</v>
      </c>
      <c r="D1630" t="s">
        <v>9834</v>
      </c>
      <c r="E1630">
        <v>0</v>
      </c>
      <c r="F1630">
        <v>1628</v>
      </c>
      <c r="H1630" t="s">
        <v>7520</v>
      </c>
    </row>
    <row r="1631" spans="1:8" x14ac:dyDescent="0.3">
      <c r="A1631" t="s">
        <v>7521</v>
      </c>
      <c r="C1631" t="s">
        <v>5267</v>
      </c>
      <c r="D1631" t="s">
        <v>9835</v>
      </c>
      <c r="E1631">
        <v>0</v>
      </c>
      <c r="F1631">
        <v>1629</v>
      </c>
      <c r="H1631" t="s">
        <v>7521</v>
      </c>
    </row>
    <row r="1632" spans="1:8" x14ac:dyDescent="0.3">
      <c r="A1632" t="s">
        <v>7522</v>
      </c>
      <c r="C1632" t="s">
        <v>5267</v>
      </c>
      <c r="D1632" t="s">
        <v>9836</v>
      </c>
      <c r="E1632">
        <v>0</v>
      </c>
      <c r="F1632">
        <v>1630</v>
      </c>
      <c r="H1632" t="s">
        <v>7522</v>
      </c>
    </row>
    <row r="1633" spans="1:8" x14ac:dyDescent="0.3">
      <c r="A1633" t="s">
        <v>7523</v>
      </c>
      <c r="C1633" t="s">
        <v>5267</v>
      </c>
      <c r="D1633" t="s">
        <v>9837</v>
      </c>
      <c r="E1633">
        <v>0</v>
      </c>
      <c r="F1633">
        <v>1631</v>
      </c>
      <c r="H1633" t="s">
        <v>7523</v>
      </c>
    </row>
    <row r="1634" spans="1:8" x14ac:dyDescent="0.3">
      <c r="A1634" t="s">
        <v>7524</v>
      </c>
      <c r="C1634" t="s">
        <v>5267</v>
      </c>
      <c r="D1634" t="s">
        <v>9838</v>
      </c>
      <c r="E1634">
        <v>0</v>
      </c>
      <c r="F1634">
        <v>1632</v>
      </c>
      <c r="H1634" t="s">
        <v>7524</v>
      </c>
    </row>
    <row r="1635" spans="1:8" x14ac:dyDescent="0.3">
      <c r="A1635" t="s">
        <v>7525</v>
      </c>
      <c r="C1635" t="s">
        <v>5267</v>
      </c>
      <c r="D1635" t="s">
        <v>9839</v>
      </c>
      <c r="E1635">
        <v>0</v>
      </c>
      <c r="F1635">
        <v>1633</v>
      </c>
      <c r="H1635" t="s">
        <v>7525</v>
      </c>
    </row>
    <row r="1636" spans="1:8" x14ac:dyDescent="0.3">
      <c r="A1636" t="s">
        <v>7526</v>
      </c>
      <c r="C1636" t="s">
        <v>5267</v>
      </c>
      <c r="D1636" t="s">
        <v>9840</v>
      </c>
      <c r="E1636">
        <v>0</v>
      </c>
      <c r="F1636">
        <v>1634</v>
      </c>
      <c r="H1636" t="s">
        <v>7526</v>
      </c>
    </row>
    <row r="1637" spans="1:8" x14ac:dyDescent="0.3">
      <c r="A1637" t="s">
        <v>7527</v>
      </c>
      <c r="C1637" t="s">
        <v>5267</v>
      </c>
      <c r="D1637" t="s">
        <v>9841</v>
      </c>
      <c r="E1637">
        <v>0</v>
      </c>
      <c r="F1637">
        <v>1635</v>
      </c>
      <c r="H1637" t="s">
        <v>7527</v>
      </c>
    </row>
    <row r="1638" spans="1:8" x14ac:dyDescent="0.3">
      <c r="A1638" t="s">
        <v>6440</v>
      </c>
      <c r="C1638" t="s">
        <v>5267</v>
      </c>
      <c r="D1638" t="s">
        <v>9842</v>
      </c>
      <c r="E1638">
        <v>0</v>
      </c>
      <c r="F1638">
        <v>1636</v>
      </c>
      <c r="H1638" t="s">
        <v>6440</v>
      </c>
    </row>
    <row r="1639" spans="1:8" x14ac:dyDescent="0.3">
      <c r="A1639" t="s">
        <v>6439</v>
      </c>
      <c r="C1639" t="s">
        <v>5267</v>
      </c>
      <c r="D1639" t="s">
        <v>9843</v>
      </c>
      <c r="E1639">
        <v>0</v>
      </c>
      <c r="F1639">
        <v>1637</v>
      </c>
      <c r="H1639" t="s">
        <v>6439</v>
      </c>
    </row>
    <row r="1640" spans="1:8" x14ac:dyDescent="0.3">
      <c r="A1640" t="s">
        <v>7528</v>
      </c>
      <c r="C1640" t="s">
        <v>5267</v>
      </c>
      <c r="D1640" t="s">
        <v>9844</v>
      </c>
      <c r="E1640">
        <v>0</v>
      </c>
      <c r="F1640">
        <v>1638</v>
      </c>
      <c r="H1640" t="s">
        <v>7528</v>
      </c>
    </row>
    <row r="1641" spans="1:8" x14ac:dyDescent="0.3">
      <c r="A1641" t="s">
        <v>7529</v>
      </c>
      <c r="C1641" t="s">
        <v>5267</v>
      </c>
      <c r="D1641" t="s">
        <v>9845</v>
      </c>
      <c r="E1641">
        <v>0</v>
      </c>
      <c r="F1641">
        <v>1639</v>
      </c>
      <c r="H1641" t="s">
        <v>7529</v>
      </c>
    </row>
    <row r="1642" spans="1:8" x14ac:dyDescent="0.3">
      <c r="A1642" t="s">
        <v>7530</v>
      </c>
      <c r="C1642" t="s">
        <v>5267</v>
      </c>
      <c r="D1642" t="s">
        <v>9846</v>
      </c>
      <c r="E1642">
        <v>0</v>
      </c>
      <c r="F1642">
        <v>1640</v>
      </c>
      <c r="H1642" t="s">
        <v>7530</v>
      </c>
    </row>
    <row r="1643" spans="1:8" x14ac:dyDescent="0.3">
      <c r="A1643" t="s">
        <v>7531</v>
      </c>
      <c r="C1643" t="s">
        <v>5267</v>
      </c>
      <c r="D1643" t="s">
        <v>9847</v>
      </c>
      <c r="E1643">
        <v>0</v>
      </c>
      <c r="F1643">
        <v>1641</v>
      </c>
      <c r="H1643" t="s">
        <v>7531</v>
      </c>
    </row>
    <row r="1644" spans="1:8" x14ac:dyDescent="0.3">
      <c r="A1644" t="s">
        <v>7532</v>
      </c>
      <c r="C1644" t="s">
        <v>5267</v>
      </c>
      <c r="D1644" t="s">
        <v>9848</v>
      </c>
      <c r="E1644">
        <v>0</v>
      </c>
      <c r="F1644">
        <v>1642</v>
      </c>
      <c r="H1644" t="s">
        <v>7532</v>
      </c>
    </row>
    <row r="1645" spans="1:8" x14ac:dyDescent="0.3">
      <c r="A1645" t="s">
        <v>7533</v>
      </c>
      <c r="C1645" t="s">
        <v>5267</v>
      </c>
      <c r="D1645" t="s">
        <v>9849</v>
      </c>
      <c r="E1645">
        <v>0</v>
      </c>
      <c r="F1645">
        <v>1643</v>
      </c>
      <c r="H1645" t="s">
        <v>7533</v>
      </c>
    </row>
    <row r="1646" spans="1:8" x14ac:dyDescent="0.3">
      <c r="A1646" t="s">
        <v>7534</v>
      </c>
      <c r="C1646" t="s">
        <v>5267</v>
      </c>
      <c r="D1646" t="s">
        <v>9850</v>
      </c>
      <c r="E1646">
        <v>0</v>
      </c>
      <c r="F1646">
        <v>1644</v>
      </c>
      <c r="H1646" t="s">
        <v>7534</v>
      </c>
    </row>
    <row r="1647" spans="1:8" x14ac:dyDescent="0.3">
      <c r="A1647" t="s">
        <v>7535</v>
      </c>
      <c r="C1647" t="s">
        <v>5267</v>
      </c>
      <c r="D1647" t="s">
        <v>9851</v>
      </c>
      <c r="E1647">
        <v>0</v>
      </c>
      <c r="F1647">
        <v>1645</v>
      </c>
      <c r="H1647" t="s">
        <v>7535</v>
      </c>
    </row>
    <row r="1648" spans="1:8" x14ac:dyDescent="0.3">
      <c r="A1648" t="s">
        <v>7536</v>
      </c>
      <c r="C1648" t="s">
        <v>5267</v>
      </c>
      <c r="D1648" t="s">
        <v>9852</v>
      </c>
      <c r="E1648">
        <v>0</v>
      </c>
      <c r="F1648">
        <v>1646</v>
      </c>
      <c r="H1648" t="s">
        <v>7536</v>
      </c>
    </row>
    <row r="1649" spans="1:8" x14ac:dyDescent="0.3">
      <c r="A1649" t="s">
        <v>7537</v>
      </c>
      <c r="C1649" t="s">
        <v>5267</v>
      </c>
      <c r="D1649" t="s">
        <v>9853</v>
      </c>
      <c r="E1649">
        <v>0</v>
      </c>
      <c r="F1649">
        <v>1647</v>
      </c>
      <c r="H1649" t="s">
        <v>7537</v>
      </c>
    </row>
    <row r="1650" spans="1:8" x14ac:dyDescent="0.3">
      <c r="A1650" t="s">
        <v>7538</v>
      </c>
      <c r="C1650" t="s">
        <v>5267</v>
      </c>
      <c r="D1650" t="s">
        <v>9854</v>
      </c>
      <c r="E1650">
        <v>0</v>
      </c>
      <c r="F1650">
        <v>1648</v>
      </c>
      <c r="H1650" t="s">
        <v>7538</v>
      </c>
    </row>
    <row r="1651" spans="1:8" x14ac:dyDescent="0.3">
      <c r="A1651" t="s">
        <v>7539</v>
      </c>
      <c r="C1651" t="s">
        <v>5267</v>
      </c>
      <c r="D1651" t="s">
        <v>9855</v>
      </c>
      <c r="E1651">
        <v>0</v>
      </c>
      <c r="F1651">
        <v>1649</v>
      </c>
      <c r="H1651" t="s">
        <v>7539</v>
      </c>
    </row>
    <row r="1652" spans="1:8" x14ac:dyDescent="0.3">
      <c r="A1652" t="s">
        <v>7540</v>
      </c>
      <c r="C1652" t="s">
        <v>5267</v>
      </c>
      <c r="D1652" t="s">
        <v>9856</v>
      </c>
      <c r="E1652">
        <v>0</v>
      </c>
      <c r="F1652">
        <v>1650</v>
      </c>
      <c r="H1652" t="s">
        <v>7540</v>
      </c>
    </row>
    <row r="1653" spans="1:8" x14ac:dyDescent="0.3">
      <c r="A1653" t="s">
        <v>7541</v>
      </c>
      <c r="C1653" t="s">
        <v>5267</v>
      </c>
      <c r="D1653" t="s">
        <v>9857</v>
      </c>
      <c r="E1653">
        <v>0</v>
      </c>
      <c r="F1653">
        <v>1651</v>
      </c>
      <c r="H1653" t="s">
        <v>7541</v>
      </c>
    </row>
    <row r="1654" spans="1:8" x14ac:dyDescent="0.3">
      <c r="A1654" t="s">
        <v>7542</v>
      </c>
      <c r="C1654" t="s">
        <v>5267</v>
      </c>
      <c r="D1654" t="s">
        <v>9858</v>
      </c>
      <c r="E1654">
        <v>0</v>
      </c>
      <c r="F1654">
        <v>1652</v>
      </c>
      <c r="H1654" t="s">
        <v>7542</v>
      </c>
    </row>
    <row r="1655" spans="1:8" x14ac:dyDescent="0.3">
      <c r="A1655" t="s">
        <v>7543</v>
      </c>
      <c r="C1655" t="s">
        <v>5267</v>
      </c>
      <c r="D1655" t="s">
        <v>9859</v>
      </c>
      <c r="E1655">
        <v>0</v>
      </c>
      <c r="F1655">
        <v>1653</v>
      </c>
      <c r="H1655" t="s">
        <v>7543</v>
      </c>
    </row>
    <row r="1656" spans="1:8" x14ac:dyDescent="0.3">
      <c r="A1656" t="s">
        <v>7544</v>
      </c>
      <c r="C1656" t="s">
        <v>5267</v>
      </c>
      <c r="D1656" t="s">
        <v>9860</v>
      </c>
      <c r="E1656">
        <v>0</v>
      </c>
      <c r="F1656">
        <v>1654</v>
      </c>
      <c r="H1656" t="s">
        <v>7544</v>
      </c>
    </row>
    <row r="1657" spans="1:8" x14ac:dyDescent="0.3">
      <c r="A1657" t="s">
        <v>7545</v>
      </c>
      <c r="C1657" t="s">
        <v>5267</v>
      </c>
      <c r="D1657" t="s">
        <v>9861</v>
      </c>
      <c r="E1657">
        <v>0</v>
      </c>
      <c r="F1657">
        <v>1655</v>
      </c>
      <c r="H1657" t="s">
        <v>7545</v>
      </c>
    </row>
    <row r="1658" spans="1:8" x14ac:dyDescent="0.3">
      <c r="A1658" t="s">
        <v>7546</v>
      </c>
      <c r="C1658" t="s">
        <v>5267</v>
      </c>
      <c r="D1658" t="s">
        <v>9862</v>
      </c>
      <c r="E1658">
        <v>0</v>
      </c>
      <c r="F1658">
        <v>1656</v>
      </c>
      <c r="H1658" t="s">
        <v>7546</v>
      </c>
    </row>
    <row r="1659" spans="1:8" x14ac:dyDescent="0.3">
      <c r="A1659" t="s">
        <v>7547</v>
      </c>
      <c r="C1659" t="s">
        <v>5267</v>
      </c>
      <c r="D1659" t="s">
        <v>9863</v>
      </c>
      <c r="E1659">
        <v>0</v>
      </c>
      <c r="F1659">
        <v>1657</v>
      </c>
      <c r="H1659" t="s">
        <v>7547</v>
      </c>
    </row>
    <row r="1660" spans="1:8" x14ac:dyDescent="0.3">
      <c r="A1660" t="s">
        <v>7548</v>
      </c>
      <c r="C1660" t="s">
        <v>5267</v>
      </c>
      <c r="D1660" t="s">
        <v>9864</v>
      </c>
      <c r="E1660">
        <v>0</v>
      </c>
      <c r="F1660">
        <v>1658</v>
      </c>
      <c r="H1660" t="s">
        <v>7548</v>
      </c>
    </row>
    <row r="1661" spans="1:8" x14ac:dyDescent="0.3">
      <c r="A1661" t="s">
        <v>7549</v>
      </c>
      <c r="C1661" t="s">
        <v>5267</v>
      </c>
      <c r="D1661" t="s">
        <v>9865</v>
      </c>
      <c r="E1661">
        <v>0</v>
      </c>
      <c r="F1661">
        <v>1659</v>
      </c>
      <c r="H1661" t="s">
        <v>7549</v>
      </c>
    </row>
    <row r="1662" spans="1:8" x14ac:dyDescent="0.3">
      <c r="A1662" t="s">
        <v>6665</v>
      </c>
      <c r="C1662" t="s">
        <v>5267</v>
      </c>
      <c r="D1662" t="s">
        <v>9866</v>
      </c>
      <c r="E1662">
        <v>0</v>
      </c>
      <c r="F1662">
        <v>1660</v>
      </c>
      <c r="H1662" t="s">
        <v>6665</v>
      </c>
    </row>
    <row r="1663" spans="1:8" x14ac:dyDescent="0.3">
      <c r="A1663" t="s">
        <v>7550</v>
      </c>
      <c r="C1663" t="s">
        <v>5267</v>
      </c>
      <c r="D1663" t="s">
        <v>9867</v>
      </c>
      <c r="E1663">
        <v>0</v>
      </c>
      <c r="F1663">
        <v>1661</v>
      </c>
      <c r="H1663" t="s">
        <v>7550</v>
      </c>
    </row>
    <row r="1664" spans="1:8" x14ac:dyDescent="0.3">
      <c r="A1664" t="s">
        <v>7551</v>
      </c>
      <c r="C1664" t="s">
        <v>5267</v>
      </c>
      <c r="D1664" t="s">
        <v>9868</v>
      </c>
      <c r="E1664">
        <v>0</v>
      </c>
      <c r="F1664">
        <v>1662</v>
      </c>
      <c r="H1664" t="s">
        <v>7551</v>
      </c>
    </row>
    <row r="1665" spans="1:8" x14ac:dyDescent="0.3">
      <c r="A1665" t="s">
        <v>7552</v>
      </c>
      <c r="C1665" t="s">
        <v>5267</v>
      </c>
      <c r="D1665" t="s">
        <v>9869</v>
      </c>
      <c r="E1665">
        <v>0</v>
      </c>
      <c r="F1665">
        <v>1663</v>
      </c>
      <c r="H1665" t="s">
        <v>7552</v>
      </c>
    </row>
    <row r="1666" spans="1:8" x14ac:dyDescent="0.3">
      <c r="A1666" t="s">
        <v>7553</v>
      </c>
      <c r="C1666" t="s">
        <v>5267</v>
      </c>
      <c r="D1666" t="s">
        <v>9870</v>
      </c>
      <c r="E1666">
        <v>0</v>
      </c>
      <c r="F1666">
        <v>1664</v>
      </c>
      <c r="H1666" t="s">
        <v>7553</v>
      </c>
    </row>
    <row r="1667" spans="1:8" x14ac:dyDescent="0.3">
      <c r="A1667" t="s">
        <v>7554</v>
      </c>
      <c r="C1667" t="s">
        <v>5267</v>
      </c>
      <c r="D1667" t="s">
        <v>9871</v>
      </c>
      <c r="E1667">
        <v>0</v>
      </c>
      <c r="F1667">
        <v>1665</v>
      </c>
      <c r="H1667" t="s">
        <v>7554</v>
      </c>
    </row>
    <row r="1668" spans="1:8" x14ac:dyDescent="0.3">
      <c r="A1668" t="s">
        <v>7555</v>
      </c>
      <c r="C1668" t="s">
        <v>5267</v>
      </c>
      <c r="D1668" t="s">
        <v>9872</v>
      </c>
      <c r="E1668">
        <v>0</v>
      </c>
      <c r="F1668">
        <v>1666</v>
      </c>
      <c r="H1668" t="s">
        <v>7555</v>
      </c>
    </row>
    <row r="1669" spans="1:8" x14ac:dyDescent="0.3">
      <c r="A1669" t="s">
        <v>7556</v>
      </c>
      <c r="C1669" t="s">
        <v>5267</v>
      </c>
      <c r="D1669" t="s">
        <v>9873</v>
      </c>
      <c r="E1669">
        <v>0</v>
      </c>
      <c r="F1669">
        <v>1667</v>
      </c>
      <c r="H1669" t="s">
        <v>7556</v>
      </c>
    </row>
    <row r="1670" spans="1:8" x14ac:dyDescent="0.3">
      <c r="A1670" t="s">
        <v>7557</v>
      </c>
      <c r="C1670" t="s">
        <v>5267</v>
      </c>
      <c r="D1670" t="s">
        <v>9874</v>
      </c>
      <c r="E1670">
        <v>0</v>
      </c>
      <c r="F1670">
        <v>1668</v>
      </c>
      <c r="H1670" t="s">
        <v>7557</v>
      </c>
    </row>
    <row r="1671" spans="1:8" x14ac:dyDescent="0.3">
      <c r="A1671" t="s">
        <v>7558</v>
      </c>
      <c r="C1671" t="s">
        <v>5267</v>
      </c>
      <c r="D1671" t="s">
        <v>9875</v>
      </c>
      <c r="E1671">
        <v>0</v>
      </c>
      <c r="F1671">
        <v>1669</v>
      </c>
      <c r="H1671" t="s">
        <v>7558</v>
      </c>
    </row>
    <row r="1672" spans="1:8" x14ac:dyDescent="0.3">
      <c r="A1672" t="s">
        <v>7559</v>
      </c>
      <c r="C1672" t="s">
        <v>5267</v>
      </c>
      <c r="D1672" t="s">
        <v>9876</v>
      </c>
      <c r="E1672">
        <v>0</v>
      </c>
      <c r="F1672">
        <v>1670</v>
      </c>
      <c r="H1672" t="s">
        <v>7559</v>
      </c>
    </row>
    <row r="1673" spans="1:8" x14ac:dyDescent="0.3">
      <c r="A1673" t="s">
        <v>7560</v>
      </c>
      <c r="C1673" t="s">
        <v>5267</v>
      </c>
      <c r="D1673" t="s">
        <v>9877</v>
      </c>
      <c r="E1673">
        <v>0</v>
      </c>
      <c r="F1673">
        <v>1671</v>
      </c>
      <c r="H1673" t="s">
        <v>7560</v>
      </c>
    </row>
    <row r="1674" spans="1:8" x14ac:dyDescent="0.3">
      <c r="A1674" t="s">
        <v>7561</v>
      </c>
      <c r="C1674" t="s">
        <v>5267</v>
      </c>
      <c r="D1674" t="s">
        <v>9878</v>
      </c>
      <c r="E1674">
        <v>0</v>
      </c>
      <c r="F1674">
        <v>1672</v>
      </c>
      <c r="H1674" t="s">
        <v>7561</v>
      </c>
    </row>
    <row r="1675" spans="1:8" x14ac:dyDescent="0.3">
      <c r="A1675" t="s">
        <v>7562</v>
      </c>
      <c r="C1675" t="s">
        <v>5267</v>
      </c>
      <c r="D1675" t="s">
        <v>9879</v>
      </c>
      <c r="E1675">
        <v>0</v>
      </c>
      <c r="F1675">
        <v>1673</v>
      </c>
      <c r="H1675" t="s">
        <v>7562</v>
      </c>
    </row>
    <row r="1676" spans="1:8" x14ac:dyDescent="0.3">
      <c r="A1676" t="s">
        <v>7563</v>
      </c>
      <c r="C1676" t="s">
        <v>5267</v>
      </c>
      <c r="D1676" t="s">
        <v>9880</v>
      </c>
      <c r="E1676">
        <v>0</v>
      </c>
      <c r="F1676">
        <v>1674</v>
      </c>
      <c r="H1676" t="s">
        <v>7563</v>
      </c>
    </row>
    <row r="1677" spans="1:8" x14ac:dyDescent="0.3">
      <c r="A1677" t="s">
        <v>7564</v>
      </c>
      <c r="C1677" t="s">
        <v>5267</v>
      </c>
      <c r="D1677" t="s">
        <v>9881</v>
      </c>
      <c r="E1677">
        <v>0</v>
      </c>
      <c r="F1677">
        <v>1675</v>
      </c>
      <c r="H1677" t="s">
        <v>7564</v>
      </c>
    </row>
    <row r="1678" spans="1:8" x14ac:dyDescent="0.3">
      <c r="A1678" t="s">
        <v>7565</v>
      </c>
      <c r="C1678" t="s">
        <v>5267</v>
      </c>
      <c r="D1678" t="s">
        <v>9882</v>
      </c>
      <c r="E1678">
        <v>0</v>
      </c>
      <c r="F1678">
        <v>1676</v>
      </c>
      <c r="H1678" t="s">
        <v>7565</v>
      </c>
    </row>
    <row r="1679" spans="1:8" x14ac:dyDescent="0.3">
      <c r="A1679" t="s">
        <v>7566</v>
      </c>
      <c r="C1679" t="s">
        <v>5267</v>
      </c>
      <c r="D1679" t="s">
        <v>9883</v>
      </c>
      <c r="E1679">
        <v>0</v>
      </c>
      <c r="F1679">
        <v>1677</v>
      </c>
      <c r="H1679" t="s">
        <v>7566</v>
      </c>
    </row>
    <row r="1680" spans="1:8" x14ac:dyDescent="0.3">
      <c r="A1680" t="s">
        <v>7567</v>
      </c>
      <c r="C1680" t="s">
        <v>5267</v>
      </c>
      <c r="D1680" t="s">
        <v>9884</v>
      </c>
      <c r="E1680">
        <v>0</v>
      </c>
      <c r="F1680">
        <v>1678</v>
      </c>
      <c r="H1680" t="s">
        <v>7567</v>
      </c>
    </row>
    <row r="1681" spans="1:8" x14ac:dyDescent="0.3">
      <c r="A1681" t="s">
        <v>7568</v>
      </c>
      <c r="C1681" t="s">
        <v>5267</v>
      </c>
      <c r="D1681" t="s">
        <v>9885</v>
      </c>
      <c r="E1681">
        <v>0</v>
      </c>
      <c r="F1681">
        <v>1679</v>
      </c>
      <c r="H1681" t="s">
        <v>7568</v>
      </c>
    </row>
    <row r="1682" spans="1:8" x14ac:dyDescent="0.3">
      <c r="A1682" t="s">
        <v>7569</v>
      </c>
      <c r="C1682" t="s">
        <v>5267</v>
      </c>
      <c r="D1682" t="s">
        <v>9886</v>
      </c>
      <c r="E1682">
        <v>0</v>
      </c>
      <c r="F1682">
        <v>1680</v>
      </c>
      <c r="H1682" t="s">
        <v>7569</v>
      </c>
    </row>
    <row r="1683" spans="1:8" x14ac:dyDescent="0.3">
      <c r="A1683" t="s">
        <v>7570</v>
      </c>
      <c r="C1683" t="s">
        <v>5267</v>
      </c>
      <c r="D1683" t="s">
        <v>9887</v>
      </c>
      <c r="E1683">
        <v>0</v>
      </c>
      <c r="F1683">
        <v>1681</v>
      </c>
      <c r="H1683" t="s">
        <v>7570</v>
      </c>
    </row>
    <row r="1684" spans="1:8" x14ac:dyDescent="0.3">
      <c r="A1684" t="s">
        <v>7571</v>
      </c>
      <c r="C1684" t="s">
        <v>5267</v>
      </c>
      <c r="D1684" t="s">
        <v>9888</v>
      </c>
      <c r="E1684">
        <v>0</v>
      </c>
      <c r="F1684">
        <v>1682</v>
      </c>
      <c r="H1684" t="s">
        <v>7571</v>
      </c>
    </row>
    <row r="1685" spans="1:8" x14ac:dyDescent="0.3">
      <c r="A1685" t="s">
        <v>7572</v>
      </c>
      <c r="C1685" t="s">
        <v>5267</v>
      </c>
      <c r="D1685" t="s">
        <v>9889</v>
      </c>
      <c r="E1685">
        <v>0</v>
      </c>
      <c r="F1685">
        <v>1683</v>
      </c>
      <c r="H1685" t="s">
        <v>7572</v>
      </c>
    </row>
    <row r="1686" spans="1:8" x14ac:dyDescent="0.3">
      <c r="A1686" t="s">
        <v>7573</v>
      </c>
      <c r="C1686" t="s">
        <v>5267</v>
      </c>
      <c r="D1686" t="s">
        <v>9890</v>
      </c>
      <c r="E1686">
        <v>0</v>
      </c>
      <c r="F1686">
        <v>1684</v>
      </c>
      <c r="H1686" t="s">
        <v>7573</v>
      </c>
    </row>
    <row r="1687" spans="1:8" x14ac:dyDescent="0.3">
      <c r="A1687" t="s">
        <v>7574</v>
      </c>
      <c r="C1687" t="s">
        <v>5267</v>
      </c>
      <c r="D1687" t="s">
        <v>9891</v>
      </c>
      <c r="E1687">
        <v>0</v>
      </c>
      <c r="F1687">
        <v>1685</v>
      </c>
      <c r="H1687" t="s">
        <v>7574</v>
      </c>
    </row>
    <row r="1688" spans="1:8" x14ac:dyDescent="0.3">
      <c r="A1688" t="s">
        <v>7575</v>
      </c>
      <c r="C1688" t="s">
        <v>5267</v>
      </c>
      <c r="D1688" t="s">
        <v>9892</v>
      </c>
      <c r="E1688">
        <v>0</v>
      </c>
      <c r="F1688">
        <v>1686</v>
      </c>
      <c r="H1688" t="s">
        <v>7575</v>
      </c>
    </row>
    <row r="1689" spans="1:8" x14ac:dyDescent="0.3">
      <c r="A1689" t="s">
        <v>7576</v>
      </c>
      <c r="C1689" t="s">
        <v>5267</v>
      </c>
      <c r="D1689" t="s">
        <v>9893</v>
      </c>
      <c r="E1689">
        <v>0</v>
      </c>
      <c r="F1689">
        <v>1687</v>
      </c>
      <c r="H1689" t="s">
        <v>7576</v>
      </c>
    </row>
    <row r="1690" spans="1:8" x14ac:dyDescent="0.3">
      <c r="A1690" t="s">
        <v>7577</v>
      </c>
      <c r="C1690" t="s">
        <v>5267</v>
      </c>
      <c r="D1690" t="s">
        <v>9894</v>
      </c>
      <c r="E1690">
        <v>0</v>
      </c>
      <c r="F1690">
        <v>1688</v>
      </c>
      <c r="H1690" t="s">
        <v>7577</v>
      </c>
    </row>
    <row r="1691" spans="1:8" x14ac:dyDescent="0.3">
      <c r="A1691" t="s">
        <v>7578</v>
      </c>
      <c r="C1691" t="s">
        <v>5267</v>
      </c>
      <c r="D1691" t="s">
        <v>9895</v>
      </c>
      <c r="E1691">
        <v>0</v>
      </c>
      <c r="F1691">
        <v>1689</v>
      </c>
      <c r="H1691" t="s">
        <v>7578</v>
      </c>
    </row>
    <row r="1692" spans="1:8" x14ac:dyDescent="0.3">
      <c r="A1692" t="s">
        <v>7579</v>
      </c>
      <c r="C1692" t="s">
        <v>5267</v>
      </c>
      <c r="D1692" t="s">
        <v>9896</v>
      </c>
      <c r="E1692">
        <v>0</v>
      </c>
      <c r="F1692">
        <v>1690</v>
      </c>
      <c r="H1692" t="s">
        <v>7579</v>
      </c>
    </row>
    <row r="1693" spans="1:8" x14ac:dyDescent="0.3">
      <c r="A1693" t="s">
        <v>7580</v>
      </c>
      <c r="C1693" t="s">
        <v>5267</v>
      </c>
      <c r="D1693" t="s">
        <v>9897</v>
      </c>
      <c r="E1693">
        <v>0</v>
      </c>
      <c r="F1693">
        <v>1691</v>
      </c>
      <c r="H1693" t="s">
        <v>7580</v>
      </c>
    </row>
    <row r="1694" spans="1:8" x14ac:dyDescent="0.3">
      <c r="A1694" t="s">
        <v>7581</v>
      </c>
      <c r="C1694" t="s">
        <v>5267</v>
      </c>
      <c r="D1694" t="s">
        <v>9898</v>
      </c>
      <c r="E1694">
        <v>0</v>
      </c>
      <c r="F1694">
        <v>1692</v>
      </c>
      <c r="H1694" t="s">
        <v>7581</v>
      </c>
    </row>
    <row r="1695" spans="1:8" x14ac:dyDescent="0.3">
      <c r="A1695" t="s">
        <v>7582</v>
      </c>
      <c r="C1695" t="s">
        <v>5267</v>
      </c>
      <c r="D1695" t="s">
        <v>9899</v>
      </c>
      <c r="E1695">
        <v>0</v>
      </c>
      <c r="F1695">
        <v>1693</v>
      </c>
      <c r="H1695" t="s">
        <v>7582</v>
      </c>
    </row>
    <row r="1696" spans="1:8" x14ac:dyDescent="0.3">
      <c r="A1696" t="s">
        <v>7583</v>
      </c>
      <c r="C1696" t="s">
        <v>5267</v>
      </c>
      <c r="D1696" t="s">
        <v>9900</v>
      </c>
      <c r="E1696">
        <v>0</v>
      </c>
      <c r="F1696">
        <v>1694</v>
      </c>
      <c r="H1696" t="s">
        <v>7583</v>
      </c>
    </row>
    <row r="1697" spans="1:8" x14ac:dyDescent="0.3">
      <c r="A1697" t="s">
        <v>7584</v>
      </c>
      <c r="C1697" t="s">
        <v>5267</v>
      </c>
      <c r="D1697" t="s">
        <v>9901</v>
      </c>
      <c r="E1697">
        <v>0</v>
      </c>
      <c r="F1697">
        <v>1695</v>
      </c>
      <c r="H1697" t="s">
        <v>7584</v>
      </c>
    </row>
    <row r="1698" spans="1:8" x14ac:dyDescent="0.3">
      <c r="A1698" t="s">
        <v>7585</v>
      </c>
      <c r="C1698" t="s">
        <v>5267</v>
      </c>
      <c r="D1698" t="s">
        <v>9902</v>
      </c>
      <c r="E1698">
        <v>0</v>
      </c>
      <c r="F1698">
        <v>1696</v>
      </c>
      <c r="H1698" t="s">
        <v>7585</v>
      </c>
    </row>
    <row r="1699" spans="1:8" x14ac:dyDescent="0.3">
      <c r="A1699" t="s">
        <v>7586</v>
      </c>
      <c r="C1699" t="s">
        <v>5267</v>
      </c>
      <c r="D1699" t="s">
        <v>9903</v>
      </c>
      <c r="E1699">
        <v>0</v>
      </c>
      <c r="F1699">
        <v>1697</v>
      </c>
      <c r="H1699" t="s">
        <v>7586</v>
      </c>
    </row>
    <row r="1700" spans="1:8" x14ac:dyDescent="0.3">
      <c r="A1700" t="s">
        <v>7587</v>
      </c>
      <c r="C1700" t="s">
        <v>5267</v>
      </c>
      <c r="D1700" t="s">
        <v>9904</v>
      </c>
      <c r="E1700">
        <v>0</v>
      </c>
      <c r="F1700">
        <v>1698</v>
      </c>
      <c r="H1700" t="s">
        <v>7587</v>
      </c>
    </row>
    <row r="1701" spans="1:8" x14ac:dyDescent="0.3">
      <c r="A1701" t="s">
        <v>7588</v>
      </c>
      <c r="C1701" t="s">
        <v>5267</v>
      </c>
      <c r="D1701" t="s">
        <v>9905</v>
      </c>
      <c r="E1701">
        <v>0</v>
      </c>
      <c r="F1701">
        <v>1699</v>
      </c>
      <c r="H1701" t="s">
        <v>7588</v>
      </c>
    </row>
    <row r="1702" spans="1:8" x14ac:dyDescent="0.3">
      <c r="A1702" t="s">
        <v>7589</v>
      </c>
      <c r="C1702" t="s">
        <v>5267</v>
      </c>
      <c r="D1702" t="s">
        <v>9906</v>
      </c>
      <c r="E1702">
        <v>0</v>
      </c>
      <c r="F1702">
        <v>1700</v>
      </c>
      <c r="H1702" t="s">
        <v>7589</v>
      </c>
    </row>
    <row r="1703" spans="1:8" x14ac:dyDescent="0.3">
      <c r="A1703" t="s">
        <v>7590</v>
      </c>
      <c r="C1703" t="s">
        <v>5267</v>
      </c>
      <c r="D1703" t="s">
        <v>9907</v>
      </c>
      <c r="E1703">
        <v>0</v>
      </c>
      <c r="F1703">
        <v>1701</v>
      </c>
      <c r="H1703" t="s">
        <v>7590</v>
      </c>
    </row>
    <row r="1704" spans="1:8" x14ac:dyDescent="0.3">
      <c r="A1704" t="s">
        <v>7591</v>
      </c>
      <c r="C1704" t="s">
        <v>5267</v>
      </c>
      <c r="D1704" t="s">
        <v>9908</v>
      </c>
      <c r="E1704">
        <v>0</v>
      </c>
      <c r="F1704">
        <v>1702</v>
      </c>
      <c r="H1704" t="s">
        <v>7591</v>
      </c>
    </row>
    <row r="1705" spans="1:8" x14ac:dyDescent="0.3">
      <c r="A1705" t="s">
        <v>7592</v>
      </c>
      <c r="C1705" t="s">
        <v>5267</v>
      </c>
      <c r="D1705" t="s">
        <v>9909</v>
      </c>
      <c r="E1705">
        <v>0</v>
      </c>
      <c r="F1705">
        <v>1703</v>
      </c>
      <c r="H1705" t="s">
        <v>7592</v>
      </c>
    </row>
    <row r="1706" spans="1:8" x14ac:dyDescent="0.3">
      <c r="A1706" t="s">
        <v>7593</v>
      </c>
      <c r="C1706" t="s">
        <v>5267</v>
      </c>
      <c r="D1706" t="s">
        <v>9910</v>
      </c>
      <c r="E1706">
        <v>0</v>
      </c>
      <c r="F1706">
        <v>1704</v>
      </c>
      <c r="H1706" t="s">
        <v>7593</v>
      </c>
    </row>
    <row r="1707" spans="1:8" x14ac:dyDescent="0.3">
      <c r="A1707" t="s">
        <v>7594</v>
      </c>
      <c r="C1707" t="s">
        <v>5267</v>
      </c>
      <c r="D1707" t="s">
        <v>9911</v>
      </c>
      <c r="E1707">
        <v>0</v>
      </c>
      <c r="F1707">
        <v>1705</v>
      </c>
      <c r="H1707" t="s">
        <v>7594</v>
      </c>
    </row>
    <row r="1708" spans="1:8" x14ac:dyDescent="0.3">
      <c r="A1708" t="s">
        <v>7595</v>
      </c>
      <c r="C1708" t="s">
        <v>5267</v>
      </c>
      <c r="D1708" t="s">
        <v>9912</v>
      </c>
      <c r="E1708">
        <v>0</v>
      </c>
      <c r="F1708">
        <v>1706</v>
      </c>
      <c r="H1708" t="s">
        <v>7595</v>
      </c>
    </row>
    <row r="1709" spans="1:8" x14ac:dyDescent="0.3">
      <c r="A1709" t="s">
        <v>7596</v>
      </c>
      <c r="C1709" t="s">
        <v>5267</v>
      </c>
      <c r="D1709" t="s">
        <v>9913</v>
      </c>
      <c r="E1709">
        <v>0</v>
      </c>
      <c r="F1709">
        <v>1707</v>
      </c>
      <c r="H1709" t="s">
        <v>7596</v>
      </c>
    </row>
    <row r="1710" spans="1:8" x14ac:dyDescent="0.3">
      <c r="A1710" t="s">
        <v>7597</v>
      </c>
      <c r="C1710" t="s">
        <v>5267</v>
      </c>
      <c r="D1710" t="s">
        <v>9914</v>
      </c>
      <c r="E1710">
        <v>0</v>
      </c>
      <c r="F1710">
        <v>1708</v>
      </c>
      <c r="H1710" t="s">
        <v>7597</v>
      </c>
    </row>
    <row r="1711" spans="1:8" x14ac:dyDescent="0.3">
      <c r="A1711" t="s">
        <v>7598</v>
      </c>
      <c r="C1711" t="s">
        <v>5267</v>
      </c>
      <c r="D1711" t="s">
        <v>9915</v>
      </c>
      <c r="E1711">
        <v>0</v>
      </c>
      <c r="F1711">
        <v>1709</v>
      </c>
      <c r="H1711" t="s">
        <v>7598</v>
      </c>
    </row>
    <row r="1712" spans="1:8" x14ac:dyDescent="0.3">
      <c r="A1712" t="s">
        <v>7599</v>
      </c>
      <c r="C1712" t="s">
        <v>5267</v>
      </c>
      <c r="D1712" t="s">
        <v>9916</v>
      </c>
      <c r="E1712">
        <v>0</v>
      </c>
      <c r="F1712">
        <v>1710</v>
      </c>
      <c r="H1712" t="s">
        <v>7599</v>
      </c>
    </row>
    <row r="1713" spans="1:8" x14ac:dyDescent="0.3">
      <c r="A1713" t="s">
        <v>7600</v>
      </c>
      <c r="C1713" t="s">
        <v>5267</v>
      </c>
      <c r="D1713" t="s">
        <v>9917</v>
      </c>
      <c r="E1713">
        <v>0</v>
      </c>
      <c r="F1713">
        <v>1711</v>
      </c>
      <c r="H1713" t="s">
        <v>7600</v>
      </c>
    </row>
    <row r="1714" spans="1:8" x14ac:dyDescent="0.3">
      <c r="A1714" t="s">
        <v>7601</v>
      </c>
      <c r="C1714" t="s">
        <v>5267</v>
      </c>
      <c r="D1714" t="s">
        <v>9918</v>
      </c>
      <c r="E1714">
        <v>0</v>
      </c>
      <c r="F1714">
        <v>1712</v>
      </c>
      <c r="H1714" t="s">
        <v>7601</v>
      </c>
    </row>
    <row r="1715" spans="1:8" x14ac:dyDescent="0.3">
      <c r="A1715" t="s">
        <v>7602</v>
      </c>
      <c r="C1715" t="s">
        <v>5267</v>
      </c>
      <c r="D1715" t="s">
        <v>9919</v>
      </c>
      <c r="E1715">
        <v>0</v>
      </c>
      <c r="F1715">
        <v>1713</v>
      </c>
      <c r="H1715" t="s">
        <v>7602</v>
      </c>
    </row>
    <row r="1716" spans="1:8" x14ac:dyDescent="0.3">
      <c r="A1716" t="s">
        <v>7603</v>
      </c>
      <c r="C1716" t="s">
        <v>5267</v>
      </c>
      <c r="D1716" t="s">
        <v>9920</v>
      </c>
      <c r="E1716">
        <v>0</v>
      </c>
      <c r="F1716">
        <v>1714</v>
      </c>
      <c r="H1716" t="s">
        <v>7603</v>
      </c>
    </row>
    <row r="1717" spans="1:8" x14ac:dyDescent="0.3">
      <c r="A1717" t="s">
        <v>7604</v>
      </c>
      <c r="C1717" t="s">
        <v>5267</v>
      </c>
      <c r="D1717" t="s">
        <v>9921</v>
      </c>
      <c r="E1717">
        <v>0</v>
      </c>
      <c r="F1717">
        <v>1715</v>
      </c>
      <c r="H1717" t="s">
        <v>7604</v>
      </c>
    </row>
    <row r="1718" spans="1:8" x14ac:dyDescent="0.3">
      <c r="A1718" t="s">
        <v>7605</v>
      </c>
      <c r="C1718" t="s">
        <v>5267</v>
      </c>
      <c r="D1718" t="s">
        <v>9922</v>
      </c>
      <c r="E1718">
        <v>0</v>
      </c>
      <c r="F1718">
        <v>1716</v>
      </c>
      <c r="H1718" t="s">
        <v>7605</v>
      </c>
    </row>
    <row r="1719" spans="1:8" x14ac:dyDescent="0.3">
      <c r="A1719" t="s">
        <v>7606</v>
      </c>
      <c r="C1719" t="s">
        <v>5267</v>
      </c>
      <c r="D1719" t="s">
        <v>9923</v>
      </c>
      <c r="E1719">
        <v>0</v>
      </c>
      <c r="F1719">
        <v>1717</v>
      </c>
      <c r="H1719" t="s">
        <v>7606</v>
      </c>
    </row>
    <row r="1720" spans="1:8" x14ac:dyDescent="0.3">
      <c r="A1720" t="s">
        <v>7607</v>
      </c>
      <c r="C1720" t="s">
        <v>5267</v>
      </c>
      <c r="D1720" t="s">
        <v>9924</v>
      </c>
      <c r="E1720">
        <v>0</v>
      </c>
      <c r="F1720">
        <v>1718</v>
      </c>
      <c r="H1720" t="s">
        <v>7607</v>
      </c>
    </row>
    <row r="1721" spans="1:8" x14ac:dyDescent="0.3">
      <c r="A1721" t="s">
        <v>7608</v>
      </c>
      <c r="C1721" t="s">
        <v>5267</v>
      </c>
      <c r="D1721" t="s">
        <v>9925</v>
      </c>
      <c r="E1721">
        <v>0</v>
      </c>
      <c r="F1721">
        <v>1719</v>
      </c>
      <c r="H1721" t="s">
        <v>7608</v>
      </c>
    </row>
    <row r="1722" spans="1:8" x14ac:dyDescent="0.3">
      <c r="A1722" t="s">
        <v>7609</v>
      </c>
      <c r="C1722" t="s">
        <v>5267</v>
      </c>
      <c r="D1722" t="s">
        <v>9926</v>
      </c>
      <c r="E1722">
        <v>0</v>
      </c>
      <c r="F1722">
        <v>1720</v>
      </c>
      <c r="H1722" t="s">
        <v>7609</v>
      </c>
    </row>
    <row r="1723" spans="1:8" x14ac:dyDescent="0.3">
      <c r="A1723" t="s">
        <v>7610</v>
      </c>
      <c r="C1723" t="s">
        <v>5267</v>
      </c>
      <c r="D1723" t="s">
        <v>9927</v>
      </c>
      <c r="E1723">
        <v>0</v>
      </c>
      <c r="F1723">
        <v>1721</v>
      </c>
      <c r="H1723" t="s">
        <v>7610</v>
      </c>
    </row>
    <row r="1724" spans="1:8" x14ac:dyDescent="0.3">
      <c r="A1724" t="s">
        <v>7611</v>
      </c>
      <c r="C1724" t="s">
        <v>5267</v>
      </c>
      <c r="D1724" t="s">
        <v>9928</v>
      </c>
      <c r="E1724">
        <v>0</v>
      </c>
      <c r="F1724">
        <v>1722</v>
      </c>
      <c r="H1724" t="s">
        <v>7611</v>
      </c>
    </row>
    <row r="1725" spans="1:8" x14ac:dyDescent="0.3">
      <c r="A1725" t="s">
        <v>7612</v>
      </c>
      <c r="C1725" t="s">
        <v>5267</v>
      </c>
      <c r="D1725" t="s">
        <v>9929</v>
      </c>
      <c r="E1725">
        <v>0</v>
      </c>
      <c r="F1725">
        <v>1723</v>
      </c>
      <c r="H1725" t="s">
        <v>7612</v>
      </c>
    </row>
    <row r="1726" spans="1:8" x14ac:dyDescent="0.3">
      <c r="A1726" t="s">
        <v>7613</v>
      </c>
      <c r="C1726" t="s">
        <v>5267</v>
      </c>
      <c r="D1726" t="s">
        <v>9930</v>
      </c>
      <c r="E1726">
        <v>0</v>
      </c>
      <c r="F1726">
        <v>1724</v>
      </c>
      <c r="H1726" t="s">
        <v>7613</v>
      </c>
    </row>
    <row r="1727" spans="1:8" x14ac:dyDescent="0.3">
      <c r="A1727" t="s">
        <v>7614</v>
      </c>
      <c r="C1727" t="s">
        <v>5267</v>
      </c>
      <c r="D1727" t="s">
        <v>9931</v>
      </c>
      <c r="E1727">
        <v>0</v>
      </c>
      <c r="F1727">
        <v>1725</v>
      </c>
      <c r="H1727" t="s">
        <v>7614</v>
      </c>
    </row>
    <row r="1728" spans="1:8" x14ac:dyDescent="0.3">
      <c r="A1728" t="s">
        <v>7615</v>
      </c>
      <c r="C1728" t="s">
        <v>5267</v>
      </c>
      <c r="D1728" t="s">
        <v>9932</v>
      </c>
      <c r="E1728">
        <v>0</v>
      </c>
      <c r="F1728">
        <v>1726</v>
      </c>
      <c r="H1728" t="s">
        <v>7615</v>
      </c>
    </row>
    <row r="1729" spans="1:8" x14ac:dyDescent="0.3">
      <c r="A1729" t="s">
        <v>7616</v>
      </c>
      <c r="C1729" t="s">
        <v>5267</v>
      </c>
      <c r="D1729" t="s">
        <v>9933</v>
      </c>
      <c r="E1729">
        <v>0</v>
      </c>
      <c r="F1729">
        <v>1727</v>
      </c>
      <c r="H1729" t="s">
        <v>7616</v>
      </c>
    </row>
    <row r="1730" spans="1:8" x14ac:dyDescent="0.3">
      <c r="A1730" t="s">
        <v>7617</v>
      </c>
      <c r="C1730" t="s">
        <v>5267</v>
      </c>
      <c r="D1730" t="s">
        <v>9934</v>
      </c>
      <c r="E1730">
        <v>0</v>
      </c>
      <c r="F1730">
        <v>1728</v>
      </c>
      <c r="H1730" t="s">
        <v>7617</v>
      </c>
    </row>
    <row r="1731" spans="1:8" x14ac:dyDescent="0.3">
      <c r="A1731" t="s">
        <v>7618</v>
      </c>
      <c r="C1731" t="s">
        <v>5267</v>
      </c>
      <c r="D1731" t="s">
        <v>9935</v>
      </c>
      <c r="E1731">
        <v>0</v>
      </c>
      <c r="F1731">
        <v>1729</v>
      </c>
      <c r="H1731" t="s">
        <v>7618</v>
      </c>
    </row>
    <row r="1732" spans="1:8" x14ac:dyDescent="0.3">
      <c r="A1732" t="s">
        <v>7619</v>
      </c>
      <c r="C1732" t="s">
        <v>5267</v>
      </c>
      <c r="D1732" t="s">
        <v>9936</v>
      </c>
      <c r="E1732">
        <v>0</v>
      </c>
      <c r="F1732">
        <v>1730</v>
      </c>
      <c r="H1732" t="s">
        <v>7619</v>
      </c>
    </row>
    <row r="1733" spans="1:8" x14ac:dyDescent="0.3">
      <c r="A1733" t="s">
        <v>7620</v>
      </c>
      <c r="C1733" t="s">
        <v>5267</v>
      </c>
      <c r="D1733" t="s">
        <v>9937</v>
      </c>
      <c r="E1733">
        <v>0</v>
      </c>
      <c r="F1733">
        <v>1731</v>
      </c>
      <c r="H1733" t="s">
        <v>7620</v>
      </c>
    </row>
    <row r="1734" spans="1:8" x14ac:dyDescent="0.3">
      <c r="A1734" t="s">
        <v>6478</v>
      </c>
      <c r="C1734" t="s">
        <v>5267</v>
      </c>
      <c r="D1734" t="s">
        <v>9938</v>
      </c>
      <c r="E1734">
        <v>0</v>
      </c>
      <c r="F1734">
        <v>1732</v>
      </c>
      <c r="H1734" t="s">
        <v>6478</v>
      </c>
    </row>
    <row r="1735" spans="1:8" x14ac:dyDescent="0.3">
      <c r="A1735" t="s">
        <v>7621</v>
      </c>
      <c r="C1735" t="s">
        <v>5267</v>
      </c>
      <c r="D1735" t="s">
        <v>9939</v>
      </c>
      <c r="E1735">
        <v>0</v>
      </c>
      <c r="F1735">
        <v>1733</v>
      </c>
      <c r="H1735" t="s">
        <v>7621</v>
      </c>
    </row>
    <row r="1736" spans="1:8" x14ac:dyDescent="0.3">
      <c r="A1736" t="s">
        <v>7622</v>
      </c>
      <c r="C1736" t="s">
        <v>5267</v>
      </c>
      <c r="D1736" t="s">
        <v>9940</v>
      </c>
      <c r="E1736">
        <v>0</v>
      </c>
      <c r="F1736">
        <v>1734</v>
      </c>
      <c r="H1736" t="s">
        <v>7622</v>
      </c>
    </row>
    <row r="1737" spans="1:8" x14ac:dyDescent="0.3">
      <c r="A1737" t="s">
        <v>7623</v>
      </c>
      <c r="C1737" t="s">
        <v>5267</v>
      </c>
      <c r="D1737" t="s">
        <v>9941</v>
      </c>
      <c r="E1737">
        <v>0</v>
      </c>
      <c r="F1737">
        <v>1735</v>
      </c>
      <c r="H1737" t="s">
        <v>7623</v>
      </c>
    </row>
    <row r="1738" spans="1:8" x14ac:dyDescent="0.3">
      <c r="A1738" t="s">
        <v>7624</v>
      </c>
      <c r="C1738" t="s">
        <v>5267</v>
      </c>
      <c r="D1738" t="s">
        <v>9942</v>
      </c>
      <c r="E1738">
        <v>0</v>
      </c>
      <c r="F1738">
        <v>1736</v>
      </c>
      <c r="H1738" t="s">
        <v>7624</v>
      </c>
    </row>
    <row r="1739" spans="1:8" x14ac:dyDescent="0.3">
      <c r="A1739" t="s">
        <v>7625</v>
      </c>
      <c r="C1739" t="s">
        <v>5267</v>
      </c>
      <c r="D1739" t="s">
        <v>9943</v>
      </c>
      <c r="E1739">
        <v>0</v>
      </c>
      <c r="F1739">
        <v>1737</v>
      </c>
      <c r="H1739" t="s">
        <v>7625</v>
      </c>
    </row>
    <row r="1740" spans="1:8" x14ac:dyDescent="0.3">
      <c r="A1740" t="s">
        <v>7626</v>
      </c>
      <c r="C1740" t="s">
        <v>5267</v>
      </c>
      <c r="D1740" t="s">
        <v>9944</v>
      </c>
      <c r="E1740">
        <v>0</v>
      </c>
      <c r="F1740">
        <v>1738</v>
      </c>
      <c r="H1740" t="s">
        <v>7626</v>
      </c>
    </row>
    <row r="1741" spans="1:8" x14ac:dyDescent="0.3">
      <c r="A1741" t="s">
        <v>7627</v>
      </c>
      <c r="C1741" t="s">
        <v>5267</v>
      </c>
      <c r="D1741" t="s">
        <v>9945</v>
      </c>
      <c r="E1741">
        <v>0</v>
      </c>
      <c r="F1741">
        <v>1739</v>
      </c>
      <c r="H1741" t="s">
        <v>7627</v>
      </c>
    </row>
    <row r="1742" spans="1:8" x14ac:dyDescent="0.3">
      <c r="A1742" t="s">
        <v>7628</v>
      </c>
      <c r="C1742" t="s">
        <v>5267</v>
      </c>
      <c r="D1742" t="s">
        <v>9946</v>
      </c>
      <c r="E1742">
        <v>0</v>
      </c>
      <c r="F1742">
        <v>1740</v>
      </c>
      <c r="H1742" t="s">
        <v>7628</v>
      </c>
    </row>
    <row r="1743" spans="1:8" x14ac:dyDescent="0.3">
      <c r="A1743" t="s">
        <v>7629</v>
      </c>
      <c r="C1743" t="s">
        <v>5267</v>
      </c>
      <c r="D1743" t="s">
        <v>9947</v>
      </c>
      <c r="E1743">
        <v>0</v>
      </c>
      <c r="F1743">
        <v>1741</v>
      </c>
      <c r="H1743" t="s">
        <v>7629</v>
      </c>
    </row>
    <row r="1744" spans="1:8" x14ac:dyDescent="0.3">
      <c r="A1744" t="s">
        <v>7630</v>
      </c>
      <c r="C1744" t="s">
        <v>5267</v>
      </c>
      <c r="D1744" t="s">
        <v>9948</v>
      </c>
      <c r="E1744">
        <v>0</v>
      </c>
      <c r="F1744">
        <v>1742</v>
      </c>
      <c r="H1744" t="s">
        <v>7630</v>
      </c>
    </row>
    <row r="1745" spans="1:8" x14ac:dyDescent="0.3">
      <c r="A1745" t="s">
        <v>7631</v>
      </c>
      <c r="C1745" t="s">
        <v>5267</v>
      </c>
      <c r="D1745" t="s">
        <v>9949</v>
      </c>
      <c r="E1745">
        <v>0</v>
      </c>
      <c r="F1745">
        <v>1743</v>
      </c>
      <c r="H1745" t="s">
        <v>7631</v>
      </c>
    </row>
    <row r="1746" spans="1:8" x14ac:dyDescent="0.3">
      <c r="A1746" t="s">
        <v>7632</v>
      </c>
      <c r="C1746" t="s">
        <v>5267</v>
      </c>
      <c r="D1746" t="s">
        <v>9950</v>
      </c>
      <c r="E1746">
        <v>0</v>
      </c>
      <c r="F1746">
        <v>1744</v>
      </c>
      <c r="H1746" t="s">
        <v>7632</v>
      </c>
    </row>
    <row r="1747" spans="1:8" x14ac:dyDescent="0.3">
      <c r="A1747" t="s">
        <v>7633</v>
      </c>
      <c r="C1747" t="s">
        <v>5267</v>
      </c>
      <c r="D1747" t="s">
        <v>9951</v>
      </c>
      <c r="E1747">
        <v>0</v>
      </c>
      <c r="F1747">
        <v>1745</v>
      </c>
      <c r="H1747" t="s">
        <v>7633</v>
      </c>
    </row>
    <row r="1748" spans="1:8" x14ac:dyDescent="0.3">
      <c r="A1748" t="s">
        <v>7634</v>
      </c>
      <c r="C1748" t="s">
        <v>5267</v>
      </c>
      <c r="D1748" t="s">
        <v>9952</v>
      </c>
      <c r="E1748">
        <v>0</v>
      </c>
      <c r="F1748">
        <v>1746</v>
      </c>
      <c r="H1748" t="s">
        <v>7634</v>
      </c>
    </row>
    <row r="1749" spans="1:8" x14ac:dyDescent="0.3">
      <c r="A1749" t="s">
        <v>7635</v>
      </c>
      <c r="C1749" t="s">
        <v>5267</v>
      </c>
      <c r="D1749" t="s">
        <v>9953</v>
      </c>
      <c r="E1749">
        <v>0</v>
      </c>
      <c r="F1749">
        <v>1747</v>
      </c>
      <c r="H1749" t="s">
        <v>7635</v>
      </c>
    </row>
    <row r="1750" spans="1:8" x14ac:dyDescent="0.3">
      <c r="A1750" t="s">
        <v>7636</v>
      </c>
      <c r="C1750" t="s">
        <v>5267</v>
      </c>
      <c r="D1750" t="s">
        <v>9954</v>
      </c>
      <c r="E1750">
        <v>0</v>
      </c>
      <c r="F1750">
        <v>1748</v>
      </c>
      <c r="H1750" t="s">
        <v>7636</v>
      </c>
    </row>
    <row r="1751" spans="1:8" x14ac:dyDescent="0.3">
      <c r="A1751" t="s">
        <v>7637</v>
      </c>
      <c r="C1751" t="s">
        <v>5267</v>
      </c>
      <c r="D1751" t="s">
        <v>9955</v>
      </c>
      <c r="E1751">
        <v>0</v>
      </c>
      <c r="F1751">
        <v>1749</v>
      </c>
      <c r="H1751" t="s">
        <v>7637</v>
      </c>
    </row>
    <row r="1752" spans="1:8" x14ac:dyDescent="0.3">
      <c r="A1752" t="s">
        <v>7638</v>
      </c>
      <c r="C1752" t="s">
        <v>5267</v>
      </c>
      <c r="D1752" t="s">
        <v>9956</v>
      </c>
      <c r="E1752">
        <v>0</v>
      </c>
      <c r="F1752">
        <v>1750</v>
      </c>
      <c r="H1752" t="s">
        <v>7638</v>
      </c>
    </row>
    <row r="1753" spans="1:8" x14ac:dyDescent="0.3">
      <c r="A1753" t="s">
        <v>7639</v>
      </c>
      <c r="C1753" t="s">
        <v>5267</v>
      </c>
      <c r="D1753" t="s">
        <v>9957</v>
      </c>
      <c r="E1753">
        <v>0</v>
      </c>
      <c r="F1753">
        <v>1751</v>
      </c>
      <c r="H1753" t="s">
        <v>7639</v>
      </c>
    </row>
    <row r="1754" spans="1:8" x14ac:dyDescent="0.3">
      <c r="A1754" t="s">
        <v>7640</v>
      </c>
      <c r="C1754" t="s">
        <v>5267</v>
      </c>
      <c r="D1754" t="s">
        <v>9958</v>
      </c>
      <c r="E1754">
        <v>0</v>
      </c>
      <c r="F1754">
        <v>1752</v>
      </c>
      <c r="H1754" t="s">
        <v>7640</v>
      </c>
    </row>
    <row r="1755" spans="1:8" x14ac:dyDescent="0.3">
      <c r="A1755" t="s">
        <v>7641</v>
      </c>
      <c r="C1755" t="s">
        <v>5267</v>
      </c>
      <c r="D1755" t="s">
        <v>9959</v>
      </c>
      <c r="E1755">
        <v>0</v>
      </c>
      <c r="F1755">
        <v>1753</v>
      </c>
      <c r="H1755" t="s">
        <v>7641</v>
      </c>
    </row>
    <row r="1756" spans="1:8" x14ac:dyDescent="0.3">
      <c r="A1756" t="s">
        <v>7642</v>
      </c>
      <c r="C1756" t="s">
        <v>5267</v>
      </c>
      <c r="D1756" t="s">
        <v>9960</v>
      </c>
      <c r="E1756">
        <v>0</v>
      </c>
      <c r="F1756">
        <v>1754</v>
      </c>
      <c r="H1756" t="s">
        <v>7642</v>
      </c>
    </row>
    <row r="1757" spans="1:8" x14ac:dyDescent="0.3">
      <c r="A1757" t="s">
        <v>7643</v>
      </c>
      <c r="C1757" t="s">
        <v>5267</v>
      </c>
      <c r="D1757" t="s">
        <v>9961</v>
      </c>
      <c r="E1757">
        <v>0</v>
      </c>
      <c r="F1757">
        <v>1755</v>
      </c>
      <c r="H1757" t="s">
        <v>7643</v>
      </c>
    </row>
    <row r="1758" spans="1:8" x14ac:dyDescent="0.3">
      <c r="A1758" t="s">
        <v>7644</v>
      </c>
      <c r="C1758" t="s">
        <v>5267</v>
      </c>
      <c r="D1758" t="s">
        <v>9962</v>
      </c>
      <c r="E1758">
        <v>0</v>
      </c>
      <c r="F1758">
        <v>1756</v>
      </c>
      <c r="H1758" t="s">
        <v>7644</v>
      </c>
    </row>
    <row r="1759" spans="1:8" x14ac:dyDescent="0.3">
      <c r="A1759" t="s">
        <v>7645</v>
      </c>
      <c r="C1759" t="s">
        <v>5267</v>
      </c>
      <c r="D1759" t="s">
        <v>9963</v>
      </c>
      <c r="E1759">
        <v>0</v>
      </c>
      <c r="F1759">
        <v>1757</v>
      </c>
      <c r="H1759" t="s">
        <v>7645</v>
      </c>
    </row>
    <row r="1760" spans="1:8" x14ac:dyDescent="0.3">
      <c r="A1760" t="s">
        <v>7646</v>
      </c>
      <c r="C1760" t="s">
        <v>5267</v>
      </c>
      <c r="D1760" t="s">
        <v>9964</v>
      </c>
      <c r="E1760">
        <v>0</v>
      </c>
      <c r="F1760">
        <v>1758</v>
      </c>
      <c r="H1760" t="s">
        <v>7646</v>
      </c>
    </row>
    <row r="1761" spans="1:8" x14ac:dyDescent="0.3">
      <c r="A1761" t="s">
        <v>7647</v>
      </c>
      <c r="C1761" t="s">
        <v>5267</v>
      </c>
      <c r="D1761" t="s">
        <v>9965</v>
      </c>
      <c r="E1761">
        <v>0</v>
      </c>
      <c r="F1761">
        <v>1759</v>
      </c>
      <c r="H1761" t="s">
        <v>7647</v>
      </c>
    </row>
    <row r="1762" spans="1:8" x14ac:dyDescent="0.3">
      <c r="A1762" t="s">
        <v>7648</v>
      </c>
      <c r="C1762" t="s">
        <v>5267</v>
      </c>
      <c r="D1762" t="s">
        <v>9966</v>
      </c>
      <c r="E1762">
        <v>0</v>
      </c>
      <c r="F1762">
        <v>1760</v>
      </c>
      <c r="H1762" t="s">
        <v>7648</v>
      </c>
    </row>
    <row r="1763" spans="1:8" x14ac:dyDescent="0.3">
      <c r="A1763" t="s">
        <v>6479</v>
      </c>
      <c r="C1763" t="s">
        <v>5267</v>
      </c>
      <c r="D1763" t="s">
        <v>9967</v>
      </c>
      <c r="E1763">
        <v>0</v>
      </c>
      <c r="F1763">
        <v>1761</v>
      </c>
      <c r="H1763" t="s">
        <v>6479</v>
      </c>
    </row>
    <row r="1764" spans="1:8" x14ac:dyDescent="0.3">
      <c r="A1764" t="s">
        <v>6480</v>
      </c>
      <c r="C1764" t="s">
        <v>5267</v>
      </c>
      <c r="D1764" t="s">
        <v>9968</v>
      </c>
      <c r="E1764">
        <v>0</v>
      </c>
      <c r="F1764">
        <v>1762</v>
      </c>
      <c r="H1764" t="s">
        <v>6480</v>
      </c>
    </row>
    <row r="1765" spans="1:8" x14ac:dyDescent="0.3">
      <c r="A1765" t="s">
        <v>6481</v>
      </c>
      <c r="C1765" t="s">
        <v>5267</v>
      </c>
      <c r="D1765" t="s">
        <v>9969</v>
      </c>
      <c r="E1765">
        <v>0</v>
      </c>
      <c r="F1765">
        <v>1763</v>
      </c>
      <c r="H1765" t="s">
        <v>6481</v>
      </c>
    </row>
    <row r="1766" spans="1:8" x14ac:dyDescent="0.3">
      <c r="A1766" t="s">
        <v>6482</v>
      </c>
      <c r="C1766" t="s">
        <v>5267</v>
      </c>
      <c r="D1766" t="s">
        <v>9970</v>
      </c>
      <c r="E1766">
        <v>0</v>
      </c>
      <c r="F1766">
        <v>1764</v>
      </c>
      <c r="H1766" t="s">
        <v>6482</v>
      </c>
    </row>
    <row r="1767" spans="1:8" x14ac:dyDescent="0.3">
      <c r="A1767" t="s">
        <v>6483</v>
      </c>
      <c r="C1767" t="s">
        <v>5267</v>
      </c>
      <c r="D1767" t="s">
        <v>9971</v>
      </c>
      <c r="E1767">
        <v>0</v>
      </c>
      <c r="F1767">
        <v>1765</v>
      </c>
      <c r="H1767" t="s">
        <v>6483</v>
      </c>
    </row>
    <row r="1768" spans="1:8" x14ac:dyDescent="0.3">
      <c r="A1768" t="s">
        <v>6484</v>
      </c>
      <c r="C1768" t="s">
        <v>5267</v>
      </c>
      <c r="D1768" t="s">
        <v>9972</v>
      </c>
      <c r="E1768">
        <v>0</v>
      </c>
      <c r="F1768">
        <v>1766</v>
      </c>
      <c r="H1768" t="s">
        <v>6484</v>
      </c>
    </row>
    <row r="1769" spans="1:8" x14ac:dyDescent="0.3">
      <c r="A1769" t="s">
        <v>6485</v>
      </c>
      <c r="C1769" t="s">
        <v>5267</v>
      </c>
      <c r="D1769" t="s">
        <v>9973</v>
      </c>
      <c r="E1769">
        <v>0</v>
      </c>
      <c r="F1769">
        <v>1767</v>
      </c>
      <c r="H1769" t="s">
        <v>6485</v>
      </c>
    </row>
    <row r="1770" spans="1:8" x14ac:dyDescent="0.3">
      <c r="A1770" t="s">
        <v>6486</v>
      </c>
      <c r="C1770" t="s">
        <v>5267</v>
      </c>
      <c r="D1770" t="s">
        <v>9974</v>
      </c>
      <c r="E1770">
        <v>0</v>
      </c>
      <c r="F1770">
        <v>1768</v>
      </c>
      <c r="H1770" t="s">
        <v>6486</v>
      </c>
    </row>
    <row r="1771" spans="1:8" x14ac:dyDescent="0.3">
      <c r="A1771" t="s">
        <v>6486</v>
      </c>
      <c r="C1771" t="s">
        <v>5267</v>
      </c>
      <c r="D1771" t="s">
        <v>9975</v>
      </c>
      <c r="E1771">
        <v>0</v>
      </c>
      <c r="F1771">
        <v>1769</v>
      </c>
      <c r="H1771" t="s">
        <v>6486</v>
      </c>
    </row>
    <row r="1772" spans="1:8" x14ac:dyDescent="0.3">
      <c r="A1772" t="s">
        <v>6487</v>
      </c>
      <c r="C1772" t="s">
        <v>5267</v>
      </c>
      <c r="D1772" t="s">
        <v>9976</v>
      </c>
      <c r="E1772">
        <v>0</v>
      </c>
      <c r="F1772">
        <v>1770</v>
      </c>
      <c r="H1772" t="s">
        <v>6487</v>
      </c>
    </row>
    <row r="1773" spans="1:8" x14ac:dyDescent="0.3">
      <c r="A1773" t="s">
        <v>6488</v>
      </c>
      <c r="C1773" t="s">
        <v>5267</v>
      </c>
      <c r="D1773" t="s">
        <v>9977</v>
      </c>
      <c r="E1773">
        <v>0</v>
      </c>
      <c r="F1773">
        <v>1771</v>
      </c>
      <c r="H1773" t="s">
        <v>6488</v>
      </c>
    </row>
    <row r="1774" spans="1:8" x14ac:dyDescent="0.3">
      <c r="A1774" t="s">
        <v>6489</v>
      </c>
      <c r="C1774" t="s">
        <v>5267</v>
      </c>
      <c r="D1774" t="s">
        <v>9978</v>
      </c>
      <c r="E1774">
        <v>0</v>
      </c>
      <c r="F1774">
        <v>1772</v>
      </c>
      <c r="H1774" t="s">
        <v>6489</v>
      </c>
    </row>
    <row r="1775" spans="1:8" x14ac:dyDescent="0.3">
      <c r="A1775" t="s">
        <v>6490</v>
      </c>
      <c r="C1775" t="s">
        <v>5267</v>
      </c>
      <c r="D1775" t="s">
        <v>9979</v>
      </c>
      <c r="E1775">
        <v>0</v>
      </c>
      <c r="F1775">
        <v>1773</v>
      </c>
      <c r="H1775" t="s">
        <v>6490</v>
      </c>
    </row>
    <row r="1776" spans="1:8" x14ac:dyDescent="0.3">
      <c r="A1776" t="s">
        <v>6491</v>
      </c>
      <c r="C1776" t="s">
        <v>5267</v>
      </c>
      <c r="D1776" t="s">
        <v>9980</v>
      </c>
      <c r="E1776">
        <v>0</v>
      </c>
      <c r="F1776">
        <v>1774</v>
      </c>
      <c r="H1776" t="s">
        <v>6491</v>
      </c>
    </row>
    <row r="1777" spans="1:8" x14ac:dyDescent="0.3">
      <c r="A1777" t="s">
        <v>6492</v>
      </c>
      <c r="C1777" t="s">
        <v>5267</v>
      </c>
      <c r="D1777" t="s">
        <v>9981</v>
      </c>
      <c r="E1777">
        <v>0</v>
      </c>
      <c r="F1777">
        <v>1775</v>
      </c>
      <c r="H1777" t="s">
        <v>6492</v>
      </c>
    </row>
    <row r="1778" spans="1:8" x14ac:dyDescent="0.3">
      <c r="A1778" t="s">
        <v>6493</v>
      </c>
      <c r="C1778" t="s">
        <v>5267</v>
      </c>
      <c r="D1778" t="s">
        <v>9982</v>
      </c>
      <c r="E1778">
        <v>0</v>
      </c>
      <c r="F1778">
        <v>1776</v>
      </c>
      <c r="H1778" t="s">
        <v>6493</v>
      </c>
    </row>
    <row r="1779" spans="1:8" x14ac:dyDescent="0.3">
      <c r="A1779" t="s">
        <v>7649</v>
      </c>
      <c r="C1779" t="s">
        <v>5267</v>
      </c>
      <c r="D1779" t="s">
        <v>9983</v>
      </c>
      <c r="E1779">
        <v>0</v>
      </c>
      <c r="F1779">
        <v>1777</v>
      </c>
      <c r="H1779" t="s">
        <v>7649</v>
      </c>
    </row>
    <row r="1780" spans="1:8" x14ac:dyDescent="0.3">
      <c r="A1780" t="s">
        <v>7650</v>
      </c>
      <c r="C1780" t="s">
        <v>5267</v>
      </c>
      <c r="D1780" t="s">
        <v>9984</v>
      </c>
      <c r="E1780">
        <v>0</v>
      </c>
      <c r="F1780">
        <v>1778</v>
      </c>
      <c r="H1780" t="s">
        <v>7650</v>
      </c>
    </row>
    <row r="1781" spans="1:8" x14ac:dyDescent="0.3">
      <c r="A1781" t="s">
        <v>7651</v>
      </c>
      <c r="C1781" t="s">
        <v>5267</v>
      </c>
      <c r="D1781" t="s">
        <v>9985</v>
      </c>
      <c r="E1781">
        <v>0</v>
      </c>
      <c r="F1781">
        <v>1779</v>
      </c>
      <c r="H1781" t="s">
        <v>7651</v>
      </c>
    </row>
    <row r="1782" spans="1:8" x14ac:dyDescent="0.3">
      <c r="A1782" t="s">
        <v>7652</v>
      </c>
      <c r="C1782" t="s">
        <v>5267</v>
      </c>
      <c r="D1782" t="s">
        <v>9986</v>
      </c>
      <c r="E1782">
        <v>0</v>
      </c>
      <c r="F1782">
        <v>1780</v>
      </c>
      <c r="H1782" t="s">
        <v>7652</v>
      </c>
    </row>
    <row r="1783" spans="1:8" x14ac:dyDescent="0.3">
      <c r="A1783" t="s">
        <v>7653</v>
      </c>
      <c r="C1783" t="s">
        <v>5267</v>
      </c>
      <c r="D1783" t="s">
        <v>9987</v>
      </c>
      <c r="E1783">
        <v>0</v>
      </c>
      <c r="F1783">
        <v>1781</v>
      </c>
      <c r="H1783" t="s">
        <v>7653</v>
      </c>
    </row>
    <row r="1784" spans="1:8" x14ac:dyDescent="0.3">
      <c r="A1784" t="s">
        <v>7654</v>
      </c>
      <c r="C1784" t="s">
        <v>5267</v>
      </c>
      <c r="D1784" t="s">
        <v>9988</v>
      </c>
      <c r="E1784">
        <v>0</v>
      </c>
      <c r="F1784">
        <v>1782</v>
      </c>
      <c r="H1784" t="s">
        <v>7654</v>
      </c>
    </row>
    <row r="1785" spans="1:8" x14ac:dyDescent="0.3">
      <c r="A1785" t="s">
        <v>7655</v>
      </c>
      <c r="C1785" t="s">
        <v>5267</v>
      </c>
      <c r="D1785" t="s">
        <v>9989</v>
      </c>
      <c r="E1785">
        <v>0</v>
      </c>
      <c r="F1785">
        <v>1783</v>
      </c>
      <c r="H1785" t="s">
        <v>7655</v>
      </c>
    </row>
    <row r="1786" spans="1:8" x14ac:dyDescent="0.3">
      <c r="A1786" t="s">
        <v>7656</v>
      </c>
      <c r="C1786" t="s">
        <v>5267</v>
      </c>
      <c r="D1786" t="s">
        <v>9990</v>
      </c>
      <c r="E1786">
        <v>0</v>
      </c>
      <c r="F1786">
        <v>1784</v>
      </c>
      <c r="H1786" t="s">
        <v>7656</v>
      </c>
    </row>
    <row r="1787" spans="1:8" x14ac:dyDescent="0.3">
      <c r="A1787" t="s">
        <v>7657</v>
      </c>
      <c r="C1787" t="s">
        <v>5267</v>
      </c>
      <c r="D1787" t="s">
        <v>9991</v>
      </c>
      <c r="E1787">
        <v>0</v>
      </c>
      <c r="F1787">
        <v>1785</v>
      </c>
      <c r="H1787" t="s">
        <v>7657</v>
      </c>
    </row>
    <row r="1788" spans="1:8" x14ac:dyDescent="0.3">
      <c r="A1788" t="s">
        <v>7658</v>
      </c>
      <c r="C1788" t="s">
        <v>5267</v>
      </c>
      <c r="D1788" t="s">
        <v>9992</v>
      </c>
      <c r="E1788">
        <v>0</v>
      </c>
      <c r="F1788">
        <v>1786</v>
      </c>
      <c r="H1788" t="s">
        <v>7658</v>
      </c>
    </row>
    <row r="1789" spans="1:8" x14ac:dyDescent="0.3">
      <c r="A1789" t="s">
        <v>7659</v>
      </c>
      <c r="C1789" t="s">
        <v>5267</v>
      </c>
      <c r="D1789" t="s">
        <v>9993</v>
      </c>
      <c r="E1789">
        <v>0</v>
      </c>
      <c r="F1789">
        <v>1787</v>
      </c>
      <c r="H1789" t="s">
        <v>7659</v>
      </c>
    </row>
    <row r="1790" spans="1:8" x14ac:dyDescent="0.3">
      <c r="A1790" t="s">
        <v>7660</v>
      </c>
      <c r="C1790" t="s">
        <v>5267</v>
      </c>
      <c r="D1790" t="s">
        <v>9994</v>
      </c>
      <c r="E1790">
        <v>0</v>
      </c>
      <c r="F1790">
        <v>1788</v>
      </c>
      <c r="H1790" t="s">
        <v>7660</v>
      </c>
    </row>
    <row r="1791" spans="1:8" x14ac:dyDescent="0.3">
      <c r="A1791" t="s">
        <v>7661</v>
      </c>
      <c r="C1791" t="s">
        <v>5267</v>
      </c>
      <c r="D1791" t="s">
        <v>9995</v>
      </c>
      <c r="E1791">
        <v>0</v>
      </c>
      <c r="F1791">
        <v>1789</v>
      </c>
      <c r="H1791" t="s">
        <v>7661</v>
      </c>
    </row>
    <row r="1792" spans="1:8" x14ac:dyDescent="0.3">
      <c r="A1792" t="s">
        <v>7662</v>
      </c>
      <c r="C1792" t="s">
        <v>5267</v>
      </c>
      <c r="D1792" t="s">
        <v>9996</v>
      </c>
      <c r="E1792">
        <v>0</v>
      </c>
      <c r="F1792">
        <v>1790</v>
      </c>
      <c r="H1792" t="s">
        <v>7662</v>
      </c>
    </row>
    <row r="1793" spans="1:8" x14ac:dyDescent="0.3">
      <c r="A1793" t="s">
        <v>7663</v>
      </c>
      <c r="C1793" t="s">
        <v>5267</v>
      </c>
      <c r="D1793" t="s">
        <v>9997</v>
      </c>
      <c r="E1793">
        <v>0</v>
      </c>
      <c r="F1793">
        <v>1791</v>
      </c>
      <c r="H1793" t="s">
        <v>7663</v>
      </c>
    </row>
    <row r="1794" spans="1:8" x14ac:dyDescent="0.3">
      <c r="A1794" t="s">
        <v>7664</v>
      </c>
      <c r="C1794" t="s">
        <v>5267</v>
      </c>
      <c r="D1794" t="s">
        <v>9998</v>
      </c>
      <c r="E1794">
        <v>0</v>
      </c>
      <c r="F1794">
        <v>1792</v>
      </c>
      <c r="H1794" t="s">
        <v>7664</v>
      </c>
    </row>
    <row r="1795" spans="1:8" x14ac:dyDescent="0.3">
      <c r="A1795" t="s">
        <v>7665</v>
      </c>
      <c r="C1795" t="s">
        <v>5267</v>
      </c>
      <c r="D1795" t="s">
        <v>9999</v>
      </c>
      <c r="E1795">
        <v>0</v>
      </c>
      <c r="F1795">
        <v>1793</v>
      </c>
      <c r="H1795" t="s">
        <v>7665</v>
      </c>
    </row>
    <row r="1796" spans="1:8" x14ac:dyDescent="0.3">
      <c r="A1796" t="s">
        <v>7666</v>
      </c>
      <c r="C1796" t="s">
        <v>5267</v>
      </c>
      <c r="D1796" t="s">
        <v>10000</v>
      </c>
      <c r="E1796">
        <v>0</v>
      </c>
      <c r="F1796">
        <v>1794</v>
      </c>
      <c r="H1796" t="s">
        <v>7666</v>
      </c>
    </row>
    <row r="1797" spans="1:8" x14ac:dyDescent="0.3">
      <c r="A1797" t="s">
        <v>6495</v>
      </c>
      <c r="C1797" t="s">
        <v>5267</v>
      </c>
      <c r="D1797" t="s">
        <v>10001</v>
      </c>
      <c r="E1797">
        <v>0</v>
      </c>
      <c r="F1797">
        <v>1795</v>
      </c>
      <c r="H1797" t="s">
        <v>6495</v>
      </c>
    </row>
    <row r="1798" spans="1:8" x14ac:dyDescent="0.3">
      <c r="A1798" t="s">
        <v>6496</v>
      </c>
      <c r="C1798" t="s">
        <v>5267</v>
      </c>
      <c r="D1798" t="s">
        <v>10002</v>
      </c>
      <c r="E1798">
        <v>0</v>
      </c>
      <c r="F1798">
        <v>1796</v>
      </c>
      <c r="H1798" t="s">
        <v>6496</v>
      </c>
    </row>
    <row r="1799" spans="1:8" x14ac:dyDescent="0.3">
      <c r="A1799" t="s">
        <v>7667</v>
      </c>
      <c r="C1799" t="s">
        <v>5267</v>
      </c>
      <c r="D1799" t="s">
        <v>10003</v>
      </c>
      <c r="E1799">
        <v>0</v>
      </c>
      <c r="F1799">
        <v>1797</v>
      </c>
      <c r="H1799" t="s">
        <v>7667</v>
      </c>
    </row>
    <row r="1800" spans="1:8" x14ac:dyDescent="0.3">
      <c r="A1800" t="s">
        <v>7668</v>
      </c>
      <c r="C1800" t="s">
        <v>5267</v>
      </c>
      <c r="D1800" t="s">
        <v>10004</v>
      </c>
      <c r="E1800">
        <v>0</v>
      </c>
      <c r="F1800">
        <v>1798</v>
      </c>
      <c r="H1800" t="s">
        <v>7668</v>
      </c>
    </row>
    <row r="1801" spans="1:8" x14ac:dyDescent="0.3">
      <c r="A1801" t="s">
        <v>7669</v>
      </c>
      <c r="C1801" t="s">
        <v>5267</v>
      </c>
      <c r="D1801" t="s">
        <v>10005</v>
      </c>
      <c r="E1801">
        <v>0</v>
      </c>
      <c r="F1801">
        <v>1799</v>
      </c>
      <c r="H1801" t="s">
        <v>7669</v>
      </c>
    </row>
    <row r="1802" spans="1:8" x14ac:dyDescent="0.3">
      <c r="A1802" t="s">
        <v>7670</v>
      </c>
      <c r="C1802" t="s">
        <v>5267</v>
      </c>
      <c r="D1802" t="s">
        <v>10006</v>
      </c>
      <c r="E1802">
        <v>0</v>
      </c>
      <c r="F1802">
        <v>1800</v>
      </c>
      <c r="H1802" t="s">
        <v>7670</v>
      </c>
    </row>
    <row r="1803" spans="1:8" x14ac:dyDescent="0.3">
      <c r="A1803" t="s">
        <v>7671</v>
      </c>
      <c r="C1803" t="s">
        <v>5267</v>
      </c>
      <c r="D1803" t="s">
        <v>10007</v>
      </c>
      <c r="E1803">
        <v>0</v>
      </c>
      <c r="F1803">
        <v>1801</v>
      </c>
      <c r="H1803" t="s">
        <v>7671</v>
      </c>
    </row>
    <row r="1804" spans="1:8" x14ac:dyDescent="0.3">
      <c r="A1804" t="s">
        <v>7672</v>
      </c>
      <c r="C1804" t="s">
        <v>5267</v>
      </c>
      <c r="D1804" t="s">
        <v>10008</v>
      </c>
      <c r="E1804">
        <v>0</v>
      </c>
      <c r="F1804">
        <v>1802</v>
      </c>
      <c r="H1804" t="s">
        <v>7672</v>
      </c>
    </row>
    <row r="1805" spans="1:8" x14ac:dyDescent="0.3">
      <c r="A1805" t="s">
        <v>7673</v>
      </c>
      <c r="C1805" t="s">
        <v>5267</v>
      </c>
      <c r="D1805" t="s">
        <v>10009</v>
      </c>
      <c r="E1805">
        <v>0</v>
      </c>
      <c r="F1805">
        <v>1803</v>
      </c>
      <c r="H1805" t="s">
        <v>7673</v>
      </c>
    </row>
    <row r="1806" spans="1:8" x14ac:dyDescent="0.3">
      <c r="A1806" t="s">
        <v>7674</v>
      </c>
      <c r="C1806" t="s">
        <v>5267</v>
      </c>
      <c r="D1806" t="s">
        <v>10010</v>
      </c>
      <c r="E1806">
        <v>0</v>
      </c>
      <c r="F1806">
        <v>1804</v>
      </c>
      <c r="H1806" t="s">
        <v>7674</v>
      </c>
    </row>
    <row r="1807" spans="1:8" x14ac:dyDescent="0.3">
      <c r="A1807" t="s">
        <v>7675</v>
      </c>
      <c r="C1807" t="s">
        <v>5267</v>
      </c>
      <c r="D1807" t="s">
        <v>10011</v>
      </c>
      <c r="E1807">
        <v>0</v>
      </c>
      <c r="F1807">
        <v>1805</v>
      </c>
      <c r="H1807" t="s">
        <v>7675</v>
      </c>
    </row>
    <row r="1808" spans="1:8" x14ac:dyDescent="0.3">
      <c r="A1808" t="s">
        <v>7676</v>
      </c>
      <c r="C1808" t="s">
        <v>5267</v>
      </c>
      <c r="D1808" t="s">
        <v>10012</v>
      </c>
      <c r="E1808">
        <v>0</v>
      </c>
      <c r="F1808">
        <v>1806</v>
      </c>
      <c r="H1808" t="s">
        <v>7676</v>
      </c>
    </row>
    <row r="1809" spans="1:8" x14ac:dyDescent="0.3">
      <c r="A1809" t="s">
        <v>7677</v>
      </c>
      <c r="C1809" t="s">
        <v>5267</v>
      </c>
      <c r="D1809" t="s">
        <v>10013</v>
      </c>
      <c r="E1809">
        <v>0</v>
      </c>
      <c r="F1809">
        <v>1807</v>
      </c>
      <c r="H1809" t="s">
        <v>7677</v>
      </c>
    </row>
    <row r="1810" spans="1:8" x14ac:dyDescent="0.3">
      <c r="A1810" t="s">
        <v>7678</v>
      </c>
      <c r="C1810" t="s">
        <v>5267</v>
      </c>
      <c r="D1810" t="s">
        <v>10014</v>
      </c>
      <c r="E1810">
        <v>0</v>
      </c>
      <c r="F1810">
        <v>1808</v>
      </c>
      <c r="H1810" t="s">
        <v>7678</v>
      </c>
    </row>
    <row r="1811" spans="1:8" x14ac:dyDescent="0.3">
      <c r="A1811" t="s">
        <v>7679</v>
      </c>
      <c r="C1811" t="s">
        <v>5267</v>
      </c>
      <c r="D1811" t="s">
        <v>10015</v>
      </c>
      <c r="E1811">
        <v>0</v>
      </c>
      <c r="F1811">
        <v>1809</v>
      </c>
      <c r="H1811" t="s">
        <v>7679</v>
      </c>
    </row>
    <row r="1812" spans="1:8" x14ac:dyDescent="0.3">
      <c r="A1812" t="s">
        <v>7680</v>
      </c>
      <c r="C1812" t="s">
        <v>5267</v>
      </c>
      <c r="D1812" t="s">
        <v>10016</v>
      </c>
      <c r="E1812">
        <v>0</v>
      </c>
      <c r="F1812">
        <v>1810</v>
      </c>
      <c r="H1812" t="s">
        <v>7680</v>
      </c>
    </row>
    <row r="1813" spans="1:8" x14ac:dyDescent="0.3">
      <c r="A1813" t="s">
        <v>7681</v>
      </c>
      <c r="C1813" t="s">
        <v>5267</v>
      </c>
      <c r="D1813" t="s">
        <v>10017</v>
      </c>
      <c r="E1813">
        <v>0</v>
      </c>
      <c r="F1813">
        <v>1811</v>
      </c>
      <c r="H1813" t="s">
        <v>7681</v>
      </c>
    </row>
    <row r="1814" spans="1:8" x14ac:dyDescent="0.3">
      <c r="A1814" t="s">
        <v>7682</v>
      </c>
      <c r="C1814" t="s">
        <v>5267</v>
      </c>
      <c r="D1814" t="s">
        <v>10018</v>
      </c>
      <c r="E1814">
        <v>0</v>
      </c>
      <c r="F1814">
        <v>1812</v>
      </c>
      <c r="H1814" t="s">
        <v>7682</v>
      </c>
    </row>
    <row r="1815" spans="1:8" x14ac:dyDescent="0.3">
      <c r="A1815" t="s">
        <v>7683</v>
      </c>
      <c r="C1815" t="s">
        <v>5267</v>
      </c>
      <c r="D1815" t="s">
        <v>10019</v>
      </c>
      <c r="E1815">
        <v>0</v>
      </c>
      <c r="F1815">
        <v>1813</v>
      </c>
      <c r="H1815" t="s">
        <v>7683</v>
      </c>
    </row>
    <row r="1816" spans="1:8" x14ac:dyDescent="0.3">
      <c r="A1816" t="s">
        <v>7684</v>
      </c>
      <c r="C1816" t="s">
        <v>5267</v>
      </c>
      <c r="D1816" t="s">
        <v>10020</v>
      </c>
      <c r="E1816">
        <v>0</v>
      </c>
      <c r="F1816">
        <v>1814</v>
      </c>
      <c r="H1816" t="s">
        <v>7684</v>
      </c>
    </row>
    <row r="1817" spans="1:8" x14ac:dyDescent="0.3">
      <c r="A1817" t="s">
        <v>7685</v>
      </c>
      <c r="C1817" t="s">
        <v>5267</v>
      </c>
      <c r="D1817" t="s">
        <v>10021</v>
      </c>
      <c r="E1817">
        <v>0</v>
      </c>
      <c r="F1817">
        <v>1815</v>
      </c>
      <c r="H1817" t="s">
        <v>7685</v>
      </c>
    </row>
    <row r="1818" spans="1:8" x14ac:dyDescent="0.3">
      <c r="A1818" t="s">
        <v>7686</v>
      </c>
      <c r="C1818" t="s">
        <v>5267</v>
      </c>
      <c r="D1818" t="s">
        <v>10022</v>
      </c>
      <c r="E1818">
        <v>0</v>
      </c>
      <c r="F1818">
        <v>1816</v>
      </c>
      <c r="H1818" t="s">
        <v>7686</v>
      </c>
    </row>
    <row r="1819" spans="1:8" x14ac:dyDescent="0.3">
      <c r="A1819" t="s">
        <v>7687</v>
      </c>
      <c r="C1819" t="s">
        <v>5267</v>
      </c>
      <c r="D1819" t="s">
        <v>10023</v>
      </c>
      <c r="E1819">
        <v>0</v>
      </c>
      <c r="F1819">
        <v>1817</v>
      </c>
      <c r="H1819" t="s">
        <v>7687</v>
      </c>
    </row>
    <row r="1820" spans="1:8" x14ac:dyDescent="0.3">
      <c r="A1820" t="s">
        <v>7688</v>
      </c>
      <c r="C1820" t="s">
        <v>5267</v>
      </c>
      <c r="D1820" t="s">
        <v>10024</v>
      </c>
      <c r="E1820">
        <v>0</v>
      </c>
      <c r="F1820">
        <v>1818</v>
      </c>
      <c r="H1820" t="s">
        <v>7688</v>
      </c>
    </row>
    <row r="1821" spans="1:8" x14ac:dyDescent="0.3">
      <c r="A1821" t="s">
        <v>7689</v>
      </c>
      <c r="C1821" t="s">
        <v>5267</v>
      </c>
      <c r="D1821" t="s">
        <v>10025</v>
      </c>
      <c r="E1821">
        <v>0</v>
      </c>
      <c r="F1821">
        <v>1819</v>
      </c>
      <c r="H1821" t="s">
        <v>7689</v>
      </c>
    </row>
    <row r="1822" spans="1:8" x14ac:dyDescent="0.3">
      <c r="A1822" t="s">
        <v>7690</v>
      </c>
      <c r="C1822" t="s">
        <v>5267</v>
      </c>
      <c r="D1822" t="s">
        <v>10026</v>
      </c>
      <c r="E1822">
        <v>0</v>
      </c>
      <c r="F1822">
        <v>1820</v>
      </c>
      <c r="H1822" t="s">
        <v>7690</v>
      </c>
    </row>
    <row r="1823" spans="1:8" x14ac:dyDescent="0.3">
      <c r="A1823" t="s">
        <v>7691</v>
      </c>
      <c r="C1823" t="s">
        <v>5267</v>
      </c>
      <c r="D1823" t="s">
        <v>10027</v>
      </c>
      <c r="E1823">
        <v>0</v>
      </c>
      <c r="F1823">
        <v>1821</v>
      </c>
      <c r="H1823" t="s">
        <v>7691</v>
      </c>
    </row>
    <row r="1824" spans="1:8" x14ac:dyDescent="0.3">
      <c r="A1824" t="s">
        <v>7692</v>
      </c>
      <c r="C1824" t="s">
        <v>5267</v>
      </c>
      <c r="D1824" t="s">
        <v>10028</v>
      </c>
      <c r="E1824">
        <v>0</v>
      </c>
      <c r="F1824">
        <v>1822</v>
      </c>
      <c r="H1824" t="s">
        <v>7692</v>
      </c>
    </row>
    <row r="1825" spans="1:8" x14ac:dyDescent="0.3">
      <c r="A1825" t="s">
        <v>7693</v>
      </c>
      <c r="C1825" t="s">
        <v>5267</v>
      </c>
      <c r="D1825" t="s">
        <v>10029</v>
      </c>
      <c r="E1825">
        <v>0</v>
      </c>
      <c r="F1825">
        <v>1823</v>
      </c>
      <c r="H1825" t="s">
        <v>7693</v>
      </c>
    </row>
    <row r="1826" spans="1:8" x14ac:dyDescent="0.3">
      <c r="A1826" t="s">
        <v>7694</v>
      </c>
      <c r="C1826" t="s">
        <v>5267</v>
      </c>
      <c r="D1826" t="s">
        <v>10030</v>
      </c>
      <c r="E1826">
        <v>0</v>
      </c>
      <c r="F1826">
        <v>1824</v>
      </c>
      <c r="H1826" t="s">
        <v>7694</v>
      </c>
    </row>
    <row r="1827" spans="1:8" x14ac:dyDescent="0.3">
      <c r="A1827" t="s">
        <v>7695</v>
      </c>
      <c r="C1827" t="s">
        <v>5267</v>
      </c>
      <c r="D1827" t="s">
        <v>10031</v>
      </c>
      <c r="E1827">
        <v>0</v>
      </c>
      <c r="F1827">
        <v>1825</v>
      </c>
      <c r="H1827" t="s">
        <v>7695</v>
      </c>
    </row>
    <row r="1828" spans="1:8" x14ac:dyDescent="0.3">
      <c r="A1828" t="s">
        <v>7696</v>
      </c>
      <c r="C1828" t="s">
        <v>5267</v>
      </c>
      <c r="D1828" t="s">
        <v>10032</v>
      </c>
      <c r="E1828">
        <v>0</v>
      </c>
      <c r="F1828">
        <v>1826</v>
      </c>
      <c r="H1828" t="s">
        <v>7696</v>
      </c>
    </row>
    <row r="1829" spans="1:8" x14ac:dyDescent="0.3">
      <c r="A1829" t="s">
        <v>7697</v>
      </c>
      <c r="C1829" t="s">
        <v>5267</v>
      </c>
      <c r="D1829" t="s">
        <v>10033</v>
      </c>
      <c r="E1829">
        <v>0</v>
      </c>
      <c r="F1829">
        <v>1827</v>
      </c>
      <c r="H1829" t="s">
        <v>7697</v>
      </c>
    </row>
    <row r="1830" spans="1:8" x14ac:dyDescent="0.3">
      <c r="A1830" t="s">
        <v>7698</v>
      </c>
      <c r="C1830" t="s">
        <v>5267</v>
      </c>
      <c r="D1830" t="s">
        <v>10034</v>
      </c>
      <c r="E1830">
        <v>0</v>
      </c>
      <c r="F1830">
        <v>1828</v>
      </c>
      <c r="H1830" t="s">
        <v>7698</v>
      </c>
    </row>
    <row r="1831" spans="1:8" x14ac:dyDescent="0.3">
      <c r="A1831" t="s">
        <v>7699</v>
      </c>
      <c r="C1831" t="s">
        <v>5267</v>
      </c>
      <c r="D1831" t="s">
        <v>10035</v>
      </c>
      <c r="E1831">
        <v>0</v>
      </c>
      <c r="F1831">
        <v>1829</v>
      </c>
      <c r="H1831" t="s">
        <v>7699</v>
      </c>
    </row>
    <row r="1832" spans="1:8" x14ac:dyDescent="0.3">
      <c r="A1832" t="s">
        <v>7700</v>
      </c>
      <c r="C1832" t="s">
        <v>5267</v>
      </c>
      <c r="D1832" t="s">
        <v>10036</v>
      </c>
      <c r="E1832">
        <v>0</v>
      </c>
      <c r="F1832">
        <v>1830</v>
      </c>
      <c r="H1832" t="s">
        <v>7700</v>
      </c>
    </row>
    <row r="1833" spans="1:8" x14ac:dyDescent="0.3">
      <c r="A1833" t="s">
        <v>7701</v>
      </c>
      <c r="C1833" t="s">
        <v>5267</v>
      </c>
      <c r="D1833" t="s">
        <v>10037</v>
      </c>
      <c r="E1833">
        <v>0</v>
      </c>
      <c r="F1833">
        <v>1831</v>
      </c>
      <c r="H1833" t="s">
        <v>7701</v>
      </c>
    </row>
    <row r="1834" spans="1:8" x14ac:dyDescent="0.3">
      <c r="A1834" t="s">
        <v>7702</v>
      </c>
      <c r="C1834" t="s">
        <v>5267</v>
      </c>
      <c r="D1834" t="s">
        <v>10038</v>
      </c>
      <c r="E1834">
        <v>0</v>
      </c>
      <c r="F1834">
        <v>1832</v>
      </c>
      <c r="H1834" t="s">
        <v>7702</v>
      </c>
    </row>
    <row r="1835" spans="1:8" x14ac:dyDescent="0.3">
      <c r="A1835" t="s">
        <v>7703</v>
      </c>
      <c r="C1835" t="s">
        <v>5267</v>
      </c>
      <c r="D1835" t="s">
        <v>10039</v>
      </c>
      <c r="E1835">
        <v>0</v>
      </c>
      <c r="F1835">
        <v>1833</v>
      </c>
      <c r="H1835" t="s">
        <v>7703</v>
      </c>
    </row>
    <row r="1836" spans="1:8" x14ac:dyDescent="0.3">
      <c r="A1836" t="s">
        <v>7704</v>
      </c>
      <c r="C1836" t="s">
        <v>5267</v>
      </c>
      <c r="D1836" t="s">
        <v>10040</v>
      </c>
      <c r="E1836">
        <v>0</v>
      </c>
      <c r="F1836">
        <v>1834</v>
      </c>
      <c r="H1836" t="s">
        <v>7704</v>
      </c>
    </row>
    <row r="1837" spans="1:8" x14ac:dyDescent="0.3">
      <c r="A1837" t="s">
        <v>7705</v>
      </c>
      <c r="C1837" t="s">
        <v>5267</v>
      </c>
      <c r="D1837" t="s">
        <v>10041</v>
      </c>
      <c r="E1837">
        <v>0</v>
      </c>
      <c r="F1837">
        <v>1835</v>
      </c>
      <c r="H1837" t="s">
        <v>7705</v>
      </c>
    </row>
    <row r="1838" spans="1:8" x14ac:dyDescent="0.3">
      <c r="A1838" t="s">
        <v>7706</v>
      </c>
      <c r="C1838" t="s">
        <v>5267</v>
      </c>
      <c r="D1838" t="s">
        <v>10042</v>
      </c>
      <c r="E1838">
        <v>0</v>
      </c>
      <c r="F1838">
        <v>1836</v>
      </c>
      <c r="H1838" t="s">
        <v>7706</v>
      </c>
    </row>
    <row r="1839" spans="1:8" x14ac:dyDescent="0.3">
      <c r="A1839" t="s">
        <v>7707</v>
      </c>
      <c r="C1839" t="s">
        <v>5267</v>
      </c>
      <c r="D1839" t="s">
        <v>10043</v>
      </c>
      <c r="E1839">
        <v>0</v>
      </c>
      <c r="F1839">
        <v>1837</v>
      </c>
      <c r="H1839" t="s">
        <v>7707</v>
      </c>
    </row>
    <row r="1840" spans="1:8" x14ac:dyDescent="0.3">
      <c r="A1840" t="s">
        <v>7708</v>
      </c>
      <c r="C1840" t="s">
        <v>5267</v>
      </c>
      <c r="D1840" t="s">
        <v>10044</v>
      </c>
      <c r="E1840">
        <v>0</v>
      </c>
      <c r="F1840">
        <v>1838</v>
      </c>
      <c r="H1840" t="s">
        <v>7708</v>
      </c>
    </row>
    <row r="1841" spans="1:8" x14ac:dyDescent="0.3">
      <c r="A1841" t="s">
        <v>7709</v>
      </c>
      <c r="C1841" t="s">
        <v>5267</v>
      </c>
      <c r="D1841" t="s">
        <v>10045</v>
      </c>
      <c r="E1841">
        <v>0</v>
      </c>
      <c r="F1841">
        <v>1839</v>
      </c>
      <c r="H1841" t="s">
        <v>7709</v>
      </c>
    </row>
    <row r="1842" spans="1:8" x14ac:dyDescent="0.3">
      <c r="A1842" t="s">
        <v>7710</v>
      </c>
      <c r="C1842" t="s">
        <v>5267</v>
      </c>
      <c r="D1842" t="s">
        <v>10046</v>
      </c>
      <c r="E1842">
        <v>0</v>
      </c>
      <c r="F1842">
        <v>1840</v>
      </c>
      <c r="H1842" t="s">
        <v>7710</v>
      </c>
    </row>
    <row r="1843" spans="1:8" x14ac:dyDescent="0.3">
      <c r="A1843" t="s">
        <v>7711</v>
      </c>
      <c r="C1843" t="s">
        <v>5267</v>
      </c>
      <c r="D1843" t="s">
        <v>10047</v>
      </c>
      <c r="E1843">
        <v>0</v>
      </c>
      <c r="F1843">
        <v>1841</v>
      </c>
      <c r="H1843" t="s">
        <v>7711</v>
      </c>
    </row>
    <row r="1844" spans="1:8" x14ac:dyDescent="0.3">
      <c r="A1844" t="s">
        <v>7712</v>
      </c>
      <c r="C1844" t="s">
        <v>5267</v>
      </c>
      <c r="D1844" t="s">
        <v>10048</v>
      </c>
      <c r="E1844">
        <v>0</v>
      </c>
      <c r="F1844">
        <v>1842</v>
      </c>
      <c r="H1844" t="s">
        <v>7712</v>
      </c>
    </row>
    <row r="1845" spans="1:8" x14ac:dyDescent="0.3">
      <c r="A1845" t="s">
        <v>7713</v>
      </c>
      <c r="C1845" t="s">
        <v>5267</v>
      </c>
      <c r="D1845" t="s">
        <v>10049</v>
      </c>
      <c r="E1845">
        <v>0</v>
      </c>
      <c r="F1845">
        <v>1843</v>
      </c>
      <c r="H1845" t="s">
        <v>7713</v>
      </c>
    </row>
    <row r="1846" spans="1:8" x14ac:dyDescent="0.3">
      <c r="A1846" t="s">
        <v>7714</v>
      </c>
      <c r="C1846" t="s">
        <v>5267</v>
      </c>
      <c r="D1846" t="s">
        <v>10050</v>
      </c>
      <c r="E1846">
        <v>0</v>
      </c>
      <c r="F1846">
        <v>1844</v>
      </c>
      <c r="H1846" t="s">
        <v>7714</v>
      </c>
    </row>
    <row r="1847" spans="1:8" x14ac:dyDescent="0.3">
      <c r="A1847" t="s">
        <v>7715</v>
      </c>
      <c r="C1847" t="s">
        <v>5267</v>
      </c>
      <c r="D1847" t="s">
        <v>10051</v>
      </c>
      <c r="E1847">
        <v>0</v>
      </c>
      <c r="F1847">
        <v>1845</v>
      </c>
      <c r="H1847" t="s">
        <v>7715</v>
      </c>
    </row>
    <row r="1848" spans="1:8" x14ac:dyDescent="0.3">
      <c r="A1848" t="s">
        <v>7716</v>
      </c>
      <c r="C1848" t="s">
        <v>5267</v>
      </c>
      <c r="D1848" t="s">
        <v>10052</v>
      </c>
      <c r="E1848">
        <v>0</v>
      </c>
      <c r="F1848">
        <v>1846</v>
      </c>
      <c r="H1848" t="s">
        <v>7716</v>
      </c>
    </row>
    <row r="1849" spans="1:8" x14ac:dyDescent="0.3">
      <c r="A1849" t="s">
        <v>7717</v>
      </c>
      <c r="C1849" t="s">
        <v>5267</v>
      </c>
      <c r="D1849" t="s">
        <v>10053</v>
      </c>
      <c r="E1849">
        <v>0</v>
      </c>
      <c r="F1849">
        <v>1847</v>
      </c>
      <c r="H1849" t="s">
        <v>7717</v>
      </c>
    </row>
    <row r="1850" spans="1:8" x14ac:dyDescent="0.3">
      <c r="A1850" t="s">
        <v>7718</v>
      </c>
      <c r="C1850" t="s">
        <v>5267</v>
      </c>
      <c r="D1850" t="s">
        <v>10054</v>
      </c>
      <c r="E1850">
        <v>0</v>
      </c>
      <c r="F1850">
        <v>1848</v>
      </c>
      <c r="H1850" t="s">
        <v>7718</v>
      </c>
    </row>
    <row r="1851" spans="1:8" x14ac:dyDescent="0.3">
      <c r="A1851" t="s">
        <v>7719</v>
      </c>
      <c r="C1851" t="s">
        <v>5267</v>
      </c>
      <c r="D1851" t="s">
        <v>10055</v>
      </c>
      <c r="E1851">
        <v>0</v>
      </c>
      <c r="F1851">
        <v>1849</v>
      </c>
      <c r="H1851" t="s">
        <v>7719</v>
      </c>
    </row>
    <row r="1852" spans="1:8" x14ac:dyDescent="0.3">
      <c r="A1852" t="s">
        <v>7720</v>
      </c>
      <c r="C1852" t="s">
        <v>5267</v>
      </c>
      <c r="D1852" t="s">
        <v>10056</v>
      </c>
      <c r="E1852">
        <v>0</v>
      </c>
      <c r="F1852">
        <v>1850</v>
      </c>
      <c r="H1852" t="s">
        <v>7720</v>
      </c>
    </row>
    <row r="1853" spans="1:8" x14ac:dyDescent="0.3">
      <c r="A1853" t="s">
        <v>7721</v>
      </c>
      <c r="C1853" t="s">
        <v>5267</v>
      </c>
      <c r="D1853" t="s">
        <v>10057</v>
      </c>
      <c r="E1853">
        <v>0</v>
      </c>
      <c r="F1853">
        <v>1851</v>
      </c>
      <c r="H1853" t="s">
        <v>7721</v>
      </c>
    </row>
    <row r="1854" spans="1:8" x14ac:dyDescent="0.3">
      <c r="A1854" t="s">
        <v>7722</v>
      </c>
      <c r="C1854" t="s">
        <v>5267</v>
      </c>
      <c r="D1854" t="s">
        <v>10058</v>
      </c>
      <c r="E1854">
        <v>0</v>
      </c>
      <c r="F1854">
        <v>1852</v>
      </c>
      <c r="H1854" t="s">
        <v>7722</v>
      </c>
    </row>
    <row r="1855" spans="1:8" x14ac:dyDescent="0.3">
      <c r="A1855" t="s">
        <v>7723</v>
      </c>
      <c r="C1855" t="s">
        <v>5267</v>
      </c>
      <c r="D1855" t="s">
        <v>10059</v>
      </c>
      <c r="E1855">
        <v>0</v>
      </c>
      <c r="F1855">
        <v>1853</v>
      </c>
      <c r="H1855" t="s">
        <v>7723</v>
      </c>
    </row>
    <row r="1856" spans="1:8" x14ac:dyDescent="0.3">
      <c r="A1856" t="s">
        <v>7724</v>
      </c>
      <c r="C1856" t="s">
        <v>5267</v>
      </c>
      <c r="D1856" t="s">
        <v>10060</v>
      </c>
      <c r="E1856">
        <v>0</v>
      </c>
      <c r="F1856">
        <v>1854</v>
      </c>
      <c r="H1856" t="s">
        <v>7724</v>
      </c>
    </row>
    <row r="1857" spans="1:8" x14ac:dyDescent="0.3">
      <c r="A1857" t="s">
        <v>7725</v>
      </c>
      <c r="C1857" t="s">
        <v>5267</v>
      </c>
      <c r="D1857" t="s">
        <v>10061</v>
      </c>
      <c r="E1857">
        <v>0</v>
      </c>
      <c r="F1857">
        <v>1855</v>
      </c>
      <c r="H1857" t="s">
        <v>7725</v>
      </c>
    </row>
    <row r="1858" spans="1:8" x14ac:dyDescent="0.3">
      <c r="A1858" t="s">
        <v>7726</v>
      </c>
      <c r="C1858" t="s">
        <v>5267</v>
      </c>
      <c r="D1858" t="s">
        <v>10062</v>
      </c>
      <c r="E1858">
        <v>0</v>
      </c>
      <c r="F1858">
        <v>1856</v>
      </c>
      <c r="H1858" t="s">
        <v>7726</v>
      </c>
    </row>
    <row r="1859" spans="1:8" x14ac:dyDescent="0.3">
      <c r="A1859" t="s">
        <v>7727</v>
      </c>
      <c r="C1859" t="s">
        <v>5267</v>
      </c>
      <c r="D1859" t="s">
        <v>10063</v>
      </c>
      <c r="E1859">
        <v>0</v>
      </c>
      <c r="F1859">
        <v>1857</v>
      </c>
      <c r="H1859" t="s">
        <v>7727</v>
      </c>
    </row>
    <row r="1860" spans="1:8" x14ac:dyDescent="0.3">
      <c r="A1860" t="s">
        <v>7728</v>
      </c>
      <c r="C1860" t="s">
        <v>5267</v>
      </c>
      <c r="D1860" t="s">
        <v>10064</v>
      </c>
      <c r="E1860">
        <v>0</v>
      </c>
      <c r="F1860">
        <v>1858</v>
      </c>
      <c r="H1860" t="s">
        <v>7728</v>
      </c>
    </row>
    <row r="1861" spans="1:8" x14ac:dyDescent="0.3">
      <c r="A1861" t="s">
        <v>7729</v>
      </c>
      <c r="C1861" t="s">
        <v>5267</v>
      </c>
      <c r="D1861" t="s">
        <v>10065</v>
      </c>
      <c r="E1861">
        <v>0</v>
      </c>
      <c r="F1861">
        <v>1859</v>
      </c>
      <c r="H1861" t="s">
        <v>7729</v>
      </c>
    </row>
    <row r="1862" spans="1:8" x14ac:dyDescent="0.3">
      <c r="A1862" t="s">
        <v>7730</v>
      </c>
      <c r="C1862" t="s">
        <v>5267</v>
      </c>
      <c r="D1862" t="s">
        <v>10066</v>
      </c>
      <c r="E1862">
        <v>0</v>
      </c>
      <c r="F1862">
        <v>1860</v>
      </c>
      <c r="H1862" t="s">
        <v>7730</v>
      </c>
    </row>
    <row r="1863" spans="1:8" x14ac:dyDescent="0.3">
      <c r="A1863" t="s">
        <v>7731</v>
      </c>
      <c r="C1863" t="s">
        <v>5267</v>
      </c>
      <c r="D1863" t="s">
        <v>10067</v>
      </c>
      <c r="E1863">
        <v>0</v>
      </c>
      <c r="F1863">
        <v>1861</v>
      </c>
      <c r="H1863" t="s">
        <v>7731</v>
      </c>
    </row>
    <row r="1864" spans="1:8" x14ac:dyDescent="0.3">
      <c r="A1864" t="s">
        <v>7732</v>
      </c>
      <c r="C1864" t="s">
        <v>5267</v>
      </c>
      <c r="D1864" t="s">
        <v>10068</v>
      </c>
      <c r="E1864">
        <v>0</v>
      </c>
      <c r="F1864">
        <v>1862</v>
      </c>
      <c r="H1864" t="s">
        <v>7732</v>
      </c>
    </row>
    <row r="1865" spans="1:8" x14ac:dyDescent="0.3">
      <c r="A1865" t="s">
        <v>7733</v>
      </c>
      <c r="C1865" t="s">
        <v>5267</v>
      </c>
      <c r="D1865" t="s">
        <v>10069</v>
      </c>
      <c r="E1865">
        <v>0</v>
      </c>
      <c r="F1865">
        <v>1863</v>
      </c>
      <c r="H1865" t="s">
        <v>7733</v>
      </c>
    </row>
    <row r="1866" spans="1:8" x14ac:dyDescent="0.3">
      <c r="A1866" t="s">
        <v>7734</v>
      </c>
      <c r="C1866" t="s">
        <v>5267</v>
      </c>
      <c r="D1866" t="s">
        <v>10070</v>
      </c>
      <c r="E1866">
        <v>0</v>
      </c>
      <c r="F1866">
        <v>1864</v>
      </c>
      <c r="H1866" t="s">
        <v>7734</v>
      </c>
    </row>
    <row r="1867" spans="1:8" x14ac:dyDescent="0.3">
      <c r="A1867" t="s">
        <v>7735</v>
      </c>
      <c r="C1867" t="s">
        <v>5267</v>
      </c>
      <c r="D1867" t="s">
        <v>10071</v>
      </c>
      <c r="E1867">
        <v>0</v>
      </c>
      <c r="F1867">
        <v>1865</v>
      </c>
      <c r="H1867" t="s">
        <v>7735</v>
      </c>
    </row>
    <row r="1868" spans="1:8" x14ac:dyDescent="0.3">
      <c r="A1868" t="s">
        <v>7736</v>
      </c>
      <c r="C1868" t="s">
        <v>5267</v>
      </c>
      <c r="D1868" t="s">
        <v>10072</v>
      </c>
      <c r="E1868">
        <v>0</v>
      </c>
      <c r="F1868">
        <v>1866</v>
      </c>
      <c r="H1868" t="s">
        <v>7736</v>
      </c>
    </row>
    <row r="1869" spans="1:8" x14ac:dyDescent="0.3">
      <c r="A1869" t="s">
        <v>7737</v>
      </c>
      <c r="C1869" t="s">
        <v>5267</v>
      </c>
      <c r="D1869" t="s">
        <v>10073</v>
      </c>
      <c r="E1869">
        <v>0</v>
      </c>
      <c r="F1869">
        <v>1867</v>
      </c>
      <c r="H1869" t="s">
        <v>7737</v>
      </c>
    </row>
    <row r="1870" spans="1:8" x14ac:dyDescent="0.3">
      <c r="A1870" t="s">
        <v>7738</v>
      </c>
      <c r="C1870" t="s">
        <v>5267</v>
      </c>
      <c r="D1870" t="s">
        <v>10074</v>
      </c>
      <c r="E1870">
        <v>0</v>
      </c>
      <c r="F1870">
        <v>1868</v>
      </c>
      <c r="H1870" t="s">
        <v>7738</v>
      </c>
    </row>
    <row r="1871" spans="1:8" x14ac:dyDescent="0.3">
      <c r="A1871" t="s">
        <v>7739</v>
      </c>
      <c r="C1871" t="s">
        <v>5267</v>
      </c>
      <c r="D1871" t="s">
        <v>10075</v>
      </c>
      <c r="E1871">
        <v>0</v>
      </c>
      <c r="F1871">
        <v>1869</v>
      </c>
      <c r="H1871" t="s">
        <v>7739</v>
      </c>
    </row>
    <row r="1872" spans="1:8" x14ac:dyDescent="0.3">
      <c r="A1872" t="s">
        <v>7740</v>
      </c>
      <c r="C1872" t="s">
        <v>5267</v>
      </c>
      <c r="D1872" t="s">
        <v>10076</v>
      </c>
      <c r="E1872">
        <v>0</v>
      </c>
      <c r="F1872">
        <v>1870</v>
      </c>
      <c r="H1872" t="s">
        <v>7740</v>
      </c>
    </row>
    <row r="1873" spans="1:8" x14ac:dyDescent="0.3">
      <c r="A1873" t="s">
        <v>7741</v>
      </c>
      <c r="C1873" t="s">
        <v>5267</v>
      </c>
      <c r="D1873" t="s">
        <v>10077</v>
      </c>
      <c r="E1873">
        <v>0</v>
      </c>
      <c r="F1873">
        <v>1871</v>
      </c>
      <c r="H1873" t="s">
        <v>7741</v>
      </c>
    </row>
    <row r="1874" spans="1:8" x14ac:dyDescent="0.3">
      <c r="A1874" t="s">
        <v>7742</v>
      </c>
      <c r="C1874" t="s">
        <v>5267</v>
      </c>
      <c r="D1874" t="s">
        <v>10078</v>
      </c>
      <c r="E1874">
        <v>0</v>
      </c>
      <c r="F1874">
        <v>1872</v>
      </c>
      <c r="H1874" t="s">
        <v>7742</v>
      </c>
    </row>
    <row r="1875" spans="1:8" x14ac:dyDescent="0.3">
      <c r="A1875" t="s">
        <v>7743</v>
      </c>
      <c r="C1875" t="s">
        <v>5267</v>
      </c>
      <c r="D1875" t="s">
        <v>10079</v>
      </c>
      <c r="E1875">
        <v>0</v>
      </c>
      <c r="F1875">
        <v>1873</v>
      </c>
      <c r="H1875" t="s">
        <v>7743</v>
      </c>
    </row>
    <row r="1876" spans="1:8" x14ac:dyDescent="0.3">
      <c r="A1876" t="s">
        <v>7744</v>
      </c>
      <c r="C1876" t="s">
        <v>5267</v>
      </c>
      <c r="D1876" t="s">
        <v>10080</v>
      </c>
      <c r="E1876">
        <v>0</v>
      </c>
      <c r="F1876">
        <v>1874</v>
      </c>
      <c r="H1876" t="s">
        <v>7744</v>
      </c>
    </row>
    <row r="1877" spans="1:8" x14ac:dyDescent="0.3">
      <c r="A1877" t="s">
        <v>7745</v>
      </c>
      <c r="C1877" t="s">
        <v>5267</v>
      </c>
      <c r="D1877" t="s">
        <v>10081</v>
      </c>
      <c r="E1877">
        <v>0</v>
      </c>
      <c r="F1877">
        <v>1875</v>
      </c>
      <c r="H1877" t="s">
        <v>7745</v>
      </c>
    </row>
    <row r="1878" spans="1:8" x14ac:dyDescent="0.3">
      <c r="A1878" t="s">
        <v>7746</v>
      </c>
      <c r="C1878" t="s">
        <v>5267</v>
      </c>
      <c r="D1878" t="s">
        <v>10082</v>
      </c>
      <c r="E1878">
        <v>0</v>
      </c>
      <c r="F1878">
        <v>1876</v>
      </c>
      <c r="H1878" t="s">
        <v>7746</v>
      </c>
    </row>
    <row r="1879" spans="1:8" x14ac:dyDescent="0.3">
      <c r="A1879" t="s">
        <v>7747</v>
      </c>
      <c r="C1879" t="s">
        <v>5267</v>
      </c>
      <c r="D1879" t="s">
        <v>10083</v>
      </c>
      <c r="E1879">
        <v>0</v>
      </c>
      <c r="F1879">
        <v>1877</v>
      </c>
      <c r="H1879" t="s">
        <v>7747</v>
      </c>
    </row>
    <row r="1880" spans="1:8" x14ac:dyDescent="0.3">
      <c r="A1880" t="s">
        <v>7748</v>
      </c>
      <c r="C1880" t="s">
        <v>5267</v>
      </c>
      <c r="D1880" t="s">
        <v>10084</v>
      </c>
      <c r="E1880">
        <v>0</v>
      </c>
      <c r="F1880">
        <v>1878</v>
      </c>
      <c r="H1880" t="s">
        <v>7748</v>
      </c>
    </row>
    <row r="1881" spans="1:8" x14ac:dyDescent="0.3">
      <c r="A1881" t="s">
        <v>7749</v>
      </c>
      <c r="C1881" t="s">
        <v>5267</v>
      </c>
      <c r="D1881" t="s">
        <v>10085</v>
      </c>
      <c r="E1881">
        <v>0</v>
      </c>
      <c r="F1881">
        <v>1879</v>
      </c>
      <c r="H1881" t="s">
        <v>7749</v>
      </c>
    </row>
    <row r="1882" spans="1:8" x14ac:dyDescent="0.3">
      <c r="A1882" t="s">
        <v>7750</v>
      </c>
      <c r="C1882" t="s">
        <v>5267</v>
      </c>
      <c r="D1882" t="s">
        <v>10086</v>
      </c>
      <c r="E1882">
        <v>0</v>
      </c>
      <c r="F1882">
        <v>1880</v>
      </c>
      <c r="H1882" t="s">
        <v>7750</v>
      </c>
    </row>
    <row r="1883" spans="1:8" x14ac:dyDescent="0.3">
      <c r="A1883" t="s">
        <v>7751</v>
      </c>
      <c r="C1883" t="s">
        <v>5267</v>
      </c>
      <c r="D1883" t="s">
        <v>10087</v>
      </c>
      <c r="E1883">
        <v>0</v>
      </c>
      <c r="F1883">
        <v>1881</v>
      </c>
      <c r="H1883" t="s">
        <v>7751</v>
      </c>
    </row>
    <row r="1884" spans="1:8" x14ac:dyDescent="0.3">
      <c r="A1884" t="s">
        <v>7752</v>
      </c>
      <c r="C1884" t="s">
        <v>5267</v>
      </c>
      <c r="D1884" t="s">
        <v>10088</v>
      </c>
      <c r="E1884">
        <v>0</v>
      </c>
      <c r="F1884">
        <v>1882</v>
      </c>
      <c r="H1884" t="s">
        <v>7752</v>
      </c>
    </row>
    <row r="1885" spans="1:8" x14ac:dyDescent="0.3">
      <c r="A1885" t="s">
        <v>7753</v>
      </c>
      <c r="C1885" t="s">
        <v>5267</v>
      </c>
      <c r="D1885" t="s">
        <v>10089</v>
      </c>
      <c r="E1885">
        <v>0</v>
      </c>
      <c r="F1885">
        <v>1883</v>
      </c>
      <c r="H1885" t="s">
        <v>7753</v>
      </c>
    </row>
    <row r="1886" spans="1:8" x14ac:dyDescent="0.3">
      <c r="A1886" t="s">
        <v>7754</v>
      </c>
      <c r="C1886" t="s">
        <v>5267</v>
      </c>
      <c r="D1886" t="s">
        <v>10090</v>
      </c>
      <c r="E1886">
        <v>0</v>
      </c>
      <c r="F1886">
        <v>1884</v>
      </c>
      <c r="H1886" t="s">
        <v>7754</v>
      </c>
    </row>
    <row r="1887" spans="1:8" x14ac:dyDescent="0.3">
      <c r="A1887" t="s">
        <v>7755</v>
      </c>
      <c r="C1887" t="s">
        <v>5267</v>
      </c>
      <c r="D1887" t="s">
        <v>10091</v>
      </c>
      <c r="E1887">
        <v>0</v>
      </c>
      <c r="F1887">
        <v>1885</v>
      </c>
      <c r="H1887" t="s">
        <v>7755</v>
      </c>
    </row>
    <row r="1888" spans="1:8" x14ac:dyDescent="0.3">
      <c r="A1888" t="s">
        <v>7756</v>
      </c>
      <c r="C1888" t="s">
        <v>5267</v>
      </c>
      <c r="D1888" t="s">
        <v>10092</v>
      </c>
      <c r="E1888">
        <v>0</v>
      </c>
      <c r="F1888">
        <v>1886</v>
      </c>
      <c r="H1888" t="s">
        <v>7756</v>
      </c>
    </row>
    <row r="1889" spans="1:8" x14ac:dyDescent="0.3">
      <c r="A1889" t="s">
        <v>7757</v>
      </c>
      <c r="C1889" t="s">
        <v>5267</v>
      </c>
      <c r="D1889" t="s">
        <v>10093</v>
      </c>
      <c r="E1889">
        <v>0</v>
      </c>
      <c r="F1889">
        <v>1887</v>
      </c>
      <c r="H1889" t="s">
        <v>7757</v>
      </c>
    </row>
    <row r="1890" spans="1:8" x14ac:dyDescent="0.3">
      <c r="A1890" t="s">
        <v>7758</v>
      </c>
      <c r="C1890" t="s">
        <v>5267</v>
      </c>
      <c r="D1890" t="s">
        <v>10094</v>
      </c>
      <c r="E1890">
        <v>0</v>
      </c>
      <c r="F1890">
        <v>1888</v>
      </c>
      <c r="H1890" t="s">
        <v>7758</v>
      </c>
    </row>
    <row r="1891" spans="1:8" x14ac:dyDescent="0.3">
      <c r="A1891" t="s">
        <v>7759</v>
      </c>
      <c r="C1891" t="s">
        <v>5267</v>
      </c>
      <c r="D1891" t="s">
        <v>10095</v>
      </c>
      <c r="E1891">
        <v>0</v>
      </c>
      <c r="F1891">
        <v>1889</v>
      </c>
      <c r="H1891" t="s">
        <v>7759</v>
      </c>
    </row>
    <row r="1892" spans="1:8" x14ac:dyDescent="0.3">
      <c r="A1892" t="s">
        <v>7760</v>
      </c>
      <c r="C1892" t="s">
        <v>5267</v>
      </c>
      <c r="D1892" t="s">
        <v>10096</v>
      </c>
      <c r="E1892">
        <v>0</v>
      </c>
      <c r="F1892">
        <v>1890</v>
      </c>
      <c r="H1892" t="s">
        <v>7760</v>
      </c>
    </row>
    <row r="1893" spans="1:8" x14ac:dyDescent="0.3">
      <c r="A1893" t="s">
        <v>7761</v>
      </c>
      <c r="C1893" t="s">
        <v>5267</v>
      </c>
      <c r="D1893" t="s">
        <v>10097</v>
      </c>
      <c r="E1893">
        <v>0</v>
      </c>
      <c r="F1893">
        <v>1891</v>
      </c>
      <c r="H1893" t="s">
        <v>7761</v>
      </c>
    </row>
    <row r="1894" spans="1:8" x14ac:dyDescent="0.3">
      <c r="A1894" t="s">
        <v>7762</v>
      </c>
      <c r="C1894" t="s">
        <v>5267</v>
      </c>
      <c r="D1894" t="s">
        <v>10098</v>
      </c>
      <c r="E1894">
        <v>0</v>
      </c>
      <c r="F1894">
        <v>1892</v>
      </c>
      <c r="H1894" t="s">
        <v>7762</v>
      </c>
    </row>
    <row r="1895" spans="1:8" x14ac:dyDescent="0.3">
      <c r="A1895" t="s">
        <v>7763</v>
      </c>
      <c r="C1895" t="s">
        <v>5267</v>
      </c>
      <c r="D1895" t="s">
        <v>10099</v>
      </c>
      <c r="E1895">
        <v>0</v>
      </c>
      <c r="F1895">
        <v>1893</v>
      </c>
      <c r="H1895" t="s">
        <v>7763</v>
      </c>
    </row>
    <row r="1896" spans="1:8" x14ac:dyDescent="0.3">
      <c r="A1896" t="s">
        <v>7764</v>
      </c>
      <c r="C1896" t="s">
        <v>5267</v>
      </c>
      <c r="D1896" t="s">
        <v>10100</v>
      </c>
      <c r="E1896">
        <v>0</v>
      </c>
      <c r="F1896">
        <v>1894</v>
      </c>
      <c r="H1896" t="s">
        <v>7764</v>
      </c>
    </row>
    <row r="1897" spans="1:8" x14ac:dyDescent="0.3">
      <c r="A1897" t="s">
        <v>7765</v>
      </c>
      <c r="C1897" t="s">
        <v>5267</v>
      </c>
      <c r="D1897" t="s">
        <v>10101</v>
      </c>
      <c r="E1897">
        <v>0</v>
      </c>
      <c r="F1897">
        <v>1895</v>
      </c>
      <c r="H1897" t="s">
        <v>7765</v>
      </c>
    </row>
    <row r="1898" spans="1:8" x14ac:dyDescent="0.3">
      <c r="A1898" t="s">
        <v>7766</v>
      </c>
      <c r="C1898" t="s">
        <v>5267</v>
      </c>
      <c r="D1898" t="s">
        <v>10102</v>
      </c>
      <c r="E1898">
        <v>0</v>
      </c>
      <c r="F1898">
        <v>1896</v>
      </c>
      <c r="H1898" t="s">
        <v>7766</v>
      </c>
    </row>
    <row r="1899" spans="1:8" x14ac:dyDescent="0.3">
      <c r="A1899" t="s">
        <v>7767</v>
      </c>
      <c r="C1899" t="s">
        <v>5267</v>
      </c>
      <c r="D1899" t="s">
        <v>10103</v>
      </c>
      <c r="E1899">
        <v>0</v>
      </c>
      <c r="F1899">
        <v>1897</v>
      </c>
      <c r="H1899" t="s">
        <v>7767</v>
      </c>
    </row>
    <row r="1900" spans="1:8" x14ac:dyDescent="0.3">
      <c r="A1900" t="s">
        <v>7768</v>
      </c>
      <c r="C1900" t="s">
        <v>5267</v>
      </c>
      <c r="D1900" t="s">
        <v>10104</v>
      </c>
      <c r="E1900">
        <v>0</v>
      </c>
      <c r="F1900">
        <v>1898</v>
      </c>
      <c r="H1900" t="s">
        <v>7768</v>
      </c>
    </row>
    <row r="1901" spans="1:8" x14ac:dyDescent="0.3">
      <c r="A1901" t="s">
        <v>7769</v>
      </c>
      <c r="C1901" t="s">
        <v>5267</v>
      </c>
      <c r="D1901" t="s">
        <v>10105</v>
      </c>
      <c r="E1901">
        <v>0</v>
      </c>
      <c r="F1901">
        <v>1899</v>
      </c>
      <c r="H1901" t="s">
        <v>7769</v>
      </c>
    </row>
    <row r="1902" spans="1:8" x14ac:dyDescent="0.3">
      <c r="A1902" t="s">
        <v>7770</v>
      </c>
      <c r="C1902" t="s">
        <v>5267</v>
      </c>
      <c r="D1902" t="s">
        <v>10106</v>
      </c>
      <c r="E1902">
        <v>0</v>
      </c>
      <c r="F1902">
        <v>1900</v>
      </c>
      <c r="H1902" t="s">
        <v>7770</v>
      </c>
    </row>
    <row r="1903" spans="1:8" x14ac:dyDescent="0.3">
      <c r="A1903" t="s">
        <v>7771</v>
      </c>
      <c r="C1903" t="s">
        <v>5267</v>
      </c>
      <c r="D1903" t="s">
        <v>10107</v>
      </c>
      <c r="E1903">
        <v>0</v>
      </c>
      <c r="F1903">
        <v>1901</v>
      </c>
      <c r="H1903" t="s">
        <v>7771</v>
      </c>
    </row>
    <row r="1904" spans="1:8" x14ac:dyDescent="0.3">
      <c r="A1904" t="s">
        <v>7772</v>
      </c>
      <c r="C1904" t="s">
        <v>5267</v>
      </c>
      <c r="D1904" t="s">
        <v>10108</v>
      </c>
      <c r="E1904">
        <v>0</v>
      </c>
      <c r="F1904">
        <v>1902</v>
      </c>
      <c r="H1904" t="s">
        <v>7772</v>
      </c>
    </row>
    <row r="1905" spans="1:8" x14ac:dyDescent="0.3">
      <c r="A1905" t="s">
        <v>7773</v>
      </c>
      <c r="C1905" t="s">
        <v>5267</v>
      </c>
      <c r="D1905" t="s">
        <v>10109</v>
      </c>
      <c r="E1905">
        <v>0</v>
      </c>
      <c r="F1905">
        <v>1903</v>
      </c>
      <c r="H1905" t="s">
        <v>7773</v>
      </c>
    </row>
    <row r="1906" spans="1:8" x14ac:dyDescent="0.3">
      <c r="A1906" t="s">
        <v>7774</v>
      </c>
      <c r="C1906" t="s">
        <v>5267</v>
      </c>
      <c r="D1906" t="s">
        <v>10110</v>
      </c>
      <c r="E1906">
        <v>0</v>
      </c>
      <c r="F1906">
        <v>1904</v>
      </c>
      <c r="H1906" t="s">
        <v>7774</v>
      </c>
    </row>
    <row r="1907" spans="1:8" x14ac:dyDescent="0.3">
      <c r="A1907" t="s">
        <v>7775</v>
      </c>
      <c r="C1907" t="s">
        <v>5267</v>
      </c>
      <c r="D1907" t="s">
        <v>10111</v>
      </c>
      <c r="E1907">
        <v>0</v>
      </c>
      <c r="F1907">
        <v>1905</v>
      </c>
      <c r="H1907" t="s">
        <v>7775</v>
      </c>
    </row>
    <row r="1908" spans="1:8" x14ac:dyDescent="0.3">
      <c r="A1908" t="s">
        <v>7775</v>
      </c>
      <c r="C1908" t="s">
        <v>5267</v>
      </c>
      <c r="D1908" t="s">
        <v>10112</v>
      </c>
      <c r="E1908">
        <v>0</v>
      </c>
      <c r="F1908">
        <v>1906</v>
      </c>
      <c r="H1908" t="s">
        <v>7775</v>
      </c>
    </row>
    <row r="1909" spans="1:8" x14ac:dyDescent="0.3">
      <c r="A1909" t="s">
        <v>7776</v>
      </c>
      <c r="C1909" t="s">
        <v>5267</v>
      </c>
      <c r="D1909" t="s">
        <v>10113</v>
      </c>
      <c r="E1909">
        <v>0</v>
      </c>
      <c r="F1909">
        <v>1907</v>
      </c>
      <c r="H1909" t="s">
        <v>7776</v>
      </c>
    </row>
    <row r="1910" spans="1:8" x14ac:dyDescent="0.3">
      <c r="A1910" t="s">
        <v>7777</v>
      </c>
      <c r="C1910" t="s">
        <v>5267</v>
      </c>
      <c r="D1910" t="s">
        <v>10114</v>
      </c>
      <c r="E1910">
        <v>0</v>
      </c>
      <c r="F1910">
        <v>1908</v>
      </c>
      <c r="H1910" t="s">
        <v>7777</v>
      </c>
    </row>
    <row r="1911" spans="1:8" x14ac:dyDescent="0.3">
      <c r="A1911" t="s">
        <v>7778</v>
      </c>
      <c r="C1911" t="s">
        <v>5267</v>
      </c>
      <c r="D1911" t="s">
        <v>10115</v>
      </c>
      <c r="E1911">
        <v>0</v>
      </c>
      <c r="F1911">
        <v>1909</v>
      </c>
      <c r="H1911" t="s">
        <v>7778</v>
      </c>
    </row>
    <row r="1912" spans="1:8" x14ac:dyDescent="0.3">
      <c r="A1912" t="s">
        <v>7779</v>
      </c>
      <c r="C1912" t="s">
        <v>5267</v>
      </c>
      <c r="D1912" t="s">
        <v>10116</v>
      </c>
      <c r="E1912">
        <v>0</v>
      </c>
      <c r="F1912">
        <v>1910</v>
      </c>
      <c r="H1912" t="s">
        <v>7779</v>
      </c>
    </row>
    <row r="1913" spans="1:8" x14ac:dyDescent="0.3">
      <c r="A1913" t="s">
        <v>7780</v>
      </c>
      <c r="C1913" t="s">
        <v>5267</v>
      </c>
      <c r="D1913" t="s">
        <v>10117</v>
      </c>
      <c r="E1913">
        <v>0</v>
      </c>
      <c r="F1913">
        <v>1911</v>
      </c>
      <c r="H1913" t="s">
        <v>7780</v>
      </c>
    </row>
    <row r="1914" spans="1:8" x14ac:dyDescent="0.3">
      <c r="A1914" t="s">
        <v>7781</v>
      </c>
      <c r="C1914" t="s">
        <v>5267</v>
      </c>
      <c r="D1914" t="s">
        <v>10118</v>
      </c>
      <c r="E1914">
        <v>0</v>
      </c>
      <c r="F1914">
        <v>1912</v>
      </c>
      <c r="H1914" t="s">
        <v>7781</v>
      </c>
    </row>
    <row r="1915" spans="1:8" x14ac:dyDescent="0.3">
      <c r="A1915" t="s">
        <v>7782</v>
      </c>
      <c r="C1915" t="s">
        <v>5267</v>
      </c>
      <c r="D1915" t="s">
        <v>10119</v>
      </c>
      <c r="E1915">
        <v>0</v>
      </c>
      <c r="F1915">
        <v>1913</v>
      </c>
      <c r="H1915" t="s">
        <v>7782</v>
      </c>
    </row>
    <row r="1916" spans="1:8" x14ac:dyDescent="0.3">
      <c r="A1916" t="s">
        <v>7783</v>
      </c>
      <c r="C1916" t="s">
        <v>5267</v>
      </c>
      <c r="D1916" t="s">
        <v>10120</v>
      </c>
      <c r="E1916">
        <v>0</v>
      </c>
      <c r="F1916">
        <v>1914</v>
      </c>
      <c r="H1916" t="s">
        <v>7783</v>
      </c>
    </row>
    <row r="1917" spans="1:8" x14ac:dyDescent="0.3">
      <c r="A1917" t="s">
        <v>7784</v>
      </c>
      <c r="C1917" t="s">
        <v>5267</v>
      </c>
      <c r="D1917" t="s">
        <v>10121</v>
      </c>
      <c r="E1917">
        <v>0</v>
      </c>
      <c r="F1917">
        <v>1915</v>
      </c>
      <c r="H1917" t="s">
        <v>7784</v>
      </c>
    </row>
    <row r="1918" spans="1:8" x14ac:dyDescent="0.3">
      <c r="A1918" t="s">
        <v>7785</v>
      </c>
      <c r="C1918" t="s">
        <v>5267</v>
      </c>
      <c r="D1918" t="s">
        <v>10122</v>
      </c>
      <c r="E1918">
        <v>0</v>
      </c>
      <c r="F1918">
        <v>1916</v>
      </c>
      <c r="H1918" t="s">
        <v>7785</v>
      </c>
    </row>
    <row r="1919" spans="1:8" x14ac:dyDescent="0.3">
      <c r="A1919" t="s">
        <v>7786</v>
      </c>
      <c r="C1919" t="s">
        <v>5267</v>
      </c>
      <c r="D1919" t="s">
        <v>10123</v>
      </c>
      <c r="E1919">
        <v>0</v>
      </c>
      <c r="F1919">
        <v>1917</v>
      </c>
      <c r="H1919" t="s">
        <v>7786</v>
      </c>
    </row>
    <row r="1920" spans="1:8" x14ac:dyDescent="0.3">
      <c r="A1920" t="s">
        <v>7787</v>
      </c>
      <c r="C1920" t="s">
        <v>5267</v>
      </c>
      <c r="D1920" t="s">
        <v>10124</v>
      </c>
      <c r="E1920">
        <v>0</v>
      </c>
      <c r="F1920">
        <v>1918</v>
      </c>
      <c r="H1920" t="s">
        <v>7787</v>
      </c>
    </row>
    <row r="1921" spans="1:8" x14ac:dyDescent="0.3">
      <c r="A1921" t="s">
        <v>7788</v>
      </c>
      <c r="C1921" t="s">
        <v>5267</v>
      </c>
      <c r="D1921" t="s">
        <v>10125</v>
      </c>
      <c r="E1921">
        <v>0</v>
      </c>
      <c r="F1921">
        <v>1919</v>
      </c>
      <c r="H1921" t="s">
        <v>7788</v>
      </c>
    </row>
    <row r="1922" spans="1:8" x14ac:dyDescent="0.3">
      <c r="A1922" t="s">
        <v>7789</v>
      </c>
      <c r="C1922" t="s">
        <v>5267</v>
      </c>
      <c r="D1922" t="s">
        <v>10126</v>
      </c>
      <c r="E1922">
        <v>0</v>
      </c>
      <c r="F1922">
        <v>1920</v>
      </c>
      <c r="H1922" t="s">
        <v>7789</v>
      </c>
    </row>
    <row r="1923" spans="1:8" x14ac:dyDescent="0.3">
      <c r="A1923" t="s">
        <v>7790</v>
      </c>
      <c r="C1923" t="s">
        <v>5267</v>
      </c>
      <c r="D1923" t="s">
        <v>10127</v>
      </c>
      <c r="E1923">
        <v>0</v>
      </c>
      <c r="F1923">
        <v>1921</v>
      </c>
      <c r="H1923" t="s">
        <v>7790</v>
      </c>
    </row>
    <row r="1924" spans="1:8" x14ac:dyDescent="0.3">
      <c r="A1924" t="s">
        <v>7791</v>
      </c>
      <c r="C1924" t="s">
        <v>5267</v>
      </c>
      <c r="D1924" t="s">
        <v>10128</v>
      </c>
      <c r="E1924">
        <v>0</v>
      </c>
      <c r="F1924">
        <v>1922</v>
      </c>
      <c r="H1924" t="s">
        <v>7791</v>
      </c>
    </row>
    <row r="1925" spans="1:8" x14ac:dyDescent="0.3">
      <c r="A1925" t="s">
        <v>7792</v>
      </c>
      <c r="C1925" t="s">
        <v>5267</v>
      </c>
      <c r="D1925" t="s">
        <v>10129</v>
      </c>
      <c r="E1925">
        <v>0</v>
      </c>
      <c r="F1925">
        <v>1923</v>
      </c>
      <c r="H1925" t="s">
        <v>7792</v>
      </c>
    </row>
    <row r="1926" spans="1:8" x14ac:dyDescent="0.3">
      <c r="A1926" t="s">
        <v>7793</v>
      </c>
      <c r="C1926" t="s">
        <v>5267</v>
      </c>
      <c r="D1926" t="s">
        <v>10130</v>
      </c>
      <c r="E1926">
        <v>0</v>
      </c>
      <c r="F1926">
        <v>1924</v>
      </c>
      <c r="H1926" t="s">
        <v>7793</v>
      </c>
    </row>
    <row r="1927" spans="1:8" x14ac:dyDescent="0.3">
      <c r="A1927" t="s">
        <v>7794</v>
      </c>
      <c r="C1927" t="s">
        <v>5267</v>
      </c>
      <c r="D1927" t="s">
        <v>10131</v>
      </c>
      <c r="E1927">
        <v>0</v>
      </c>
      <c r="F1927">
        <v>1925</v>
      </c>
      <c r="H1927" t="s">
        <v>7794</v>
      </c>
    </row>
    <row r="1928" spans="1:8" x14ac:dyDescent="0.3">
      <c r="A1928" t="s">
        <v>7795</v>
      </c>
      <c r="C1928" t="s">
        <v>5267</v>
      </c>
      <c r="D1928" t="s">
        <v>10132</v>
      </c>
      <c r="E1928">
        <v>0</v>
      </c>
      <c r="F1928">
        <v>1926</v>
      </c>
      <c r="H1928" t="s">
        <v>7795</v>
      </c>
    </row>
    <row r="1929" spans="1:8" x14ac:dyDescent="0.3">
      <c r="A1929" t="s">
        <v>7796</v>
      </c>
      <c r="C1929" t="s">
        <v>5267</v>
      </c>
      <c r="D1929" t="s">
        <v>10133</v>
      </c>
      <c r="E1929">
        <v>0</v>
      </c>
      <c r="F1929">
        <v>1927</v>
      </c>
      <c r="H1929" t="s">
        <v>7796</v>
      </c>
    </row>
    <row r="1930" spans="1:8" x14ac:dyDescent="0.3">
      <c r="A1930" t="s">
        <v>7797</v>
      </c>
      <c r="C1930" t="s">
        <v>5267</v>
      </c>
      <c r="D1930" t="s">
        <v>10134</v>
      </c>
      <c r="E1930">
        <v>0</v>
      </c>
      <c r="F1930">
        <v>1928</v>
      </c>
      <c r="H1930" t="s">
        <v>7797</v>
      </c>
    </row>
    <row r="1931" spans="1:8" x14ac:dyDescent="0.3">
      <c r="A1931" t="s">
        <v>7798</v>
      </c>
      <c r="C1931" t="s">
        <v>5267</v>
      </c>
      <c r="D1931" t="s">
        <v>10135</v>
      </c>
      <c r="E1931">
        <v>0</v>
      </c>
      <c r="F1931">
        <v>1929</v>
      </c>
      <c r="H1931" t="s">
        <v>7798</v>
      </c>
    </row>
    <row r="1932" spans="1:8" x14ac:dyDescent="0.3">
      <c r="A1932" t="s">
        <v>7799</v>
      </c>
      <c r="C1932" t="s">
        <v>5267</v>
      </c>
      <c r="D1932" t="s">
        <v>10136</v>
      </c>
      <c r="E1932">
        <v>0</v>
      </c>
      <c r="F1932">
        <v>1930</v>
      </c>
      <c r="H1932" t="s">
        <v>7799</v>
      </c>
    </row>
    <row r="1933" spans="1:8" x14ac:dyDescent="0.3">
      <c r="A1933" t="s">
        <v>7800</v>
      </c>
      <c r="C1933" t="s">
        <v>5267</v>
      </c>
      <c r="D1933" t="s">
        <v>10137</v>
      </c>
      <c r="E1933">
        <v>0</v>
      </c>
      <c r="F1933">
        <v>1931</v>
      </c>
      <c r="H1933" t="s">
        <v>7800</v>
      </c>
    </row>
    <row r="1934" spans="1:8" x14ac:dyDescent="0.3">
      <c r="A1934" t="s">
        <v>7801</v>
      </c>
      <c r="C1934" t="s">
        <v>5267</v>
      </c>
      <c r="D1934" t="s">
        <v>10138</v>
      </c>
      <c r="E1934">
        <v>0</v>
      </c>
      <c r="F1934">
        <v>1932</v>
      </c>
      <c r="H1934" t="s">
        <v>7801</v>
      </c>
    </row>
    <row r="1935" spans="1:8" x14ac:dyDescent="0.3">
      <c r="A1935" t="s">
        <v>7802</v>
      </c>
      <c r="C1935" t="s">
        <v>5267</v>
      </c>
      <c r="D1935" t="s">
        <v>10139</v>
      </c>
      <c r="E1935">
        <v>0</v>
      </c>
      <c r="F1935">
        <v>1933</v>
      </c>
      <c r="H1935" t="s">
        <v>7802</v>
      </c>
    </row>
    <row r="1936" spans="1:8" x14ac:dyDescent="0.3">
      <c r="A1936" t="s">
        <v>7803</v>
      </c>
      <c r="C1936" t="s">
        <v>5267</v>
      </c>
      <c r="D1936" t="s">
        <v>10140</v>
      </c>
      <c r="E1936">
        <v>0</v>
      </c>
      <c r="F1936">
        <v>1934</v>
      </c>
      <c r="H1936" t="s">
        <v>7803</v>
      </c>
    </row>
    <row r="1937" spans="1:8" x14ac:dyDescent="0.3">
      <c r="A1937" t="s">
        <v>7804</v>
      </c>
      <c r="C1937" t="s">
        <v>5267</v>
      </c>
      <c r="D1937" t="s">
        <v>10141</v>
      </c>
      <c r="E1937">
        <v>0</v>
      </c>
      <c r="F1937">
        <v>1935</v>
      </c>
      <c r="H1937" t="s">
        <v>7804</v>
      </c>
    </row>
    <row r="1938" spans="1:8" x14ac:dyDescent="0.3">
      <c r="A1938" t="s">
        <v>7805</v>
      </c>
      <c r="C1938" t="s">
        <v>5267</v>
      </c>
      <c r="D1938" t="s">
        <v>10142</v>
      </c>
      <c r="E1938">
        <v>0</v>
      </c>
      <c r="F1938">
        <v>1936</v>
      </c>
      <c r="H1938" t="s">
        <v>7805</v>
      </c>
    </row>
    <row r="1939" spans="1:8" x14ac:dyDescent="0.3">
      <c r="A1939" t="s">
        <v>7806</v>
      </c>
      <c r="C1939" t="s">
        <v>5267</v>
      </c>
      <c r="D1939" t="s">
        <v>10143</v>
      </c>
      <c r="E1939">
        <v>0</v>
      </c>
      <c r="F1939">
        <v>1937</v>
      </c>
      <c r="H1939" t="s">
        <v>7806</v>
      </c>
    </row>
    <row r="1940" spans="1:8" x14ac:dyDescent="0.3">
      <c r="A1940" t="s">
        <v>7807</v>
      </c>
      <c r="C1940" t="s">
        <v>5267</v>
      </c>
      <c r="D1940" t="s">
        <v>10144</v>
      </c>
      <c r="E1940">
        <v>0</v>
      </c>
      <c r="F1940">
        <v>1938</v>
      </c>
      <c r="H1940" t="s">
        <v>7807</v>
      </c>
    </row>
    <row r="1941" spans="1:8" x14ac:dyDescent="0.3">
      <c r="A1941" t="s">
        <v>7808</v>
      </c>
      <c r="C1941" t="s">
        <v>5267</v>
      </c>
      <c r="D1941" t="s">
        <v>10145</v>
      </c>
      <c r="E1941">
        <v>0</v>
      </c>
      <c r="F1941">
        <v>1939</v>
      </c>
      <c r="H1941" t="s">
        <v>7808</v>
      </c>
    </row>
    <row r="1942" spans="1:8" x14ac:dyDescent="0.3">
      <c r="A1942" t="s">
        <v>7809</v>
      </c>
      <c r="C1942" t="s">
        <v>5267</v>
      </c>
      <c r="D1942" t="s">
        <v>10146</v>
      </c>
      <c r="E1942">
        <v>0</v>
      </c>
      <c r="F1942">
        <v>1940</v>
      </c>
      <c r="H1942" t="s">
        <v>7809</v>
      </c>
    </row>
    <row r="1943" spans="1:8" x14ac:dyDescent="0.3">
      <c r="A1943" t="s">
        <v>7810</v>
      </c>
      <c r="C1943" t="s">
        <v>5267</v>
      </c>
      <c r="D1943" t="s">
        <v>10147</v>
      </c>
      <c r="E1943">
        <v>0</v>
      </c>
      <c r="F1943">
        <v>1941</v>
      </c>
      <c r="H1943" t="s">
        <v>7810</v>
      </c>
    </row>
    <row r="1944" spans="1:8" x14ac:dyDescent="0.3">
      <c r="A1944" t="s">
        <v>7811</v>
      </c>
      <c r="C1944" t="s">
        <v>5267</v>
      </c>
      <c r="D1944" t="s">
        <v>10148</v>
      </c>
      <c r="E1944">
        <v>0</v>
      </c>
      <c r="F1944">
        <v>1942</v>
      </c>
      <c r="H1944" t="s">
        <v>7811</v>
      </c>
    </row>
    <row r="1945" spans="1:8" x14ac:dyDescent="0.3">
      <c r="A1945" t="s">
        <v>7812</v>
      </c>
      <c r="C1945" t="s">
        <v>5267</v>
      </c>
      <c r="D1945" t="s">
        <v>10149</v>
      </c>
      <c r="E1945">
        <v>0</v>
      </c>
      <c r="F1945">
        <v>1943</v>
      </c>
      <c r="H1945" t="s">
        <v>7812</v>
      </c>
    </row>
    <row r="1946" spans="1:8" x14ac:dyDescent="0.3">
      <c r="A1946" t="s">
        <v>7813</v>
      </c>
      <c r="C1946" t="s">
        <v>5267</v>
      </c>
      <c r="D1946" t="s">
        <v>10150</v>
      </c>
      <c r="E1946">
        <v>0</v>
      </c>
      <c r="F1946">
        <v>1944</v>
      </c>
      <c r="H1946" t="s">
        <v>7813</v>
      </c>
    </row>
    <row r="1947" spans="1:8" x14ac:dyDescent="0.3">
      <c r="A1947" t="s">
        <v>7814</v>
      </c>
      <c r="C1947" t="s">
        <v>5267</v>
      </c>
      <c r="D1947" t="s">
        <v>10151</v>
      </c>
      <c r="E1947">
        <v>0</v>
      </c>
      <c r="F1947">
        <v>1945</v>
      </c>
      <c r="H1947" t="s">
        <v>7814</v>
      </c>
    </row>
    <row r="1948" spans="1:8" x14ac:dyDescent="0.3">
      <c r="A1948" t="s">
        <v>7815</v>
      </c>
      <c r="C1948" t="s">
        <v>5267</v>
      </c>
      <c r="D1948" t="s">
        <v>10152</v>
      </c>
      <c r="E1948">
        <v>0</v>
      </c>
      <c r="F1948">
        <v>1946</v>
      </c>
      <c r="H1948" t="s">
        <v>7815</v>
      </c>
    </row>
    <row r="1949" spans="1:8" x14ac:dyDescent="0.3">
      <c r="A1949" t="s">
        <v>7816</v>
      </c>
      <c r="C1949" t="s">
        <v>5267</v>
      </c>
      <c r="D1949" t="s">
        <v>10153</v>
      </c>
      <c r="E1949">
        <v>0</v>
      </c>
      <c r="F1949">
        <v>1947</v>
      </c>
      <c r="H1949" t="s">
        <v>7816</v>
      </c>
    </row>
    <row r="1950" spans="1:8" x14ac:dyDescent="0.3">
      <c r="A1950" t="s">
        <v>7817</v>
      </c>
      <c r="C1950" t="s">
        <v>5267</v>
      </c>
      <c r="D1950" t="s">
        <v>10154</v>
      </c>
      <c r="E1950">
        <v>0</v>
      </c>
      <c r="F1950">
        <v>1948</v>
      </c>
      <c r="H1950" t="s">
        <v>7817</v>
      </c>
    </row>
    <row r="1951" spans="1:8" x14ac:dyDescent="0.3">
      <c r="A1951" t="s">
        <v>7818</v>
      </c>
      <c r="C1951" t="s">
        <v>5267</v>
      </c>
      <c r="D1951" t="s">
        <v>10155</v>
      </c>
      <c r="E1951">
        <v>0</v>
      </c>
      <c r="F1951">
        <v>1949</v>
      </c>
      <c r="H1951" t="s">
        <v>7818</v>
      </c>
    </row>
    <row r="1952" spans="1:8" x14ac:dyDescent="0.3">
      <c r="A1952" t="s">
        <v>7819</v>
      </c>
      <c r="C1952" t="s">
        <v>5267</v>
      </c>
      <c r="D1952" t="s">
        <v>10156</v>
      </c>
      <c r="E1952">
        <v>0</v>
      </c>
      <c r="F1952">
        <v>1950</v>
      </c>
      <c r="H1952" t="s">
        <v>7819</v>
      </c>
    </row>
    <row r="1953" spans="1:8" x14ac:dyDescent="0.3">
      <c r="A1953" t="s">
        <v>7820</v>
      </c>
      <c r="C1953" t="s">
        <v>5267</v>
      </c>
      <c r="D1953" t="s">
        <v>10157</v>
      </c>
      <c r="E1953">
        <v>0</v>
      </c>
      <c r="F1953">
        <v>1951</v>
      </c>
      <c r="H1953" t="s">
        <v>7820</v>
      </c>
    </row>
    <row r="1954" spans="1:8" x14ac:dyDescent="0.3">
      <c r="A1954" t="s">
        <v>7821</v>
      </c>
      <c r="C1954" t="s">
        <v>5267</v>
      </c>
      <c r="D1954" t="s">
        <v>10158</v>
      </c>
      <c r="E1954">
        <v>0</v>
      </c>
      <c r="F1954">
        <v>1952</v>
      </c>
      <c r="H1954" t="s">
        <v>7821</v>
      </c>
    </row>
    <row r="1955" spans="1:8" x14ac:dyDescent="0.3">
      <c r="A1955" t="s">
        <v>7822</v>
      </c>
      <c r="C1955" t="s">
        <v>5267</v>
      </c>
      <c r="D1955" t="s">
        <v>10159</v>
      </c>
      <c r="E1955">
        <v>0</v>
      </c>
      <c r="F1955">
        <v>1953</v>
      </c>
      <c r="H1955" t="s">
        <v>7822</v>
      </c>
    </row>
    <row r="1956" spans="1:8" x14ac:dyDescent="0.3">
      <c r="A1956" t="s">
        <v>7823</v>
      </c>
      <c r="C1956" t="s">
        <v>5267</v>
      </c>
      <c r="D1956" t="s">
        <v>10160</v>
      </c>
      <c r="E1956">
        <v>0</v>
      </c>
      <c r="F1956">
        <v>1954</v>
      </c>
      <c r="H1956" t="s">
        <v>7823</v>
      </c>
    </row>
    <row r="1957" spans="1:8" x14ac:dyDescent="0.3">
      <c r="A1957" t="s">
        <v>7824</v>
      </c>
      <c r="C1957" t="s">
        <v>5267</v>
      </c>
      <c r="D1957" t="s">
        <v>10161</v>
      </c>
      <c r="E1957">
        <v>0</v>
      </c>
      <c r="F1957">
        <v>1955</v>
      </c>
      <c r="H1957" t="s">
        <v>7824</v>
      </c>
    </row>
    <row r="1958" spans="1:8" x14ac:dyDescent="0.3">
      <c r="A1958" t="s">
        <v>7825</v>
      </c>
      <c r="C1958" t="s">
        <v>5267</v>
      </c>
      <c r="D1958" t="s">
        <v>10162</v>
      </c>
      <c r="E1958">
        <v>0</v>
      </c>
      <c r="F1958">
        <v>1956</v>
      </c>
      <c r="H1958" t="s">
        <v>7825</v>
      </c>
    </row>
    <row r="1959" spans="1:8" x14ac:dyDescent="0.3">
      <c r="A1959" t="s">
        <v>7826</v>
      </c>
      <c r="C1959" t="s">
        <v>5267</v>
      </c>
      <c r="D1959" t="s">
        <v>10163</v>
      </c>
      <c r="E1959">
        <v>0</v>
      </c>
      <c r="F1959">
        <v>1957</v>
      </c>
      <c r="H1959" t="s">
        <v>7826</v>
      </c>
    </row>
    <row r="1960" spans="1:8" x14ac:dyDescent="0.3">
      <c r="A1960" t="s">
        <v>7827</v>
      </c>
      <c r="C1960" t="s">
        <v>5267</v>
      </c>
      <c r="D1960" t="s">
        <v>10164</v>
      </c>
      <c r="E1960">
        <v>0</v>
      </c>
      <c r="F1960">
        <v>1958</v>
      </c>
      <c r="H1960" t="s">
        <v>7827</v>
      </c>
    </row>
    <row r="1961" spans="1:8" x14ac:dyDescent="0.3">
      <c r="A1961" t="s">
        <v>7828</v>
      </c>
      <c r="C1961" t="s">
        <v>5267</v>
      </c>
      <c r="D1961" t="s">
        <v>10165</v>
      </c>
      <c r="E1961">
        <v>0</v>
      </c>
      <c r="F1961">
        <v>1959</v>
      </c>
      <c r="H1961" t="s">
        <v>7828</v>
      </c>
    </row>
    <row r="1962" spans="1:8" x14ac:dyDescent="0.3">
      <c r="A1962" t="s">
        <v>7829</v>
      </c>
      <c r="C1962" t="s">
        <v>5267</v>
      </c>
      <c r="D1962" t="s">
        <v>10166</v>
      </c>
      <c r="E1962">
        <v>0</v>
      </c>
      <c r="F1962">
        <v>1960</v>
      </c>
      <c r="H1962" t="s">
        <v>7829</v>
      </c>
    </row>
    <row r="1963" spans="1:8" x14ac:dyDescent="0.3">
      <c r="A1963" t="s">
        <v>7830</v>
      </c>
      <c r="C1963" t="s">
        <v>5267</v>
      </c>
      <c r="D1963" t="s">
        <v>10167</v>
      </c>
      <c r="E1963">
        <v>0</v>
      </c>
      <c r="F1963">
        <v>1961</v>
      </c>
      <c r="H1963" t="s">
        <v>7830</v>
      </c>
    </row>
    <row r="1964" spans="1:8" x14ac:dyDescent="0.3">
      <c r="A1964" t="s">
        <v>7831</v>
      </c>
      <c r="C1964" t="s">
        <v>5267</v>
      </c>
      <c r="D1964" t="s">
        <v>10168</v>
      </c>
      <c r="E1964">
        <v>0</v>
      </c>
      <c r="F1964">
        <v>1962</v>
      </c>
      <c r="H1964" t="s">
        <v>7831</v>
      </c>
    </row>
    <row r="1965" spans="1:8" x14ac:dyDescent="0.3">
      <c r="A1965" t="s">
        <v>7832</v>
      </c>
      <c r="C1965" t="s">
        <v>5267</v>
      </c>
      <c r="D1965" t="s">
        <v>10169</v>
      </c>
      <c r="E1965">
        <v>0</v>
      </c>
      <c r="F1965">
        <v>1963</v>
      </c>
      <c r="H1965" t="s">
        <v>7832</v>
      </c>
    </row>
    <row r="1966" spans="1:8" x14ac:dyDescent="0.3">
      <c r="A1966" t="s">
        <v>7833</v>
      </c>
      <c r="C1966" t="s">
        <v>5267</v>
      </c>
      <c r="D1966" t="s">
        <v>10170</v>
      </c>
      <c r="E1966">
        <v>0</v>
      </c>
      <c r="F1966">
        <v>1964</v>
      </c>
      <c r="H1966" t="s">
        <v>7833</v>
      </c>
    </row>
    <row r="1967" spans="1:8" x14ac:dyDescent="0.3">
      <c r="A1967" t="s">
        <v>7834</v>
      </c>
      <c r="C1967" t="s">
        <v>5267</v>
      </c>
      <c r="D1967" t="s">
        <v>10171</v>
      </c>
      <c r="E1967">
        <v>0</v>
      </c>
      <c r="F1967">
        <v>1965</v>
      </c>
      <c r="H1967" t="s">
        <v>7834</v>
      </c>
    </row>
    <row r="1968" spans="1:8" x14ac:dyDescent="0.3">
      <c r="A1968" t="s">
        <v>7835</v>
      </c>
      <c r="C1968" t="s">
        <v>5267</v>
      </c>
      <c r="D1968" t="s">
        <v>10172</v>
      </c>
      <c r="E1968">
        <v>0</v>
      </c>
      <c r="F1968">
        <v>1966</v>
      </c>
      <c r="H1968" t="s">
        <v>7835</v>
      </c>
    </row>
    <row r="1969" spans="1:8" x14ac:dyDescent="0.3">
      <c r="A1969" t="s">
        <v>7836</v>
      </c>
      <c r="C1969" t="s">
        <v>5267</v>
      </c>
      <c r="D1969" t="s">
        <v>10173</v>
      </c>
      <c r="E1969">
        <v>0</v>
      </c>
      <c r="F1969">
        <v>1967</v>
      </c>
      <c r="H1969" t="s">
        <v>7836</v>
      </c>
    </row>
    <row r="1970" spans="1:8" x14ac:dyDescent="0.3">
      <c r="A1970" t="s">
        <v>7837</v>
      </c>
      <c r="C1970" t="s">
        <v>5267</v>
      </c>
      <c r="D1970" t="s">
        <v>10174</v>
      </c>
      <c r="E1970">
        <v>0</v>
      </c>
      <c r="F1970">
        <v>1968</v>
      </c>
      <c r="H1970" t="s">
        <v>7837</v>
      </c>
    </row>
    <row r="1971" spans="1:8" x14ac:dyDescent="0.3">
      <c r="A1971" t="s">
        <v>7838</v>
      </c>
      <c r="C1971" t="s">
        <v>5267</v>
      </c>
      <c r="D1971" t="s">
        <v>10175</v>
      </c>
      <c r="E1971">
        <v>0</v>
      </c>
      <c r="F1971">
        <v>1969</v>
      </c>
      <c r="H1971" t="s">
        <v>7838</v>
      </c>
    </row>
    <row r="1972" spans="1:8" x14ac:dyDescent="0.3">
      <c r="A1972" t="s">
        <v>7593</v>
      </c>
      <c r="C1972" t="s">
        <v>5267</v>
      </c>
      <c r="D1972" t="s">
        <v>10176</v>
      </c>
      <c r="E1972">
        <v>0</v>
      </c>
      <c r="F1972">
        <v>1970</v>
      </c>
      <c r="H1972" t="s">
        <v>7593</v>
      </c>
    </row>
    <row r="1973" spans="1:8" x14ac:dyDescent="0.3">
      <c r="A1973" t="s">
        <v>7839</v>
      </c>
      <c r="C1973" t="s">
        <v>5267</v>
      </c>
      <c r="D1973" t="s">
        <v>10177</v>
      </c>
      <c r="E1973">
        <v>0</v>
      </c>
      <c r="F1973">
        <v>1971</v>
      </c>
      <c r="H1973" t="s">
        <v>7839</v>
      </c>
    </row>
    <row r="1974" spans="1:8" x14ac:dyDescent="0.3">
      <c r="A1974" t="s">
        <v>7840</v>
      </c>
      <c r="C1974" t="s">
        <v>5267</v>
      </c>
      <c r="D1974" t="s">
        <v>10178</v>
      </c>
      <c r="E1974">
        <v>0</v>
      </c>
      <c r="F1974">
        <v>1972</v>
      </c>
      <c r="H1974" t="s">
        <v>7840</v>
      </c>
    </row>
    <row r="1975" spans="1:8" x14ac:dyDescent="0.3">
      <c r="A1975" t="s">
        <v>7841</v>
      </c>
      <c r="C1975" t="s">
        <v>5267</v>
      </c>
      <c r="D1975" t="s">
        <v>10179</v>
      </c>
      <c r="E1975">
        <v>0</v>
      </c>
      <c r="F1975">
        <v>1973</v>
      </c>
      <c r="H1975" t="s">
        <v>7841</v>
      </c>
    </row>
    <row r="1976" spans="1:8" x14ac:dyDescent="0.3">
      <c r="A1976" t="s">
        <v>7842</v>
      </c>
      <c r="C1976" t="s">
        <v>5267</v>
      </c>
      <c r="D1976" t="s">
        <v>10180</v>
      </c>
      <c r="E1976">
        <v>0</v>
      </c>
      <c r="F1976">
        <v>1974</v>
      </c>
      <c r="H1976" t="s">
        <v>7842</v>
      </c>
    </row>
    <row r="1977" spans="1:8" x14ac:dyDescent="0.3">
      <c r="A1977" t="s">
        <v>7843</v>
      </c>
      <c r="C1977" t="s">
        <v>5267</v>
      </c>
      <c r="D1977" t="s">
        <v>10181</v>
      </c>
      <c r="E1977">
        <v>0</v>
      </c>
      <c r="F1977">
        <v>1975</v>
      </c>
      <c r="H1977" t="s">
        <v>7843</v>
      </c>
    </row>
    <row r="1978" spans="1:8" x14ac:dyDescent="0.3">
      <c r="A1978" t="s">
        <v>7844</v>
      </c>
      <c r="C1978" t="s">
        <v>5267</v>
      </c>
      <c r="D1978" t="s">
        <v>10182</v>
      </c>
      <c r="E1978">
        <v>0</v>
      </c>
      <c r="F1978">
        <v>1976</v>
      </c>
      <c r="H1978" t="s">
        <v>7844</v>
      </c>
    </row>
    <row r="1979" spans="1:8" x14ac:dyDescent="0.3">
      <c r="A1979" t="s">
        <v>7845</v>
      </c>
      <c r="C1979" t="s">
        <v>5267</v>
      </c>
      <c r="D1979" t="s">
        <v>10183</v>
      </c>
      <c r="E1979">
        <v>0</v>
      </c>
      <c r="F1979">
        <v>1977</v>
      </c>
      <c r="H1979" t="s">
        <v>7845</v>
      </c>
    </row>
    <row r="1980" spans="1:8" x14ac:dyDescent="0.3">
      <c r="A1980" t="s">
        <v>7846</v>
      </c>
      <c r="C1980" t="s">
        <v>5267</v>
      </c>
      <c r="D1980" t="s">
        <v>10184</v>
      </c>
      <c r="E1980">
        <v>0</v>
      </c>
      <c r="F1980">
        <v>1978</v>
      </c>
      <c r="H1980" t="s">
        <v>7846</v>
      </c>
    </row>
    <row r="1981" spans="1:8" x14ac:dyDescent="0.3">
      <c r="A1981" t="s">
        <v>7847</v>
      </c>
      <c r="C1981" t="s">
        <v>5267</v>
      </c>
      <c r="D1981" t="s">
        <v>10185</v>
      </c>
      <c r="E1981">
        <v>0</v>
      </c>
      <c r="F1981">
        <v>1979</v>
      </c>
      <c r="H1981" t="s">
        <v>7847</v>
      </c>
    </row>
    <row r="1982" spans="1:8" x14ac:dyDescent="0.3">
      <c r="A1982" t="s">
        <v>7848</v>
      </c>
      <c r="C1982" t="s">
        <v>5267</v>
      </c>
      <c r="D1982" t="s">
        <v>10186</v>
      </c>
      <c r="E1982">
        <v>0</v>
      </c>
      <c r="F1982">
        <v>1980</v>
      </c>
      <c r="H1982" t="s">
        <v>7848</v>
      </c>
    </row>
    <row r="1983" spans="1:8" x14ac:dyDescent="0.3">
      <c r="A1983" t="s">
        <v>7849</v>
      </c>
      <c r="C1983" t="s">
        <v>5267</v>
      </c>
      <c r="D1983" t="s">
        <v>10187</v>
      </c>
      <c r="E1983">
        <v>0</v>
      </c>
      <c r="F1983">
        <v>1981</v>
      </c>
      <c r="H1983" t="s">
        <v>7849</v>
      </c>
    </row>
    <row r="1984" spans="1:8" x14ac:dyDescent="0.3">
      <c r="A1984" t="s">
        <v>7850</v>
      </c>
      <c r="C1984" t="s">
        <v>5267</v>
      </c>
      <c r="D1984" t="s">
        <v>10188</v>
      </c>
      <c r="E1984">
        <v>0</v>
      </c>
      <c r="F1984">
        <v>1982</v>
      </c>
      <c r="H1984" t="s">
        <v>7850</v>
      </c>
    </row>
    <row r="1985" spans="1:8" x14ac:dyDescent="0.3">
      <c r="A1985" t="s">
        <v>7851</v>
      </c>
      <c r="C1985" t="s">
        <v>5267</v>
      </c>
      <c r="D1985" t="s">
        <v>10189</v>
      </c>
      <c r="E1985">
        <v>0</v>
      </c>
      <c r="F1985">
        <v>1983</v>
      </c>
      <c r="H1985" t="s">
        <v>7851</v>
      </c>
    </row>
    <row r="1986" spans="1:8" x14ac:dyDescent="0.3">
      <c r="A1986" t="s">
        <v>7852</v>
      </c>
      <c r="C1986" t="s">
        <v>5267</v>
      </c>
      <c r="D1986" t="s">
        <v>10190</v>
      </c>
      <c r="E1986">
        <v>0</v>
      </c>
      <c r="F1986">
        <v>1984</v>
      </c>
      <c r="H1986" t="s">
        <v>7852</v>
      </c>
    </row>
    <row r="1987" spans="1:8" x14ac:dyDescent="0.3">
      <c r="A1987" t="s">
        <v>7853</v>
      </c>
      <c r="C1987" t="s">
        <v>5267</v>
      </c>
      <c r="D1987" t="s">
        <v>10191</v>
      </c>
      <c r="E1987">
        <v>0</v>
      </c>
      <c r="F1987">
        <v>1985</v>
      </c>
      <c r="H1987" t="s">
        <v>7853</v>
      </c>
    </row>
    <row r="1988" spans="1:8" x14ac:dyDescent="0.3">
      <c r="A1988" t="s">
        <v>7854</v>
      </c>
      <c r="C1988" t="s">
        <v>5267</v>
      </c>
      <c r="D1988" t="s">
        <v>10192</v>
      </c>
      <c r="E1988">
        <v>0</v>
      </c>
      <c r="F1988">
        <v>1986</v>
      </c>
      <c r="H1988" t="s">
        <v>7854</v>
      </c>
    </row>
    <row r="1989" spans="1:8" x14ac:dyDescent="0.3">
      <c r="A1989" t="s">
        <v>7855</v>
      </c>
      <c r="C1989" t="s">
        <v>5267</v>
      </c>
      <c r="D1989" t="s">
        <v>10193</v>
      </c>
      <c r="E1989">
        <v>0</v>
      </c>
      <c r="F1989">
        <v>1987</v>
      </c>
      <c r="H1989" t="s">
        <v>7855</v>
      </c>
    </row>
    <row r="1990" spans="1:8" x14ac:dyDescent="0.3">
      <c r="A1990" t="s">
        <v>7856</v>
      </c>
      <c r="C1990" t="s">
        <v>5267</v>
      </c>
      <c r="D1990" t="s">
        <v>10194</v>
      </c>
      <c r="E1990">
        <v>0</v>
      </c>
      <c r="F1990">
        <v>1988</v>
      </c>
      <c r="H1990" t="s">
        <v>7856</v>
      </c>
    </row>
    <row r="1991" spans="1:8" x14ac:dyDescent="0.3">
      <c r="A1991" t="s">
        <v>7857</v>
      </c>
      <c r="C1991" t="s">
        <v>5267</v>
      </c>
      <c r="D1991" t="s">
        <v>10195</v>
      </c>
      <c r="E1991">
        <v>0</v>
      </c>
      <c r="F1991">
        <v>1989</v>
      </c>
      <c r="H1991" t="s">
        <v>7857</v>
      </c>
    </row>
    <row r="1992" spans="1:8" x14ac:dyDescent="0.3">
      <c r="A1992" t="s">
        <v>7858</v>
      </c>
      <c r="C1992" t="s">
        <v>5267</v>
      </c>
      <c r="D1992" t="s">
        <v>10196</v>
      </c>
      <c r="E1992">
        <v>0</v>
      </c>
      <c r="F1992">
        <v>1990</v>
      </c>
      <c r="H1992" t="s">
        <v>7858</v>
      </c>
    </row>
    <row r="1993" spans="1:8" x14ac:dyDescent="0.3">
      <c r="A1993" t="s">
        <v>7859</v>
      </c>
      <c r="C1993" t="s">
        <v>5267</v>
      </c>
      <c r="D1993" t="s">
        <v>10197</v>
      </c>
      <c r="E1993">
        <v>0</v>
      </c>
      <c r="F1993">
        <v>1991</v>
      </c>
      <c r="H1993" t="s">
        <v>7859</v>
      </c>
    </row>
    <row r="1994" spans="1:8" x14ac:dyDescent="0.3">
      <c r="A1994" t="s">
        <v>7860</v>
      </c>
      <c r="C1994" t="s">
        <v>5267</v>
      </c>
      <c r="D1994" t="s">
        <v>10198</v>
      </c>
      <c r="E1994">
        <v>0</v>
      </c>
      <c r="F1994">
        <v>1992</v>
      </c>
      <c r="H1994" t="s">
        <v>7860</v>
      </c>
    </row>
    <row r="1995" spans="1:8" x14ac:dyDescent="0.3">
      <c r="A1995" t="s">
        <v>7861</v>
      </c>
      <c r="C1995" t="s">
        <v>5267</v>
      </c>
      <c r="D1995" t="s">
        <v>10199</v>
      </c>
      <c r="E1995">
        <v>0</v>
      </c>
      <c r="F1995">
        <v>1993</v>
      </c>
      <c r="H1995" t="s">
        <v>7861</v>
      </c>
    </row>
    <row r="1996" spans="1:8" x14ac:dyDescent="0.3">
      <c r="A1996" t="s">
        <v>7862</v>
      </c>
      <c r="C1996" t="s">
        <v>5267</v>
      </c>
      <c r="D1996" t="s">
        <v>10200</v>
      </c>
      <c r="E1996">
        <v>0</v>
      </c>
      <c r="F1996">
        <v>1994</v>
      </c>
      <c r="H1996" t="s">
        <v>7862</v>
      </c>
    </row>
    <row r="1997" spans="1:8" x14ac:dyDescent="0.3">
      <c r="A1997" t="s">
        <v>7863</v>
      </c>
      <c r="C1997" t="s">
        <v>5267</v>
      </c>
      <c r="D1997" t="s">
        <v>10201</v>
      </c>
      <c r="E1997">
        <v>0</v>
      </c>
      <c r="F1997">
        <v>1995</v>
      </c>
      <c r="H1997" t="s">
        <v>7863</v>
      </c>
    </row>
    <row r="1998" spans="1:8" x14ac:dyDescent="0.3">
      <c r="A1998" t="s">
        <v>7864</v>
      </c>
      <c r="C1998" t="s">
        <v>5267</v>
      </c>
      <c r="D1998" t="s">
        <v>10202</v>
      </c>
      <c r="E1998">
        <v>0</v>
      </c>
      <c r="F1998">
        <v>1996</v>
      </c>
      <c r="H1998" t="s">
        <v>7864</v>
      </c>
    </row>
    <row r="1999" spans="1:8" x14ac:dyDescent="0.3">
      <c r="A1999" t="s">
        <v>7865</v>
      </c>
      <c r="C1999" t="s">
        <v>5267</v>
      </c>
      <c r="D1999" t="s">
        <v>10203</v>
      </c>
      <c r="E1999">
        <v>0</v>
      </c>
      <c r="F1999">
        <v>1997</v>
      </c>
      <c r="H1999" t="s">
        <v>7865</v>
      </c>
    </row>
    <row r="2000" spans="1:8" x14ac:dyDescent="0.3">
      <c r="A2000" t="s">
        <v>7866</v>
      </c>
      <c r="C2000" t="s">
        <v>5267</v>
      </c>
      <c r="D2000" t="s">
        <v>10204</v>
      </c>
      <c r="E2000">
        <v>0</v>
      </c>
      <c r="F2000">
        <v>1998</v>
      </c>
      <c r="H2000" t="s">
        <v>7866</v>
      </c>
    </row>
    <row r="2001" spans="1:8" x14ac:dyDescent="0.3">
      <c r="A2001" t="s">
        <v>7867</v>
      </c>
      <c r="C2001" t="s">
        <v>5267</v>
      </c>
      <c r="D2001" t="s">
        <v>10205</v>
      </c>
      <c r="E2001">
        <v>0</v>
      </c>
      <c r="F2001">
        <v>1999</v>
      </c>
      <c r="H2001" t="s">
        <v>7867</v>
      </c>
    </row>
    <row r="2002" spans="1:8" x14ac:dyDescent="0.3">
      <c r="A2002" t="s">
        <v>7868</v>
      </c>
      <c r="C2002" t="s">
        <v>5267</v>
      </c>
      <c r="D2002" t="s">
        <v>10206</v>
      </c>
      <c r="E2002">
        <v>0</v>
      </c>
      <c r="F2002">
        <v>2000</v>
      </c>
      <c r="H2002" t="s">
        <v>7868</v>
      </c>
    </row>
    <row r="2003" spans="1:8" x14ac:dyDescent="0.3">
      <c r="A2003" t="s">
        <v>7869</v>
      </c>
      <c r="C2003" t="s">
        <v>5267</v>
      </c>
      <c r="D2003" t="s">
        <v>10207</v>
      </c>
      <c r="E2003">
        <v>0</v>
      </c>
      <c r="F2003">
        <v>2001</v>
      </c>
      <c r="H2003" t="s">
        <v>7869</v>
      </c>
    </row>
    <row r="2004" spans="1:8" x14ac:dyDescent="0.3">
      <c r="A2004" t="s">
        <v>7870</v>
      </c>
      <c r="C2004" t="s">
        <v>5267</v>
      </c>
      <c r="D2004" t="s">
        <v>10208</v>
      </c>
      <c r="E2004">
        <v>0</v>
      </c>
      <c r="F2004">
        <v>2002</v>
      </c>
      <c r="H2004" t="s">
        <v>7870</v>
      </c>
    </row>
    <row r="2005" spans="1:8" x14ac:dyDescent="0.3">
      <c r="A2005" t="s">
        <v>7871</v>
      </c>
      <c r="C2005" t="s">
        <v>5267</v>
      </c>
      <c r="D2005" t="s">
        <v>10209</v>
      </c>
      <c r="E2005">
        <v>0</v>
      </c>
      <c r="F2005">
        <v>2003</v>
      </c>
      <c r="H2005" t="s">
        <v>7871</v>
      </c>
    </row>
    <row r="2006" spans="1:8" x14ac:dyDescent="0.3">
      <c r="A2006" t="s">
        <v>7872</v>
      </c>
      <c r="C2006" t="s">
        <v>5267</v>
      </c>
      <c r="D2006" t="s">
        <v>10210</v>
      </c>
      <c r="E2006">
        <v>0</v>
      </c>
      <c r="F2006">
        <v>2004</v>
      </c>
      <c r="H2006" t="s">
        <v>7872</v>
      </c>
    </row>
    <row r="2007" spans="1:8" x14ac:dyDescent="0.3">
      <c r="A2007" t="s">
        <v>7858</v>
      </c>
      <c r="C2007" t="s">
        <v>5267</v>
      </c>
      <c r="D2007" t="s">
        <v>10211</v>
      </c>
      <c r="E2007">
        <v>0</v>
      </c>
      <c r="F2007">
        <v>2005</v>
      </c>
      <c r="H2007" t="s">
        <v>7858</v>
      </c>
    </row>
    <row r="2008" spans="1:8" x14ac:dyDescent="0.3">
      <c r="A2008" t="s">
        <v>7873</v>
      </c>
      <c r="C2008" t="s">
        <v>5267</v>
      </c>
      <c r="D2008" t="s">
        <v>10212</v>
      </c>
      <c r="E2008">
        <v>0</v>
      </c>
      <c r="F2008">
        <v>2006</v>
      </c>
      <c r="H2008" t="s">
        <v>7873</v>
      </c>
    </row>
    <row r="2009" spans="1:8" x14ac:dyDescent="0.3">
      <c r="A2009" t="s">
        <v>7874</v>
      </c>
      <c r="C2009" t="s">
        <v>5267</v>
      </c>
      <c r="D2009" t="s">
        <v>10213</v>
      </c>
      <c r="E2009">
        <v>0</v>
      </c>
      <c r="F2009">
        <v>2007</v>
      </c>
      <c r="H2009" t="s">
        <v>7874</v>
      </c>
    </row>
    <row r="2010" spans="1:8" x14ac:dyDescent="0.3">
      <c r="A2010" t="s">
        <v>7875</v>
      </c>
      <c r="C2010" t="s">
        <v>5267</v>
      </c>
      <c r="D2010" t="s">
        <v>10214</v>
      </c>
      <c r="E2010">
        <v>0</v>
      </c>
      <c r="F2010">
        <v>2008</v>
      </c>
      <c r="H2010" t="s">
        <v>7875</v>
      </c>
    </row>
    <row r="2011" spans="1:8" x14ac:dyDescent="0.3">
      <c r="A2011" t="s">
        <v>7876</v>
      </c>
      <c r="C2011" t="s">
        <v>5267</v>
      </c>
      <c r="D2011" t="s">
        <v>10215</v>
      </c>
      <c r="E2011">
        <v>0</v>
      </c>
      <c r="F2011">
        <v>2009</v>
      </c>
      <c r="H2011" t="s">
        <v>7876</v>
      </c>
    </row>
    <row r="2012" spans="1:8" x14ac:dyDescent="0.3">
      <c r="A2012" t="s">
        <v>7877</v>
      </c>
      <c r="C2012" t="s">
        <v>5267</v>
      </c>
      <c r="D2012" t="s">
        <v>10216</v>
      </c>
      <c r="E2012">
        <v>0</v>
      </c>
      <c r="F2012">
        <v>2010</v>
      </c>
      <c r="H2012" t="s">
        <v>7877</v>
      </c>
    </row>
    <row r="2013" spans="1:8" x14ac:dyDescent="0.3">
      <c r="A2013" t="s">
        <v>7878</v>
      </c>
      <c r="C2013" t="s">
        <v>5267</v>
      </c>
      <c r="D2013" t="s">
        <v>10217</v>
      </c>
      <c r="E2013">
        <v>0</v>
      </c>
      <c r="F2013">
        <v>2011</v>
      </c>
      <c r="H2013" t="s">
        <v>7878</v>
      </c>
    </row>
    <row r="2014" spans="1:8" x14ac:dyDescent="0.3">
      <c r="A2014" t="s">
        <v>7879</v>
      </c>
      <c r="C2014" t="s">
        <v>5267</v>
      </c>
      <c r="D2014" t="s">
        <v>10218</v>
      </c>
      <c r="E2014">
        <v>0</v>
      </c>
      <c r="F2014">
        <v>2012</v>
      </c>
      <c r="H2014" t="s">
        <v>7879</v>
      </c>
    </row>
    <row r="2015" spans="1:8" x14ac:dyDescent="0.3">
      <c r="A2015" t="s">
        <v>7880</v>
      </c>
      <c r="C2015" t="s">
        <v>5267</v>
      </c>
      <c r="D2015" t="s">
        <v>10219</v>
      </c>
      <c r="E2015">
        <v>0</v>
      </c>
      <c r="F2015">
        <v>2013</v>
      </c>
      <c r="H2015" t="s">
        <v>7880</v>
      </c>
    </row>
    <row r="2016" spans="1:8" x14ac:dyDescent="0.3">
      <c r="A2016" t="s">
        <v>7881</v>
      </c>
      <c r="C2016" t="s">
        <v>5267</v>
      </c>
      <c r="D2016" t="s">
        <v>10220</v>
      </c>
      <c r="E2016">
        <v>0</v>
      </c>
      <c r="F2016">
        <v>2014</v>
      </c>
      <c r="H2016" t="s">
        <v>7881</v>
      </c>
    </row>
    <row r="2017" spans="1:8" x14ac:dyDescent="0.3">
      <c r="A2017" t="s">
        <v>7882</v>
      </c>
      <c r="C2017" t="s">
        <v>5267</v>
      </c>
      <c r="D2017" t="s">
        <v>10221</v>
      </c>
      <c r="E2017">
        <v>0</v>
      </c>
      <c r="F2017">
        <v>2015</v>
      </c>
      <c r="H2017" t="s">
        <v>7882</v>
      </c>
    </row>
    <row r="2018" spans="1:8" x14ac:dyDescent="0.3">
      <c r="A2018" t="s">
        <v>7883</v>
      </c>
      <c r="C2018" t="s">
        <v>5267</v>
      </c>
      <c r="D2018" t="s">
        <v>10222</v>
      </c>
      <c r="E2018">
        <v>0</v>
      </c>
      <c r="F2018">
        <v>2016</v>
      </c>
      <c r="H2018" t="s">
        <v>7883</v>
      </c>
    </row>
    <row r="2019" spans="1:8" x14ac:dyDescent="0.3">
      <c r="A2019" t="s">
        <v>7884</v>
      </c>
      <c r="C2019" t="s">
        <v>5267</v>
      </c>
      <c r="D2019" t="s">
        <v>10223</v>
      </c>
      <c r="E2019">
        <v>0</v>
      </c>
      <c r="F2019">
        <v>2017</v>
      </c>
      <c r="H2019" t="s">
        <v>7884</v>
      </c>
    </row>
    <row r="2020" spans="1:8" x14ac:dyDescent="0.3">
      <c r="A2020" t="s">
        <v>7884</v>
      </c>
      <c r="C2020" t="s">
        <v>5267</v>
      </c>
      <c r="D2020" t="s">
        <v>10224</v>
      </c>
      <c r="E2020">
        <v>0</v>
      </c>
      <c r="F2020">
        <v>2018</v>
      </c>
      <c r="H2020" t="s">
        <v>7884</v>
      </c>
    </row>
    <row r="2021" spans="1:8" x14ac:dyDescent="0.3">
      <c r="A2021" t="s">
        <v>7885</v>
      </c>
      <c r="C2021" t="s">
        <v>5267</v>
      </c>
      <c r="D2021" t="s">
        <v>10225</v>
      </c>
      <c r="E2021">
        <v>0</v>
      </c>
      <c r="F2021">
        <v>2019</v>
      </c>
      <c r="H2021" t="s">
        <v>7885</v>
      </c>
    </row>
    <row r="2022" spans="1:8" x14ac:dyDescent="0.3">
      <c r="A2022" t="s">
        <v>7886</v>
      </c>
      <c r="C2022" t="s">
        <v>5267</v>
      </c>
      <c r="D2022" t="s">
        <v>10226</v>
      </c>
      <c r="E2022">
        <v>0</v>
      </c>
      <c r="F2022">
        <v>2020</v>
      </c>
      <c r="H2022" t="s">
        <v>7886</v>
      </c>
    </row>
    <row r="2023" spans="1:8" x14ac:dyDescent="0.3">
      <c r="A2023" t="s">
        <v>7887</v>
      </c>
      <c r="C2023" t="s">
        <v>5267</v>
      </c>
      <c r="D2023" t="s">
        <v>10227</v>
      </c>
      <c r="E2023">
        <v>0</v>
      </c>
      <c r="F2023">
        <v>2021</v>
      </c>
      <c r="H2023" t="s">
        <v>7887</v>
      </c>
    </row>
    <row r="2024" spans="1:8" x14ac:dyDescent="0.3">
      <c r="A2024" t="s">
        <v>7888</v>
      </c>
      <c r="C2024" t="s">
        <v>5267</v>
      </c>
      <c r="D2024" t="s">
        <v>10228</v>
      </c>
      <c r="E2024">
        <v>0</v>
      </c>
      <c r="F2024">
        <v>2022</v>
      </c>
      <c r="H2024" t="s">
        <v>7888</v>
      </c>
    </row>
    <row r="2025" spans="1:8" x14ac:dyDescent="0.3">
      <c r="A2025" t="s">
        <v>7889</v>
      </c>
      <c r="C2025" t="s">
        <v>5267</v>
      </c>
      <c r="D2025" t="s">
        <v>10229</v>
      </c>
      <c r="E2025">
        <v>0</v>
      </c>
      <c r="F2025">
        <v>2023</v>
      </c>
      <c r="H2025" t="s">
        <v>7889</v>
      </c>
    </row>
    <row r="2026" spans="1:8" x14ac:dyDescent="0.3">
      <c r="A2026" t="s">
        <v>7890</v>
      </c>
      <c r="C2026" t="s">
        <v>5267</v>
      </c>
      <c r="D2026" t="s">
        <v>10230</v>
      </c>
      <c r="E2026">
        <v>0</v>
      </c>
      <c r="F2026">
        <v>2024</v>
      </c>
      <c r="H2026" t="s">
        <v>7890</v>
      </c>
    </row>
    <row r="2027" spans="1:8" x14ac:dyDescent="0.3">
      <c r="A2027" t="s">
        <v>7891</v>
      </c>
      <c r="C2027" t="s">
        <v>5267</v>
      </c>
      <c r="D2027" t="s">
        <v>10231</v>
      </c>
      <c r="E2027">
        <v>0</v>
      </c>
      <c r="F2027">
        <v>2025</v>
      </c>
      <c r="H2027" t="s">
        <v>7891</v>
      </c>
    </row>
    <row r="2028" spans="1:8" x14ac:dyDescent="0.3">
      <c r="A2028" t="s">
        <v>7892</v>
      </c>
      <c r="C2028" t="s">
        <v>5267</v>
      </c>
      <c r="D2028" t="s">
        <v>10232</v>
      </c>
      <c r="E2028">
        <v>0</v>
      </c>
      <c r="F2028">
        <v>2026</v>
      </c>
      <c r="H2028" t="s">
        <v>7892</v>
      </c>
    </row>
    <row r="2029" spans="1:8" x14ac:dyDescent="0.3">
      <c r="A2029" t="s">
        <v>7893</v>
      </c>
      <c r="C2029" t="s">
        <v>5267</v>
      </c>
      <c r="D2029" t="s">
        <v>10233</v>
      </c>
      <c r="E2029">
        <v>0</v>
      </c>
      <c r="F2029">
        <v>2027</v>
      </c>
      <c r="H2029" t="s">
        <v>7893</v>
      </c>
    </row>
    <row r="2030" spans="1:8" x14ac:dyDescent="0.3">
      <c r="A2030" t="s">
        <v>7894</v>
      </c>
      <c r="C2030" t="s">
        <v>5267</v>
      </c>
      <c r="D2030" t="s">
        <v>10234</v>
      </c>
      <c r="E2030">
        <v>0</v>
      </c>
      <c r="F2030">
        <v>2028</v>
      </c>
      <c r="H2030" t="s">
        <v>7894</v>
      </c>
    </row>
    <row r="2031" spans="1:8" x14ac:dyDescent="0.3">
      <c r="A2031" t="s">
        <v>7895</v>
      </c>
      <c r="C2031" t="s">
        <v>5267</v>
      </c>
      <c r="D2031" t="s">
        <v>10235</v>
      </c>
      <c r="E2031">
        <v>0</v>
      </c>
      <c r="F2031">
        <v>2029</v>
      </c>
      <c r="H2031" t="s">
        <v>7895</v>
      </c>
    </row>
    <row r="2032" spans="1:8" x14ac:dyDescent="0.3">
      <c r="A2032" t="s">
        <v>7896</v>
      </c>
      <c r="C2032" t="s">
        <v>5267</v>
      </c>
      <c r="D2032" t="s">
        <v>10236</v>
      </c>
      <c r="E2032">
        <v>0</v>
      </c>
      <c r="F2032">
        <v>2030</v>
      </c>
      <c r="H2032" t="s">
        <v>7896</v>
      </c>
    </row>
    <row r="2033" spans="1:8" x14ac:dyDescent="0.3">
      <c r="A2033" t="s">
        <v>7897</v>
      </c>
      <c r="C2033" t="s">
        <v>5267</v>
      </c>
      <c r="D2033" t="s">
        <v>10237</v>
      </c>
      <c r="E2033">
        <v>0</v>
      </c>
      <c r="F2033">
        <v>2031</v>
      </c>
      <c r="H2033" t="s">
        <v>7897</v>
      </c>
    </row>
    <row r="2034" spans="1:8" x14ac:dyDescent="0.3">
      <c r="A2034" t="s">
        <v>7898</v>
      </c>
      <c r="C2034" t="s">
        <v>5267</v>
      </c>
      <c r="D2034" t="s">
        <v>10238</v>
      </c>
      <c r="E2034">
        <v>0</v>
      </c>
      <c r="F2034">
        <v>2032</v>
      </c>
      <c r="H2034" t="s">
        <v>7898</v>
      </c>
    </row>
    <row r="2035" spans="1:8" x14ac:dyDescent="0.3">
      <c r="A2035" t="s">
        <v>7899</v>
      </c>
      <c r="C2035" t="s">
        <v>5267</v>
      </c>
      <c r="D2035" t="s">
        <v>10239</v>
      </c>
      <c r="E2035">
        <v>0</v>
      </c>
      <c r="F2035">
        <v>2033</v>
      </c>
      <c r="H2035" t="s">
        <v>7899</v>
      </c>
    </row>
    <row r="2036" spans="1:8" x14ac:dyDescent="0.3">
      <c r="A2036" t="s">
        <v>7900</v>
      </c>
      <c r="C2036" t="s">
        <v>5267</v>
      </c>
      <c r="D2036" t="s">
        <v>10240</v>
      </c>
      <c r="E2036">
        <v>0</v>
      </c>
      <c r="F2036">
        <v>2034</v>
      </c>
      <c r="H2036" t="s">
        <v>7900</v>
      </c>
    </row>
    <row r="2037" spans="1:8" x14ac:dyDescent="0.3">
      <c r="A2037" t="s">
        <v>7901</v>
      </c>
      <c r="C2037" t="s">
        <v>5267</v>
      </c>
      <c r="D2037" t="s">
        <v>10241</v>
      </c>
      <c r="E2037">
        <v>0</v>
      </c>
      <c r="F2037">
        <v>2035</v>
      </c>
      <c r="H2037" t="s">
        <v>7901</v>
      </c>
    </row>
    <row r="2038" spans="1:8" x14ac:dyDescent="0.3">
      <c r="A2038" t="s">
        <v>7902</v>
      </c>
      <c r="C2038" t="s">
        <v>5267</v>
      </c>
      <c r="D2038" t="s">
        <v>10242</v>
      </c>
      <c r="E2038">
        <v>0</v>
      </c>
      <c r="F2038">
        <v>2036</v>
      </c>
      <c r="H2038" t="s">
        <v>7902</v>
      </c>
    </row>
    <row r="2039" spans="1:8" x14ac:dyDescent="0.3">
      <c r="A2039" t="s">
        <v>7903</v>
      </c>
      <c r="C2039" t="s">
        <v>5267</v>
      </c>
      <c r="D2039" t="s">
        <v>10243</v>
      </c>
      <c r="E2039">
        <v>0</v>
      </c>
      <c r="F2039">
        <v>2037</v>
      </c>
      <c r="H2039" t="s">
        <v>7903</v>
      </c>
    </row>
    <row r="2040" spans="1:8" x14ac:dyDescent="0.3">
      <c r="A2040" t="s">
        <v>7904</v>
      </c>
      <c r="C2040" t="s">
        <v>5267</v>
      </c>
      <c r="D2040" t="s">
        <v>10244</v>
      </c>
      <c r="E2040">
        <v>0</v>
      </c>
      <c r="F2040">
        <v>2038</v>
      </c>
      <c r="H2040" t="s">
        <v>7904</v>
      </c>
    </row>
    <row r="2041" spans="1:8" x14ac:dyDescent="0.3">
      <c r="A2041" t="s">
        <v>7905</v>
      </c>
      <c r="C2041" t="s">
        <v>5267</v>
      </c>
      <c r="D2041" t="s">
        <v>10245</v>
      </c>
      <c r="E2041">
        <v>0</v>
      </c>
      <c r="F2041">
        <v>2039</v>
      </c>
      <c r="H2041" t="s">
        <v>7905</v>
      </c>
    </row>
    <row r="2042" spans="1:8" x14ac:dyDescent="0.3">
      <c r="A2042" t="s">
        <v>7906</v>
      </c>
      <c r="C2042" t="s">
        <v>5267</v>
      </c>
      <c r="D2042" t="s">
        <v>10246</v>
      </c>
      <c r="E2042">
        <v>0</v>
      </c>
      <c r="F2042">
        <v>2040</v>
      </c>
      <c r="H2042" t="s">
        <v>7906</v>
      </c>
    </row>
    <row r="2043" spans="1:8" x14ac:dyDescent="0.3">
      <c r="A2043" t="s">
        <v>7907</v>
      </c>
      <c r="C2043" t="s">
        <v>5267</v>
      </c>
      <c r="D2043" t="s">
        <v>10247</v>
      </c>
      <c r="E2043">
        <v>0</v>
      </c>
      <c r="F2043">
        <v>2041</v>
      </c>
      <c r="H2043" t="s">
        <v>7907</v>
      </c>
    </row>
    <row r="2044" spans="1:8" x14ac:dyDescent="0.3">
      <c r="A2044" t="s">
        <v>7908</v>
      </c>
      <c r="C2044" t="s">
        <v>5267</v>
      </c>
      <c r="D2044" t="s">
        <v>10248</v>
      </c>
      <c r="E2044">
        <v>0</v>
      </c>
      <c r="F2044">
        <v>2042</v>
      </c>
      <c r="H2044" t="s">
        <v>7908</v>
      </c>
    </row>
    <row r="2045" spans="1:8" x14ac:dyDescent="0.3">
      <c r="A2045" t="s">
        <v>7909</v>
      </c>
      <c r="C2045" t="s">
        <v>5267</v>
      </c>
      <c r="D2045" t="s">
        <v>10249</v>
      </c>
      <c r="E2045">
        <v>0</v>
      </c>
      <c r="F2045">
        <v>2043</v>
      </c>
      <c r="H2045" t="s">
        <v>7909</v>
      </c>
    </row>
    <row r="2046" spans="1:8" x14ac:dyDescent="0.3">
      <c r="A2046" t="s">
        <v>7910</v>
      </c>
      <c r="C2046" t="s">
        <v>5267</v>
      </c>
      <c r="D2046" t="s">
        <v>10250</v>
      </c>
      <c r="E2046">
        <v>0</v>
      </c>
      <c r="F2046">
        <v>2044</v>
      </c>
      <c r="H2046" t="s">
        <v>7910</v>
      </c>
    </row>
    <row r="2047" spans="1:8" x14ac:dyDescent="0.3">
      <c r="A2047" t="s">
        <v>7911</v>
      </c>
      <c r="C2047" t="s">
        <v>5267</v>
      </c>
      <c r="D2047" t="s">
        <v>10251</v>
      </c>
      <c r="E2047">
        <v>0</v>
      </c>
      <c r="F2047">
        <v>2045</v>
      </c>
      <c r="H2047" t="s">
        <v>7911</v>
      </c>
    </row>
    <row r="2048" spans="1:8" x14ac:dyDescent="0.3">
      <c r="A2048" t="s">
        <v>7912</v>
      </c>
      <c r="C2048" t="s">
        <v>5267</v>
      </c>
      <c r="D2048" t="s">
        <v>10252</v>
      </c>
      <c r="E2048">
        <v>0</v>
      </c>
      <c r="F2048">
        <v>2046</v>
      </c>
      <c r="H2048" t="s">
        <v>7912</v>
      </c>
    </row>
    <row r="2049" spans="1:8" x14ac:dyDescent="0.3">
      <c r="A2049" t="s">
        <v>7913</v>
      </c>
      <c r="C2049" t="s">
        <v>5267</v>
      </c>
      <c r="D2049" t="s">
        <v>10253</v>
      </c>
      <c r="E2049">
        <v>0</v>
      </c>
      <c r="F2049">
        <v>2047</v>
      </c>
      <c r="H2049" t="s">
        <v>7913</v>
      </c>
    </row>
    <row r="2050" spans="1:8" x14ac:dyDescent="0.3">
      <c r="A2050" t="s">
        <v>7914</v>
      </c>
      <c r="C2050" t="s">
        <v>5267</v>
      </c>
      <c r="D2050" t="s">
        <v>10254</v>
      </c>
      <c r="E2050">
        <v>0</v>
      </c>
      <c r="F2050">
        <v>2048</v>
      </c>
      <c r="H2050" t="s">
        <v>7914</v>
      </c>
    </row>
    <row r="2051" spans="1:8" x14ac:dyDescent="0.3">
      <c r="A2051" t="s">
        <v>7915</v>
      </c>
      <c r="C2051" t="s">
        <v>5267</v>
      </c>
      <c r="D2051" t="s">
        <v>10255</v>
      </c>
      <c r="E2051">
        <v>0</v>
      </c>
      <c r="F2051">
        <v>2049</v>
      </c>
      <c r="H2051" t="s">
        <v>7915</v>
      </c>
    </row>
    <row r="2052" spans="1:8" x14ac:dyDescent="0.3">
      <c r="A2052" t="s">
        <v>7916</v>
      </c>
      <c r="C2052" t="s">
        <v>5267</v>
      </c>
      <c r="D2052" t="s">
        <v>10256</v>
      </c>
      <c r="E2052">
        <v>0</v>
      </c>
      <c r="F2052">
        <v>2050</v>
      </c>
      <c r="H2052" t="s">
        <v>7916</v>
      </c>
    </row>
    <row r="2053" spans="1:8" x14ac:dyDescent="0.3">
      <c r="A2053" t="s">
        <v>7917</v>
      </c>
      <c r="C2053" t="s">
        <v>5267</v>
      </c>
      <c r="D2053" t="s">
        <v>10257</v>
      </c>
      <c r="E2053">
        <v>0</v>
      </c>
      <c r="F2053">
        <v>2051</v>
      </c>
      <c r="H2053" t="s">
        <v>7917</v>
      </c>
    </row>
    <row r="2054" spans="1:8" x14ac:dyDescent="0.3">
      <c r="A2054" t="s">
        <v>7918</v>
      </c>
      <c r="C2054" t="s">
        <v>5267</v>
      </c>
      <c r="D2054" t="s">
        <v>10258</v>
      </c>
      <c r="E2054">
        <v>0</v>
      </c>
      <c r="F2054">
        <v>2052</v>
      </c>
      <c r="H2054" t="s">
        <v>7918</v>
      </c>
    </row>
    <row r="2055" spans="1:8" x14ac:dyDescent="0.3">
      <c r="A2055" t="s">
        <v>7919</v>
      </c>
      <c r="C2055" t="s">
        <v>5267</v>
      </c>
      <c r="D2055" t="s">
        <v>10259</v>
      </c>
      <c r="E2055">
        <v>0</v>
      </c>
      <c r="F2055">
        <v>2053</v>
      </c>
      <c r="H2055" t="s">
        <v>7919</v>
      </c>
    </row>
    <row r="2056" spans="1:8" x14ac:dyDescent="0.3">
      <c r="A2056" t="s">
        <v>7920</v>
      </c>
      <c r="C2056" t="s">
        <v>5267</v>
      </c>
      <c r="D2056" t="s">
        <v>10260</v>
      </c>
      <c r="E2056">
        <v>0</v>
      </c>
      <c r="F2056">
        <v>2054</v>
      </c>
      <c r="H2056" t="s">
        <v>7920</v>
      </c>
    </row>
    <row r="2057" spans="1:8" x14ac:dyDescent="0.3">
      <c r="A2057" t="s">
        <v>7921</v>
      </c>
      <c r="C2057" t="s">
        <v>5267</v>
      </c>
      <c r="D2057" t="s">
        <v>10261</v>
      </c>
      <c r="E2057">
        <v>0</v>
      </c>
      <c r="F2057">
        <v>2055</v>
      </c>
      <c r="H2057" t="s">
        <v>7921</v>
      </c>
    </row>
    <row r="2058" spans="1:8" x14ac:dyDescent="0.3">
      <c r="A2058" t="s">
        <v>7922</v>
      </c>
      <c r="C2058" t="s">
        <v>5267</v>
      </c>
      <c r="D2058" t="s">
        <v>10262</v>
      </c>
      <c r="E2058">
        <v>0</v>
      </c>
      <c r="F2058">
        <v>2056</v>
      </c>
      <c r="H2058" t="s">
        <v>7922</v>
      </c>
    </row>
    <row r="2059" spans="1:8" x14ac:dyDescent="0.3">
      <c r="A2059" t="s">
        <v>7923</v>
      </c>
      <c r="C2059" t="s">
        <v>5267</v>
      </c>
      <c r="D2059" t="s">
        <v>10263</v>
      </c>
      <c r="E2059">
        <v>0</v>
      </c>
      <c r="F2059">
        <v>2057</v>
      </c>
      <c r="H2059" t="s">
        <v>7923</v>
      </c>
    </row>
    <row r="2060" spans="1:8" x14ac:dyDescent="0.3">
      <c r="A2060" t="s">
        <v>7924</v>
      </c>
      <c r="C2060" t="s">
        <v>5267</v>
      </c>
      <c r="D2060" t="s">
        <v>10264</v>
      </c>
      <c r="E2060">
        <v>0</v>
      </c>
      <c r="F2060">
        <v>2058</v>
      </c>
      <c r="H2060" t="s">
        <v>7924</v>
      </c>
    </row>
    <row r="2061" spans="1:8" x14ac:dyDescent="0.3">
      <c r="A2061" t="s">
        <v>7925</v>
      </c>
      <c r="C2061" t="s">
        <v>5267</v>
      </c>
      <c r="D2061" t="s">
        <v>10265</v>
      </c>
      <c r="E2061">
        <v>0</v>
      </c>
      <c r="F2061">
        <v>2059</v>
      </c>
      <c r="H2061" t="s">
        <v>7925</v>
      </c>
    </row>
    <row r="2062" spans="1:8" x14ac:dyDescent="0.3">
      <c r="A2062" t="s">
        <v>7926</v>
      </c>
      <c r="C2062" t="s">
        <v>5267</v>
      </c>
      <c r="D2062" t="s">
        <v>10266</v>
      </c>
      <c r="E2062">
        <v>0</v>
      </c>
      <c r="F2062">
        <v>2060</v>
      </c>
      <c r="H2062" t="s">
        <v>7926</v>
      </c>
    </row>
    <row r="2063" spans="1:8" x14ac:dyDescent="0.3">
      <c r="A2063" t="s">
        <v>7927</v>
      </c>
      <c r="C2063" t="s">
        <v>5267</v>
      </c>
      <c r="D2063" t="s">
        <v>10267</v>
      </c>
      <c r="E2063">
        <v>0</v>
      </c>
      <c r="F2063">
        <v>2061</v>
      </c>
      <c r="H2063" t="s">
        <v>7927</v>
      </c>
    </row>
    <row r="2064" spans="1:8" x14ac:dyDescent="0.3">
      <c r="A2064" t="s">
        <v>7928</v>
      </c>
      <c r="C2064" t="s">
        <v>5267</v>
      </c>
      <c r="D2064" t="s">
        <v>10268</v>
      </c>
      <c r="E2064">
        <v>0</v>
      </c>
      <c r="F2064">
        <v>2062</v>
      </c>
      <c r="H2064" t="s">
        <v>7928</v>
      </c>
    </row>
    <row r="2065" spans="1:8" x14ac:dyDescent="0.3">
      <c r="A2065" t="s">
        <v>7929</v>
      </c>
      <c r="C2065" t="s">
        <v>5267</v>
      </c>
      <c r="D2065" t="s">
        <v>10269</v>
      </c>
      <c r="E2065">
        <v>0</v>
      </c>
      <c r="F2065">
        <v>2063</v>
      </c>
      <c r="H2065" t="s">
        <v>7929</v>
      </c>
    </row>
    <row r="2066" spans="1:8" x14ac:dyDescent="0.3">
      <c r="A2066" t="s">
        <v>7930</v>
      </c>
      <c r="C2066" t="s">
        <v>5267</v>
      </c>
      <c r="D2066" t="s">
        <v>10270</v>
      </c>
      <c r="E2066">
        <v>0</v>
      </c>
      <c r="F2066">
        <v>2064</v>
      </c>
      <c r="H2066" t="s">
        <v>7930</v>
      </c>
    </row>
    <row r="2067" spans="1:8" x14ac:dyDescent="0.3">
      <c r="A2067" t="s">
        <v>7931</v>
      </c>
      <c r="C2067" t="s">
        <v>5267</v>
      </c>
      <c r="D2067" t="s">
        <v>10271</v>
      </c>
      <c r="E2067">
        <v>0</v>
      </c>
      <c r="F2067">
        <v>2065</v>
      </c>
      <c r="H2067" t="s">
        <v>7931</v>
      </c>
    </row>
    <row r="2068" spans="1:8" x14ac:dyDescent="0.3">
      <c r="A2068" t="s">
        <v>7932</v>
      </c>
      <c r="C2068" t="s">
        <v>5267</v>
      </c>
      <c r="D2068" t="s">
        <v>10272</v>
      </c>
      <c r="E2068">
        <v>0</v>
      </c>
      <c r="F2068">
        <v>2066</v>
      </c>
      <c r="H2068" t="s">
        <v>7932</v>
      </c>
    </row>
    <row r="2069" spans="1:8" x14ac:dyDescent="0.3">
      <c r="A2069" t="s">
        <v>7933</v>
      </c>
      <c r="C2069" t="s">
        <v>5267</v>
      </c>
      <c r="D2069" t="s">
        <v>10273</v>
      </c>
      <c r="E2069">
        <v>0</v>
      </c>
      <c r="F2069">
        <v>2067</v>
      </c>
      <c r="H2069" t="s">
        <v>7933</v>
      </c>
    </row>
    <row r="2070" spans="1:8" x14ac:dyDescent="0.3">
      <c r="A2070" t="s">
        <v>7934</v>
      </c>
      <c r="C2070" t="s">
        <v>5267</v>
      </c>
      <c r="D2070" t="s">
        <v>10274</v>
      </c>
      <c r="E2070">
        <v>0</v>
      </c>
      <c r="F2070">
        <v>2068</v>
      </c>
      <c r="H2070" t="s">
        <v>7934</v>
      </c>
    </row>
    <row r="2071" spans="1:8" x14ac:dyDescent="0.3">
      <c r="A2071" t="s">
        <v>7935</v>
      </c>
      <c r="C2071" t="s">
        <v>5267</v>
      </c>
      <c r="D2071" t="s">
        <v>10275</v>
      </c>
      <c r="E2071">
        <v>0</v>
      </c>
      <c r="F2071">
        <v>2069</v>
      </c>
      <c r="H2071" t="s">
        <v>7935</v>
      </c>
    </row>
    <row r="2072" spans="1:8" x14ac:dyDescent="0.3">
      <c r="A2072" t="s">
        <v>7936</v>
      </c>
      <c r="C2072" t="s">
        <v>5267</v>
      </c>
      <c r="D2072" t="s">
        <v>10276</v>
      </c>
      <c r="E2072">
        <v>0</v>
      </c>
      <c r="F2072">
        <v>2070</v>
      </c>
      <c r="H2072" t="s">
        <v>7936</v>
      </c>
    </row>
    <row r="2073" spans="1:8" x14ac:dyDescent="0.3">
      <c r="A2073" t="s">
        <v>7937</v>
      </c>
      <c r="C2073" t="s">
        <v>5267</v>
      </c>
      <c r="D2073" t="s">
        <v>10277</v>
      </c>
      <c r="E2073">
        <v>0</v>
      </c>
      <c r="F2073">
        <v>2071</v>
      </c>
      <c r="H2073" t="s">
        <v>7937</v>
      </c>
    </row>
    <row r="2074" spans="1:8" x14ac:dyDescent="0.3">
      <c r="A2074" t="s">
        <v>7938</v>
      </c>
      <c r="C2074" t="s">
        <v>5267</v>
      </c>
      <c r="D2074" t="s">
        <v>10278</v>
      </c>
      <c r="E2074">
        <v>0</v>
      </c>
      <c r="F2074">
        <v>2072</v>
      </c>
      <c r="H2074" t="s">
        <v>7938</v>
      </c>
    </row>
    <row r="2075" spans="1:8" x14ac:dyDescent="0.3">
      <c r="A2075" t="s">
        <v>7939</v>
      </c>
      <c r="C2075" t="s">
        <v>5267</v>
      </c>
      <c r="D2075" t="s">
        <v>10279</v>
      </c>
      <c r="E2075">
        <v>0</v>
      </c>
      <c r="F2075">
        <v>2073</v>
      </c>
      <c r="H2075" t="s">
        <v>7939</v>
      </c>
    </row>
    <row r="2076" spans="1:8" x14ac:dyDescent="0.3">
      <c r="A2076" t="s">
        <v>7940</v>
      </c>
      <c r="C2076" t="s">
        <v>5267</v>
      </c>
      <c r="D2076" t="s">
        <v>10280</v>
      </c>
      <c r="E2076">
        <v>0</v>
      </c>
      <c r="F2076">
        <v>2074</v>
      </c>
      <c r="H2076" t="s">
        <v>7940</v>
      </c>
    </row>
    <row r="2077" spans="1:8" x14ac:dyDescent="0.3">
      <c r="A2077" t="s">
        <v>7941</v>
      </c>
      <c r="C2077" t="s">
        <v>5267</v>
      </c>
      <c r="D2077" t="s">
        <v>10281</v>
      </c>
      <c r="E2077">
        <v>0</v>
      </c>
      <c r="F2077">
        <v>2075</v>
      </c>
      <c r="H2077" t="s">
        <v>7941</v>
      </c>
    </row>
    <row r="2078" spans="1:8" x14ac:dyDescent="0.3">
      <c r="A2078" t="s">
        <v>7942</v>
      </c>
      <c r="C2078" t="s">
        <v>5267</v>
      </c>
      <c r="D2078" t="s">
        <v>10282</v>
      </c>
      <c r="E2078">
        <v>0</v>
      </c>
      <c r="F2078">
        <v>2076</v>
      </c>
      <c r="H2078" t="s">
        <v>7942</v>
      </c>
    </row>
    <row r="2079" spans="1:8" x14ac:dyDescent="0.3">
      <c r="A2079" t="s">
        <v>7943</v>
      </c>
      <c r="C2079" t="s">
        <v>5267</v>
      </c>
      <c r="D2079" t="s">
        <v>10283</v>
      </c>
      <c r="E2079">
        <v>0</v>
      </c>
      <c r="F2079">
        <v>2077</v>
      </c>
      <c r="H2079" t="s">
        <v>7943</v>
      </c>
    </row>
    <row r="2080" spans="1:8" x14ac:dyDescent="0.3">
      <c r="A2080" t="s">
        <v>7944</v>
      </c>
      <c r="C2080" t="s">
        <v>5267</v>
      </c>
      <c r="D2080" t="s">
        <v>10284</v>
      </c>
      <c r="E2080">
        <v>0</v>
      </c>
      <c r="F2080">
        <v>2078</v>
      </c>
      <c r="H2080" t="s">
        <v>7944</v>
      </c>
    </row>
    <row r="2081" spans="1:8" x14ac:dyDescent="0.3">
      <c r="A2081" t="s">
        <v>7945</v>
      </c>
      <c r="C2081" t="s">
        <v>5267</v>
      </c>
      <c r="D2081" t="s">
        <v>10285</v>
      </c>
      <c r="E2081">
        <v>0</v>
      </c>
      <c r="F2081">
        <v>2079</v>
      </c>
      <c r="H2081" t="s">
        <v>7945</v>
      </c>
    </row>
    <row r="2082" spans="1:8" x14ac:dyDescent="0.3">
      <c r="A2082" t="s">
        <v>7946</v>
      </c>
      <c r="C2082" t="s">
        <v>5267</v>
      </c>
      <c r="D2082" t="s">
        <v>10286</v>
      </c>
      <c r="E2082">
        <v>0</v>
      </c>
      <c r="F2082">
        <v>2080</v>
      </c>
      <c r="H2082" t="s">
        <v>7946</v>
      </c>
    </row>
    <row r="2083" spans="1:8" x14ac:dyDescent="0.3">
      <c r="A2083" t="s">
        <v>7947</v>
      </c>
      <c r="C2083" t="s">
        <v>5267</v>
      </c>
      <c r="D2083" t="s">
        <v>10287</v>
      </c>
      <c r="E2083">
        <v>0</v>
      </c>
      <c r="F2083">
        <v>2081</v>
      </c>
      <c r="H2083" t="s">
        <v>7947</v>
      </c>
    </row>
    <row r="2084" spans="1:8" x14ac:dyDescent="0.3">
      <c r="A2084" t="s">
        <v>7948</v>
      </c>
      <c r="C2084" t="s">
        <v>5267</v>
      </c>
      <c r="D2084" t="s">
        <v>10288</v>
      </c>
      <c r="E2084">
        <v>0</v>
      </c>
      <c r="F2084">
        <v>2082</v>
      </c>
      <c r="H2084" t="s">
        <v>7948</v>
      </c>
    </row>
    <row r="2085" spans="1:8" x14ac:dyDescent="0.3">
      <c r="A2085" t="s">
        <v>7949</v>
      </c>
      <c r="C2085" t="s">
        <v>5267</v>
      </c>
      <c r="D2085" t="s">
        <v>10289</v>
      </c>
      <c r="E2085">
        <v>0</v>
      </c>
      <c r="F2085">
        <v>2083</v>
      </c>
      <c r="H2085" t="s">
        <v>7949</v>
      </c>
    </row>
    <row r="2086" spans="1:8" x14ac:dyDescent="0.3">
      <c r="A2086" t="s">
        <v>7950</v>
      </c>
      <c r="C2086" t="s">
        <v>5267</v>
      </c>
      <c r="D2086" t="s">
        <v>10290</v>
      </c>
      <c r="E2086">
        <v>0</v>
      </c>
      <c r="F2086">
        <v>2084</v>
      </c>
      <c r="H2086" t="s">
        <v>7950</v>
      </c>
    </row>
    <row r="2087" spans="1:8" x14ac:dyDescent="0.3">
      <c r="A2087" t="s">
        <v>7951</v>
      </c>
      <c r="C2087" t="s">
        <v>5267</v>
      </c>
      <c r="D2087" t="s">
        <v>10291</v>
      </c>
      <c r="E2087">
        <v>0</v>
      </c>
      <c r="F2087">
        <v>2085</v>
      </c>
      <c r="H2087" t="s">
        <v>7951</v>
      </c>
    </row>
    <row r="2088" spans="1:8" x14ac:dyDescent="0.3">
      <c r="A2088" t="s">
        <v>7952</v>
      </c>
      <c r="C2088" t="s">
        <v>5267</v>
      </c>
      <c r="D2088" t="s">
        <v>10292</v>
      </c>
      <c r="E2088">
        <v>0</v>
      </c>
      <c r="F2088">
        <v>2086</v>
      </c>
      <c r="H2088" t="s">
        <v>7952</v>
      </c>
    </row>
    <row r="2089" spans="1:8" x14ac:dyDescent="0.3">
      <c r="A2089" t="s">
        <v>7952</v>
      </c>
      <c r="C2089" t="s">
        <v>5267</v>
      </c>
      <c r="D2089" t="s">
        <v>10293</v>
      </c>
      <c r="E2089">
        <v>0</v>
      </c>
      <c r="F2089">
        <v>2087</v>
      </c>
      <c r="H2089" t="s">
        <v>7952</v>
      </c>
    </row>
    <row r="2090" spans="1:8" x14ac:dyDescent="0.3">
      <c r="A2090" t="s">
        <v>7953</v>
      </c>
      <c r="C2090" t="s">
        <v>5267</v>
      </c>
      <c r="D2090" t="s">
        <v>10294</v>
      </c>
      <c r="E2090">
        <v>0</v>
      </c>
      <c r="F2090">
        <v>2088</v>
      </c>
      <c r="H2090" t="s">
        <v>7953</v>
      </c>
    </row>
    <row r="2091" spans="1:8" x14ac:dyDescent="0.3">
      <c r="A2091" t="s">
        <v>7954</v>
      </c>
      <c r="C2091" t="s">
        <v>5267</v>
      </c>
      <c r="D2091" t="s">
        <v>10295</v>
      </c>
      <c r="E2091">
        <v>0</v>
      </c>
      <c r="F2091">
        <v>2089</v>
      </c>
      <c r="H2091" t="s">
        <v>7954</v>
      </c>
    </row>
    <row r="2092" spans="1:8" x14ac:dyDescent="0.3">
      <c r="A2092" t="s">
        <v>7955</v>
      </c>
      <c r="C2092" t="s">
        <v>5267</v>
      </c>
      <c r="D2092" t="s">
        <v>10296</v>
      </c>
      <c r="E2092">
        <v>0</v>
      </c>
      <c r="F2092">
        <v>2090</v>
      </c>
      <c r="H2092" t="s">
        <v>7955</v>
      </c>
    </row>
    <row r="2093" spans="1:8" x14ac:dyDescent="0.3">
      <c r="A2093" t="s">
        <v>7956</v>
      </c>
      <c r="C2093" t="s">
        <v>5267</v>
      </c>
      <c r="D2093" t="s">
        <v>10297</v>
      </c>
      <c r="E2093">
        <v>0</v>
      </c>
      <c r="F2093">
        <v>2091</v>
      </c>
      <c r="H2093" t="s">
        <v>7956</v>
      </c>
    </row>
    <row r="2094" spans="1:8" x14ac:dyDescent="0.3">
      <c r="A2094" t="s">
        <v>7957</v>
      </c>
      <c r="C2094" t="s">
        <v>5267</v>
      </c>
      <c r="D2094" t="s">
        <v>10298</v>
      </c>
      <c r="E2094">
        <v>0</v>
      </c>
      <c r="F2094">
        <v>2092</v>
      </c>
      <c r="H2094" t="s">
        <v>7957</v>
      </c>
    </row>
    <row r="2095" spans="1:8" x14ac:dyDescent="0.3">
      <c r="A2095" t="s">
        <v>7958</v>
      </c>
      <c r="C2095" t="s">
        <v>5267</v>
      </c>
      <c r="D2095" t="s">
        <v>10299</v>
      </c>
      <c r="E2095">
        <v>0</v>
      </c>
      <c r="F2095">
        <v>2093</v>
      </c>
      <c r="H2095" t="s">
        <v>7958</v>
      </c>
    </row>
    <row r="2096" spans="1:8" x14ac:dyDescent="0.3">
      <c r="A2096" t="s">
        <v>7959</v>
      </c>
      <c r="C2096" t="s">
        <v>5267</v>
      </c>
      <c r="D2096" t="s">
        <v>10300</v>
      </c>
      <c r="E2096">
        <v>0</v>
      </c>
      <c r="F2096">
        <v>2094</v>
      </c>
      <c r="H2096" t="s">
        <v>7959</v>
      </c>
    </row>
    <row r="2097" spans="1:8" x14ac:dyDescent="0.3">
      <c r="A2097" t="s">
        <v>7960</v>
      </c>
      <c r="C2097" t="s">
        <v>5267</v>
      </c>
      <c r="D2097" t="s">
        <v>10301</v>
      </c>
      <c r="E2097">
        <v>0</v>
      </c>
      <c r="F2097">
        <v>2095</v>
      </c>
      <c r="H2097" t="s">
        <v>7960</v>
      </c>
    </row>
    <row r="2098" spans="1:8" x14ac:dyDescent="0.3">
      <c r="A2098" t="s">
        <v>7961</v>
      </c>
      <c r="C2098" t="s">
        <v>5267</v>
      </c>
      <c r="D2098" t="s">
        <v>10302</v>
      </c>
      <c r="E2098">
        <v>0</v>
      </c>
      <c r="F2098">
        <v>2096</v>
      </c>
      <c r="H2098" t="s">
        <v>7961</v>
      </c>
    </row>
    <row r="2099" spans="1:8" x14ac:dyDescent="0.3">
      <c r="A2099" t="s">
        <v>7962</v>
      </c>
      <c r="C2099" t="s">
        <v>5267</v>
      </c>
      <c r="D2099" t="s">
        <v>10303</v>
      </c>
      <c r="E2099">
        <v>0</v>
      </c>
      <c r="F2099">
        <v>2097</v>
      </c>
      <c r="H2099" t="s">
        <v>7962</v>
      </c>
    </row>
    <row r="2100" spans="1:8" x14ac:dyDescent="0.3">
      <c r="A2100" t="s">
        <v>7963</v>
      </c>
      <c r="C2100" t="s">
        <v>5267</v>
      </c>
      <c r="D2100" t="s">
        <v>10304</v>
      </c>
      <c r="E2100">
        <v>0</v>
      </c>
      <c r="F2100">
        <v>2098</v>
      </c>
      <c r="H2100" t="s">
        <v>7963</v>
      </c>
    </row>
    <row r="2101" spans="1:8" x14ac:dyDescent="0.3">
      <c r="A2101" t="s">
        <v>6242</v>
      </c>
      <c r="C2101" t="s">
        <v>5267</v>
      </c>
      <c r="D2101" t="s">
        <v>10305</v>
      </c>
      <c r="E2101">
        <v>0</v>
      </c>
      <c r="F2101">
        <v>2099</v>
      </c>
      <c r="H2101" t="s">
        <v>6242</v>
      </c>
    </row>
    <row r="2102" spans="1:8" x14ac:dyDescent="0.3">
      <c r="A2102" t="s">
        <v>7964</v>
      </c>
      <c r="C2102" t="s">
        <v>5267</v>
      </c>
      <c r="D2102" t="s">
        <v>10306</v>
      </c>
      <c r="E2102">
        <v>0</v>
      </c>
      <c r="F2102">
        <v>2100</v>
      </c>
      <c r="H2102" t="s">
        <v>7964</v>
      </c>
    </row>
    <row r="2103" spans="1:8" x14ac:dyDescent="0.3">
      <c r="A2103" t="s">
        <v>7965</v>
      </c>
      <c r="C2103" t="s">
        <v>5267</v>
      </c>
      <c r="D2103" t="s">
        <v>10307</v>
      </c>
      <c r="E2103">
        <v>0</v>
      </c>
      <c r="F2103">
        <v>2101</v>
      </c>
      <c r="H2103" t="s">
        <v>7965</v>
      </c>
    </row>
    <row r="2104" spans="1:8" x14ac:dyDescent="0.3">
      <c r="A2104" t="s">
        <v>7966</v>
      </c>
      <c r="C2104" t="s">
        <v>5267</v>
      </c>
      <c r="D2104" t="s">
        <v>10308</v>
      </c>
      <c r="E2104">
        <v>0</v>
      </c>
      <c r="F2104">
        <v>2102</v>
      </c>
      <c r="H2104" t="s">
        <v>7966</v>
      </c>
    </row>
    <row r="2105" spans="1:8" x14ac:dyDescent="0.3">
      <c r="A2105" t="s">
        <v>7967</v>
      </c>
      <c r="C2105" t="s">
        <v>5267</v>
      </c>
      <c r="D2105" t="s">
        <v>10309</v>
      </c>
      <c r="E2105">
        <v>0</v>
      </c>
      <c r="F2105">
        <v>2103</v>
      </c>
      <c r="H2105" t="s">
        <v>7967</v>
      </c>
    </row>
    <row r="2106" spans="1:8" x14ac:dyDescent="0.3">
      <c r="A2106" t="s">
        <v>7968</v>
      </c>
      <c r="C2106" t="s">
        <v>5267</v>
      </c>
      <c r="D2106" t="s">
        <v>10310</v>
      </c>
      <c r="E2106">
        <v>0</v>
      </c>
      <c r="F2106">
        <v>2104</v>
      </c>
      <c r="H2106" t="s">
        <v>7968</v>
      </c>
    </row>
    <row r="2107" spans="1:8" x14ac:dyDescent="0.3">
      <c r="A2107" t="s">
        <v>7969</v>
      </c>
      <c r="C2107" t="s">
        <v>5267</v>
      </c>
      <c r="D2107" t="s">
        <v>10311</v>
      </c>
      <c r="E2107">
        <v>0</v>
      </c>
      <c r="F2107">
        <v>2105</v>
      </c>
      <c r="H2107" t="s">
        <v>7969</v>
      </c>
    </row>
    <row r="2108" spans="1:8" x14ac:dyDescent="0.3">
      <c r="A2108" t="s">
        <v>7970</v>
      </c>
      <c r="C2108" t="s">
        <v>5267</v>
      </c>
      <c r="D2108" t="s">
        <v>10312</v>
      </c>
      <c r="E2108">
        <v>0</v>
      </c>
      <c r="F2108">
        <v>2106</v>
      </c>
      <c r="H2108" t="s">
        <v>7970</v>
      </c>
    </row>
    <row r="2109" spans="1:8" x14ac:dyDescent="0.3">
      <c r="A2109" t="s">
        <v>7971</v>
      </c>
      <c r="C2109" t="s">
        <v>5267</v>
      </c>
      <c r="D2109" t="s">
        <v>10313</v>
      </c>
      <c r="E2109">
        <v>0</v>
      </c>
      <c r="F2109">
        <v>2107</v>
      </c>
      <c r="H2109" t="s">
        <v>7971</v>
      </c>
    </row>
    <row r="2110" spans="1:8" x14ac:dyDescent="0.3">
      <c r="A2110" t="s">
        <v>7972</v>
      </c>
      <c r="C2110" t="s">
        <v>5267</v>
      </c>
      <c r="D2110" t="s">
        <v>10314</v>
      </c>
      <c r="E2110">
        <v>0</v>
      </c>
      <c r="F2110">
        <v>2108</v>
      </c>
      <c r="H2110" t="s">
        <v>7972</v>
      </c>
    </row>
    <row r="2111" spans="1:8" x14ac:dyDescent="0.3">
      <c r="A2111" t="s">
        <v>7973</v>
      </c>
      <c r="C2111" t="s">
        <v>5267</v>
      </c>
      <c r="D2111" t="s">
        <v>10315</v>
      </c>
      <c r="E2111">
        <v>0</v>
      </c>
      <c r="F2111">
        <v>2109</v>
      </c>
      <c r="H2111" t="s">
        <v>7973</v>
      </c>
    </row>
    <row r="2112" spans="1:8" x14ac:dyDescent="0.3">
      <c r="A2112" t="s">
        <v>7974</v>
      </c>
      <c r="C2112" t="s">
        <v>5267</v>
      </c>
      <c r="D2112" t="s">
        <v>10316</v>
      </c>
      <c r="E2112">
        <v>0</v>
      </c>
      <c r="F2112">
        <v>2110</v>
      </c>
      <c r="H2112" t="s">
        <v>7974</v>
      </c>
    </row>
    <row r="2113" spans="1:8" x14ac:dyDescent="0.3">
      <c r="A2113" t="s">
        <v>7975</v>
      </c>
      <c r="C2113" t="s">
        <v>5267</v>
      </c>
      <c r="D2113" t="s">
        <v>10317</v>
      </c>
      <c r="E2113">
        <v>0</v>
      </c>
      <c r="F2113">
        <v>2111</v>
      </c>
      <c r="H2113" t="s">
        <v>7975</v>
      </c>
    </row>
    <row r="2114" spans="1:8" x14ac:dyDescent="0.3">
      <c r="A2114" t="s">
        <v>7976</v>
      </c>
      <c r="C2114" t="s">
        <v>5267</v>
      </c>
      <c r="D2114" t="s">
        <v>10318</v>
      </c>
      <c r="E2114">
        <v>0</v>
      </c>
      <c r="F2114">
        <v>2112</v>
      </c>
      <c r="H2114" t="s">
        <v>7976</v>
      </c>
    </row>
    <row r="2115" spans="1:8" x14ac:dyDescent="0.3">
      <c r="A2115" t="s">
        <v>7977</v>
      </c>
      <c r="C2115" t="s">
        <v>5267</v>
      </c>
      <c r="D2115" t="s">
        <v>10319</v>
      </c>
      <c r="E2115">
        <v>0</v>
      </c>
      <c r="F2115">
        <v>2113</v>
      </c>
      <c r="H2115" t="s">
        <v>7977</v>
      </c>
    </row>
    <row r="2116" spans="1:8" x14ac:dyDescent="0.3">
      <c r="A2116" t="s">
        <v>7978</v>
      </c>
      <c r="C2116" t="s">
        <v>5267</v>
      </c>
      <c r="D2116" t="s">
        <v>10320</v>
      </c>
      <c r="E2116">
        <v>0</v>
      </c>
      <c r="F2116">
        <v>2114</v>
      </c>
      <c r="H2116" t="s">
        <v>7978</v>
      </c>
    </row>
    <row r="2117" spans="1:8" x14ac:dyDescent="0.3">
      <c r="A2117" t="s">
        <v>7979</v>
      </c>
      <c r="C2117" t="s">
        <v>5267</v>
      </c>
      <c r="D2117" t="s">
        <v>10321</v>
      </c>
      <c r="E2117">
        <v>0</v>
      </c>
      <c r="F2117">
        <v>2115</v>
      </c>
      <c r="H2117" t="s">
        <v>7979</v>
      </c>
    </row>
    <row r="2118" spans="1:8" x14ac:dyDescent="0.3">
      <c r="A2118" t="s">
        <v>7980</v>
      </c>
      <c r="C2118" t="s">
        <v>5267</v>
      </c>
      <c r="D2118" t="s">
        <v>10322</v>
      </c>
      <c r="E2118">
        <v>0</v>
      </c>
      <c r="F2118">
        <v>2116</v>
      </c>
      <c r="H2118" t="s">
        <v>7980</v>
      </c>
    </row>
    <row r="2119" spans="1:8" x14ac:dyDescent="0.3">
      <c r="A2119" t="s">
        <v>7981</v>
      </c>
      <c r="C2119" t="s">
        <v>5267</v>
      </c>
      <c r="D2119" t="s">
        <v>10323</v>
      </c>
      <c r="E2119">
        <v>0</v>
      </c>
      <c r="F2119">
        <v>2117</v>
      </c>
      <c r="H2119" t="s">
        <v>7981</v>
      </c>
    </row>
    <row r="2120" spans="1:8" x14ac:dyDescent="0.3">
      <c r="A2120" t="s">
        <v>7982</v>
      </c>
      <c r="C2120" t="s">
        <v>5267</v>
      </c>
      <c r="D2120" t="s">
        <v>10324</v>
      </c>
      <c r="E2120">
        <v>0</v>
      </c>
      <c r="F2120">
        <v>2118</v>
      </c>
      <c r="H2120" t="s">
        <v>7982</v>
      </c>
    </row>
    <row r="2121" spans="1:8" x14ac:dyDescent="0.3">
      <c r="A2121" t="s">
        <v>7983</v>
      </c>
      <c r="C2121" t="s">
        <v>5267</v>
      </c>
      <c r="D2121" t="s">
        <v>10325</v>
      </c>
      <c r="E2121">
        <v>0</v>
      </c>
      <c r="F2121">
        <v>2119</v>
      </c>
      <c r="H2121" t="s">
        <v>7983</v>
      </c>
    </row>
    <row r="2122" spans="1:8" x14ac:dyDescent="0.3">
      <c r="A2122" t="s">
        <v>7984</v>
      </c>
      <c r="C2122" t="s">
        <v>5267</v>
      </c>
      <c r="D2122" t="s">
        <v>10326</v>
      </c>
      <c r="E2122">
        <v>0</v>
      </c>
      <c r="F2122">
        <v>2120</v>
      </c>
      <c r="H2122" t="s">
        <v>7984</v>
      </c>
    </row>
    <row r="2123" spans="1:8" x14ac:dyDescent="0.3">
      <c r="A2123" t="s">
        <v>7985</v>
      </c>
      <c r="C2123" t="s">
        <v>5267</v>
      </c>
      <c r="D2123" t="s">
        <v>10327</v>
      </c>
      <c r="E2123">
        <v>0</v>
      </c>
      <c r="F2123">
        <v>2121</v>
      </c>
      <c r="H2123" t="s">
        <v>7985</v>
      </c>
    </row>
    <row r="2124" spans="1:8" x14ac:dyDescent="0.3">
      <c r="A2124" t="s">
        <v>7986</v>
      </c>
      <c r="C2124" t="s">
        <v>5267</v>
      </c>
      <c r="D2124" t="s">
        <v>10328</v>
      </c>
      <c r="E2124">
        <v>0</v>
      </c>
      <c r="F2124">
        <v>2122</v>
      </c>
      <c r="H2124" t="s">
        <v>7986</v>
      </c>
    </row>
    <row r="2125" spans="1:8" x14ac:dyDescent="0.3">
      <c r="A2125" t="s">
        <v>7987</v>
      </c>
      <c r="C2125" t="s">
        <v>5267</v>
      </c>
      <c r="D2125" t="s">
        <v>10329</v>
      </c>
      <c r="E2125">
        <v>0</v>
      </c>
      <c r="F2125">
        <v>2123</v>
      </c>
      <c r="H2125" t="s">
        <v>7987</v>
      </c>
    </row>
    <row r="2126" spans="1:8" x14ac:dyDescent="0.3">
      <c r="A2126" t="s">
        <v>7988</v>
      </c>
      <c r="C2126" t="s">
        <v>5267</v>
      </c>
      <c r="D2126" t="s">
        <v>10330</v>
      </c>
      <c r="E2126">
        <v>0</v>
      </c>
      <c r="F2126">
        <v>2124</v>
      </c>
      <c r="H2126" t="s">
        <v>7988</v>
      </c>
    </row>
    <row r="2127" spans="1:8" x14ac:dyDescent="0.3">
      <c r="A2127" t="s">
        <v>7989</v>
      </c>
      <c r="C2127" t="s">
        <v>5267</v>
      </c>
      <c r="D2127" t="s">
        <v>10331</v>
      </c>
      <c r="E2127">
        <v>0</v>
      </c>
      <c r="F2127">
        <v>2125</v>
      </c>
      <c r="H2127" t="s">
        <v>7989</v>
      </c>
    </row>
    <row r="2128" spans="1:8" x14ac:dyDescent="0.3">
      <c r="A2128" t="s">
        <v>7990</v>
      </c>
      <c r="C2128" t="s">
        <v>5267</v>
      </c>
      <c r="D2128" t="s">
        <v>10332</v>
      </c>
      <c r="E2128">
        <v>0</v>
      </c>
      <c r="F2128">
        <v>2126</v>
      </c>
      <c r="H2128" t="s">
        <v>7990</v>
      </c>
    </row>
    <row r="2129" spans="1:8" x14ac:dyDescent="0.3">
      <c r="A2129" t="s">
        <v>7991</v>
      </c>
      <c r="C2129" t="s">
        <v>5267</v>
      </c>
      <c r="D2129" t="s">
        <v>10333</v>
      </c>
      <c r="E2129">
        <v>0</v>
      </c>
      <c r="F2129">
        <v>2127</v>
      </c>
      <c r="H2129" t="s">
        <v>7991</v>
      </c>
    </row>
    <row r="2130" spans="1:8" x14ac:dyDescent="0.3">
      <c r="A2130" t="s">
        <v>7992</v>
      </c>
      <c r="C2130" t="s">
        <v>5267</v>
      </c>
      <c r="D2130" t="s">
        <v>10334</v>
      </c>
      <c r="E2130">
        <v>0</v>
      </c>
      <c r="F2130">
        <v>2128</v>
      </c>
      <c r="H2130" t="s">
        <v>7992</v>
      </c>
    </row>
    <row r="2131" spans="1:8" x14ac:dyDescent="0.3">
      <c r="A2131" t="s">
        <v>7993</v>
      </c>
      <c r="C2131" t="s">
        <v>5267</v>
      </c>
      <c r="D2131" t="s">
        <v>10335</v>
      </c>
      <c r="E2131">
        <v>0</v>
      </c>
      <c r="F2131">
        <v>2129</v>
      </c>
      <c r="H2131" t="s">
        <v>7993</v>
      </c>
    </row>
    <row r="2132" spans="1:8" x14ac:dyDescent="0.3">
      <c r="A2132" t="s">
        <v>6267</v>
      </c>
      <c r="C2132" t="s">
        <v>5267</v>
      </c>
      <c r="D2132" t="s">
        <v>10336</v>
      </c>
      <c r="E2132">
        <v>0</v>
      </c>
      <c r="F2132">
        <v>2130</v>
      </c>
      <c r="H2132" t="s">
        <v>6267</v>
      </c>
    </row>
    <row r="2133" spans="1:8" x14ac:dyDescent="0.3">
      <c r="A2133" t="s">
        <v>7994</v>
      </c>
      <c r="C2133" t="s">
        <v>5267</v>
      </c>
      <c r="D2133" t="s">
        <v>10337</v>
      </c>
      <c r="E2133">
        <v>0</v>
      </c>
      <c r="F2133">
        <v>2131</v>
      </c>
      <c r="H2133" t="s">
        <v>7994</v>
      </c>
    </row>
    <row r="2134" spans="1:8" x14ac:dyDescent="0.3">
      <c r="A2134" t="s">
        <v>7995</v>
      </c>
      <c r="C2134" t="s">
        <v>5267</v>
      </c>
      <c r="D2134" t="s">
        <v>10338</v>
      </c>
      <c r="E2134">
        <v>0</v>
      </c>
      <c r="F2134">
        <v>2132</v>
      </c>
      <c r="H2134" t="s">
        <v>7995</v>
      </c>
    </row>
    <row r="2135" spans="1:8" x14ac:dyDescent="0.3">
      <c r="A2135" t="s">
        <v>7996</v>
      </c>
      <c r="C2135" t="s">
        <v>5267</v>
      </c>
      <c r="D2135" t="s">
        <v>10339</v>
      </c>
      <c r="E2135">
        <v>0</v>
      </c>
      <c r="F2135">
        <v>2133</v>
      </c>
      <c r="H2135" t="s">
        <v>7996</v>
      </c>
    </row>
    <row r="2136" spans="1:8" x14ac:dyDescent="0.3">
      <c r="A2136" t="s">
        <v>7997</v>
      </c>
      <c r="C2136" t="s">
        <v>5267</v>
      </c>
      <c r="D2136" t="s">
        <v>10340</v>
      </c>
      <c r="E2136">
        <v>0</v>
      </c>
      <c r="F2136">
        <v>2134</v>
      </c>
      <c r="H2136" t="s">
        <v>7997</v>
      </c>
    </row>
    <row r="2137" spans="1:8" x14ac:dyDescent="0.3">
      <c r="A2137" t="s">
        <v>7998</v>
      </c>
      <c r="C2137" t="s">
        <v>5267</v>
      </c>
      <c r="D2137" t="s">
        <v>10341</v>
      </c>
      <c r="E2137">
        <v>0</v>
      </c>
      <c r="F2137">
        <v>2135</v>
      </c>
      <c r="H2137" t="s">
        <v>7998</v>
      </c>
    </row>
    <row r="2138" spans="1:8" x14ac:dyDescent="0.3">
      <c r="A2138" t="s">
        <v>7999</v>
      </c>
      <c r="C2138" t="s">
        <v>5267</v>
      </c>
      <c r="D2138" t="s">
        <v>10342</v>
      </c>
      <c r="E2138">
        <v>0</v>
      </c>
      <c r="F2138">
        <v>2136</v>
      </c>
      <c r="H2138" t="s">
        <v>7999</v>
      </c>
    </row>
    <row r="2139" spans="1:8" x14ac:dyDescent="0.3">
      <c r="A2139" t="s">
        <v>8000</v>
      </c>
      <c r="C2139" t="s">
        <v>5267</v>
      </c>
      <c r="D2139" t="s">
        <v>10343</v>
      </c>
      <c r="E2139">
        <v>0</v>
      </c>
      <c r="F2139">
        <v>2137</v>
      </c>
      <c r="H2139" t="s">
        <v>8000</v>
      </c>
    </row>
    <row r="2140" spans="1:8" x14ac:dyDescent="0.3">
      <c r="A2140" t="s">
        <v>8001</v>
      </c>
      <c r="C2140" t="s">
        <v>5267</v>
      </c>
      <c r="D2140" t="s">
        <v>10344</v>
      </c>
      <c r="E2140">
        <v>0</v>
      </c>
      <c r="F2140">
        <v>2138</v>
      </c>
      <c r="H2140" t="s">
        <v>8001</v>
      </c>
    </row>
    <row r="2141" spans="1:8" x14ac:dyDescent="0.3">
      <c r="A2141" t="s">
        <v>8002</v>
      </c>
      <c r="C2141" t="s">
        <v>5267</v>
      </c>
      <c r="D2141" t="s">
        <v>10345</v>
      </c>
      <c r="E2141">
        <v>0</v>
      </c>
      <c r="F2141">
        <v>2139</v>
      </c>
      <c r="H2141" t="s">
        <v>8002</v>
      </c>
    </row>
    <row r="2142" spans="1:8" x14ac:dyDescent="0.3">
      <c r="A2142" t="s">
        <v>8003</v>
      </c>
      <c r="C2142" t="s">
        <v>5267</v>
      </c>
      <c r="D2142" t="s">
        <v>10346</v>
      </c>
      <c r="E2142">
        <v>0</v>
      </c>
      <c r="F2142">
        <v>2140</v>
      </c>
      <c r="H2142" t="s">
        <v>8003</v>
      </c>
    </row>
    <row r="2143" spans="1:8" x14ac:dyDescent="0.3">
      <c r="A2143" t="s">
        <v>8004</v>
      </c>
      <c r="C2143" t="s">
        <v>5267</v>
      </c>
      <c r="D2143" t="s">
        <v>10347</v>
      </c>
      <c r="E2143">
        <v>0</v>
      </c>
      <c r="F2143">
        <v>2141</v>
      </c>
      <c r="H2143" t="s">
        <v>8004</v>
      </c>
    </row>
    <row r="2144" spans="1:8" x14ac:dyDescent="0.3">
      <c r="A2144" t="s">
        <v>8005</v>
      </c>
      <c r="C2144" t="s">
        <v>5267</v>
      </c>
      <c r="D2144" t="s">
        <v>10348</v>
      </c>
      <c r="E2144">
        <v>0</v>
      </c>
      <c r="F2144">
        <v>2142</v>
      </c>
      <c r="H2144" t="s">
        <v>8005</v>
      </c>
    </row>
    <row r="2145" spans="1:8" x14ac:dyDescent="0.3">
      <c r="A2145" t="s">
        <v>8006</v>
      </c>
      <c r="C2145" t="s">
        <v>5267</v>
      </c>
      <c r="D2145" t="s">
        <v>10349</v>
      </c>
      <c r="E2145">
        <v>0</v>
      </c>
      <c r="F2145">
        <v>2143</v>
      </c>
      <c r="H2145" t="s">
        <v>8006</v>
      </c>
    </row>
    <row r="2146" spans="1:8" x14ac:dyDescent="0.3">
      <c r="A2146" t="s">
        <v>8007</v>
      </c>
      <c r="C2146" t="s">
        <v>5267</v>
      </c>
      <c r="D2146" t="s">
        <v>10350</v>
      </c>
      <c r="E2146">
        <v>0</v>
      </c>
      <c r="F2146">
        <v>2144</v>
      </c>
      <c r="H2146" t="s">
        <v>8007</v>
      </c>
    </row>
    <row r="2147" spans="1:8" x14ac:dyDescent="0.3">
      <c r="A2147" t="s">
        <v>8008</v>
      </c>
      <c r="C2147" t="s">
        <v>5267</v>
      </c>
      <c r="D2147" t="s">
        <v>10351</v>
      </c>
      <c r="E2147">
        <v>0</v>
      </c>
      <c r="F2147">
        <v>2145</v>
      </c>
      <c r="H2147" t="s">
        <v>8008</v>
      </c>
    </row>
    <row r="2148" spans="1:8" x14ac:dyDescent="0.3">
      <c r="A2148" t="s">
        <v>8009</v>
      </c>
      <c r="C2148" t="s">
        <v>5267</v>
      </c>
      <c r="D2148" t="s">
        <v>10352</v>
      </c>
      <c r="E2148">
        <v>0</v>
      </c>
      <c r="F2148">
        <v>2146</v>
      </c>
      <c r="H2148" t="s">
        <v>8009</v>
      </c>
    </row>
    <row r="2149" spans="1:8" x14ac:dyDescent="0.3">
      <c r="A2149" t="s">
        <v>8010</v>
      </c>
      <c r="C2149" t="s">
        <v>5267</v>
      </c>
      <c r="D2149" t="s">
        <v>10353</v>
      </c>
      <c r="E2149">
        <v>0</v>
      </c>
      <c r="F2149">
        <v>2147</v>
      </c>
      <c r="H2149" t="s">
        <v>8010</v>
      </c>
    </row>
    <row r="2150" spans="1:8" x14ac:dyDescent="0.3">
      <c r="A2150" t="s">
        <v>8011</v>
      </c>
      <c r="C2150" t="s">
        <v>5267</v>
      </c>
      <c r="D2150" t="s">
        <v>10354</v>
      </c>
      <c r="E2150">
        <v>0</v>
      </c>
      <c r="F2150">
        <v>2148</v>
      </c>
      <c r="H2150" t="s">
        <v>8011</v>
      </c>
    </row>
    <row r="2151" spans="1:8" x14ac:dyDescent="0.3">
      <c r="A2151" t="s">
        <v>8012</v>
      </c>
      <c r="C2151" t="s">
        <v>5267</v>
      </c>
      <c r="D2151" t="s">
        <v>10355</v>
      </c>
      <c r="E2151">
        <v>0</v>
      </c>
      <c r="F2151">
        <v>2149</v>
      </c>
      <c r="H2151" t="s">
        <v>8012</v>
      </c>
    </row>
    <row r="2152" spans="1:8" x14ac:dyDescent="0.3">
      <c r="A2152" t="s">
        <v>8013</v>
      </c>
      <c r="C2152" t="s">
        <v>5267</v>
      </c>
      <c r="D2152" t="s">
        <v>10356</v>
      </c>
      <c r="E2152">
        <v>0</v>
      </c>
      <c r="F2152">
        <v>2150</v>
      </c>
      <c r="H2152" t="s">
        <v>8013</v>
      </c>
    </row>
    <row r="2153" spans="1:8" x14ac:dyDescent="0.3">
      <c r="A2153" t="s">
        <v>8014</v>
      </c>
      <c r="C2153" t="s">
        <v>5267</v>
      </c>
      <c r="D2153" t="s">
        <v>10357</v>
      </c>
      <c r="E2153">
        <v>0</v>
      </c>
      <c r="F2153">
        <v>2151</v>
      </c>
      <c r="H2153" t="s">
        <v>8014</v>
      </c>
    </row>
    <row r="2154" spans="1:8" x14ac:dyDescent="0.3">
      <c r="A2154" t="s">
        <v>8015</v>
      </c>
      <c r="C2154" t="s">
        <v>5267</v>
      </c>
      <c r="D2154" t="s">
        <v>10358</v>
      </c>
      <c r="E2154">
        <v>0</v>
      </c>
      <c r="F2154">
        <v>2152</v>
      </c>
      <c r="H2154" t="s">
        <v>8015</v>
      </c>
    </row>
    <row r="2155" spans="1:8" x14ac:dyDescent="0.3">
      <c r="A2155" t="s">
        <v>8016</v>
      </c>
      <c r="C2155" t="s">
        <v>5267</v>
      </c>
      <c r="D2155" t="s">
        <v>10359</v>
      </c>
      <c r="E2155">
        <v>0</v>
      </c>
      <c r="F2155">
        <v>2153</v>
      </c>
      <c r="H2155" t="s">
        <v>8016</v>
      </c>
    </row>
    <row r="2156" spans="1:8" x14ac:dyDescent="0.3">
      <c r="A2156" t="s">
        <v>8017</v>
      </c>
      <c r="C2156" t="s">
        <v>5267</v>
      </c>
      <c r="D2156" t="s">
        <v>10360</v>
      </c>
      <c r="E2156">
        <v>0</v>
      </c>
      <c r="F2156">
        <v>2154</v>
      </c>
      <c r="H2156" t="s">
        <v>8017</v>
      </c>
    </row>
    <row r="2157" spans="1:8" x14ac:dyDescent="0.3">
      <c r="A2157" t="s">
        <v>8018</v>
      </c>
      <c r="C2157" t="s">
        <v>5267</v>
      </c>
      <c r="D2157" t="s">
        <v>10361</v>
      </c>
      <c r="E2157">
        <v>0</v>
      </c>
      <c r="F2157">
        <v>2155</v>
      </c>
      <c r="H2157" t="s">
        <v>8018</v>
      </c>
    </row>
    <row r="2158" spans="1:8" x14ac:dyDescent="0.3">
      <c r="A2158" t="s">
        <v>8019</v>
      </c>
      <c r="C2158" t="s">
        <v>5267</v>
      </c>
      <c r="D2158" t="s">
        <v>10362</v>
      </c>
      <c r="E2158">
        <v>0</v>
      </c>
      <c r="F2158">
        <v>2156</v>
      </c>
      <c r="H2158" t="s">
        <v>8019</v>
      </c>
    </row>
    <row r="2159" spans="1:8" x14ac:dyDescent="0.3">
      <c r="A2159" t="s">
        <v>8020</v>
      </c>
      <c r="C2159" t="s">
        <v>5267</v>
      </c>
      <c r="D2159" t="s">
        <v>10363</v>
      </c>
      <c r="E2159">
        <v>0</v>
      </c>
      <c r="F2159">
        <v>2157</v>
      </c>
      <c r="H2159" t="s">
        <v>8020</v>
      </c>
    </row>
    <row r="2160" spans="1:8" x14ac:dyDescent="0.3">
      <c r="A2160" t="s">
        <v>8021</v>
      </c>
      <c r="C2160" t="s">
        <v>5267</v>
      </c>
      <c r="D2160" t="s">
        <v>10364</v>
      </c>
      <c r="E2160">
        <v>0</v>
      </c>
      <c r="F2160">
        <v>2158</v>
      </c>
      <c r="H2160" t="s">
        <v>8021</v>
      </c>
    </row>
    <row r="2161" spans="1:8" x14ac:dyDescent="0.3">
      <c r="A2161" t="s">
        <v>8022</v>
      </c>
      <c r="C2161" t="s">
        <v>5267</v>
      </c>
      <c r="D2161" t="s">
        <v>10365</v>
      </c>
      <c r="E2161">
        <v>0</v>
      </c>
      <c r="F2161">
        <v>2159</v>
      </c>
      <c r="H2161" t="s">
        <v>8022</v>
      </c>
    </row>
    <row r="2162" spans="1:8" x14ac:dyDescent="0.3">
      <c r="A2162" t="s">
        <v>8023</v>
      </c>
      <c r="C2162" t="s">
        <v>5267</v>
      </c>
      <c r="D2162" t="s">
        <v>10366</v>
      </c>
      <c r="E2162">
        <v>0</v>
      </c>
      <c r="F2162">
        <v>2160</v>
      </c>
      <c r="H2162" t="s">
        <v>8023</v>
      </c>
    </row>
    <row r="2163" spans="1:8" x14ac:dyDescent="0.3">
      <c r="A2163" t="s">
        <v>8024</v>
      </c>
      <c r="C2163" t="s">
        <v>5267</v>
      </c>
      <c r="D2163" t="s">
        <v>10367</v>
      </c>
      <c r="E2163">
        <v>0</v>
      </c>
      <c r="F2163">
        <v>2161</v>
      </c>
      <c r="H2163" t="s">
        <v>8024</v>
      </c>
    </row>
    <row r="2164" spans="1:8" x14ac:dyDescent="0.3">
      <c r="A2164" t="s">
        <v>8025</v>
      </c>
      <c r="C2164" t="s">
        <v>5267</v>
      </c>
      <c r="D2164" t="s">
        <v>10368</v>
      </c>
      <c r="E2164">
        <v>0</v>
      </c>
      <c r="F2164">
        <v>2162</v>
      </c>
      <c r="H2164" t="s">
        <v>8025</v>
      </c>
    </row>
    <row r="2165" spans="1:8" x14ac:dyDescent="0.3">
      <c r="A2165" t="s">
        <v>8026</v>
      </c>
      <c r="C2165" t="s">
        <v>5267</v>
      </c>
      <c r="D2165" t="s">
        <v>10369</v>
      </c>
      <c r="E2165">
        <v>0</v>
      </c>
      <c r="F2165">
        <v>2163</v>
      </c>
      <c r="H2165" t="s">
        <v>8026</v>
      </c>
    </row>
    <row r="2166" spans="1:8" x14ac:dyDescent="0.3">
      <c r="A2166" t="s">
        <v>8027</v>
      </c>
      <c r="C2166" t="s">
        <v>5267</v>
      </c>
      <c r="D2166" t="s">
        <v>10370</v>
      </c>
      <c r="E2166">
        <v>0</v>
      </c>
      <c r="F2166">
        <v>2164</v>
      </c>
      <c r="H2166" t="s">
        <v>8027</v>
      </c>
    </row>
    <row r="2167" spans="1:8" x14ac:dyDescent="0.3">
      <c r="A2167" t="s">
        <v>8028</v>
      </c>
      <c r="C2167" t="s">
        <v>5267</v>
      </c>
      <c r="D2167" t="s">
        <v>10371</v>
      </c>
      <c r="E2167">
        <v>0</v>
      </c>
      <c r="F2167">
        <v>2165</v>
      </c>
      <c r="H2167" t="s">
        <v>8028</v>
      </c>
    </row>
    <row r="2168" spans="1:8" x14ac:dyDescent="0.3">
      <c r="A2168" t="s">
        <v>8029</v>
      </c>
      <c r="C2168" t="s">
        <v>5267</v>
      </c>
      <c r="D2168" t="s">
        <v>10372</v>
      </c>
      <c r="E2168">
        <v>0</v>
      </c>
      <c r="F2168">
        <v>2166</v>
      </c>
      <c r="H2168" t="s">
        <v>8029</v>
      </c>
    </row>
    <row r="2169" spans="1:8" x14ac:dyDescent="0.3">
      <c r="A2169" t="s">
        <v>8030</v>
      </c>
      <c r="C2169" t="s">
        <v>5267</v>
      </c>
      <c r="D2169" t="s">
        <v>10373</v>
      </c>
      <c r="E2169">
        <v>0</v>
      </c>
      <c r="F2169">
        <v>2167</v>
      </c>
      <c r="H2169" t="s">
        <v>8030</v>
      </c>
    </row>
    <row r="2170" spans="1:8" x14ac:dyDescent="0.3">
      <c r="A2170" t="s">
        <v>8031</v>
      </c>
      <c r="C2170" t="s">
        <v>5267</v>
      </c>
      <c r="D2170" t="s">
        <v>10374</v>
      </c>
      <c r="E2170">
        <v>0</v>
      </c>
      <c r="F2170">
        <v>2168</v>
      </c>
      <c r="H2170" t="s">
        <v>8031</v>
      </c>
    </row>
    <row r="2171" spans="1:8" x14ac:dyDescent="0.3">
      <c r="A2171" t="s">
        <v>8032</v>
      </c>
      <c r="C2171" t="s">
        <v>5267</v>
      </c>
      <c r="D2171" t="s">
        <v>10375</v>
      </c>
      <c r="E2171">
        <v>0</v>
      </c>
      <c r="F2171">
        <v>2169</v>
      </c>
      <c r="H2171" t="s">
        <v>8032</v>
      </c>
    </row>
    <row r="2172" spans="1:8" x14ac:dyDescent="0.3">
      <c r="A2172" t="s">
        <v>8033</v>
      </c>
      <c r="C2172" t="s">
        <v>5267</v>
      </c>
      <c r="D2172" t="s">
        <v>10376</v>
      </c>
      <c r="E2172">
        <v>0</v>
      </c>
      <c r="F2172">
        <v>2170</v>
      </c>
      <c r="H2172" t="s">
        <v>8033</v>
      </c>
    </row>
    <row r="2173" spans="1:8" x14ac:dyDescent="0.3">
      <c r="A2173" t="s">
        <v>8034</v>
      </c>
      <c r="C2173" t="s">
        <v>5267</v>
      </c>
      <c r="D2173" t="s">
        <v>10377</v>
      </c>
      <c r="E2173">
        <v>0</v>
      </c>
      <c r="F2173">
        <v>2171</v>
      </c>
      <c r="H2173" t="s">
        <v>8034</v>
      </c>
    </row>
    <row r="2174" spans="1:8" x14ac:dyDescent="0.3">
      <c r="A2174" t="s">
        <v>8035</v>
      </c>
      <c r="C2174" t="s">
        <v>5267</v>
      </c>
      <c r="D2174" t="s">
        <v>10378</v>
      </c>
      <c r="E2174">
        <v>0</v>
      </c>
      <c r="F2174">
        <v>2172</v>
      </c>
      <c r="H2174" t="s">
        <v>8035</v>
      </c>
    </row>
    <row r="2175" spans="1:8" x14ac:dyDescent="0.3">
      <c r="A2175" t="s">
        <v>8036</v>
      </c>
      <c r="C2175" t="s">
        <v>5267</v>
      </c>
      <c r="D2175" t="s">
        <v>10379</v>
      </c>
      <c r="E2175">
        <v>0</v>
      </c>
      <c r="F2175">
        <v>2173</v>
      </c>
      <c r="H2175" t="s">
        <v>8036</v>
      </c>
    </row>
    <row r="2176" spans="1:8" x14ac:dyDescent="0.3">
      <c r="A2176" t="s">
        <v>8037</v>
      </c>
      <c r="C2176" t="s">
        <v>5267</v>
      </c>
      <c r="D2176" t="s">
        <v>10380</v>
      </c>
      <c r="E2176">
        <v>0</v>
      </c>
      <c r="F2176">
        <v>2174</v>
      </c>
      <c r="H2176" t="s">
        <v>8037</v>
      </c>
    </row>
    <row r="2177" spans="1:8" x14ac:dyDescent="0.3">
      <c r="A2177" t="s">
        <v>8038</v>
      </c>
      <c r="C2177" t="s">
        <v>5267</v>
      </c>
      <c r="D2177" t="s">
        <v>10381</v>
      </c>
      <c r="E2177">
        <v>0</v>
      </c>
      <c r="F2177">
        <v>2175</v>
      </c>
      <c r="H2177" t="s">
        <v>8038</v>
      </c>
    </row>
    <row r="2178" spans="1:8" x14ac:dyDescent="0.3">
      <c r="A2178" t="s">
        <v>8039</v>
      </c>
      <c r="C2178" t="s">
        <v>5267</v>
      </c>
      <c r="D2178" t="s">
        <v>10382</v>
      </c>
      <c r="E2178">
        <v>0</v>
      </c>
      <c r="F2178">
        <v>2176</v>
      </c>
      <c r="H2178" t="s">
        <v>8039</v>
      </c>
    </row>
    <row r="2179" spans="1:8" x14ac:dyDescent="0.3">
      <c r="A2179" t="s">
        <v>8040</v>
      </c>
      <c r="C2179" t="s">
        <v>5267</v>
      </c>
      <c r="D2179" t="s">
        <v>10383</v>
      </c>
      <c r="E2179">
        <v>0</v>
      </c>
      <c r="F2179">
        <v>2177</v>
      </c>
      <c r="H2179" t="s">
        <v>8040</v>
      </c>
    </row>
    <row r="2180" spans="1:8" x14ac:dyDescent="0.3">
      <c r="A2180" t="s">
        <v>8041</v>
      </c>
      <c r="C2180" t="s">
        <v>5267</v>
      </c>
      <c r="D2180" t="s">
        <v>10384</v>
      </c>
      <c r="E2180">
        <v>0</v>
      </c>
      <c r="F2180">
        <v>2178</v>
      </c>
      <c r="H2180" t="s">
        <v>8041</v>
      </c>
    </row>
    <row r="2181" spans="1:8" x14ac:dyDescent="0.3">
      <c r="A2181" t="s">
        <v>8042</v>
      </c>
      <c r="C2181" t="s">
        <v>5267</v>
      </c>
      <c r="D2181" t="s">
        <v>10385</v>
      </c>
      <c r="E2181">
        <v>0</v>
      </c>
      <c r="F2181">
        <v>2179</v>
      </c>
      <c r="H2181" t="s">
        <v>8042</v>
      </c>
    </row>
    <row r="2182" spans="1:8" x14ac:dyDescent="0.3">
      <c r="A2182" t="s">
        <v>8043</v>
      </c>
      <c r="C2182" t="s">
        <v>5267</v>
      </c>
      <c r="D2182" t="s">
        <v>10386</v>
      </c>
      <c r="E2182">
        <v>0</v>
      </c>
      <c r="F2182">
        <v>2180</v>
      </c>
      <c r="H2182" t="s">
        <v>8043</v>
      </c>
    </row>
    <row r="2183" spans="1:8" x14ac:dyDescent="0.3">
      <c r="A2183" t="s">
        <v>8044</v>
      </c>
      <c r="C2183" t="s">
        <v>5267</v>
      </c>
      <c r="D2183" t="s">
        <v>10387</v>
      </c>
      <c r="E2183">
        <v>0</v>
      </c>
      <c r="F2183">
        <v>2181</v>
      </c>
      <c r="H2183" t="s">
        <v>8044</v>
      </c>
    </row>
    <row r="2184" spans="1:8" x14ac:dyDescent="0.3">
      <c r="A2184" t="s">
        <v>8045</v>
      </c>
      <c r="C2184" t="s">
        <v>5267</v>
      </c>
      <c r="D2184" t="s">
        <v>10388</v>
      </c>
      <c r="E2184">
        <v>0</v>
      </c>
      <c r="F2184">
        <v>2182</v>
      </c>
      <c r="H2184" t="s">
        <v>8045</v>
      </c>
    </row>
    <row r="2185" spans="1:8" x14ac:dyDescent="0.3">
      <c r="A2185" t="s">
        <v>8046</v>
      </c>
      <c r="C2185" t="s">
        <v>5267</v>
      </c>
      <c r="D2185" t="s">
        <v>10389</v>
      </c>
      <c r="E2185">
        <v>0</v>
      </c>
      <c r="F2185">
        <v>2183</v>
      </c>
      <c r="H2185" t="s">
        <v>8046</v>
      </c>
    </row>
    <row r="2186" spans="1:8" x14ac:dyDescent="0.3">
      <c r="A2186" t="s">
        <v>8047</v>
      </c>
      <c r="C2186" t="s">
        <v>5267</v>
      </c>
      <c r="D2186" t="s">
        <v>10390</v>
      </c>
      <c r="E2186">
        <v>0</v>
      </c>
      <c r="F2186">
        <v>2184</v>
      </c>
      <c r="H2186" t="s">
        <v>8047</v>
      </c>
    </row>
    <row r="2187" spans="1:8" x14ac:dyDescent="0.3">
      <c r="A2187" t="s">
        <v>8048</v>
      </c>
      <c r="C2187" t="s">
        <v>5267</v>
      </c>
      <c r="D2187" t="s">
        <v>10391</v>
      </c>
      <c r="E2187">
        <v>0</v>
      </c>
      <c r="F2187">
        <v>2185</v>
      </c>
      <c r="H2187" t="s">
        <v>8048</v>
      </c>
    </row>
    <row r="2188" spans="1:8" x14ac:dyDescent="0.3">
      <c r="A2188" t="s">
        <v>8049</v>
      </c>
      <c r="C2188" t="s">
        <v>5267</v>
      </c>
      <c r="D2188" t="s">
        <v>10392</v>
      </c>
      <c r="E2188">
        <v>0</v>
      </c>
      <c r="F2188">
        <v>2186</v>
      </c>
      <c r="H2188" t="s">
        <v>8049</v>
      </c>
    </row>
    <row r="2189" spans="1:8" x14ac:dyDescent="0.3">
      <c r="A2189" t="s">
        <v>8050</v>
      </c>
      <c r="C2189" t="s">
        <v>5267</v>
      </c>
      <c r="D2189" t="s">
        <v>10393</v>
      </c>
      <c r="E2189">
        <v>0</v>
      </c>
      <c r="F2189">
        <v>2187</v>
      </c>
      <c r="H2189" t="s">
        <v>8050</v>
      </c>
    </row>
    <row r="2190" spans="1:8" x14ac:dyDescent="0.3">
      <c r="A2190" t="s">
        <v>8051</v>
      </c>
      <c r="C2190" t="s">
        <v>5267</v>
      </c>
      <c r="D2190" t="s">
        <v>10394</v>
      </c>
      <c r="E2190">
        <v>0</v>
      </c>
      <c r="F2190">
        <v>2188</v>
      </c>
      <c r="H2190" t="s">
        <v>8051</v>
      </c>
    </row>
    <row r="2191" spans="1:8" x14ac:dyDescent="0.3">
      <c r="A2191" t="s">
        <v>8052</v>
      </c>
      <c r="C2191" t="s">
        <v>5267</v>
      </c>
      <c r="D2191" t="s">
        <v>10395</v>
      </c>
      <c r="E2191">
        <v>0</v>
      </c>
      <c r="F2191">
        <v>2189</v>
      </c>
      <c r="H2191" t="s">
        <v>8052</v>
      </c>
    </row>
    <row r="2192" spans="1:8" x14ac:dyDescent="0.3">
      <c r="A2192" t="s">
        <v>8053</v>
      </c>
      <c r="C2192" t="s">
        <v>5267</v>
      </c>
      <c r="D2192" t="s">
        <v>10396</v>
      </c>
      <c r="E2192">
        <v>0</v>
      </c>
      <c r="F2192">
        <v>2190</v>
      </c>
      <c r="H2192" t="s">
        <v>8053</v>
      </c>
    </row>
    <row r="2193" spans="1:8" x14ac:dyDescent="0.3">
      <c r="A2193" t="s">
        <v>8054</v>
      </c>
      <c r="C2193" t="s">
        <v>5267</v>
      </c>
      <c r="D2193" t="s">
        <v>10397</v>
      </c>
      <c r="E2193">
        <v>0</v>
      </c>
      <c r="F2193">
        <v>2191</v>
      </c>
      <c r="H2193" t="s">
        <v>8054</v>
      </c>
    </row>
    <row r="2194" spans="1:8" x14ac:dyDescent="0.3">
      <c r="A2194" t="s">
        <v>8055</v>
      </c>
      <c r="C2194" t="s">
        <v>5267</v>
      </c>
      <c r="D2194" t="s">
        <v>10398</v>
      </c>
      <c r="E2194">
        <v>0</v>
      </c>
      <c r="F2194">
        <v>2192</v>
      </c>
      <c r="H2194" t="s">
        <v>8055</v>
      </c>
    </row>
    <row r="2195" spans="1:8" x14ac:dyDescent="0.3">
      <c r="A2195" t="s">
        <v>8056</v>
      </c>
      <c r="C2195" t="s">
        <v>5267</v>
      </c>
      <c r="D2195" t="s">
        <v>10399</v>
      </c>
      <c r="E2195">
        <v>0</v>
      </c>
      <c r="F2195">
        <v>2193</v>
      </c>
      <c r="H2195" t="s">
        <v>8056</v>
      </c>
    </row>
    <row r="2196" spans="1:8" x14ac:dyDescent="0.3">
      <c r="A2196" t="s">
        <v>8057</v>
      </c>
      <c r="C2196" t="s">
        <v>5267</v>
      </c>
      <c r="D2196" t="s">
        <v>10400</v>
      </c>
      <c r="E2196">
        <v>0</v>
      </c>
      <c r="F2196">
        <v>2194</v>
      </c>
      <c r="H2196" t="s">
        <v>8057</v>
      </c>
    </row>
    <row r="2197" spans="1:8" x14ac:dyDescent="0.3">
      <c r="A2197" t="s">
        <v>8058</v>
      </c>
      <c r="C2197" t="s">
        <v>5267</v>
      </c>
      <c r="D2197" t="s">
        <v>10401</v>
      </c>
      <c r="E2197">
        <v>0</v>
      </c>
      <c r="F2197">
        <v>2195</v>
      </c>
      <c r="H2197" t="s">
        <v>8058</v>
      </c>
    </row>
    <row r="2198" spans="1:8" x14ac:dyDescent="0.3">
      <c r="A2198" t="s">
        <v>8059</v>
      </c>
      <c r="C2198" t="s">
        <v>5267</v>
      </c>
      <c r="D2198" t="s">
        <v>10402</v>
      </c>
      <c r="E2198">
        <v>0</v>
      </c>
      <c r="F2198">
        <v>2196</v>
      </c>
      <c r="H2198" t="s">
        <v>8059</v>
      </c>
    </row>
    <row r="2199" spans="1:8" x14ac:dyDescent="0.3">
      <c r="A2199" t="s">
        <v>8060</v>
      </c>
      <c r="C2199" t="s">
        <v>5267</v>
      </c>
      <c r="D2199" t="s">
        <v>10403</v>
      </c>
      <c r="E2199">
        <v>0</v>
      </c>
      <c r="F2199">
        <v>2197</v>
      </c>
      <c r="H2199" t="s">
        <v>8060</v>
      </c>
    </row>
    <row r="2200" spans="1:8" x14ac:dyDescent="0.3">
      <c r="A2200" t="s">
        <v>8061</v>
      </c>
      <c r="C2200" t="s">
        <v>5267</v>
      </c>
      <c r="D2200" t="s">
        <v>10404</v>
      </c>
      <c r="E2200">
        <v>0</v>
      </c>
      <c r="F2200">
        <v>2198</v>
      </c>
      <c r="H2200" t="s">
        <v>8061</v>
      </c>
    </row>
    <row r="2201" spans="1:8" x14ac:dyDescent="0.3">
      <c r="A2201" t="s">
        <v>8062</v>
      </c>
      <c r="C2201" t="s">
        <v>5267</v>
      </c>
      <c r="D2201" t="s">
        <v>10405</v>
      </c>
      <c r="E2201">
        <v>0</v>
      </c>
      <c r="F2201">
        <v>2199</v>
      </c>
      <c r="H2201" t="s">
        <v>8062</v>
      </c>
    </row>
    <row r="2202" spans="1:8" x14ac:dyDescent="0.3">
      <c r="A2202" t="s">
        <v>8063</v>
      </c>
      <c r="C2202" t="s">
        <v>5267</v>
      </c>
      <c r="D2202" t="s">
        <v>10406</v>
      </c>
      <c r="E2202">
        <v>0</v>
      </c>
      <c r="F2202">
        <v>2200</v>
      </c>
      <c r="H2202" t="s">
        <v>8063</v>
      </c>
    </row>
    <row r="2203" spans="1:8" x14ac:dyDescent="0.3">
      <c r="A2203" t="s">
        <v>8064</v>
      </c>
      <c r="C2203" t="s">
        <v>5267</v>
      </c>
      <c r="D2203" t="s">
        <v>10407</v>
      </c>
      <c r="E2203">
        <v>0</v>
      </c>
      <c r="F2203">
        <v>2201</v>
      </c>
      <c r="H2203" t="s">
        <v>8064</v>
      </c>
    </row>
    <row r="2204" spans="1:8" x14ac:dyDescent="0.3">
      <c r="A2204" t="s">
        <v>8065</v>
      </c>
      <c r="C2204" t="s">
        <v>5267</v>
      </c>
      <c r="D2204" t="s">
        <v>10408</v>
      </c>
      <c r="E2204">
        <v>0</v>
      </c>
      <c r="F2204">
        <v>2202</v>
      </c>
      <c r="H2204" t="s">
        <v>8065</v>
      </c>
    </row>
    <row r="2205" spans="1:8" x14ac:dyDescent="0.3">
      <c r="A2205" t="s">
        <v>8066</v>
      </c>
      <c r="C2205" t="s">
        <v>5267</v>
      </c>
      <c r="D2205" t="s">
        <v>10409</v>
      </c>
      <c r="E2205">
        <v>0</v>
      </c>
      <c r="F2205">
        <v>2203</v>
      </c>
      <c r="H2205" t="s">
        <v>8066</v>
      </c>
    </row>
    <row r="2206" spans="1:8" x14ac:dyDescent="0.3">
      <c r="A2206" t="s">
        <v>8067</v>
      </c>
      <c r="C2206" t="s">
        <v>5267</v>
      </c>
      <c r="D2206" t="s">
        <v>10410</v>
      </c>
      <c r="E2206">
        <v>0</v>
      </c>
      <c r="F2206">
        <v>2204</v>
      </c>
      <c r="H2206" t="s">
        <v>8067</v>
      </c>
    </row>
    <row r="2207" spans="1:8" x14ac:dyDescent="0.3">
      <c r="A2207" t="s">
        <v>8068</v>
      </c>
      <c r="C2207" t="s">
        <v>5267</v>
      </c>
      <c r="D2207" t="s">
        <v>10411</v>
      </c>
      <c r="E2207">
        <v>0</v>
      </c>
      <c r="F2207">
        <v>2205</v>
      </c>
      <c r="H2207" t="s">
        <v>8068</v>
      </c>
    </row>
    <row r="2208" spans="1:8" x14ac:dyDescent="0.3">
      <c r="A2208" t="s">
        <v>8069</v>
      </c>
      <c r="C2208" t="s">
        <v>5267</v>
      </c>
      <c r="D2208" t="s">
        <v>10412</v>
      </c>
      <c r="E2208">
        <v>0</v>
      </c>
      <c r="F2208">
        <v>2206</v>
      </c>
      <c r="H2208" t="s">
        <v>8069</v>
      </c>
    </row>
    <row r="2209" spans="1:8" x14ac:dyDescent="0.3">
      <c r="A2209" t="s">
        <v>8070</v>
      </c>
      <c r="C2209" t="s">
        <v>5267</v>
      </c>
      <c r="D2209" t="s">
        <v>10413</v>
      </c>
      <c r="E2209">
        <v>0</v>
      </c>
      <c r="F2209">
        <v>2207</v>
      </c>
      <c r="H2209" t="s">
        <v>8070</v>
      </c>
    </row>
    <row r="2210" spans="1:8" x14ac:dyDescent="0.3">
      <c r="A2210" t="s">
        <v>8071</v>
      </c>
      <c r="C2210" t="s">
        <v>5267</v>
      </c>
      <c r="D2210" t="s">
        <v>10414</v>
      </c>
      <c r="E2210">
        <v>0</v>
      </c>
      <c r="F2210">
        <v>2208</v>
      </c>
      <c r="H2210" t="s">
        <v>8071</v>
      </c>
    </row>
    <row r="2211" spans="1:8" x14ac:dyDescent="0.3">
      <c r="A2211" t="s">
        <v>8072</v>
      </c>
      <c r="C2211" t="s">
        <v>5267</v>
      </c>
      <c r="D2211" t="s">
        <v>10415</v>
      </c>
      <c r="E2211">
        <v>0</v>
      </c>
      <c r="F2211">
        <v>2209</v>
      </c>
      <c r="H2211" t="s">
        <v>8072</v>
      </c>
    </row>
    <row r="2212" spans="1:8" x14ac:dyDescent="0.3">
      <c r="A2212" t="s">
        <v>8073</v>
      </c>
      <c r="C2212" t="s">
        <v>5267</v>
      </c>
      <c r="D2212" t="s">
        <v>10416</v>
      </c>
      <c r="E2212">
        <v>0</v>
      </c>
      <c r="F2212">
        <v>2210</v>
      </c>
      <c r="H2212" t="s">
        <v>8073</v>
      </c>
    </row>
    <row r="2213" spans="1:8" x14ac:dyDescent="0.3">
      <c r="A2213" t="s">
        <v>8074</v>
      </c>
      <c r="C2213" t="s">
        <v>5267</v>
      </c>
      <c r="D2213" t="s">
        <v>10417</v>
      </c>
      <c r="E2213">
        <v>0</v>
      </c>
      <c r="F2213">
        <v>2211</v>
      </c>
      <c r="H2213" t="s">
        <v>8074</v>
      </c>
    </row>
    <row r="2214" spans="1:8" x14ac:dyDescent="0.3">
      <c r="A2214" t="s">
        <v>8075</v>
      </c>
      <c r="C2214" t="s">
        <v>5267</v>
      </c>
      <c r="D2214" t="s">
        <v>10418</v>
      </c>
      <c r="E2214">
        <v>0</v>
      </c>
      <c r="F2214">
        <v>2212</v>
      </c>
      <c r="H2214" t="s">
        <v>8075</v>
      </c>
    </row>
    <row r="2215" spans="1:8" x14ac:dyDescent="0.3">
      <c r="A2215" t="s">
        <v>8076</v>
      </c>
      <c r="C2215" t="s">
        <v>5267</v>
      </c>
      <c r="D2215" t="s">
        <v>10419</v>
      </c>
      <c r="E2215">
        <v>0</v>
      </c>
      <c r="F2215">
        <v>2213</v>
      </c>
      <c r="H2215" t="s">
        <v>8076</v>
      </c>
    </row>
    <row r="2216" spans="1:8" x14ac:dyDescent="0.3">
      <c r="A2216" t="s">
        <v>8077</v>
      </c>
      <c r="C2216" t="s">
        <v>5267</v>
      </c>
      <c r="D2216" t="s">
        <v>10420</v>
      </c>
      <c r="E2216">
        <v>0</v>
      </c>
      <c r="F2216">
        <v>2214</v>
      </c>
      <c r="H2216" t="s">
        <v>8077</v>
      </c>
    </row>
    <row r="2217" spans="1:8" x14ac:dyDescent="0.3">
      <c r="A2217" t="s">
        <v>8078</v>
      </c>
      <c r="C2217" t="s">
        <v>5267</v>
      </c>
      <c r="D2217" t="s">
        <v>10421</v>
      </c>
      <c r="E2217">
        <v>0</v>
      </c>
      <c r="F2217">
        <v>2215</v>
      </c>
      <c r="H2217" t="s">
        <v>8078</v>
      </c>
    </row>
    <row r="2218" spans="1:8" x14ac:dyDescent="0.3">
      <c r="A2218" t="s">
        <v>8079</v>
      </c>
      <c r="C2218" t="s">
        <v>5267</v>
      </c>
      <c r="D2218" t="s">
        <v>10422</v>
      </c>
      <c r="E2218">
        <v>0</v>
      </c>
      <c r="F2218">
        <v>2216</v>
      </c>
      <c r="H2218" t="s">
        <v>8079</v>
      </c>
    </row>
    <row r="2219" spans="1:8" x14ac:dyDescent="0.3">
      <c r="A2219" t="s">
        <v>8080</v>
      </c>
      <c r="C2219" t="s">
        <v>5267</v>
      </c>
      <c r="D2219" t="s">
        <v>10423</v>
      </c>
      <c r="E2219">
        <v>0</v>
      </c>
      <c r="F2219">
        <v>2217</v>
      </c>
      <c r="H2219" t="s">
        <v>8080</v>
      </c>
    </row>
    <row r="2220" spans="1:8" x14ac:dyDescent="0.3">
      <c r="A2220" t="s">
        <v>8081</v>
      </c>
      <c r="C2220" t="s">
        <v>5267</v>
      </c>
      <c r="D2220" t="s">
        <v>10424</v>
      </c>
      <c r="E2220">
        <v>0</v>
      </c>
      <c r="F2220">
        <v>2218</v>
      </c>
      <c r="H2220" t="s">
        <v>8081</v>
      </c>
    </row>
    <row r="2221" spans="1:8" x14ac:dyDescent="0.3">
      <c r="A2221" t="s">
        <v>8082</v>
      </c>
      <c r="C2221" t="s">
        <v>5267</v>
      </c>
      <c r="D2221" t="s">
        <v>10425</v>
      </c>
      <c r="E2221">
        <v>0</v>
      </c>
      <c r="F2221">
        <v>2219</v>
      </c>
      <c r="H2221" t="s">
        <v>8082</v>
      </c>
    </row>
    <row r="2222" spans="1:8" x14ac:dyDescent="0.3">
      <c r="A2222" t="s">
        <v>8083</v>
      </c>
      <c r="C2222" t="s">
        <v>5267</v>
      </c>
      <c r="D2222" t="s">
        <v>10426</v>
      </c>
      <c r="E2222">
        <v>0</v>
      </c>
      <c r="F2222">
        <v>2220</v>
      </c>
      <c r="H2222" t="s">
        <v>8083</v>
      </c>
    </row>
    <row r="2223" spans="1:8" x14ac:dyDescent="0.3">
      <c r="A2223" t="s">
        <v>8084</v>
      </c>
      <c r="C2223" t="s">
        <v>5267</v>
      </c>
      <c r="D2223" t="s">
        <v>10427</v>
      </c>
      <c r="E2223">
        <v>0</v>
      </c>
      <c r="F2223">
        <v>2221</v>
      </c>
      <c r="H2223" t="s">
        <v>8084</v>
      </c>
    </row>
    <row r="2224" spans="1:8" x14ac:dyDescent="0.3">
      <c r="A2224" t="s">
        <v>8085</v>
      </c>
      <c r="C2224" t="s">
        <v>5267</v>
      </c>
      <c r="D2224" t="s">
        <v>10428</v>
      </c>
      <c r="E2224">
        <v>0</v>
      </c>
      <c r="F2224">
        <v>2222</v>
      </c>
      <c r="H2224" t="s">
        <v>8085</v>
      </c>
    </row>
    <row r="2225" spans="1:8" x14ac:dyDescent="0.3">
      <c r="A2225" t="s">
        <v>8086</v>
      </c>
      <c r="C2225" t="s">
        <v>5267</v>
      </c>
      <c r="D2225" t="s">
        <v>10429</v>
      </c>
      <c r="E2225">
        <v>0</v>
      </c>
      <c r="F2225">
        <v>2223</v>
      </c>
      <c r="H2225" t="s">
        <v>8086</v>
      </c>
    </row>
    <row r="2226" spans="1:8" x14ac:dyDescent="0.3">
      <c r="A2226" t="s">
        <v>8087</v>
      </c>
      <c r="C2226" t="s">
        <v>5267</v>
      </c>
      <c r="D2226" t="s">
        <v>10430</v>
      </c>
      <c r="E2226">
        <v>0</v>
      </c>
      <c r="F2226">
        <v>2224</v>
      </c>
      <c r="H2226" t="s">
        <v>8087</v>
      </c>
    </row>
    <row r="2227" spans="1:8" x14ac:dyDescent="0.3">
      <c r="A2227" t="s">
        <v>8088</v>
      </c>
      <c r="C2227" t="s">
        <v>5267</v>
      </c>
      <c r="D2227" t="s">
        <v>10431</v>
      </c>
      <c r="E2227">
        <v>0</v>
      </c>
      <c r="F2227">
        <v>2225</v>
      </c>
      <c r="H2227" t="s">
        <v>8088</v>
      </c>
    </row>
    <row r="2228" spans="1:8" x14ac:dyDescent="0.3">
      <c r="A2228" t="s">
        <v>8089</v>
      </c>
      <c r="C2228" t="s">
        <v>5267</v>
      </c>
      <c r="D2228" t="s">
        <v>10432</v>
      </c>
      <c r="E2228">
        <v>0</v>
      </c>
      <c r="F2228">
        <v>2226</v>
      </c>
      <c r="H2228" t="s">
        <v>8089</v>
      </c>
    </row>
    <row r="2229" spans="1:8" x14ac:dyDescent="0.3">
      <c r="A2229" t="s">
        <v>8090</v>
      </c>
      <c r="C2229" t="s">
        <v>5267</v>
      </c>
      <c r="D2229" t="s">
        <v>10433</v>
      </c>
      <c r="E2229">
        <v>0</v>
      </c>
      <c r="F2229">
        <v>2227</v>
      </c>
      <c r="H2229" t="s">
        <v>8090</v>
      </c>
    </row>
    <row r="2230" spans="1:8" x14ac:dyDescent="0.3">
      <c r="A2230" t="s">
        <v>8091</v>
      </c>
      <c r="C2230" t="s">
        <v>5267</v>
      </c>
      <c r="D2230" t="s">
        <v>10434</v>
      </c>
      <c r="E2230">
        <v>0</v>
      </c>
      <c r="F2230">
        <v>2228</v>
      </c>
      <c r="H2230" t="s">
        <v>8091</v>
      </c>
    </row>
    <row r="2231" spans="1:8" x14ac:dyDescent="0.3">
      <c r="A2231" t="s">
        <v>8092</v>
      </c>
      <c r="C2231" t="s">
        <v>5267</v>
      </c>
      <c r="D2231" t="s">
        <v>10435</v>
      </c>
      <c r="E2231">
        <v>0</v>
      </c>
      <c r="F2231">
        <v>2229</v>
      </c>
      <c r="H2231" t="s">
        <v>8092</v>
      </c>
    </row>
    <row r="2232" spans="1:8" x14ac:dyDescent="0.3">
      <c r="A2232" t="s">
        <v>8093</v>
      </c>
      <c r="C2232" t="s">
        <v>5267</v>
      </c>
      <c r="D2232" t="s">
        <v>10436</v>
      </c>
      <c r="E2232">
        <v>0</v>
      </c>
      <c r="F2232">
        <v>2230</v>
      </c>
      <c r="H2232" t="s">
        <v>8093</v>
      </c>
    </row>
    <row r="2233" spans="1:8" x14ac:dyDescent="0.3">
      <c r="A2233" t="s">
        <v>8094</v>
      </c>
      <c r="C2233" t="s">
        <v>5267</v>
      </c>
      <c r="D2233" t="s">
        <v>10437</v>
      </c>
      <c r="E2233">
        <v>0</v>
      </c>
      <c r="F2233">
        <v>2231</v>
      </c>
      <c r="H2233" t="s">
        <v>8094</v>
      </c>
    </row>
    <row r="2234" spans="1:8" x14ac:dyDescent="0.3">
      <c r="A2234" t="s">
        <v>8095</v>
      </c>
      <c r="C2234" t="s">
        <v>5267</v>
      </c>
      <c r="D2234" t="s">
        <v>10438</v>
      </c>
      <c r="E2234">
        <v>0</v>
      </c>
      <c r="F2234">
        <v>2232</v>
      </c>
      <c r="H2234" t="s">
        <v>8095</v>
      </c>
    </row>
    <row r="2235" spans="1:8" x14ac:dyDescent="0.3">
      <c r="A2235" t="s">
        <v>8096</v>
      </c>
      <c r="C2235" t="s">
        <v>5267</v>
      </c>
      <c r="D2235" t="s">
        <v>10439</v>
      </c>
      <c r="E2235">
        <v>0</v>
      </c>
      <c r="F2235">
        <v>2233</v>
      </c>
      <c r="H2235" t="s">
        <v>8096</v>
      </c>
    </row>
    <row r="2236" spans="1:8" x14ac:dyDescent="0.3">
      <c r="A2236" t="s">
        <v>8097</v>
      </c>
      <c r="C2236" t="s">
        <v>5267</v>
      </c>
      <c r="D2236" t="s">
        <v>10440</v>
      </c>
      <c r="E2236">
        <v>0</v>
      </c>
      <c r="F2236">
        <v>2234</v>
      </c>
      <c r="H2236" t="s">
        <v>8097</v>
      </c>
    </row>
    <row r="2237" spans="1:8" x14ac:dyDescent="0.3">
      <c r="A2237" t="s">
        <v>8098</v>
      </c>
      <c r="C2237" t="s">
        <v>5267</v>
      </c>
      <c r="D2237" t="s">
        <v>10441</v>
      </c>
      <c r="E2237">
        <v>0</v>
      </c>
      <c r="F2237">
        <v>2235</v>
      </c>
      <c r="H2237" t="s">
        <v>8098</v>
      </c>
    </row>
    <row r="2238" spans="1:8" x14ac:dyDescent="0.3">
      <c r="A2238" t="s">
        <v>8099</v>
      </c>
      <c r="C2238" t="s">
        <v>5267</v>
      </c>
      <c r="D2238" t="s">
        <v>10442</v>
      </c>
      <c r="E2238">
        <v>0</v>
      </c>
      <c r="F2238">
        <v>2236</v>
      </c>
      <c r="H2238" t="s">
        <v>8099</v>
      </c>
    </row>
    <row r="2239" spans="1:8" x14ac:dyDescent="0.3">
      <c r="A2239" t="s">
        <v>8100</v>
      </c>
      <c r="C2239" t="s">
        <v>5267</v>
      </c>
      <c r="D2239" t="s">
        <v>10443</v>
      </c>
      <c r="E2239">
        <v>0</v>
      </c>
      <c r="F2239">
        <v>2237</v>
      </c>
      <c r="H2239" t="s">
        <v>8100</v>
      </c>
    </row>
    <row r="2240" spans="1:8" x14ac:dyDescent="0.3">
      <c r="A2240" t="s">
        <v>8101</v>
      </c>
      <c r="C2240" t="s">
        <v>5267</v>
      </c>
      <c r="D2240" t="s">
        <v>10444</v>
      </c>
      <c r="E2240">
        <v>0</v>
      </c>
      <c r="F2240">
        <v>2238</v>
      </c>
      <c r="H2240" t="s">
        <v>8101</v>
      </c>
    </row>
    <row r="2241" spans="1:8" x14ac:dyDescent="0.3">
      <c r="A2241" t="s">
        <v>8102</v>
      </c>
      <c r="C2241" t="s">
        <v>5267</v>
      </c>
      <c r="D2241" t="s">
        <v>10445</v>
      </c>
      <c r="E2241">
        <v>0</v>
      </c>
      <c r="F2241">
        <v>2239</v>
      </c>
      <c r="H2241" t="s">
        <v>8102</v>
      </c>
    </row>
    <row r="2242" spans="1:8" x14ac:dyDescent="0.3">
      <c r="A2242" t="s">
        <v>8103</v>
      </c>
      <c r="C2242" t="s">
        <v>5267</v>
      </c>
      <c r="D2242" t="s">
        <v>10446</v>
      </c>
      <c r="E2242">
        <v>0</v>
      </c>
      <c r="F2242">
        <v>2240</v>
      </c>
      <c r="H2242" t="s">
        <v>8103</v>
      </c>
    </row>
    <row r="2243" spans="1:8" x14ac:dyDescent="0.3">
      <c r="A2243" t="s">
        <v>8104</v>
      </c>
      <c r="C2243" t="s">
        <v>5267</v>
      </c>
      <c r="D2243" t="s">
        <v>10447</v>
      </c>
      <c r="E2243">
        <v>0</v>
      </c>
      <c r="F2243">
        <v>2241</v>
      </c>
      <c r="H2243" t="s">
        <v>8104</v>
      </c>
    </row>
    <row r="2244" spans="1:8" x14ac:dyDescent="0.3">
      <c r="A2244" t="s">
        <v>8105</v>
      </c>
      <c r="C2244" t="s">
        <v>5267</v>
      </c>
      <c r="D2244" t="s">
        <v>10448</v>
      </c>
      <c r="E2244">
        <v>0</v>
      </c>
      <c r="F2244">
        <v>2242</v>
      </c>
      <c r="H2244" t="s">
        <v>8105</v>
      </c>
    </row>
    <row r="2245" spans="1:8" x14ac:dyDescent="0.3">
      <c r="A2245" t="s">
        <v>8106</v>
      </c>
      <c r="C2245" t="s">
        <v>5267</v>
      </c>
      <c r="D2245" t="s">
        <v>10449</v>
      </c>
      <c r="E2245">
        <v>0</v>
      </c>
      <c r="F2245">
        <v>2243</v>
      </c>
      <c r="H2245" t="s">
        <v>8106</v>
      </c>
    </row>
    <row r="2246" spans="1:8" x14ac:dyDescent="0.3">
      <c r="A2246" t="s">
        <v>8107</v>
      </c>
      <c r="C2246" t="s">
        <v>5267</v>
      </c>
      <c r="D2246" t="s">
        <v>10450</v>
      </c>
      <c r="E2246">
        <v>0</v>
      </c>
      <c r="F2246">
        <v>2244</v>
      </c>
      <c r="H2246" t="s">
        <v>8107</v>
      </c>
    </row>
    <row r="2247" spans="1:8" x14ac:dyDescent="0.3">
      <c r="A2247" t="s">
        <v>8108</v>
      </c>
      <c r="C2247" t="s">
        <v>5267</v>
      </c>
      <c r="D2247" t="s">
        <v>10451</v>
      </c>
      <c r="E2247">
        <v>0</v>
      </c>
      <c r="F2247">
        <v>2245</v>
      </c>
      <c r="H2247" t="s">
        <v>8108</v>
      </c>
    </row>
    <row r="2248" spans="1:8" x14ac:dyDescent="0.3">
      <c r="A2248" t="s">
        <v>8109</v>
      </c>
      <c r="C2248" t="s">
        <v>5267</v>
      </c>
      <c r="D2248" t="s">
        <v>10452</v>
      </c>
      <c r="E2248">
        <v>0</v>
      </c>
      <c r="F2248">
        <v>2246</v>
      </c>
      <c r="H2248" t="s">
        <v>8109</v>
      </c>
    </row>
    <row r="2249" spans="1:8" x14ac:dyDescent="0.3">
      <c r="A2249" t="s">
        <v>8110</v>
      </c>
      <c r="C2249" t="s">
        <v>5267</v>
      </c>
      <c r="D2249" t="s">
        <v>10453</v>
      </c>
      <c r="E2249">
        <v>0</v>
      </c>
      <c r="F2249">
        <v>2247</v>
      </c>
      <c r="H2249" t="s">
        <v>8110</v>
      </c>
    </row>
    <row r="2250" spans="1:8" x14ac:dyDescent="0.3">
      <c r="A2250" t="s">
        <v>8111</v>
      </c>
      <c r="C2250" t="s">
        <v>5267</v>
      </c>
      <c r="D2250" t="s">
        <v>10454</v>
      </c>
      <c r="E2250">
        <v>0</v>
      </c>
      <c r="F2250">
        <v>2248</v>
      </c>
      <c r="H2250" t="s">
        <v>8111</v>
      </c>
    </row>
    <row r="2251" spans="1:8" x14ac:dyDescent="0.3">
      <c r="A2251" t="s">
        <v>8112</v>
      </c>
      <c r="C2251" t="s">
        <v>5267</v>
      </c>
      <c r="D2251" t="s">
        <v>10455</v>
      </c>
      <c r="E2251">
        <v>0</v>
      </c>
      <c r="F2251">
        <v>2249</v>
      </c>
      <c r="H2251" t="s">
        <v>8112</v>
      </c>
    </row>
    <row r="2252" spans="1:8" x14ac:dyDescent="0.3">
      <c r="A2252" t="s">
        <v>8113</v>
      </c>
      <c r="C2252" t="s">
        <v>5267</v>
      </c>
      <c r="D2252" t="s">
        <v>10456</v>
      </c>
      <c r="E2252">
        <v>0</v>
      </c>
      <c r="F2252">
        <v>2250</v>
      </c>
      <c r="H2252" t="s">
        <v>8113</v>
      </c>
    </row>
    <row r="2253" spans="1:8" x14ac:dyDescent="0.3">
      <c r="A2253" t="s">
        <v>8114</v>
      </c>
      <c r="C2253" t="s">
        <v>5267</v>
      </c>
      <c r="D2253" t="s">
        <v>10457</v>
      </c>
      <c r="E2253">
        <v>0</v>
      </c>
      <c r="F2253">
        <v>2251</v>
      </c>
      <c r="H2253" t="s">
        <v>8114</v>
      </c>
    </row>
    <row r="2254" spans="1:8" x14ac:dyDescent="0.3">
      <c r="A2254" t="s">
        <v>8115</v>
      </c>
      <c r="C2254" t="s">
        <v>5267</v>
      </c>
      <c r="D2254" t="s">
        <v>10458</v>
      </c>
      <c r="E2254">
        <v>0</v>
      </c>
      <c r="F2254">
        <v>2252</v>
      </c>
      <c r="H2254" t="s">
        <v>8115</v>
      </c>
    </row>
    <row r="2255" spans="1:8" x14ac:dyDescent="0.3">
      <c r="A2255" t="s">
        <v>8116</v>
      </c>
      <c r="C2255" t="s">
        <v>5267</v>
      </c>
      <c r="D2255" t="s">
        <v>10459</v>
      </c>
      <c r="E2255">
        <v>0</v>
      </c>
      <c r="F2255">
        <v>2253</v>
      </c>
      <c r="H2255" t="s">
        <v>8116</v>
      </c>
    </row>
    <row r="2256" spans="1:8" x14ac:dyDescent="0.3">
      <c r="A2256" t="s">
        <v>8117</v>
      </c>
      <c r="C2256" t="s">
        <v>5267</v>
      </c>
      <c r="D2256" t="s">
        <v>10460</v>
      </c>
      <c r="E2256">
        <v>0</v>
      </c>
      <c r="F2256">
        <v>2254</v>
      </c>
      <c r="H2256" t="s">
        <v>8117</v>
      </c>
    </row>
    <row r="2257" spans="1:8" x14ac:dyDescent="0.3">
      <c r="A2257" t="s">
        <v>8118</v>
      </c>
      <c r="C2257" t="s">
        <v>5267</v>
      </c>
      <c r="D2257" t="s">
        <v>10461</v>
      </c>
      <c r="E2257">
        <v>0</v>
      </c>
      <c r="F2257">
        <v>2255</v>
      </c>
      <c r="H2257" t="s">
        <v>8118</v>
      </c>
    </row>
    <row r="2258" spans="1:8" x14ac:dyDescent="0.3">
      <c r="A2258" t="s">
        <v>8119</v>
      </c>
      <c r="C2258" t="s">
        <v>5267</v>
      </c>
      <c r="D2258" t="s">
        <v>10462</v>
      </c>
      <c r="E2258">
        <v>0</v>
      </c>
      <c r="F2258">
        <v>2256</v>
      </c>
      <c r="H2258" t="s">
        <v>8119</v>
      </c>
    </row>
    <row r="2259" spans="1:8" x14ac:dyDescent="0.3">
      <c r="A2259" t="s">
        <v>8120</v>
      </c>
      <c r="C2259" t="s">
        <v>5267</v>
      </c>
      <c r="D2259" t="s">
        <v>10463</v>
      </c>
      <c r="E2259">
        <v>0</v>
      </c>
      <c r="F2259">
        <v>2257</v>
      </c>
      <c r="H2259" t="s">
        <v>8120</v>
      </c>
    </row>
    <row r="2260" spans="1:8" x14ac:dyDescent="0.3">
      <c r="A2260" t="s">
        <v>8121</v>
      </c>
      <c r="C2260" t="s">
        <v>5267</v>
      </c>
      <c r="D2260" t="s">
        <v>10464</v>
      </c>
      <c r="E2260">
        <v>0</v>
      </c>
      <c r="F2260">
        <v>2258</v>
      </c>
      <c r="H2260" t="s">
        <v>8121</v>
      </c>
    </row>
    <row r="2261" spans="1:8" x14ac:dyDescent="0.3">
      <c r="A2261" t="s">
        <v>8122</v>
      </c>
      <c r="C2261" t="s">
        <v>5267</v>
      </c>
      <c r="D2261" t="s">
        <v>10465</v>
      </c>
      <c r="E2261">
        <v>0</v>
      </c>
      <c r="F2261">
        <v>2259</v>
      </c>
      <c r="H2261" t="s">
        <v>8122</v>
      </c>
    </row>
    <row r="2262" spans="1:8" x14ac:dyDescent="0.3">
      <c r="A2262" t="s">
        <v>8123</v>
      </c>
      <c r="C2262" t="s">
        <v>5267</v>
      </c>
      <c r="D2262" t="s">
        <v>10466</v>
      </c>
      <c r="E2262">
        <v>0</v>
      </c>
      <c r="F2262">
        <v>2260</v>
      </c>
      <c r="H2262" t="s">
        <v>8123</v>
      </c>
    </row>
    <row r="2263" spans="1:8" x14ac:dyDescent="0.3">
      <c r="A2263" t="s">
        <v>8124</v>
      </c>
      <c r="C2263" t="s">
        <v>5267</v>
      </c>
      <c r="D2263" t="s">
        <v>10467</v>
      </c>
      <c r="E2263">
        <v>0</v>
      </c>
      <c r="F2263">
        <v>2261</v>
      </c>
      <c r="H2263" t="s">
        <v>8124</v>
      </c>
    </row>
    <row r="2264" spans="1:8" x14ac:dyDescent="0.3">
      <c r="A2264" t="s">
        <v>8125</v>
      </c>
      <c r="C2264" t="s">
        <v>5267</v>
      </c>
      <c r="D2264" t="s">
        <v>10468</v>
      </c>
      <c r="E2264">
        <v>0</v>
      </c>
      <c r="F2264">
        <v>2262</v>
      </c>
      <c r="H2264" t="s">
        <v>8125</v>
      </c>
    </row>
    <row r="2265" spans="1:8" x14ac:dyDescent="0.3">
      <c r="A2265" t="s">
        <v>8126</v>
      </c>
      <c r="C2265" t="s">
        <v>5267</v>
      </c>
      <c r="D2265" t="s">
        <v>10469</v>
      </c>
      <c r="E2265">
        <v>0</v>
      </c>
      <c r="F2265">
        <v>2263</v>
      </c>
      <c r="H2265" t="s">
        <v>8126</v>
      </c>
    </row>
    <row r="2266" spans="1:8" x14ac:dyDescent="0.3">
      <c r="A2266" t="s">
        <v>8127</v>
      </c>
      <c r="C2266" t="s">
        <v>5267</v>
      </c>
      <c r="D2266" t="s">
        <v>10470</v>
      </c>
      <c r="E2266">
        <v>0</v>
      </c>
      <c r="F2266">
        <v>2264</v>
      </c>
      <c r="H2266" t="s">
        <v>8127</v>
      </c>
    </row>
    <row r="2267" spans="1:8" x14ac:dyDescent="0.3">
      <c r="A2267" t="s">
        <v>8128</v>
      </c>
      <c r="C2267" t="s">
        <v>5267</v>
      </c>
      <c r="D2267" t="s">
        <v>10471</v>
      </c>
      <c r="E2267">
        <v>0</v>
      </c>
      <c r="F2267">
        <v>2265</v>
      </c>
      <c r="H2267" t="s">
        <v>8128</v>
      </c>
    </row>
    <row r="2268" spans="1:8" x14ac:dyDescent="0.3">
      <c r="A2268" t="s">
        <v>8129</v>
      </c>
      <c r="C2268" t="s">
        <v>5267</v>
      </c>
      <c r="D2268" t="s">
        <v>10472</v>
      </c>
      <c r="E2268">
        <v>0</v>
      </c>
      <c r="F2268">
        <v>2266</v>
      </c>
      <c r="H2268" t="s">
        <v>8129</v>
      </c>
    </row>
    <row r="2269" spans="1:8" x14ac:dyDescent="0.3">
      <c r="A2269" t="s">
        <v>8130</v>
      </c>
      <c r="C2269" t="s">
        <v>5267</v>
      </c>
      <c r="D2269" t="s">
        <v>10473</v>
      </c>
      <c r="E2269">
        <v>0</v>
      </c>
      <c r="F2269">
        <v>2267</v>
      </c>
      <c r="H2269" t="s">
        <v>8130</v>
      </c>
    </row>
    <row r="2270" spans="1:8" x14ac:dyDescent="0.3">
      <c r="A2270" t="s">
        <v>8131</v>
      </c>
      <c r="C2270" t="s">
        <v>5267</v>
      </c>
      <c r="D2270" t="s">
        <v>10474</v>
      </c>
      <c r="E2270">
        <v>0</v>
      </c>
      <c r="F2270">
        <v>2268</v>
      </c>
      <c r="H2270" t="s">
        <v>8131</v>
      </c>
    </row>
    <row r="2271" spans="1:8" x14ac:dyDescent="0.3">
      <c r="A2271" t="s">
        <v>8132</v>
      </c>
      <c r="C2271" t="s">
        <v>5267</v>
      </c>
      <c r="D2271" t="s">
        <v>10475</v>
      </c>
      <c r="E2271">
        <v>0</v>
      </c>
      <c r="F2271">
        <v>2269</v>
      </c>
      <c r="H2271" t="s">
        <v>8132</v>
      </c>
    </row>
    <row r="2272" spans="1:8" x14ac:dyDescent="0.3">
      <c r="A2272" t="s">
        <v>8133</v>
      </c>
      <c r="C2272" t="s">
        <v>5267</v>
      </c>
      <c r="D2272" t="s">
        <v>10476</v>
      </c>
      <c r="E2272">
        <v>0</v>
      </c>
      <c r="F2272">
        <v>2270</v>
      </c>
      <c r="H2272" t="s">
        <v>8133</v>
      </c>
    </row>
    <row r="2273" spans="1:8" x14ac:dyDescent="0.3">
      <c r="A2273" t="s">
        <v>6548</v>
      </c>
      <c r="C2273" t="s">
        <v>5267</v>
      </c>
      <c r="D2273" t="s">
        <v>10477</v>
      </c>
      <c r="E2273">
        <v>0</v>
      </c>
      <c r="F2273">
        <v>2271</v>
      </c>
      <c r="H2273" t="s">
        <v>6548</v>
      </c>
    </row>
    <row r="2274" spans="1:8" x14ac:dyDescent="0.3">
      <c r="A2274" t="s">
        <v>8134</v>
      </c>
      <c r="C2274" t="s">
        <v>5267</v>
      </c>
      <c r="D2274" t="s">
        <v>10478</v>
      </c>
      <c r="E2274">
        <v>0</v>
      </c>
      <c r="F2274">
        <v>2272</v>
      </c>
      <c r="H2274" t="s">
        <v>8134</v>
      </c>
    </row>
    <row r="2275" spans="1:8" x14ac:dyDescent="0.3">
      <c r="A2275" t="s">
        <v>8135</v>
      </c>
      <c r="C2275" t="s">
        <v>5267</v>
      </c>
      <c r="D2275" t="s">
        <v>10479</v>
      </c>
      <c r="E2275">
        <v>0</v>
      </c>
      <c r="F2275">
        <v>2273</v>
      </c>
      <c r="H2275" t="s">
        <v>8135</v>
      </c>
    </row>
    <row r="2276" spans="1:8" x14ac:dyDescent="0.3">
      <c r="A2276" t="s">
        <v>8136</v>
      </c>
      <c r="C2276" t="s">
        <v>5267</v>
      </c>
      <c r="D2276" t="s">
        <v>10480</v>
      </c>
      <c r="E2276">
        <v>0</v>
      </c>
      <c r="F2276">
        <v>2274</v>
      </c>
      <c r="H2276" t="s">
        <v>8136</v>
      </c>
    </row>
    <row r="2277" spans="1:8" x14ac:dyDescent="0.3">
      <c r="A2277" t="s">
        <v>8137</v>
      </c>
      <c r="C2277" t="s">
        <v>5267</v>
      </c>
      <c r="D2277" t="s">
        <v>10481</v>
      </c>
      <c r="E2277">
        <v>0</v>
      </c>
      <c r="F2277">
        <v>2275</v>
      </c>
      <c r="H2277" t="s">
        <v>8137</v>
      </c>
    </row>
    <row r="2278" spans="1:8" x14ac:dyDescent="0.3">
      <c r="A2278" t="s">
        <v>8138</v>
      </c>
      <c r="C2278" t="s">
        <v>5267</v>
      </c>
      <c r="D2278" t="s">
        <v>10482</v>
      </c>
      <c r="E2278">
        <v>0</v>
      </c>
      <c r="F2278">
        <v>2276</v>
      </c>
      <c r="H2278" t="s">
        <v>8138</v>
      </c>
    </row>
    <row r="2279" spans="1:8" x14ac:dyDescent="0.3">
      <c r="A2279" t="s">
        <v>8139</v>
      </c>
      <c r="C2279" t="s">
        <v>5267</v>
      </c>
      <c r="D2279" t="s">
        <v>10483</v>
      </c>
      <c r="E2279">
        <v>0</v>
      </c>
      <c r="F2279">
        <v>2277</v>
      </c>
      <c r="H2279" t="s">
        <v>8139</v>
      </c>
    </row>
    <row r="2280" spans="1:8" x14ac:dyDescent="0.3">
      <c r="A2280" t="s">
        <v>8140</v>
      </c>
      <c r="C2280" t="s">
        <v>5267</v>
      </c>
      <c r="D2280" t="s">
        <v>10484</v>
      </c>
      <c r="E2280">
        <v>0</v>
      </c>
      <c r="F2280">
        <v>2278</v>
      </c>
      <c r="H2280" t="s">
        <v>8140</v>
      </c>
    </row>
    <row r="2281" spans="1:8" x14ac:dyDescent="0.3">
      <c r="A2281" t="s">
        <v>8141</v>
      </c>
      <c r="C2281" t="s">
        <v>5267</v>
      </c>
      <c r="D2281" t="s">
        <v>10485</v>
      </c>
      <c r="E2281">
        <v>0</v>
      </c>
      <c r="F2281">
        <v>2279</v>
      </c>
      <c r="H2281" t="s">
        <v>8141</v>
      </c>
    </row>
    <row r="2282" spans="1:8" x14ac:dyDescent="0.3">
      <c r="A2282" t="s">
        <v>8142</v>
      </c>
      <c r="C2282" t="s">
        <v>5267</v>
      </c>
      <c r="D2282" t="s">
        <v>10486</v>
      </c>
      <c r="E2282">
        <v>0</v>
      </c>
      <c r="F2282">
        <v>2280</v>
      </c>
      <c r="H2282" t="s">
        <v>8142</v>
      </c>
    </row>
    <row r="2283" spans="1:8" x14ac:dyDescent="0.3">
      <c r="A2283" t="s">
        <v>8143</v>
      </c>
      <c r="C2283" t="s">
        <v>5267</v>
      </c>
      <c r="D2283" t="s">
        <v>10487</v>
      </c>
      <c r="E2283">
        <v>0</v>
      </c>
      <c r="F2283">
        <v>2281</v>
      </c>
      <c r="H2283" t="s">
        <v>8143</v>
      </c>
    </row>
    <row r="2284" spans="1:8" x14ac:dyDescent="0.3">
      <c r="A2284" t="s">
        <v>8144</v>
      </c>
      <c r="C2284" t="s">
        <v>5267</v>
      </c>
      <c r="D2284" t="s">
        <v>10488</v>
      </c>
      <c r="E2284">
        <v>0</v>
      </c>
      <c r="F2284">
        <v>2282</v>
      </c>
      <c r="H2284" t="s">
        <v>8144</v>
      </c>
    </row>
    <row r="2285" spans="1:8" x14ac:dyDescent="0.3">
      <c r="A2285" t="s">
        <v>8145</v>
      </c>
      <c r="C2285" t="s">
        <v>5267</v>
      </c>
      <c r="D2285" t="s">
        <v>10489</v>
      </c>
      <c r="E2285">
        <v>0</v>
      </c>
      <c r="F2285">
        <v>2283</v>
      </c>
      <c r="H2285" t="s">
        <v>8145</v>
      </c>
    </row>
    <row r="2286" spans="1:8" x14ac:dyDescent="0.3">
      <c r="A2286" t="s">
        <v>8146</v>
      </c>
      <c r="C2286" t="s">
        <v>5267</v>
      </c>
      <c r="D2286" t="s">
        <v>10490</v>
      </c>
      <c r="E2286">
        <v>0</v>
      </c>
      <c r="F2286">
        <v>2284</v>
      </c>
      <c r="H2286" t="s">
        <v>8146</v>
      </c>
    </row>
    <row r="2287" spans="1:8" x14ac:dyDescent="0.3">
      <c r="A2287" t="s">
        <v>8147</v>
      </c>
      <c r="C2287" t="s">
        <v>5267</v>
      </c>
      <c r="D2287" t="s">
        <v>10491</v>
      </c>
      <c r="E2287">
        <v>0</v>
      </c>
      <c r="F2287">
        <v>2285</v>
      </c>
      <c r="H2287" t="s">
        <v>8147</v>
      </c>
    </row>
    <row r="2288" spans="1:8" x14ac:dyDescent="0.3">
      <c r="A2288" t="s">
        <v>8148</v>
      </c>
      <c r="C2288" t="s">
        <v>5267</v>
      </c>
      <c r="D2288" t="s">
        <v>10492</v>
      </c>
      <c r="E2288">
        <v>0</v>
      </c>
      <c r="F2288">
        <v>2286</v>
      </c>
      <c r="H2288" t="s">
        <v>8148</v>
      </c>
    </row>
    <row r="2289" spans="1:8" x14ac:dyDescent="0.3">
      <c r="A2289" t="s">
        <v>8149</v>
      </c>
      <c r="C2289" t="s">
        <v>5267</v>
      </c>
      <c r="D2289" t="s">
        <v>10493</v>
      </c>
      <c r="E2289">
        <v>0</v>
      </c>
      <c r="F2289">
        <v>2287</v>
      </c>
      <c r="H2289" t="s">
        <v>8149</v>
      </c>
    </row>
    <row r="2290" spans="1:8" x14ac:dyDescent="0.3">
      <c r="A2290" t="s">
        <v>8150</v>
      </c>
      <c r="C2290" t="s">
        <v>5267</v>
      </c>
      <c r="D2290" t="s">
        <v>10494</v>
      </c>
      <c r="E2290">
        <v>0</v>
      </c>
      <c r="F2290">
        <v>2288</v>
      </c>
      <c r="H2290" t="s">
        <v>8150</v>
      </c>
    </row>
    <row r="2291" spans="1:8" x14ac:dyDescent="0.3">
      <c r="A2291" t="s">
        <v>8151</v>
      </c>
      <c r="C2291" t="s">
        <v>5267</v>
      </c>
      <c r="D2291" t="s">
        <v>10495</v>
      </c>
      <c r="E2291">
        <v>0</v>
      </c>
      <c r="F2291">
        <v>2289</v>
      </c>
      <c r="H2291" t="s">
        <v>8151</v>
      </c>
    </row>
    <row r="2292" spans="1:8" x14ac:dyDescent="0.3">
      <c r="A2292" t="s">
        <v>8152</v>
      </c>
      <c r="C2292" t="s">
        <v>5267</v>
      </c>
      <c r="D2292" t="s">
        <v>10496</v>
      </c>
      <c r="E2292">
        <v>0</v>
      </c>
      <c r="F2292">
        <v>2290</v>
      </c>
      <c r="H2292" t="s">
        <v>8152</v>
      </c>
    </row>
    <row r="2293" spans="1:8" x14ac:dyDescent="0.3">
      <c r="A2293" t="s">
        <v>8153</v>
      </c>
      <c r="C2293" t="s">
        <v>5267</v>
      </c>
      <c r="D2293" t="s">
        <v>10497</v>
      </c>
      <c r="E2293">
        <v>0</v>
      </c>
      <c r="F2293">
        <v>2291</v>
      </c>
      <c r="H2293" t="s">
        <v>8153</v>
      </c>
    </row>
    <row r="2294" spans="1:8" x14ac:dyDescent="0.3">
      <c r="A2294" t="s">
        <v>8154</v>
      </c>
      <c r="C2294" t="s">
        <v>5267</v>
      </c>
      <c r="D2294" t="s">
        <v>10498</v>
      </c>
      <c r="E2294">
        <v>0</v>
      </c>
      <c r="F2294">
        <v>2292</v>
      </c>
      <c r="H2294" t="s">
        <v>8154</v>
      </c>
    </row>
    <row r="2295" spans="1:8" x14ac:dyDescent="0.3">
      <c r="A2295" t="s">
        <v>8155</v>
      </c>
      <c r="C2295" t="s">
        <v>5267</v>
      </c>
      <c r="D2295" t="s">
        <v>10499</v>
      </c>
      <c r="E2295">
        <v>0</v>
      </c>
      <c r="F2295">
        <v>2293</v>
      </c>
      <c r="H2295" t="s">
        <v>8155</v>
      </c>
    </row>
    <row r="2296" spans="1:8" x14ac:dyDescent="0.3">
      <c r="A2296" t="s">
        <v>8156</v>
      </c>
      <c r="C2296" t="s">
        <v>5267</v>
      </c>
      <c r="D2296" t="s">
        <v>10500</v>
      </c>
      <c r="E2296">
        <v>0</v>
      </c>
      <c r="F2296">
        <v>2294</v>
      </c>
      <c r="H2296" t="s">
        <v>8156</v>
      </c>
    </row>
    <row r="2297" spans="1:8" x14ac:dyDescent="0.3">
      <c r="A2297" t="s">
        <v>8157</v>
      </c>
      <c r="C2297" t="s">
        <v>5267</v>
      </c>
      <c r="D2297" t="s">
        <v>10501</v>
      </c>
      <c r="E2297">
        <v>0</v>
      </c>
      <c r="F2297">
        <v>2295</v>
      </c>
      <c r="H2297" t="s">
        <v>8157</v>
      </c>
    </row>
    <row r="2298" spans="1:8" x14ac:dyDescent="0.3">
      <c r="A2298" t="s">
        <v>8158</v>
      </c>
      <c r="C2298" t="s">
        <v>5267</v>
      </c>
      <c r="D2298" t="s">
        <v>10502</v>
      </c>
      <c r="E2298">
        <v>0</v>
      </c>
      <c r="F2298">
        <v>2296</v>
      </c>
      <c r="H2298" t="s">
        <v>8158</v>
      </c>
    </row>
    <row r="2299" spans="1:8" x14ac:dyDescent="0.3">
      <c r="A2299" t="s">
        <v>8159</v>
      </c>
      <c r="C2299" t="s">
        <v>5267</v>
      </c>
      <c r="D2299" t="s">
        <v>10503</v>
      </c>
      <c r="E2299">
        <v>0</v>
      </c>
      <c r="F2299">
        <v>2297</v>
      </c>
      <c r="H2299" t="s">
        <v>8159</v>
      </c>
    </row>
    <row r="2300" spans="1:8" x14ac:dyDescent="0.3">
      <c r="A2300" t="s">
        <v>8160</v>
      </c>
      <c r="C2300" t="s">
        <v>5267</v>
      </c>
      <c r="D2300" t="s">
        <v>10504</v>
      </c>
      <c r="E2300">
        <v>0</v>
      </c>
      <c r="F2300">
        <v>2298</v>
      </c>
      <c r="H2300" t="s">
        <v>8160</v>
      </c>
    </row>
    <row r="2301" spans="1:8" x14ac:dyDescent="0.3">
      <c r="A2301" t="s">
        <v>8161</v>
      </c>
      <c r="C2301" t="s">
        <v>5267</v>
      </c>
      <c r="D2301" t="s">
        <v>10505</v>
      </c>
      <c r="E2301">
        <v>0</v>
      </c>
      <c r="F2301">
        <v>2299</v>
      </c>
      <c r="H2301" t="s">
        <v>8161</v>
      </c>
    </row>
    <row r="2302" spans="1:8" x14ac:dyDescent="0.3">
      <c r="A2302" t="s">
        <v>8162</v>
      </c>
      <c r="C2302" t="s">
        <v>5267</v>
      </c>
      <c r="D2302" t="s">
        <v>10506</v>
      </c>
      <c r="E2302">
        <v>0</v>
      </c>
      <c r="F2302">
        <v>2300</v>
      </c>
      <c r="H2302" t="s">
        <v>8162</v>
      </c>
    </row>
    <row r="2303" spans="1:8" x14ac:dyDescent="0.3">
      <c r="A2303" t="s">
        <v>8163</v>
      </c>
      <c r="C2303" t="s">
        <v>5267</v>
      </c>
      <c r="D2303" t="s">
        <v>10507</v>
      </c>
      <c r="E2303">
        <v>0</v>
      </c>
      <c r="F2303">
        <v>2301</v>
      </c>
      <c r="H2303" t="s">
        <v>8163</v>
      </c>
    </row>
    <row r="2304" spans="1:8" x14ac:dyDescent="0.3">
      <c r="A2304" t="s">
        <v>8164</v>
      </c>
      <c r="C2304" t="s">
        <v>5267</v>
      </c>
      <c r="D2304" t="s">
        <v>10508</v>
      </c>
      <c r="E2304">
        <v>0</v>
      </c>
      <c r="F2304">
        <v>2302</v>
      </c>
      <c r="H2304" t="s">
        <v>8164</v>
      </c>
    </row>
    <row r="2305" spans="1:8" x14ac:dyDescent="0.3">
      <c r="A2305" t="s">
        <v>8165</v>
      </c>
      <c r="C2305" t="s">
        <v>5267</v>
      </c>
      <c r="D2305" t="s">
        <v>10509</v>
      </c>
      <c r="E2305">
        <v>0</v>
      </c>
      <c r="F2305">
        <v>2303</v>
      </c>
      <c r="H2305" t="s">
        <v>8165</v>
      </c>
    </row>
    <row r="2306" spans="1:8" x14ac:dyDescent="0.3">
      <c r="A2306" t="s">
        <v>8166</v>
      </c>
      <c r="C2306" t="s">
        <v>5267</v>
      </c>
      <c r="D2306" t="s">
        <v>10510</v>
      </c>
      <c r="E2306">
        <v>0</v>
      </c>
      <c r="F2306">
        <v>2304</v>
      </c>
      <c r="H2306" t="s">
        <v>8166</v>
      </c>
    </row>
    <row r="2307" spans="1:8" x14ac:dyDescent="0.3">
      <c r="A2307" t="s">
        <v>8167</v>
      </c>
      <c r="C2307" t="s">
        <v>5267</v>
      </c>
      <c r="D2307" t="s">
        <v>10511</v>
      </c>
      <c r="E2307">
        <v>0</v>
      </c>
      <c r="F2307">
        <v>2305</v>
      </c>
      <c r="H2307" t="s">
        <v>8167</v>
      </c>
    </row>
    <row r="2308" spans="1:8" x14ac:dyDescent="0.3">
      <c r="A2308" t="s">
        <v>8168</v>
      </c>
      <c r="C2308" t="s">
        <v>5267</v>
      </c>
      <c r="D2308" t="s">
        <v>10512</v>
      </c>
      <c r="E2308">
        <v>0</v>
      </c>
      <c r="F2308">
        <v>2306</v>
      </c>
      <c r="H2308" t="s">
        <v>8168</v>
      </c>
    </row>
    <row r="2309" spans="1:8" x14ac:dyDescent="0.3">
      <c r="A2309" t="s">
        <v>8169</v>
      </c>
      <c r="C2309" t="s">
        <v>5267</v>
      </c>
      <c r="D2309" t="s">
        <v>10513</v>
      </c>
      <c r="E2309">
        <v>0</v>
      </c>
      <c r="F2309">
        <v>2307</v>
      </c>
      <c r="H2309" t="s">
        <v>8169</v>
      </c>
    </row>
    <row r="2310" spans="1:8" x14ac:dyDescent="0.3">
      <c r="A2310" t="s">
        <v>8170</v>
      </c>
      <c r="C2310" t="s">
        <v>5267</v>
      </c>
      <c r="D2310" t="s">
        <v>10514</v>
      </c>
      <c r="E2310">
        <v>0</v>
      </c>
      <c r="F2310">
        <v>2308</v>
      </c>
      <c r="H2310" t="s">
        <v>8170</v>
      </c>
    </row>
    <row r="2311" spans="1:8" x14ac:dyDescent="0.3">
      <c r="A2311" t="s">
        <v>8171</v>
      </c>
      <c r="C2311" t="s">
        <v>5267</v>
      </c>
      <c r="D2311" t="s">
        <v>10515</v>
      </c>
      <c r="E2311">
        <v>0</v>
      </c>
      <c r="F2311">
        <v>2309</v>
      </c>
      <c r="H2311" t="s">
        <v>8171</v>
      </c>
    </row>
    <row r="2312" spans="1:8" x14ac:dyDescent="0.3">
      <c r="A2312" t="s">
        <v>8172</v>
      </c>
      <c r="C2312" t="s">
        <v>5267</v>
      </c>
      <c r="D2312" t="s">
        <v>10516</v>
      </c>
      <c r="E2312">
        <v>0</v>
      </c>
      <c r="F2312">
        <v>2310</v>
      </c>
      <c r="H2312" t="s">
        <v>8172</v>
      </c>
    </row>
    <row r="2313" spans="1:8" x14ac:dyDescent="0.3">
      <c r="A2313" t="s">
        <v>8173</v>
      </c>
      <c r="C2313" t="s">
        <v>5267</v>
      </c>
      <c r="D2313" t="s">
        <v>10517</v>
      </c>
      <c r="E2313">
        <v>0</v>
      </c>
      <c r="F2313">
        <v>2311</v>
      </c>
      <c r="H2313" t="s">
        <v>8173</v>
      </c>
    </row>
    <row r="2314" spans="1:8" x14ac:dyDescent="0.3">
      <c r="A2314" t="s">
        <v>8174</v>
      </c>
      <c r="C2314" t="s">
        <v>5267</v>
      </c>
      <c r="D2314" t="s">
        <v>10518</v>
      </c>
      <c r="E2314">
        <v>0</v>
      </c>
      <c r="F2314">
        <v>2312</v>
      </c>
      <c r="H2314" t="s">
        <v>8174</v>
      </c>
    </row>
    <row r="2315" spans="1:8" x14ac:dyDescent="0.3">
      <c r="A2315" t="s">
        <v>8175</v>
      </c>
      <c r="C2315" t="s">
        <v>5267</v>
      </c>
      <c r="D2315" t="s">
        <v>10519</v>
      </c>
      <c r="E2315">
        <v>0</v>
      </c>
      <c r="F2315">
        <v>2313</v>
      </c>
      <c r="H2315" t="s">
        <v>8175</v>
      </c>
    </row>
    <row r="2316" spans="1:8" x14ac:dyDescent="0.3">
      <c r="A2316" t="s">
        <v>8176</v>
      </c>
      <c r="C2316" t="s">
        <v>5267</v>
      </c>
      <c r="D2316" t="s">
        <v>10520</v>
      </c>
      <c r="E2316">
        <v>0</v>
      </c>
      <c r="F2316">
        <v>2314</v>
      </c>
      <c r="H2316" t="s">
        <v>8176</v>
      </c>
    </row>
    <row r="2317" spans="1:8" x14ac:dyDescent="0.3">
      <c r="A2317" t="s">
        <v>8177</v>
      </c>
      <c r="C2317" t="s">
        <v>5267</v>
      </c>
      <c r="D2317" t="s">
        <v>10521</v>
      </c>
      <c r="E2317">
        <v>0</v>
      </c>
      <c r="F2317">
        <v>2315</v>
      </c>
      <c r="H2317" t="s">
        <v>8177</v>
      </c>
    </row>
    <row r="2318" spans="1:8" x14ac:dyDescent="0.3">
      <c r="A2318" t="s">
        <v>8178</v>
      </c>
      <c r="C2318" t="s">
        <v>5267</v>
      </c>
      <c r="D2318" t="s">
        <v>10522</v>
      </c>
      <c r="E2318">
        <v>0</v>
      </c>
      <c r="F2318">
        <v>2316</v>
      </c>
      <c r="H2318" t="s">
        <v>8178</v>
      </c>
    </row>
    <row r="2319" spans="1:8" x14ac:dyDescent="0.3">
      <c r="A2319" t="s">
        <v>8179</v>
      </c>
      <c r="C2319" t="s">
        <v>5267</v>
      </c>
      <c r="D2319" t="s">
        <v>10523</v>
      </c>
      <c r="E2319">
        <v>0</v>
      </c>
      <c r="F2319">
        <v>2317</v>
      </c>
      <c r="H2319" t="s">
        <v>8179</v>
      </c>
    </row>
    <row r="2320" spans="1:8" x14ac:dyDescent="0.3">
      <c r="A2320" t="s">
        <v>8180</v>
      </c>
      <c r="C2320" t="s">
        <v>5267</v>
      </c>
      <c r="D2320" t="s">
        <v>10524</v>
      </c>
      <c r="E2320">
        <v>0</v>
      </c>
      <c r="F2320">
        <v>2318</v>
      </c>
      <c r="H2320" t="s">
        <v>8180</v>
      </c>
    </row>
    <row r="2321" spans="1:8" x14ac:dyDescent="0.3">
      <c r="A2321" t="s">
        <v>8181</v>
      </c>
      <c r="C2321" t="s">
        <v>5267</v>
      </c>
      <c r="D2321" t="s">
        <v>10525</v>
      </c>
      <c r="E2321">
        <v>0</v>
      </c>
      <c r="F2321">
        <v>2319</v>
      </c>
      <c r="H2321" t="s">
        <v>8181</v>
      </c>
    </row>
    <row r="2322" spans="1:8" x14ac:dyDescent="0.3">
      <c r="A2322" t="s">
        <v>8182</v>
      </c>
      <c r="C2322" t="s">
        <v>5267</v>
      </c>
      <c r="D2322" t="s">
        <v>10526</v>
      </c>
      <c r="E2322">
        <v>0</v>
      </c>
      <c r="F2322">
        <v>2320</v>
      </c>
      <c r="H2322" t="s">
        <v>8182</v>
      </c>
    </row>
    <row r="2323" spans="1:8" x14ac:dyDescent="0.3">
      <c r="A2323" t="s">
        <v>8183</v>
      </c>
      <c r="C2323" t="s">
        <v>5267</v>
      </c>
      <c r="D2323" t="s">
        <v>10527</v>
      </c>
      <c r="E2323">
        <v>0</v>
      </c>
      <c r="F2323">
        <v>2321</v>
      </c>
      <c r="H2323" t="s">
        <v>8183</v>
      </c>
    </row>
    <row r="2324" spans="1:8" x14ac:dyDescent="0.3">
      <c r="A2324" t="s">
        <v>8184</v>
      </c>
      <c r="C2324" t="s">
        <v>5267</v>
      </c>
      <c r="D2324" t="s">
        <v>10528</v>
      </c>
      <c r="E2324">
        <v>0</v>
      </c>
      <c r="F2324">
        <v>2322</v>
      </c>
      <c r="H2324" t="s">
        <v>8184</v>
      </c>
    </row>
    <row r="2325" spans="1:8" x14ac:dyDescent="0.3">
      <c r="A2325" t="s">
        <v>8185</v>
      </c>
      <c r="C2325" t="s">
        <v>5267</v>
      </c>
      <c r="D2325" t="s">
        <v>10529</v>
      </c>
      <c r="E2325">
        <v>0</v>
      </c>
      <c r="F2325">
        <v>2323</v>
      </c>
      <c r="H2325" t="s">
        <v>8185</v>
      </c>
    </row>
    <row r="2326" spans="1:8" x14ac:dyDescent="0.3">
      <c r="A2326" t="s">
        <v>8186</v>
      </c>
      <c r="C2326" t="s">
        <v>5267</v>
      </c>
      <c r="D2326" t="s">
        <v>10530</v>
      </c>
      <c r="E2326">
        <v>0</v>
      </c>
      <c r="F2326">
        <v>2324</v>
      </c>
      <c r="H2326" t="s">
        <v>8186</v>
      </c>
    </row>
    <row r="2327" spans="1:8" x14ac:dyDescent="0.3">
      <c r="A2327" t="s">
        <v>8187</v>
      </c>
      <c r="C2327" t="s">
        <v>5267</v>
      </c>
      <c r="D2327" t="s">
        <v>10531</v>
      </c>
      <c r="E2327">
        <v>0</v>
      </c>
      <c r="F2327">
        <v>2325</v>
      </c>
      <c r="H2327" t="s">
        <v>8187</v>
      </c>
    </row>
    <row r="2328" spans="1:8" x14ac:dyDescent="0.3">
      <c r="A2328" t="s">
        <v>8188</v>
      </c>
      <c r="C2328" t="s">
        <v>5267</v>
      </c>
      <c r="D2328" t="s">
        <v>10532</v>
      </c>
      <c r="E2328">
        <v>0</v>
      </c>
      <c r="F2328">
        <v>2326</v>
      </c>
      <c r="H2328" t="s">
        <v>8188</v>
      </c>
    </row>
    <row r="2329" spans="1:8" x14ac:dyDescent="0.3">
      <c r="A2329" t="s">
        <v>8189</v>
      </c>
      <c r="C2329" t="s">
        <v>5267</v>
      </c>
      <c r="D2329" t="s">
        <v>10533</v>
      </c>
      <c r="E2329">
        <v>0</v>
      </c>
      <c r="F2329">
        <v>2327</v>
      </c>
      <c r="H2329" t="s">
        <v>8189</v>
      </c>
    </row>
    <row r="2330" spans="1:8" x14ac:dyDescent="0.3">
      <c r="A2330" t="s">
        <v>8190</v>
      </c>
      <c r="C2330" t="s">
        <v>5267</v>
      </c>
      <c r="D2330" t="s">
        <v>10534</v>
      </c>
      <c r="E2330">
        <v>0</v>
      </c>
      <c r="F2330">
        <v>2328</v>
      </c>
      <c r="H2330" t="s">
        <v>8190</v>
      </c>
    </row>
    <row r="2331" spans="1:8" x14ac:dyDescent="0.3">
      <c r="A2331" t="s">
        <v>8191</v>
      </c>
      <c r="C2331" t="s">
        <v>5267</v>
      </c>
      <c r="D2331" t="s">
        <v>10535</v>
      </c>
      <c r="E2331">
        <v>0</v>
      </c>
      <c r="F2331">
        <v>2329</v>
      </c>
      <c r="H2331" t="s">
        <v>8191</v>
      </c>
    </row>
    <row r="2332" spans="1:8" x14ac:dyDescent="0.3">
      <c r="A2332" t="s">
        <v>8192</v>
      </c>
      <c r="C2332" t="s">
        <v>5267</v>
      </c>
      <c r="D2332" t="s">
        <v>10536</v>
      </c>
      <c r="E2332">
        <v>0</v>
      </c>
      <c r="F2332">
        <v>2330</v>
      </c>
      <c r="H2332" t="s">
        <v>8192</v>
      </c>
    </row>
    <row r="2333" spans="1:8" x14ac:dyDescent="0.3">
      <c r="A2333" t="s">
        <v>8193</v>
      </c>
      <c r="C2333" t="s">
        <v>5267</v>
      </c>
      <c r="D2333" t="s">
        <v>10537</v>
      </c>
      <c r="E2333">
        <v>0</v>
      </c>
      <c r="F2333">
        <v>2331</v>
      </c>
      <c r="H2333" t="s">
        <v>8193</v>
      </c>
    </row>
    <row r="2334" spans="1:8" x14ac:dyDescent="0.3">
      <c r="A2334" t="s">
        <v>8194</v>
      </c>
      <c r="C2334" t="s">
        <v>5267</v>
      </c>
      <c r="D2334" t="s">
        <v>10538</v>
      </c>
      <c r="E2334">
        <v>0</v>
      </c>
      <c r="F2334">
        <v>2332</v>
      </c>
      <c r="H2334" t="s">
        <v>8194</v>
      </c>
    </row>
    <row r="2335" spans="1:8" x14ac:dyDescent="0.3">
      <c r="A2335" t="s">
        <v>8195</v>
      </c>
      <c r="C2335" t="s">
        <v>5267</v>
      </c>
      <c r="D2335" t="s">
        <v>10539</v>
      </c>
      <c r="E2335">
        <v>0</v>
      </c>
      <c r="F2335">
        <v>2333</v>
      </c>
      <c r="H2335" t="s">
        <v>8195</v>
      </c>
    </row>
    <row r="2336" spans="1:8" x14ac:dyDescent="0.3">
      <c r="A2336" t="s">
        <v>8196</v>
      </c>
      <c r="C2336" t="s">
        <v>5267</v>
      </c>
      <c r="D2336" t="s">
        <v>10540</v>
      </c>
      <c r="E2336">
        <v>0</v>
      </c>
      <c r="F2336">
        <v>2334</v>
      </c>
      <c r="H2336" t="s">
        <v>8196</v>
      </c>
    </row>
    <row r="2337" spans="1:8" x14ac:dyDescent="0.3">
      <c r="A2337" t="s">
        <v>8197</v>
      </c>
      <c r="C2337" t="s">
        <v>5267</v>
      </c>
      <c r="D2337" t="s">
        <v>10541</v>
      </c>
      <c r="E2337">
        <v>0</v>
      </c>
      <c r="F2337">
        <v>2335</v>
      </c>
      <c r="H2337" t="s">
        <v>8197</v>
      </c>
    </row>
    <row r="2338" spans="1:8" x14ac:dyDescent="0.3">
      <c r="A2338" t="s">
        <v>8198</v>
      </c>
      <c r="C2338" t="s">
        <v>5267</v>
      </c>
      <c r="D2338" t="s">
        <v>10542</v>
      </c>
      <c r="E2338">
        <v>0</v>
      </c>
      <c r="F2338">
        <v>2336</v>
      </c>
      <c r="H2338" t="s">
        <v>8198</v>
      </c>
    </row>
    <row r="2339" spans="1:8" x14ac:dyDescent="0.3">
      <c r="A2339" t="s">
        <v>8199</v>
      </c>
      <c r="C2339" t="s">
        <v>5267</v>
      </c>
      <c r="D2339" t="s">
        <v>10543</v>
      </c>
      <c r="E2339">
        <v>0</v>
      </c>
      <c r="F2339">
        <v>2337</v>
      </c>
      <c r="H2339" t="s">
        <v>8199</v>
      </c>
    </row>
    <row r="2340" spans="1:8" x14ac:dyDescent="0.3">
      <c r="A2340" t="s">
        <v>8200</v>
      </c>
      <c r="C2340" t="s">
        <v>5267</v>
      </c>
      <c r="D2340" t="s">
        <v>10544</v>
      </c>
      <c r="E2340">
        <v>0</v>
      </c>
      <c r="F2340">
        <v>2338</v>
      </c>
      <c r="H2340" t="s">
        <v>8200</v>
      </c>
    </row>
    <row r="2341" spans="1:8" x14ac:dyDescent="0.3">
      <c r="A2341" t="s">
        <v>8201</v>
      </c>
      <c r="C2341" t="s">
        <v>5267</v>
      </c>
      <c r="D2341" t="s">
        <v>10545</v>
      </c>
      <c r="E2341">
        <v>0</v>
      </c>
      <c r="F2341">
        <v>2339</v>
      </c>
      <c r="H2341" t="s">
        <v>8201</v>
      </c>
    </row>
    <row r="2342" spans="1:8" x14ac:dyDescent="0.3">
      <c r="A2342" t="s">
        <v>8202</v>
      </c>
      <c r="C2342" t="s">
        <v>5267</v>
      </c>
      <c r="D2342" t="s">
        <v>10546</v>
      </c>
      <c r="E2342">
        <v>0</v>
      </c>
      <c r="F2342">
        <v>2340</v>
      </c>
      <c r="H2342" t="s">
        <v>8202</v>
      </c>
    </row>
    <row r="2343" spans="1:8" x14ac:dyDescent="0.3">
      <c r="A2343" t="s">
        <v>6440</v>
      </c>
      <c r="C2343" t="s">
        <v>5267</v>
      </c>
      <c r="D2343" t="s">
        <v>10547</v>
      </c>
      <c r="E2343">
        <v>0</v>
      </c>
      <c r="F2343">
        <v>2341</v>
      </c>
      <c r="H2343" t="s">
        <v>6440</v>
      </c>
    </row>
    <row r="2344" spans="1:8" x14ac:dyDescent="0.3">
      <c r="A2344" t="s">
        <v>8203</v>
      </c>
      <c r="C2344" t="s">
        <v>5267</v>
      </c>
      <c r="D2344" t="s">
        <v>10548</v>
      </c>
      <c r="E2344">
        <v>0</v>
      </c>
      <c r="F2344">
        <v>2342</v>
      </c>
      <c r="H2344" t="s">
        <v>8203</v>
      </c>
    </row>
    <row r="2345" spans="1:8" x14ac:dyDescent="0.3">
      <c r="A2345" t="s">
        <v>8204</v>
      </c>
      <c r="C2345" t="s">
        <v>5267</v>
      </c>
      <c r="D2345" t="s">
        <v>10549</v>
      </c>
      <c r="E2345">
        <v>0</v>
      </c>
      <c r="F2345">
        <v>2343</v>
      </c>
      <c r="H2345" t="s">
        <v>8204</v>
      </c>
    </row>
    <row r="2346" spans="1:8" x14ac:dyDescent="0.3">
      <c r="A2346" t="s">
        <v>8205</v>
      </c>
      <c r="C2346" t="s">
        <v>5267</v>
      </c>
      <c r="D2346" t="s">
        <v>10550</v>
      </c>
      <c r="E2346">
        <v>0</v>
      </c>
      <c r="F2346">
        <v>2344</v>
      </c>
      <c r="H2346" t="s">
        <v>8205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0442-EC24-4877-A936-FE4EBA66347C}">
  <dimension ref="A1:Q12162"/>
  <sheetViews>
    <sheetView topLeftCell="J1" zoomScale="70" zoomScaleNormal="70" workbookViewId="0">
      <selection activeCell="Q2" sqref="Q2:Q33"/>
    </sheetView>
  </sheetViews>
  <sheetFormatPr defaultRowHeight="14.4" x14ac:dyDescent="0.3"/>
  <cols>
    <col min="1" max="1" width="22" bestFit="1" customWidth="1"/>
    <col min="2" max="2" width="61.5546875" bestFit="1" customWidth="1"/>
    <col min="3" max="3" width="9.33203125" bestFit="1" customWidth="1"/>
    <col min="4" max="4" width="73.88671875" bestFit="1" customWidth="1"/>
    <col min="5" max="5" width="5.6640625" bestFit="1" customWidth="1"/>
    <col min="6" max="6" width="73.88671875" bestFit="1" customWidth="1"/>
    <col min="11" max="11" width="7.6640625" bestFit="1" customWidth="1"/>
    <col min="12" max="12" width="73.88671875" bestFit="1" customWidth="1"/>
    <col min="13" max="13" width="76.88671875" bestFit="1" customWidth="1"/>
    <col min="14" max="14" width="27.33203125" bestFit="1" customWidth="1"/>
  </cols>
  <sheetData>
    <row r="1" spans="1:17" x14ac:dyDescent="0.3">
      <c r="A1" t="s">
        <v>5292</v>
      </c>
      <c r="B1" t="s">
        <v>5293</v>
      </c>
      <c r="C1" t="s">
        <v>5294</v>
      </c>
      <c r="D1" t="s">
        <v>5295</v>
      </c>
      <c r="E1" t="s">
        <v>5296</v>
      </c>
      <c r="F1" t="s">
        <v>5297</v>
      </c>
    </row>
    <row r="2" spans="1:17" x14ac:dyDescent="0.3">
      <c r="A2" t="s">
        <v>2172</v>
      </c>
      <c r="B2" t="s">
        <v>2173</v>
      </c>
      <c r="C2" t="s">
        <v>2174</v>
      </c>
      <c r="D2" t="s">
        <v>2175</v>
      </c>
      <c r="E2">
        <v>0</v>
      </c>
      <c r="F2" t="s">
        <v>2175</v>
      </c>
      <c r="K2" s="12" t="s">
        <v>2317</v>
      </c>
      <c r="L2" t="str">
        <f>IFERROR(VLOOKUP(K2,Таблица7[3]:Таблица7[[#This Row],[6]],2,FALSE),"")</f>
        <v>Фиксированное число 0</v>
      </c>
      <c r="M2" t="str">
        <f>IF(L2&lt;&gt;"",L2&amp;" (0)","")</f>
        <v>Фиксированное число 0 (0)</v>
      </c>
      <c r="N2" t="str" cm="1">
        <f t="array" ref="N2">IF(MOD(ROW()-ROW($B$2),16)=0,INDEX($M$2:$M$1000,(ROW()-ROW($B$2))/16+1),"")</f>
        <v>Фиксированное число 0 (0)</v>
      </c>
      <c r="P2" s="9" t="s">
        <v>234</v>
      </c>
      <c r="Q2" t="str">
        <f>"Для робота: "&amp;P2</f>
        <v>Для робота: Длина заготовки</v>
      </c>
    </row>
    <row r="3" spans="1:17" x14ac:dyDescent="0.3">
      <c r="A3" t="s">
        <v>2176</v>
      </c>
      <c r="B3" t="s">
        <v>2177</v>
      </c>
      <c r="C3" t="s">
        <v>2178</v>
      </c>
      <c r="D3" t="s">
        <v>2179</v>
      </c>
      <c r="E3">
        <v>0</v>
      </c>
      <c r="F3" t="s">
        <v>2179</v>
      </c>
      <c r="K3" s="12" t="s">
        <v>2318</v>
      </c>
      <c r="L3" t="str">
        <f>IFERROR(VLOOKUP(K3,Таблица7[3]:Таблица7[[#This Row],[6]],2,FALSE),"")</f>
        <v>Фиксированное число 1</v>
      </c>
      <c r="M3" t="str">
        <f t="shared" ref="M3:M66" si="0">IF(L3&lt;&gt;"",L3&amp;" (0)","")</f>
        <v>Фиксированное число 1 (0)</v>
      </c>
      <c r="N3" t="str" cm="1">
        <f t="array" ref="N3">IF(MOD(ROW()-ROW($B$2),16)=0,INDEX($M$2:$M$1000,(ROW()-ROW($B$2))/16+1),"")</f>
        <v/>
      </c>
      <c r="P3" s="7" t="s">
        <v>373</v>
      </c>
      <c r="Q3" t="str">
        <f t="shared" ref="Q3:Q33" si="1">"Для робота: "&amp;P3</f>
        <v>Для робота: Диаметр заготоки</v>
      </c>
    </row>
    <row r="4" spans="1:17" x14ac:dyDescent="0.3">
      <c r="A4" t="s">
        <v>2180</v>
      </c>
      <c r="B4" t="s">
        <v>2177</v>
      </c>
      <c r="C4" t="s">
        <v>2181</v>
      </c>
      <c r="D4" t="s">
        <v>2179</v>
      </c>
      <c r="E4">
        <v>0</v>
      </c>
      <c r="F4" t="s">
        <v>2179</v>
      </c>
      <c r="K4" s="12" t="s">
        <v>2319</v>
      </c>
      <c r="L4" t="str">
        <f>IFERROR(VLOOKUP(K4,Таблица7[3]:Таблица7[[#This Row],[6]],2,FALSE),"")</f>
        <v>Фиксированное число 2</v>
      </c>
      <c r="M4" t="str">
        <f t="shared" si="0"/>
        <v>Фиксированное число 2 (0)</v>
      </c>
      <c r="N4" t="str" cm="1">
        <f t="array" ref="N4">IF(MOD(ROW()-ROW($B$2),16)=0,INDEX($M$2:$M$1000,(ROW()-ROW($B$2))/16+1),"")</f>
        <v/>
      </c>
      <c r="P4" s="9" t="s">
        <v>375</v>
      </c>
      <c r="Q4" t="str">
        <f t="shared" si="1"/>
        <v>Для робота: Длина обработанной с одной стороны детали</v>
      </c>
    </row>
    <row r="5" spans="1:17" x14ac:dyDescent="0.3">
      <c r="A5" t="s">
        <v>2182</v>
      </c>
      <c r="B5" t="s">
        <v>2177</v>
      </c>
      <c r="C5" t="s">
        <v>2183</v>
      </c>
      <c r="D5" t="s">
        <v>2179</v>
      </c>
      <c r="E5">
        <v>0</v>
      </c>
      <c r="F5" t="s">
        <v>2179</v>
      </c>
      <c r="K5" s="12" t="s">
        <v>2320</v>
      </c>
      <c r="L5" t="str">
        <f>IFERROR(VLOOKUP(K5,Таблица7[3]:Таблица7[[#This Row],[6]],2,FALSE),"")</f>
        <v>Фиксированное число 3</v>
      </c>
      <c r="M5" t="str">
        <f t="shared" si="0"/>
        <v>Фиксированное число 3 (0)</v>
      </c>
      <c r="N5" t="str" cm="1">
        <f t="array" ref="N5">IF(MOD(ROW()-ROW($B$2),16)=0,INDEX($M$2:$M$1000,(ROW()-ROW($B$2))/16+1),"")</f>
        <v/>
      </c>
      <c r="P5" s="7" t="s">
        <v>376</v>
      </c>
      <c r="Q5" t="str">
        <f t="shared" si="1"/>
        <v>Для робота: Диаметр обработанной с одной стороны детали</v>
      </c>
    </row>
    <row r="6" spans="1:17" x14ac:dyDescent="0.3">
      <c r="A6" t="s">
        <v>2184</v>
      </c>
      <c r="B6" t="s">
        <v>2177</v>
      </c>
      <c r="C6" t="s">
        <v>2185</v>
      </c>
      <c r="D6" t="s">
        <v>2179</v>
      </c>
      <c r="E6">
        <v>0</v>
      </c>
      <c r="F6" t="s">
        <v>2179</v>
      </c>
      <c r="K6" s="12" t="s">
        <v>2321</v>
      </c>
      <c r="L6" t="str">
        <f>IFERROR(VLOOKUP(K6,Таблица7[3]:Таблица7[[#This Row],[6]],2,FALSE),"")</f>
        <v>Фиксированное число 4</v>
      </c>
      <c r="M6" t="str">
        <f t="shared" si="0"/>
        <v>Фиксированное число 4 (0)</v>
      </c>
      <c r="N6" t="str" cm="1">
        <f t="array" ref="N6">IF(MOD(ROW()-ROW($B$2),16)=0,INDEX($M$2:$M$1000,(ROW()-ROW($B$2))/16+1),"")</f>
        <v/>
      </c>
      <c r="P6" s="9" t="s">
        <v>377</v>
      </c>
      <c r="Q6" t="str">
        <f t="shared" si="1"/>
        <v>Для робота: Длина готовой детали</v>
      </c>
    </row>
    <row r="7" spans="1:17" x14ac:dyDescent="0.3">
      <c r="A7" t="s">
        <v>2186</v>
      </c>
      <c r="B7" t="s">
        <v>2177</v>
      </c>
      <c r="C7" t="s">
        <v>2187</v>
      </c>
      <c r="D7" t="s">
        <v>2179</v>
      </c>
      <c r="E7">
        <v>0</v>
      </c>
      <c r="F7" t="s">
        <v>2179</v>
      </c>
      <c r="K7" s="12" t="s">
        <v>2322</v>
      </c>
      <c r="L7" t="str">
        <f>IFERROR(VLOOKUP(K7,Таблица7[3]:Таблица7[[#This Row],[6]],2,FALSE),"")</f>
        <v>Фиксированное число 5</v>
      </c>
      <c r="M7" t="str">
        <f t="shared" si="0"/>
        <v>Фиксированное число 5 (0)</v>
      </c>
      <c r="N7" t="str" cm="1">
        <f t="array" ref="N7">IF(MOD(ROW()-ROW($B$2),16)=0,INDEX($M$2:$M$1000,(ROW()-ROW($B$2))/16+1),"")</f>
        <v/>
      </c>
      <c r="P7" s="7" t="s">
        <v>378</v>
      </c>
      <c r="Q7" t="str">
        <f t="shared" si="1"/>
        <v>Для робота: Диаметр готовой детали</v>
      </c>
    </row>
    <row r="8" spans="1:17" x14ac:dyDescent="0.3">
      <c r="A8" t="s">
        <v>2188</v>
      </c>
      <c r="B8" t="s">
        <v>2177</v>
      </c>
      <c r="C8" t="s">
        <v>2189</v>
      </c>
      <c r="D8" t="s">
        <v>2179</v>
      </c>
      <c r="E8">
        <v>0</v>
      </c>
      <c r="F8" t="s">
        <v>2179</v>
      </c>
      <c r="K8" s="12" t="s">
        <v>2323</v>
      </c>
      <c r="L8" t="str">
        <f>IFERROR(VLOOKUP(K8,Таблица7[3]:Таблица7[[#This Row],[6]],2,FALSE),"")</f>
        <v>Фиксированное число 6</v>
      </c>
      <c r="M8" t="str">
        <f t="shared" si="0"/>
        <v>Фиксированное число 6 (0)</v>
      </c>
      <c r="N8" t="str" cm="1">
        <f t="array" ref="N8">IF(MOD(ROW()-ROW($B$2),16)=0,INDEX($M$2:$M$1000,(ROW()-ROW($B$2))/16+1),"")</f>
        <v/>
      </c>
      <c r="P8" s="9" t="s">
        <v>380</v>
      </c>
      <c r="Q8" t="str">
        <f t="shared" si="1"/>
        <v>Для робота: Полная длина кулачков на захвате 1</v>
      </c>
    </row>
    <row r="9" spans="1:17" x14ac:dyDescent="0.3">
      <c r="A9" t="s">
        <v>2190</v>
      </c>
      <c r="B9" t="s">
        <v>2177</v>
      </c>
      <c r="C9" t="s">
        <v>2191</v>
      </c>
      <c r="D9" t="s">
        <v>2179</v>
      </c>
      <c r="E9">
        <v>0</v>
      </c>
      <c r="F9" t="s">
        <v>2179</v>
      </c>
      <c r="K9" s="12" t="s">
        <v>2324</v>
      </c>
      <c r="L9" t="str">
        <f>IFERROR(VLOOKUP(K9,Таблица7[3]:Таблица7[[#This Row],[6]],2,FALSE),"")</f>
        <v>Фиксированное число 7</v>
      </c>
      <c r="M9" t="str">
        <f t="shared" si="0"/>
        <v>Фиксированное число 7 (0)</v>
      </c>
      <c r="N9" t="str" cm="1">
        <f t="array" ref="N9">IF(MOD(ROW()-ROW($B$2),16)=0,INDEX($M$2:$M$1000,(ROW()-ROW($B$2))/16+1),"")</f>
        <v/>
      </c>
      <c r="P9" s="7" t="s">
        <v>381</v>
      </c>
      <c r="Q9" t="str">
        <f t="shared" si="1"/>
        <v>Для робота: Тело кулачков на захвате 1</v>
      </c>
    </row>
    <row r="10" spans="1:17" x14ac:dyDescent="0.3">
      <c r="A10" t="s">
        <v>2192</v>
      </c>
      <c r="B10" t="s">
        <v>2177</v>
      </c>
      <c r="C10" t="s">
        <v>2193</v>
      </c>
      <c r="D10" t="s">
        <v>2179</v>
      </c>
      <c r="E10">
        <v>0</v>
      </c>
      <c r="F10" t="s">
        <v>2179</v>
      </c>
      <c r="K10" s="12" t="s">
        <v>2325</v>
      </c>
      <c r="L10" t="str">
        <f>IFERROR(VLOOKUP(K10,Таблица7[3]:Таблица7[[#This Row],[6]],2,FALSE),"")</f>
        <v>Фиксированное число 8</v>
      </c>
      <c r="M10" t="str">
        <f t="shared" si="0"/>
        <v>Фиксированное число 8 (0)</v>
      </c>
      <c r="N10" t="str" cm="1">
        <f t="array" ref="N10">IF(MOD(ROW()-ROW($B$2),16)=0,INDEX($M$2:$M$1000,(ROW()-ROW($B$2))/16+1),"")</f>
        <v/>
      </c>
      <c r="P10" s="9" t="s">
        <v>386</v>
      </c>
      <c r="Q10" t="str">
        <f t="shared" si="1"/>
        <v>Для робота: Полная длина кулачков на захвате 2</v>
      </c>
    </row>
    <row r="11" spans="1:17" x14ac:dyDescent="0.3">
      <c r="A11" t="s">
        <v>2194</v>
      </c>
      <c r="B11" t="s">
        <v>2177</v>
      </c>
      <c r="C11" t="s">
        <v>2195</v>
      </c>
      <c r="D11" t="s">
        <v>2179</v>
      </c>
      <c r="E11">
        <v>0</v>
      </c>
      <c r="F11" t="s">
        <v>2179</v>
      </c>
      <c r="K11" s="12" t="s">
        <v>2326</v>
      </c>
      <c r="L11" t="str">
        <f>IFERROR(VLOOKUP(K11,Таблица7[3]:Таблица7[[#This Row],[6]],2,FALSE),"")</f>
        <v>Фиксированное число 9</v>
      </c>
      <c r="M11" t="str">
        <f t="shared" si="0"/>
        <v>Фиксированное число 9 (0)</v>
      </c>
      <c r="N11" t="str" cm="1">
        <f t="array" ref="N11">IF(MOD(ROW()-ROW($B$2),16)=0,INDEX($M$2:$M$1000,(ROW()-ROW($B$2))/16+1),"")</f>
        <v/>
      </c>
      <c r="P11" s="7" t="s">
        <v>387</v>
      </c>
      <c r="Q11" t="str">
        <f t="shared" si="1"/>
        <v>Для робота: Тело кулачков на захвате 2</v>
      </c>
    </row>
    <row r="12" spans="1:17" x14ac:dyDescent="0.3">
      <c r="A12" t="s">
        <v>2196</v>
      </c>
      <c r="B12" t="s">
        <v>2177</v>
      </c>
      <c r="C12" t="s">
        <v>2197</v>
      </c>
      <c r="D12" t="s">
        <v>2179</v>
      </c>
      <c r="E12">
        <v>0</v>
      </c>
      <c r="F12" t="s">
        <v>2179</v>
      </c>
      <c r="K12" s="12" t="s">
        <v>2327</v>
      </c>
      <c r="L12" t="str">
        <f>IFERROR(VLOOKUP(K12,Таблица7[3]:Таблица7[[#This Row],[6]],2,FALSE),"")</f>
        <v>Фиксированное число 10</v>
      </c>
      <c r="M12" t="str">
        <f t="shared" si="0"/>
        <v>Фиксированное число 10 (0)</v>
      </c>
      <c r="N12" t="str" cm="1">
        <f t="array" ref="N12">IF(MOD(ROW()-ROW($B$2),16)=0,INDEX($M$2:$M$1000,(ROW()-ROW($B$2))/16+1),"")</f>
        <v/>
      </c>
      <c r="P12" s="9" t="s">
        <v>390</v>
      </c>
      <c r="Q12" t="str">
        <f t="shared" si="1"/>
        <v>Для робота: Полная длина кулачков в патроне 1</v>
      </c>
    </row>
    <row r="13" spans="1:17" x14ac:dyDescent="0.3">
      <c r="A13" t="s">
        <v>2198</v>
      </c>
      <c r="B13" t="s">
        <v>2177</v>
      </c>
      <c r="C13" t="s">
        <v>2199</v>
      </c>
      <c r="D13" t="s">
        <v>2179</v>
      </c>
      <c r="E13">
        <v>0</v>
      </c>
      <c r="F13" t="s">
        <v>2179</v>
      </c>
      <c r="K13" s="12" t="s">
        <v>2328</v>
      </c>
      <c r="L13" t="str">
        <f>IFERROR(VLOOKUP(K13,Таблица7[3]:Таблица7[[#This Row],[6]],2,FALSE),"")</f>
        <v>Фиксированное число 11</v>
      </c>
      <c r="M13" t="str">
        <f t="shared" si="0"/>
        <v>Фиксированное число 11 (0)</v>
      </c>
      <c r="N13" t="str" cm="1">
        <f t="array" ref="N13">IF(MOD(ROW()-ROW($B$2),16)=0,INDEX($M$2:$M$1000,(ROW()-ROW($B$2))/16+1),"")</f>
        <v/>
      </c>
      <c r="P13" s="7" t="s">
        <v>391</v>
      </c>
      <c r="Q13" t="str">
        <f t="shared" si="1"/>
        <v>Для робота: Тело кулачков в патроне 1</v>
      </c>
    </row>
    <row r="14" spans="1:17" x14ac:dyDescent="0.3">
      <c r="A14" t="s">
        <v>2200</v>
      </c>
      <c r="B14" t="s">
        <v>2177</v>
      </c>
      <c r="C14" t="s">
        <v>2201</v>
      </c>
      <c r="D14" t="s">
        <v>2179</v>
      </c>
      <c r="E14">
        <v>0</v>
      </c>
      <c r="F14" t="s">
        <v>2179</v>
      </c>
      <c r="K14" s="12" t="s">
        <v>2329</v>
      </c>
      <c r="L14" t="str">
        <f>IFERROR(VLOOKUP(K14,Таблица7[3]:Таблица7[[#This Row],[6]],2,FALSE),"")</f>
        <v>Фиксированное число 12</v>
      </c>
      <c r="M14" t="str">
        <f t="shared" si="0"/>
        <v>Фиксированное число 12 (0)</v>
      </c>
      <c r="N14" t="str" cm="1">
        <f t="array" ref="N14">IF(MOD(ROW()-ROW($B$2),16)=0,INDEX($M$2:$M$1000,(ROW()-ROW($B$2))/16+1),"")</f>
        <v/>
      </c>
      <c r="P14" s="9" t="s">
        <v>392</v>
      </c>
      <c r="Q14" t="str">
        <f t="shared" si="1"/>
        <v>Для робота: Полная длина кулачков в патроне 2/ ст.перехвата</v>
      </c>
    </row>
    <row r="15" spans="1:17" x14ac:dyDescent="0.3">
      <c r="A15" t="s">
        <v>2202</v>
      </c>
      <c r="B15" t="s">
        <v>2177</v>
      </c>
      <c r="C15" t="s">
        <v>2203</v>
      </c>
      <c r="D15" t="s">
        <v>2179</v>
      </c>
      <c r="E15">
        <v>0</v>
      </c>
      <c r="F15" t="s">
        <v>2179</v>
      </c>
      <c r="K15" s="12" t="s">
        <v>2330</v>
      </c>
      <c r="L15" t="str">
        <f>IFERROR(VLOOKUP(K15,Таблица7[3]:Таблица7[[#This Row],[6]],2,FALSE),"")</f>
        <v>Фиксированное число 13</v>
      </c>
      <c r="M15" t="str">
        <f t="shared" si="0"/>
        <v>Фиксированное число 13 (0)</v>
      </c>
      <c r="N15" t="str" cm="1">
        <f t="array" ref="N15">IF(MOD(ROW()-ROW($B$2),16)=0,INDEX($M$2:$M$1000,(ROW()-ROW($B$2))/16+1),"")</f>
        <v/>
      </c>
      <c r="P15" s="7" t="s">
        <v>393</v>
      </c>
      <c r="Q15" t="str">
        <f t="shared" si="1"/>
        <v>Для робота: Тело кулачков в патроне 2/ ст.перехвата</v>
      </c>
    </row>
    <row r="16" spans="1:17" x14ac:dyDescent="0.3">
      <c r="A16" t="s">
        <v>2204</v>
      </c>
      <c r="B16" t="s">
        <v>2177</v>
      </c>
      <c r="C16" t="s">
        <v>2205</v>
      </c>
      <c r="D16" t="s">
        <v>2179</v>
      </c>
      <c r="E16">
        <v>0</v>
      </c>
      <c r="F16" t="s">
        <v>2179</v>
      </c>
      <c r="K16" s="12" t="s">
        <v>2331</v>
      </c>
      <c r="L16" t="str">
        <f>IFERROR(VLOOKUP(K16,Таблица7[3]:Таблица7[[#This Row],[6]],2,FALSE),"")</f>
        <v>Фиксированное число 14</v>
      </c>
      <c r="M16" t="str">
        <f t="shared" si="0"/>
        <v>Фиксированное число 14 (0)</v>
      </c>
      <c r="N16" t="str" cm="1">
        <f t="array" ref="N16">IF(MOD(ROW()-ROW($B$2),16)=0,INDEX($M$2:$M$1000,(ROW()-ROW($B$2))/16+1),"")</f>
        <v/>
      </c>
      <c r="P16" s="9" t="s">
        <v>235</v>
      </c>
      <c r="Q16" t="str">
        <f t="shared" si="1"/>
        <v>Для робота: Количество рядов на пластине</v>
      </c>
    </row>
    <row r="17" spans="1:17" x14ac:dyDescent="0.3">
      <c r="A17" t="s">
        <v>2206</v>
      </c>
      <c r="B17" t="s">
        <v>2177</v>
      </c>
      <c r="C17" t="s">
        <v>2207</v>
      </c>
      <c r="D17" t="s">
        <v>2179</v>
      </c>
      <c r="E17">
        <v>0</v>
      </c>
      <c r="F17" t="s">
        <v>2179</v>
      </c>
      <c r="K17" s="12" t="s">
        <v>2332</v>
      </c>
      <c r="L17" t="str">
        <f>IFERROR(VLOOKUP(K17,Таблица7[3]:Таблица7[[#This Row],[6]],2,FALSE),"")</f>
        <v>Фиксированное число 15</v>
      </c>
      <c r="M17" t="str">
        <f t="shared" si="0"/>
        <v>Фиксированное число 15 (0)</v>
      </c>
      <c r="N17" t="str" cm="1">
        <f t="array" ref="N17">IF(MOD(ROW()-ROW($B$2),16)=0,INDEX($M$2:$M$1000,(ROW()-ROW($B$2))/16+1),"")</f>
        <v/>
      </c>
      <c r="P17" s="7" t="s">
        <v>291</v>
      </c>
      <c r="Q17" t="str">
        <f t="shared" si="1"/>
        <v>Для робота: Количество ячеек в нечётных рядах</v>
      </c>
    </row>
    <row r="18" spans="1:17" x14ac:dyDescent="0.3">
      <c r="A18" t="s">
        <v>2208</v>
      </c>
      <c r="B18" t="s">
        <v>2177</v>
      </c>
      <c r="C18" t="s">
        <v>2209</v>
      </c>
      <c r="D18" t="s">
        <v>2179</v>
      </c>
      <c r="E18">
        <v>0</v>
      </c>
      <c r="F18" t="s">
        <v>2179</v>
      </c>
      <c r="K18" s="12" t="s">
        <v>2333</v>
      </c>
      <c r="L18" t="str">
        <f>IFERROR(VLOOKUP(K18,Таблица7[3]:Таблица7[[#This Row],[6]],2,FALSE),"")</f>
        <v>Фиксированное число 16</v>
      </c>
      <c r="M18" t="str">
        <f t="shared" si="0"/>
        <v>Фиксированное число 16 (0)</v>
      </c>
      <c r="N18" t="str" cm="1">
        <f t="array" ref="N18">IF(MOD(ROW()-ROW($B$2),16)=0,INDEX($M$2:$M$1000,(ROW()-ROW($B$2))/16+1),"")</f>
        <v>Фиксированное число 1 (0)</v>
      </c>
      <c r="P18" s="9" t="s">
        <v>292</v>
      </c>
      <c r="Q18" t="str">
        <f t="shared" si="1"/>
        <v>Для робота: Количество ячеек в чётных рядах</v>
      </c>
    </row>
    <row r="19" spans="1:17" x14ac:dyDescent="0.3">
      <c r="A19" t="s">
        <v>2210</v>
      </c>
      <c r="B19" t="s">
        <v>2177</v>
      </c>
      <c r="C19" t="s">
        <v>2211</v>
      </c>
      <c r="D19" t="s">
        <v>2179</v>
      </c>
      <c r="E19">
        <v>0</v>
      </c>
      <c r="F19" t="s">
        <v>2179</v>
      </c>
      <c r="K19" s="12" t="s">
        <v>2334</v>
      </c>
      <c r="L19" t="str">
        <f>IFERROR(VLOOKUP(K19,Таблица7[3]:Таблица7[[#This Row],[6]],2,FALSE),"")</f>
        <v>Фиксированное число 17</v>
      </c>
      <c r="M19" t="str">
        <f t="shared" si="0"/>
        <v>Фиксированное число 17 (0)</v>
      </c>
      <c r="N19" t="str" cm="1">
        <f t="array" ref="N19">IF(MOD(ROW()-ROW($B$2),16)=0,INDEX($M$2:$M$1000,(ROW()-ROW($B$2))/16+1),"")</f>
        <v/>
      </c>
      <c r="P19" s="7" t="s">
        <v>237</v>
      </c>
      <c r="Q19" t="str">
        <f t="shared" si="1"/>
        <v>Для робота: Расстояние между ячейками</v>
      </c>
    </row>
    <row r="20" spans="1:17" x14ac:dyDescent="0.3">
      <c r="A20" t="s">
        <v>2212</v>
      </c>
      <c r="B20" t="s">
        <v>2177</v>
      </c>
      <c r="C20" t="s">
        <v>2213</v>
      </c>
      <c r="D20" t="s">
        <v>2179</v>
      </c>
      <c r="E20">
        <v>0</v>
      </c>
      <c r="F20" t="s">
        <v>2179</v>
      </c>
      <c r="K20" s="12" t="s">
        <v>2335</v>
      </c>
      <c r="L20" t="str">
        <f>IFERROR(VLOOKUP(K20,Таблица7[3]:Таблица7[[#This Row],[6]],2,FALSE),"")</f>
        <v>Фиксированное число 18</v>
      </c>
      <c r="M20" t="str">
        <f t="shared" si="0"/>
        <v>Фиксированное число 18 (0)</v>
      </c>
      <c r="N20" t="str" cm="1">
        <f t="array" ref="N20">IF(MOD(ROW()-ROW($B$2),16)=0,INDEX($M$2:$M$1000,(ROW()-ROW($B$2))/16+1),"")</f>
        <v/>
      </c>
      <c r="P20" s="9" t="s">
        <v>236</v>
      </c>
      <c r="Q20" t="str">
        <f t="shared" si="1"/>
        <v>Для робота: Расстояние между рядами</v>
      </c>
    </row>
    <row r="21" spans="1:17" x14ac:dyDescent="0.3">
      <c r="A21" t="s">
        <v>2214</v>
      </c>
      <c r="B21" t="s">
        <v>2177</v>
      </c>
      <c r="C21" t="s">
        <v>2215</v>
      </c>
      <c r="D21" t="s">
        <v>2179</v>
      </c>
      <c r="E21">
        <v>0</v>
      </c>
      <c r="F21" t="s">
        <v>2179</v>
      </c>
      <c r="K21" s="12" t="s">
        <v>2336</v>
      </c>
      <c r="L21" t="str">
        <f>IFERROR(VLOOKUP(K21,Таблица7[3]:Таблица7[[#This Row],[6]],2,FALSE),"")</f>
        <v>Фиксированное число 19</v>
      </c>
      <c r="M21" t="str">
        <f t="shared" si="0"/>
        <v>Фиксированное число 19 (0)</v>
      </c>
      <c r="N21" t="str" cm="1">
        <f t="array" ref="N21">IF(MOD(ROW()-ROW($B$2),16)=0,INDEX($M$2:$M$1000,(ROW()-ROW($B$2))/16+1),"")</f>
        <v/>
      </c>
      <c r="P21" s="7" t="s">
        <v>238</v>
      </c>
      <c r="Q21" t="str">
        <f t="shared" si="1"/>
        <v>Для робота: Смещение чётного ряда</v>
      </c>
    </row>
    <row r="22" spans="1:17" x14ac:dyDescent="0.3">
      <c r="A22" t="s">
        <v>2216</v>
      </c>
      <c r="B22" t="s">
        <v>2177</v>
      </c>
      <c r="C22" t="s">
        <v>2217</v>
      </c>
      <c r="D22" t="s">
        <v>2179</v>
      </c>
      <c r="E22">
        <v>0</v>
      </c>
      <c r="F22" t="s">
        <v>2179</v>
      </c>
      <c r="K22" s="12" t="s">
        <v>2337</v>
      </c>
      <c r="L22" t="str">
        <f>IFERROR(VLOOKUP(K22,Таблица7[3]:Таблица7[[#This Row],[6]],2,FALSE),"")</f>
        <v>Фиксированное число 20</v>
      </c>
      <c r="M22" t="str">
        <f t="shared" si="0"/>
        <v>Фиксированное число 20 (0)</v>
      </c>
      <c r="N22" t="str" cm="1">
        <f t="array" ref="N22">IF(MOD(ROW()-ROW($B$2),16)=0,INDEX($M$2:$M$1000,(ROW()-ROW($B$2))/16+1),"")</f>
        <v/>
      </c>
      <c r="P22" s="9" t="s">
        <v>239</v>
      </c>
      <c r="Q22" t="str">
        <f t="shared" si="1"/>
        <v>Для робота: Смещение первого ряда относительно нуля Х</v>
      </c>
    </row>
    <row r="23" spans="1:17" x14ac:dyDescent="0.3">
      <c r="A23" t="s">
        <v>2218</v>
      </c>
      <c r="B23" t="s">
        <v>2177</v>
      </c>
      <c r="C23" t="s">
        <v>2219</v>
      </c>
      <c r="D23" t="s">
        <v>2179</v>
      </c>
      <c r="E23">
        <v>0</v>
      </c>
      <c r="F23" t="s">
        <v>2179</v>
      </c>
      <c r="K23" s="12" t="s">
        <v>2338</v>
      </c>
      <c r="L23" t="str">
        <f>IFERROR(VLOOKUP(K23,Таблица7[3]:Таблица7[[#This Row],[6]],2,FALSE),"")</f>
        <v>Фиксированное число 21</v>
      </c>
      <c r="M23" t="str">
        <f t="shared" si="0"/>
        <v>Фиксированное число 21 (0)</v>
      </c>
      <c r="N23" t="str" cm="1">
        <f t="array" ref="N23">IF(MOD(ROW()-ROW($B$2),16)=0,INDEX($M$2:$M$1000,(ROW()-ROW($B$2))/16+1),"")</f>
        <v/>
      </c>
      <c r="P23" s="7" t="s">
        <v>240</v>
      </c>
      <c r="Q23" t="str">
        <f t="shared" si="1"/>
        <v>Для робота: Смещение первого ряда относительно нуля Y</v>
      </c>
    </row>
    <row r="24" spans="1:17" x14ac:dyDescent="0.3">
      <c r="A24" t="s">
        <v>2220</v>
      </c>
      <c r="B24" t="s">
        <v>2177</v>
      </c>
      <c r="C24" t="s">
        <v>2221</v>
      </c>
      <c r="D24" t="s">
        <v>2179</v>
      </c>
      <c r="E24">
        <v>0</v>
      </c>
      <c r="F24" t="s">
        <v>2179</v>
      </c>
      <c r="K24" s="12" t="s">
        <v>2339</v>
      </c>
      <c r="L24" t="str">
        <f>IFERROR(VLOOKUP(K24,Таблица7[3]:Таблица7[[#This Row],[6]],2,FALSE),"")</f>
        <v>Фиксированное число 22</v>
      </c>
      <c r="M24" t="str">
        <f t="shared" si="0"/>
        <v>Фиксированное число 22 (0)</v>
      </c>
      <c r="N24" t="str" cm="1">
        <f t="array" ref="N24">IF(MOD(ROW()-ROW($B$2),16)=0,INDEX($M$2:$M$1000,(ROW()-ROW($B$2))/16+1),"")</f>
        <v/>
      </c>
      <c r="P24" s="9" t="s">
        <v>408</v>
      </c>
      <c r="Q24" t="str">
        <f t="shared" si="1"/>
        <v>Для робота: Номер программы на станке</v>
      </c>
    </row>
    <row r="25" spans="1:17" x14ac:dyDescent="0.3">
      <c r="A25" t="s">
        <v>2222</v>
      </c>
      <c r="B25" t="s">
        <v>2177</v>
      </c>
      <c r="C25" t="s">
        <v>2223</v>
      </c>
      <c r="D25" t="s">
        <v>2179</v>
      </c>
      <c r="E25">
        <v>0</v>
      </c>
      <c r="F25" t="s">
        <v>2179</v>
      </c>
      <c r="K25" s="12" t="s">
        <v>2340</v>
      </c>
      <c r="L25" t="str">
        <f>IFERROR(VLOOKUP(K25,Таблица7[3]:Таблица7[[#This Row],[6]],2,FALSE),"")</f>
        <v>Фиксированное число 23</v>
      </c>
      <c r="M25" t="str">
        <f t="shared" si="0"/>
        <v>Фиксированное число 23 (0)</v>
      </c>
      <c r="N25" t="str" cm="1">
        <f t="array" ref="N25">IF(MOD(ROW()-ROW($B$2),16)=0,INDEX($M$2:$M$1000,(ROW()-ROW($B$2))/16+1),"")</f>
        <v/>
      </c>
      <c r="P25" s="7" t="s">
        <v>409</v>
      </c>
      <c r="Q25" t="str">
        <f t="shared" si="1"/>
        <v>Для робота: Номер кастомной программы перехвата</v>
      </c>
    </row>
    <row r="26" spans="1:17" x14ac:dyDescent="0.3">
      <c r="A26" t="s">
        <v>2224</v>
      </c>
      <c r="B26" t="s">
        <v>2177</v>
      </c>
      <c r="C26" t="s">
        <v>2225</v>
      </c>
      <c r="D26" t="s">
        <v>2179</v>
      </c>
      <c r="E26">
        <v>0</v>
      </c>
      <c r="F26" t="s">
        <v>2179</v>
      </c>
      <c r="K26" s="12" t="s">
        <v>2341</v>
      </c>
      <c r="L26" t="str">
        <f>IFERROR(VLOOKUP(K26,Таблица7[3]:Таблица7[[#This Row],[6]],2,FALSE),"")</f>
        <v>Фиксированное число 24</v>
      </c>
      <c r="M26" t="str">
        <f t="shared" si="0"/>
        <v>Фиксированное число 24 (0)</v>
      </c>
      <c r="N26" t="str" cm="1">
        <f t="array" ref="N26">IF(MOD(ROW()-ROW($B$2),16)=0,INDEX($M$2:$M$1000,(ROW()-ROW($B$2))/16+1),"")</f>
        <v/>
      </c>
      <c r="P26" s="9" t="s">
        <v>440</v>
      </c>
      <c r="Q26" t="str">
        <f t="shared" si="1"/>
        <v>Для робота: Номер кастомной программы обдува перед установкой</v>
      </c>
    </row>
    <row r="27" spans="1:17" x14ac:dyDescent="0.3">
      <c r="A27" t="s">
        <v>2226</v>
      </c>
      <c r="B27" t="s">
        <v>2177</v>
      </c>
      <c r="C27" t="s">
        <v>2227</v>
      </c>
      <c r="D27" t="s">
        <v>2179</v>
      </c>
      <c r="E27">
        <v>0</v>
      </c>
      <c r="F27" t="s">
        <v>2179</v>
      </c>
      <c r="K27" s="12" t="s">
        <v>2342</v>
      </c>
      <c r="L27" t="str">
        <f>IFERROR(VLOOKUP(K27,Таблица7[3]:Таблица7[[#This Row],[6]],2,FALSE),"")</f>
        <v>Фиксированное число 25</v>
      </c>
      <c r="M27" t="str">
        <f t="shared" si="0"/>
        <v>Фиксированное число 25 (0)</v>
      </c>
      <c r="N27" t="str" cm="1">
        <f t="array" ref="N27">IF(MOD(ROW()-ROW($B$2),16)=0,INDEX($M$2:$M$1000,(ROW()-ROW($B$2))/16+1),"")</f>
        <v/>
      </c>
      <c r="P27" s="7" t="s">
        <v>441</v>
      </c>
      <c r="Q27" t="str">
        <f t="shared" si="1"/>
        <v>Для робота: Номер кастомной программы обдува после установки</v>
      </c>
    </row>
    <row r="28" spans="1:17" x14ac:dyDescent="0.3">
      <c r="A28" t="s">
        <v>2228</v>
      </c>
      <c r="B28" t="s">
        <v>2177</v>
      </c>
      <c r="C28" t="s">
        <v>2229</v>
      </c>
      <c r="D28" t="s">
        <v>2179</v>
      </c>
      <c r="E28">
        <v>0</v>
      </c>
      <c r="F28" t="s">
        <v>2179</v>
      </c>
      <c r="K28" s="12" t="s">
        <v>2343</v>
      </c>
      <c r="L28" t="str">
        <f>IFERROR(VLOOKUP(K28,Таблица7[3]:Таблица7[[#This Row],[6]],2,FALSE),"")</f>
        <v>Фиксированное число 26</v>
      </c>
      <c r="M28" t="str">
        <f t="shared" si="0"/>
        <v>Фиксированное число 26 (0)</v>
      </c>
      <c r="N28" t="str" cm="1">
        <f t="array" ref="N28">IF(MOD(ROW()-ROW($B$2),16)=0,INDEX($M$2:$M$1000,(ROW()-ROW($B$2))/16+1),"")</f>
        <v/>
      </c>
      <c r="P28" s="9" t="s">
        <v>44</v>
      </c>
      <c r="Q28" t="str">
        <f t="shared" si="1"/>
        <v>Для робота: Резерв</v>
      </c>
    </row>
    <row r="29" spans="1:17" x14ac:dyDescent="0.3">
      <c r="A29" t="s">
        <v>2230</v>
      </c>
      <c r="B29" t="s">
        <v>2177</v>
      </c>
      <c r="C29" t="s">
        <v>2231</v>
      </c>
      <c r="D29" t="s">
        <v>2179</v>
      </c>
      <c r="E29">
        <v>0</v>
      </c>
      <c r="F29" t="s">
        <v>2179</v>
      </c>
      <c r="K29" s="12" t="s">
        <v>2344</v>
      </c>
      <c r="L29" t="str">
        <f>IFERROR(VLOOKUP(K29,Таблица7[3]:Таблица7[[#This Row],[6]],2,FALSE),"")</f>
        <v>Фиксированное число 27</v>
      </c>
      <c r="M29" t="str">
        <f t="shared" si="0"/>
        <v>Фиксированное число 27 (0)</v>
      </c>
      <c r="N29" t="str" cm="1">
        <f t="array" ref="N29">IF(MOD(ROW()-ROW($B$2),16)=0,INDEX($M$2:$M$1000,(ROW()-ROW($B$2))/16+1),"")</f>
        <v/>
      </c>
      <c r="P29" s="7" t="s">
        <v>44</v>
      </c>
      <c r="Q29" t="str">
        <f t="shared" si="1"/>
        <v>Для робота: Резерв</v>
      </c>
    </row>
    <row r="30" spans="1:17" x14ac:dyDescent="0.3">
      <c r="A30" t="s">
        <v>2232</v>
      </c>
      <c r="B30" t="s">
        <v>2177</v>
      </c>
      <c r="C30" t="s">
        <v>2233</v>
      </c>
      <c r="D30" t="s">
        <v>2179</v>
      </c>
      <c r="E30">
        <v>0</v>
      </c>
      <c r="F30" t="s">
        <v>2179</v>
      </c>
      <c r="K30" s="12" t="s">
        <v>2345</v>
      </c>
      <c r="L30" t="str">
        <f>IFERROR(VLOOKUP(K30,Таблица7[3]:Таблица7[[#This Row],[6]],2,FALSE),"")</f>
        <v>Фиксированное число 28</v>
      </c>
      <c r="M30" t="str">
        <f t="shared" si="0"/>
        <v>Фиксированное число 28 (0)</v>
      </c>
      <c r="N30" t="str" cm="1">
        <f t="array" ref="N30">IF(MOD(ROW()-ROW($B$2),16)=0,INDEX($M$2:$M$1000,(ROW()-ROW($B$2))/16+1),"")</f>
        <v/>
      </c>
      <c r="P30" s="9" t="s">
        <v>44</v>
      </c>
      <c r="Q30" t="str">
        <f t="shared" si="1"/>
        <v>Для робота: Резерв</v>
      </c>
    </row>
    <row r="31" spans="1:17" x14ac:dyDescent="0.3">
      <c r="A31" t="s">
        <v>2234</v>
      </c>
      <c r="B31" t="s">
        <v>2177</v>
      </c>
      <c r="C31" t="s">
        <v>2235</v>
      </c>
      <c r="D31" t="s">
        <v>2179</v>
      </c>
      <c r="E31">
        <v>0</v>
      </c>
      <c r="F31" t="s">
        <v>2179</v>
      </c>
      <c r="K31" s="12" t="s">
        <v>2346</v>
      </c>
      <c r="L31" t="str">
        <f>IFERROR(VLOOKUP(K31,Таблица7[3]:Таблица7[[#This Row],[6]],2,FALSE),"")</f>
        <v>Фиксированное число 29</v>
      </c>
      <c r="M31" t="str">
        <f t="shared" si="0"/>
        <v>Фиксированное число 29 (0)</v>
      </c>
      <c r="N31" t="str" cm="1">
        <f t="array" ref="N31">IF(MOD(ROW()-ROW($B$2),16)=0,INDEX($M$2:$M$1000,(ROW()-ROW($B$2))/16+1),"")</f>
        <v/>
      </c>
      <c r="P31" s="7" t="s">
        <v>44</v>
      </c>
      <c r="Q31" t="str">
        <f t="shared" si="1"/>
        <v>Для робота: Резерв</v>
      </c>
    </row>
    <row r="32" spans="1:17" x14ac:dyDescent="0.3">
      <c r="A32" t="s">
        <v>2236</v>
      </c>
      <c r="B32" t="s">
        <v>2177</v>
      </c>
      <c r="C32" t="s">
        <v>2237</v>
      </c>
      <c r="D32" t="s">
        <v>2179</v>
      </c>
      <c r="E32">
        <v>0</v>
      </c>
      <c r="F32" t="s">
        <v>2179</v>
      </c>
      <c r="K32" s="12" t="s">
        <v>2347</v>
      </c>
      <c r="L32" t="str">
        <f>IFERROR(VLOOKUP(K32,Таблица7[3]:Таблица7[[#This Row],[6]],2,FALSE),"")</f>
        <v>Фиксированное число 30</v>
      </c>
      <c r="M32" t="str">
        <f t="shared" si="0"/>
        <v>Фиксированное число 30 (0)</v>
      </c>
      <c r="N32" t="str" cm="1">
        <f t="array" ref="N32">IF(MOD(ROW()-ROW($B$2),16)=0,INDEX($M$2:$M$1000,(ROW()-ROW($B$2))/16+1),"")</f>
        <v/>
      </c>
      <c r="P32" s="9" t="s">
        <v>44</v>
      </c>
      <c r="Q32" t="str">
        <f t="shared" si="1"/>
        <v>Для робота: Резерв</v>
      </c>
    </row>
    <row r="33" spans="1:17" x14ac:dyDescent="0.3">
      <c r="A33" t="s">
        <v>2238</v>
      </c>
      <c r="B33" t="s">
        <v>2177</v>
      </c>
      <c r="C33" t="s">
        <v>2239</v>
      </c>
      <c r="D33" t="s">
        <v>2179</v>
      </c>
      <c r="E33">
        <v>0</v>
      </c>
      <c r="F33" t="s">
        <v>2179</v>
      </c>
      <c r="K33" s="12" t="s">
        <v>2348</v>
      </c>
      <c r="L33" t="str">
        <f>IFERROR(VLOOKUP(K33,Таблица7[3]:Таблица7[[#This Row],[6]],2,FALSE),"")</f>
        <v>Фиксированное число 31</v>
      </c>
      <c r="M33" t="str">
        <f t="shared" si="0"/>
        <v>Фиксированное число 31 (0)</v>
      </c>
      <c r="N33" t="str" cm="1">
        <f t="array" ref="N33">IF(MOD(ROW()-ROW($B$2),16)=0,INDEX($M$2:$M$1000,(ROW()-ROW($B$2))/16+1),"")</f>
        <v/>
      </c>
      <c r="P33" s="7" t="s">
        <v>44</v>
      </c>
      <c r="Q33" t="str">
        <f t="shared" si="1"/>
        <v>Для робота: Резерв</v>
      </c>
    </row>
    <row r="34" spans="1:17" x14ac:dyDescent="0.3">
      <c r="A34" t="s">
        <v>2240</v>
      </c>
      <c r="B34" t="s">
        <v>2177</v>
      </c>
      <c r="C34" t="s">
        <v>2241</v>
      </c>
      <c r="D34" t="s">
        <v>2179</v>
      </c>
      <c r="E34">
        <v>0</v>
      </c>
      <c r="F34" t="s">
        <v>2179</v>
      </c>
      <c r="K34" s="12" t="s">
        <v>2349</v>
      </c>
      <c r="L34" t="str">
        <f>IFERROR(VLOOKUP(K34,Таблица7[3]:Таблица7[[#This Row],[6]],2,FALSE),"")</f>
        <v>Фиксированное число 32</v>
      </c>
      <c r="M34" t="str">
        <f t="shared" si="0"/>
        <v>Фиксированное число 32 (0)</v>
      </c>
      <c r="N34" t="str" cm="1">
        <f t="array" ref="N34">IF(MOD(ROW()-ROW($B$2),16)=0,INDEX($M$2:$M$1000,(ROW()-ROW($B$2))/16+1),"")</f>
        <v>Фиксированное число 2 (0)</v>
      </c>
    </row>
    <row r="35" spans="1:17" x14ac:dyDescent="0.3">
      <c r="A35" t="s">
        <v>2242</v>
      </c>
      <c r="B35" t="s">
        <v>2177</v>
      </c>
      <c r="C35" t="s">
        <v>2243</v>
      </c>
      <c r="D35" t="s">
        <v>2244</v>
      </c>
      <c r="E35">
        <v>0</v>
      </c>
      <c r="F35" t="s">
        <v>2244</v>
      </c>
      <c r="K35" s="12" t="s">
        <v>2350</v>
      </c>
      <c r="L35" t="str">
        <f>IFERROR(VLOOKUP(K35,Таблица7[3]:Таблица7[[#This Row],[6]],2,FALSE),"")</f>
        <v>Фиксированное число 33</v>
      </c>
      <c r="M35" t="str">
        <f t="shared" si="0"/>
        <v>Фиксированное число 33 (0)</v>
      </c>
      <c r="N35" t="str" cm="1">
        <f t="array" ref="N35">IF(MOD(ROW()-ROW($B$2),16)=0,INDEX($M$2:$M$1000,(ROW()-ROW($B$2))/16+1),"")</f>
        <v/>
      </c>
    </row>
    <row r="36" spans="1:17" x14ac:dyDescent="0.3">
      <c r="A36" t="s">
        <v>2245</v>
      </c>
      <c r="B36" t="s">
        <v>2177</v>
      </c>
      <c r="C36" t="s">
        <v>2246</v>
      </c>
      <c r="D36" t="s">
        <v>2247</v>
      </c>
      <c r="E36">
        <v>0</v>
      </c>
      <c r="F36" t="s">
        <v>2247</v>
      </c>
      <c r="K36" s="12" t="s">
        <v>2351</v>
      </c>
      <c r="L36" t="str">
        <f>IFERROR(VLOOKUP(K36,Таблица7[3]:Таблица7[[#This Row],[6]],2,FALSE),"")</f>
        <v>Фиксированное число 34</v>
      </c>
      <c r="M36" t="str">
        <f t="shared" si="0"/>
        <v>Фиксированное число 34 (0)</v>
      </c>
      <c r="N36" t="str" cm="1">
        <f t="array" ref="N36">IF(MOD(ROW()-ROW($B$2),16)=0,INDEX($M$2:$M$1000,(ROW()-ROW($B$2))/16+1),"")</f>
        <v/>
      </c>
    </row>
    <row r="37" spans="1:17" x14ac:dyDescent="0.3">
      <c r="A37" t="s">
        <v>2248</v>
      </c>
      <c r="B37" t="s">
        <v>2177</v>
      </c>
      <c r="C37" t="s">
        <v>2249</v>
      </c>
      <c r="D37" t="s">
        <v>2250</v>
      </c>
      <c r="E37">
        <v>0</v>
      </c>
      <c r="F37" t="s">
        <v>2250</v>
      </c>
      <c r="K37" s="12" t="s">
        <v>2352</v>
      </c>
      <c r="L37" t="str">
        <f>IFERROR(VLOOKUP(K37,Таблица7[3]:Таблица7[[#This Row],[6]],2,FALSE),"")</f>
        <v>Фиксированное число 35</v>
      </c>
      <c r="M37" t="str">
        <f t="shared" si="0"/>
        <v>Фиксированное число 35 (0)</v>
      </c>
      <c r="N37" t="str" cm="1">
        <f t="array" ref="N37">IF(MOD(ROW()-ROW($B$2),16)=0,INDEX($M$2:$M$1000,(ROW()-ROW($B$2))/16+1),"")</f>
        <v/>
      </c>
    </row>
    <row r="38" spans="1:17" x14ac:dyDescent="0.3">
      <c r="A38" t="s">
        <v>2251</v>
      </c>
      <c r="B38" t="s">
        <v>2173</v>
      </c>
      <c r="C38" t="s">
        <v>2252</v>
      </c>
      <c r="D38" t="s">
        <v>2253</v>
      </c>
      <c r="E38">
        <v>0</v>
      </c>
      <c r="F38" t="s">
        <v>2253</v>
      </c>
      <c r="K38" s="12" t="s">
        <v>2353</v>
      </c>
      <c r="L38" t="str">
        <f>IFERROR(VLOOKUP(K38,Таблица7[3]:Таблица7[[#This Row],[6]],2,FALSE),"")</f>
        <v>Фиксированное число 36</v>
      </c>
      <c r="M38" t="str">
        <f t="shared" si="0"/>
        <v>Фиксированное число 36 (0)</v>
      </c>
      <c r="N38" t="str" cm="1">
        <f t="array" ref="N38">IF(MOD(ROW()-ROW($B$2),16)=0,INDEX($M$2:$M$1000,(ROW()-ROW($B$2))/16+1),"")</f>
        <v/>
      </c>
    </row>
    <row r="39" spans="1:17" x14ac:dyDescent="0.3">
      <c r="A39" t="s">
        <v>2254</v>
      </c>
      <c r="B39" t="s">
        <v>2177</v>
      </c>
      <c r="C39" t="s">
        <v>2255</v>
      </c>
      <c r="D39" t="s">
        <v>2256</v>
      </c>
      <c r="E39">
        <v>0</v>
      </c>
      <c r="F39" t="s">
        <v>2256</v>
      </c>
      <c r="K39" s="12" t="s">
        <v>2354</v>
      </c>
      <c r="L39" t="str">
        <f>IFERROR(VLOOKUP(K39,Таблица7[3]:Таблица7[[#This Row],[6]],2,FALSE),"")</f>
        <v>Фиксированное число 37</v>
      </c>
      <c r="M39" t="str">
        <f t="shared" si="0"/>
        <v>Фиксированное число 37 (0)</v>
      </c>
      <c r="N39" t="str" cm="1">
        <f t="array" ref="N39">IF(MOD(ROW()-ROW($B$2),16)=0,INDEX($M$2:$M$1000,(ROW()-ROW($B$2))/16+1),"")</f>
        <v/>
      </c>
    </row>
    <row r="40" spans="1:17" x14ac:dyDescent="0.3">
      <c r="B40" t="s">
        <v>2177</v>
      </c>
      <c r="C40" t="s">
        <v>46</v>
      </c>
      <c r="D40" t="s">
        <v>35</v>
      </c>
      <c r="E40">
        <v>0</v>
      </c>
      <c r="F40" t="s">
        <v>35</v>
      </c>
      <c r="K40" s="12" t="s">
        <v>2355</v>
      </c>
      <c r="L40" t="str">
        <f>IFERROR(VLOOKUP(K40,Таблица7[3]:Таблица7[[#This Row],[6]],2,FALSE),"")</f>
        <v>Фиксированное число 38</v>
      </c>
      <c r="M40" t="str">
        <f t="shared" si="0"/>
        <v>Фиксированное число 38 (0)</v>
      </c>
      <c r="N40" t="str" cm="1">
        <f t="array" ref="N40">IF(MOD(ROW()-ROW($B$2),16)=0,INDEX($M$2:$M$1000,(ROW()-ROW($B$2))/16+1),"")</f>
        <v/>
      </c>
    </row>
    <row r="41" spans="1:17" x14ac:dyDescent="0.3">
      <c r="B41" t="s">
        <v>2177</v>
      </c>
      <c r="C41" t="s">
        <v>47</v>
      </c>
      <c r="D41" t="s">
        <v>36</v>
      </c>
      <c r="E41">
        <v>0</v>
      </c>
      <c r="F41" t="s">
        <v>36</v>
      </c>
      <c r="K41" s="12" t="s">
        <v>2356</v>
      </c>
      <c r="L41" t="str">
        <f>IFERROR(VLOOKUP(K41,Таблица7[3]:Таблица7[[#This Row],[6]],2,FALSE),"")</f>
        <v>Фиксированное число 39</v>
      </c>
      <c r="M41" t="str">
        <f t="shared" si="0"/>
        <v>Фиксированное число 39 (0)</v>
      </c>
      <c r="N41" t="str" cm="1">
        <f t="array" ref="N41">IF(MOD(ROW()-ROW($B$2),16)=0,INDEX($M$2:$M$1000,(ROW()-ROW($B$2))/16+1),"")</f>
        <v/>
      </c>
    </row>
    <row r="42" spans="1:17" x14ac:dyDescent="0.3">
      <c r="B42" t="s">
        <v>2177</v>
      </c>
      <c r="C42" t="s">
        <v>48</v>
      </c>
      <c r="D42" t="s">
        <v>37</v>
      </c>
      <c r="E42">
        <v>0</v>
      </c>
      <c r="F42" t="s">
        <v>37</v>
      </c>
      <c r="K42" s="12" t="s">
        <v>2357</v>
      </c>
      <c r="L42" t="str">
        <f>IFERROR(VLOOKUP(K42,Таблица7[3]:Таблица7[[#This Row],[6]],2,FALSE),"")</f>
        <v>Фиксированное число 40</v>
      </c>
      <c r="M42" t="str">
        <f t="shared" si="0"/>
        <v>Фиксированное число 40 (0)</v>
      </c>
      <c r="N42" t="str" cm="1">
        <f t="array" ref="N42">IF(MOD(ROW()-ROW($B$2),16)=0,INDEX($M$2:$M$1000,(ROW()-ROW($B$2))/16+1),"")</f>
        <v/>
      </c>
    </row>
    <row r="43" spans="1:17" x14ac:dyDescent="0.3">
      <c r="B43" t="s">
        <v>2177</v>
      </c>
      <c r="C43" t="s">
        <v>49</v>
      </c>
      <c r="D43" t="s">
        <v>38</v>
      </c>
      <c r="E43">
        <v>0</v>
      </c>
      <c r="F43" t="s">
        <v>38</v>
      </c>
      <c r="K43" s="12" t="s">
        <v>2358</v>
      </c>
      <c r="L43" t="str">
        <f>IFERROR(VLOOKUP(K43,Таблица7[3]:Таблица7[[#This Row],[6]],2,FALSE),"")</f>
        <v>Фиксированное число 41</v>
      </c>
      <c r="M43" t="str">
        <f t="shared" si="0"/>
        <v>Фиксированное число 41 (0)</v>
      </c>
      <c r="N43" t="str" cm="1">
        <f t="array" ref="N43">IF(MOD(ROW()-ROW($B$2),16)=0,INDEX($M$2:$M$1000,(ROW()-ROW($B$2))/16+1),"")</f>
        <v/>
      </c>
    </row>
    <row r="44" spans="1:17" x14ac:dyDescent="0.3">
      <c r="B44" t="s">
        <v>2177</v>
      </c>
      <c r="C44" t="s">
        <v>50</v>
      </c>
      <c r="D44" t="s">
        <v>39</v>
      </c>
      <c r="E44">
        <v>0</v>
      </c>
      <c r="F44" t="s">
        <v>39</v>
      </c>
      <c r="K44" s="12" t="s">
        <v>2359</v>
      </c>
      <c r="L44" t="str">
        <f>IFERROR(VLOOKUP(K44,Таблица7[3]:Таблица7[[#This Row],[6]],2,FALSE),"")</f>
        <v>Фиксированное число 42</v>
      </c>
      <c r="M44" t="str">
        <f t="shared" si="0"/>
        <v>Фиксированное число 42 (0)</v>
      </c>
      <c r="N44" t="str" cm="1">
        <f t="array" ref="N44">IF(MOD(ROW()-ROW($B$2),16)=0,INDEX($M$2:$M$1000,(ROW()-ROW($B$2))/16+1),"")</f>
        <v/>
      </c>
    </row>
    <row r="45" spans="1:17" x14ac:dyDescent="0.3">
      <c r="B45" t="s">
        <v>2177</v>
      </c>
      <c r="C45" t="s">
        <v>51</v>
      </c>
      <c r="D45" t="s">
        <v>40</v>
      </c>
      <c r="E45">
        <v>0</v>
      </c>
      <c r="F45" t="s">
        <v>40</v>
      </c>
      <c r="K45" s="12" t="s">
        <v>2360</v>
      </c>
      <c r="L45" t="str">
        <f>IFERROR(VLOOKUP(K45,Таблица7[3]:Таблица7[[#This Row],[6]],2,FALSE),"")</f>
        <v>Фиксированное число 43</v>
      </c>
      <c r="M45" t="str">
        <f t="shared" si="0"/>
        <v>Фиксированное число 43 (0)</v>
      </c>
      <c r="N45" t="str" cm="1">
        <f t="array" ref="N45">IF(MOD(ROW()-ROW($B$2),16)=0,INDEX($M$2:$M$1000,(ROW()-ROW($B$2))/16+1),"")</f>
        <v/>
      </c>
    </row>
    <row r="46" spans="1:17" x14ac:dyDescent="0.3">
      <c r="B46" t="s">
        <v>2177</v>
      </c>
      <c r="C46" t="s">
        <v>52</v>
      </c>
      <c r="D46" t="s">
        <v>41</v>
      </c>
      <c r="E46">
        <v>0</v>
      </c>
      <c r="F46" t="s">
        <v>41</v>
      </c>
      <c r="K46" s="12" t="s">
        <v>2361</v>
      </c>
      <c r="L46" t="str">
        <f>IFERROR(VLOOKUP(K46,Таблица7[3]:Таблица7[[#This Row],[6]],2,FALSE),"")</f>
        <v>Фиксированное число 44</v>
      </c>
      <c r="M46" t="str">
        <f t="shared" si="0"/>
        <v>Фиксированное число 44 (0)</v>
      </c>
      <c r="N46" t="str" cm="1">
        <f t="array" ref="N46">IF(MOD(ROW()-ROW($B$2),16)=0,INDEX($M$2:$M$1000,(ROW()-ROW($B$2))/16+1),"")</f>
        <v/>
      </c>
    </row>
    <row r="47" spans="1:17" x14ac:dyDescent="0.3">
      <c r="B47" t="s">
        <v>2177</v>
      </c>
      <c r="C47" t="s">
        <v>53</v>
      </c>
      <c r="D47" t="s">
        <v>42</v>
      </c>
      <c r="E47">
        <v>0</v>
      </c>
      <c r="F47" t="s">
        <v>42</v>
      </c>
      <c r="K47" s="12" t="s">
        <v>2362</v>
      </c>
      <c r="L47" t="str">
        <f>IFERROR(VLOOKUP(K47,Таблица7[3]:Таблица7[[#This Row],[6]],2,FALSE),"")</f>
        <v>Фиксированное число 45</v>
      </c>
      <c r="M47" t="str">
        <f t="shared" si="0"/>
        <v>Фиксированное число 45 (0)</v>
      </c>
      <c r="N47" t="str" cm="1">
        <f t="array" ref="N47">IF(MOD(ROW()-ROW($B$2),16)=0,INDEX($M$2:$M$1000,(ROW()-ROW($B$2))/16+1),"")</f>
        <v/>
      </c>
    </row>
    <row r="48" spans="1:17" x14ac:dyDescent="0.3">
      <c r="B48" t="s">
        <v>2177</v>
      </c>
      <c r="C48" t="s">
        <v>54</v>
      </c>
      <c r="D48" t="s">
        <v>43</v>
      </c>
      <c r="E48">
        <v>0</v>
      </c>
      <c r="F48" t="s">
        <v>43</v>
      </c>
      <c r="K48" s="12" t="s">
        <v>2363</v>
      </c>
      <c r="L48" t="str">
        <f>IFERROR(VLOOKUP(K48,Таблица7[3]:Таблица7[[#This Row],[6]],2,FALSE),"")</f>
        <v>Фиксированное число 46</v>
      </c>
      <c r="M48" t="str">
        <f t="shared" si="0"/>
        <v>Фиксированное число 46 (0)</v>
      </c>
      <c r="N48" t="str" cm="1">
        <f t="array" ref="N48">IF(MOD(ROW()-ROW($B$2),16)=0,INDEX($M$2:$M$1000,(ROW()-ROW($B$2))/16+1),"")</f>
        <v/>
      </c>
    </row>
    <row r="49" spans="2:14" x14ac:dyDescent="0.3">
      <c r="B49" t="s">
        <v>2177</v>
      </c>
      <c r="C49" t="s">
        <v>55</v>
      </c>
      <c r="D49" t="s">
        <v>44</v>
      </c>
      <c r="E49">
        <v>0</v>
      </c>
      <c r="F49" t="s">
        <v>44</v>
      </c>
      <c r="K49" s="12" t="s">
        <v>2364</v>
      </c>
      <c r="L49" t="str">
        <f>IFERROR(VLOOKUP(K49,Таблица7[3]:Таблица7[[#This Row],[6]],2,FALSE),"")</f>
        <v>Фиксированное число 47</v>
      </c>
      <c r="M49" t="str">
        <f t="shared" si="0"/>
        <v>Фиксированное число 47 (0)</v>
      </c>
      <c r="N49" t="str" cm="1">
        <f t="array" ref="N49">IF(MOD(ROW()-ROW($B$2),16)=0,INDEX($M$2:$M$1000,(ROW()-ROW($B$2))/16+1),"")</f>
        <v/>
      </c>
    </row>
    <row r="50" spans="2:14" x14ac:dyDescent="0.3">
      <c r="B50" t="s">
        <v>2177</v>
      </c>
      <c r="C50" t="s">
        <v>56</v>
      </c>
      <c r="D50" t="s">
        <v>44</v>
      </c>
      <c r="E50">
        <v>0</v>
      </c>
      <c r="F50" t="s">
        <v>44</v>
      </c>
      <c r="K50" s="12" t="s">
        <v>2365</v>
      </c>
      <c r="L50" t="str">
        <f>IFERROR(VLOOKUP(K50,Таблица7[3]:Таблица7[[#This Row],[6]],2,FALSE),"")</f>
        <v>Фиксированное число 48</v>
      </c>
      <c r="M50" t="str">
        <f t="shared" si="0"/>
        <v>Фиксированное число 48 (0)</v>
      </c>
      <c r="N50" t="str" cm="1">
        <f t="array" ref="N50">IF(MOD(ROW()-ROW($B$2),16)=0,INDEX($M$2:$M$1000,(ROW()-ROW($B$2))/16+1),"")</f>
        <v>Фиксированное число 3 (0)</v>
      </c>
    </row>
    <row r="51" spans="2:14" x14ac:dyDescent="0.3">
      <c r="B51" t="s">
        <v>2177</v>
      </c>
      <c r="C51" t="s">
        <v>57</v>
      </c>
      <c r="D51" t="s">
        <v>44</v>
      </c>
      <c r="E51">
        <v>0</v>
      </c>
      <c r="F51" t="s">
        <v>44</v>
      </c>
      <c r="K51" s="12" t="s">
        <v>2366</v>
      </c>
      <c r="L51" t="str">
        <f>IFERROR(VLOOKUP(K51,Таблица7[3]:Таблица7[[#This Row],[6]],2,FALSE),"")</f>
        <v>Фиксированное число 49</v>
      </c>
      <c r="M51" t="str">
        <f t="shared" si="0"/>
        <v>Фиксированное число 49 (0)</v>
      </c>
      <c r="N51" t="str" cm="1">
        <f t="array" ref="N51">IF(MOD(ROW()-ROW($B$2),16)=0,INDEX($M$2:$M$1000,(ROW()-ROW($B$2))/16+1),"")</f>
        <v/>
      </c>
    </row>
    <row r="52" spans="2:14" x14ac:dyDescent="0.3">
      <c r="B52" t="s">
        <v>2177</v>
      </c>
      <c r="C52" t="s">
        <v>58</v>
      </c>
      <c r="D52" t="s">
        <v>44</v>
      </c>
      <c r="E52">
        <v>0</v>
      </c>
      <c r="F52" t="s">
        <v>44</v>
      </c>
      <c r="K52" s="12" t="s">
        <v>2367</v>
      </c>
      <c r="L52" t="str">
        <f>IFERROR(VLOOKUP(K52,Таблица7[3]:Таблица7[[#This Row],[6]],2,FALSE),"")</f>
        <v>Фиксированное число 50</v>
      </c>
      <c r="M52" t="str">
        <f t="shared" si="0"/>
        <v>Фиксированное число 50 (0)</v>
      </c>
      <c r="N52" t="str" cm="1">
        <f t="array" ref="N52">IF(MOD(ROW()-ROW($B$2),16)=0,INDEX($M$2:$M$1000,(ROW()-ROW($B$2))/16+1),"")</f>
        <v/>
      </c>
    </row>
    <row r="53" spans="2:14" x14ac:dyDescent="0.3">
      <c r="B53" t="s">
        <v>2177</v>
      </c>
      <c r="C53" t="s">
        <v>59</v>
      </c>
      <c r="D53" t="s">
        <v>44</v>
      </c>
      <c r="E53">
        <v>0</v>
      </c>
      <c r="F53" t="s">
        <v>44</v>
      </c>
      <c r="K53" s="12" t="s">
        <v>2368</v>
      </c>
      <c r="L53" t="str">
        <f>IFERROR(VLOOKUP(K53,Таблица7[3]:Таблица7[[#This Row],[6]],2,FALSE),"")</f>
        <v>Фиксированное число 51</v>
      </c>
      <c r="M53" t="str">
        <f t="shared" si="0"/>
        <v>Фиксированное число 51 (0)</v>
      </c>
      <c r="N53" t="str" cm="1">
        <f t="array" ref="N53">IF(MOD(ROW()-ROW($B$2),16)=0,INDEX($M$2:$M$1000,(ROW()-ROW($B$2))/16+1),"")</f>
        <v/>
      </c>
    </row>
    <row r="54" spans="2:14" x14ac:dyDescent="0.3">
      <c r="B54" t="s">
        <v>2177</v>
      </c>
      <c r="C54" t="s">
        <v>60</v>
      </c>
      <c r="D54" t="s">
        <v>44</v>
      </c>
      <c r="E54">
        <v>0</v>
      </c>
      <c r="F54" t="s">
        <v>44</v>
      </c>
      <c r="K54" s="12" t="s">
        <v>2369</v>
      </c>
      <c r="L54" t="str">
        <f>IFERROR(VLOOKUP(K54,Таблица7[3]:Таблица7[[#This Row],[6]],2,FALSE),"")</f>
        <v>Фиксированное число 52</v>
      </c>
      <c r="M54" t="str">
        <f t="shared" si="0"/>
        <v>Фиксированное число 52 (0)</v>
      </c>
      <c r="N54" t="str" cm="1">
        <f t="array" ref="N54">IF(MOD(ROW()-ROW($B$2),16)=0,INDEX($M$2:$M$1000,(ROW()-ROW($B$2))/16+1),"")</f>
        <v/>
      </c>
    </row>
    <row r="55" spans="2:14" x14ac:dyDescent="0.3">
      <c r="B55" t="s">
        <v>2177</v>
      </c>
      <c r="C55" t="s">
        <v>61</v>
      </c>
      <c r="D55" t="s">
        <v>44</v>
      </c>
      <c r="E55">
        <v>0</v>
      </c>
      <c r="F55" t="s">
        <v>44</v>
      </c>
      <c r="K55" s="12" t="s">
        <v>2370</v>
      </c>
      <c r="L55" t="str">
        <f>IFERROR(VLOOKUP(K55,Таблица7[3]:Таблица7[[#This Row],[6]],2,FALSE),"")</f>
        <v>Фиксированное число 53</v>
      </c>
      <c r="M55" t="str">
        <f t="shared" si="0"/>
        <v>Фиксированное число 53 (0)</v>
      </c>
      <c r="N55" t="str" cm="1">
        <f t="array" ref="N55">IF(MOD(ROW()-ROW($B$2),16)=0,INDEX($M$2:$M$1000,(ROW()-ROW($B$2))/16+1),"")</f>
        <v/>
      </c>
    </row>
    <row r="56" spans="2:14" x14ac:dyDescent="0.3">
      <c r="B56" t="s">
        <v>2177</v>
      </c>
      <c r="C56" t="s">
        <v>62</v>
      </c>
      <c r="D56" t="s">
        <v>78</v>
      </c>
      <c r="E56">
        <v>0</v>
      </c>
      <c r="F56" t="s">
        <v>78</v>
      </c>
      <c r="K56" s="12" t="s">
        <v>2371</v>
      </c>
      <c r="L56" t="str">
        <f>IFERROR(VLOOKUP(K56,Таблица7[3]:Таблица7[[#This Row],[6]],2,FALSE),"")</f>
        <v>Фиксированное число 54</v>
      </c>
      <c r="M56" t="str">
        <f t="shared" si="0"/>
        <v>Фиксированное число 54 (0)</v>
      </c>
      <c r="N56" t="str" cm="1">
        <f t="array" ref="N56">IF(MOD(ROW()-ROW($B$2),16)=0,INDEX($M$2:$M$1000,(ROW()-ROW($B$2))/16+1),"")</f>
        <v/>
      </c>
    </row>
    <row r="57" spans="2:14" x14ac:dyDescent="0.3">
      <c r="B57" t="s">
        <v>2177</v>
      </c>
      <c r="C57" t="s">
        <v>63</v>
      </c>
      <c r="D57" t="s">
        <v>79</v>
      </c>
      <c r="E57">
        <v>0</v>
      </c>
      <c r="F57" t="s">
        <v>79</v>
      </c>
      <c r="K57" s="12" t="s">
        <v>2372</v>
      </c>
      <c r="L57" t="str">
        <f>IFERROR(VLOOKUP(K57,Таблица7[3]:Таблица7[[#This Row],[6]],2,FALSE),"")</f>
        <v>Фиксированное число 55</v>
      </c>
      <c r="M57" t="str">
        <f t="shared" si="0"/>
        <v>Фиксированное число 55 (0)</v>
      </c>
      <c r="N57" t="str" cm="1">
        <f t="array" ref="N57">IF(MOD(ROW()-ROW($B$2),16)=0,INDEX($M$2:$M$1000,(ROW()-ROW($B$2))/16+1),"")</f>
        <v/>
      </c>
    </row>
    <row r="58" spans="2:14" x14ac:dyDescent="0.3">
      <c r="B58" t="s">
        <v>2177</v>
      </c>
      <c r="C58" t="s">
        <v>64</v>
      </c>
      <c r="D58" t="s">
        <v>80</v>
      </c>
      <c r="E58">
        <v>0</v>
      </c>
      <c r="F58" t="s">
        <v>80</v>
      </c>
      <c r="K58" s="12" t="s">
        <v>2373</v>
      </c>
      <c r="L58" t="str">
        <f>IFERROR(VLOOKUP(K58,Таблица7[3]:Таблица7[[#This Row],[6]],2,FALSE),"")</f>
        <v>Фиксированное число 56</v>
      </c>
      <c r="M58" t="str">
        <f t="shared" si="0"/>
        <v>Фиксированное число 56 (0)</v>
      </c>
      <c r="N58" t="str" cm="1">
        <f t="array" ref="N58">IF(MOD(ROW()-ROW($B$2),16)=0,INDEX($M$2:$M$1000,(ROW()-ROW($B$2))/16+1),"")</f>
        <v/>
      </c>
    </row>
    <row r="59" spans="2:14" x14ac:dyDescent="0.3">
      <c r="B59" t="s">
        <v>2177</v>
      </c>
      <c r="C59" t="s">
        <v>65</v>
      </c>
      <c r="D59" t="s">
        <v>81</v>
      </c>
      <c r="E59">
        <v>0</v>
      </c>
      <c r="F59" t="s">
        <v>81</v>
      </c>
      <c r="K59" s="12" t="s">
        <v>2374</v>
      </c>
      <c r="L59" t="str">
        <f>IFERROR(VLOOKUP(K59,Таблица7[3]:Таблица7[[#This Row],[6]],2,FALSE),"")</f>
        <v>Фиксированное число 57</v>
      </c>
      <c r="M59" t="str">
        <f t="shared" si="0"/>
        <v>Фиксированное число 57 (0)</v>
      </c>
      <c r="N59" t="str" cm="1">
        <f t="array" ref="N59">IF(MOD(ROW()-ROW($B$2),16)=0,INDEX($M$2:$M$1000,(ROW()-ROW($B$2))/16+1),"")</f>
        <v/>
      </c>
    </row>
    <row r="60" spans="2:14" x14ac:dyDescent="0.3">
      <c r="B60" t="s">
        <v>2177</v>
      </c>
      <c r="C60" t="s">
        <v>66</v>
      </c>
      <c r="D60" t="s">
        <v>82</v>
      </c>
      <c r="E60">
        <v>0</v>
      </c>
      <c r="F60" t="s">
        <v>82</v>
      </c>
      <c r="K60" s="12" t="s">
        <v>2375</v>
      </c>
      <c r="L60" t="str">
        <f>IFERROR(VLOOKUP(K60,Таблица7[3]:Таблица7[[#This Row],[6]],2,FALSE),"")</f>
        <v>Фиксированное число 58</v>
      </c>
      <c r="M60" t="str">
        <f t="shared" si="0"/>
        <v>Фиксированное число 58 (0)</v>
      </c>
      <c r="N60" t="str" cm="1">
        <f t="array" ref="N60">IF(MOD(ROW()-ROW($B$2),16)=0,INDEX($M$2:$M$1000,(ROW()-ROW($B$2))/16+1),"")</f>
        <v/>
      </c>
    </row>
    <row r="61" spans="2:14" x14ac:dyDescent="0.3">
      <c r="B61" t="s">
        <v>2177</v>
      </c>
      <c r="C61" t="s">
        <v>67</v>
      </c>
      <c r="D61" t="s">
        <v>44</v>
      </c>
      <c r="E61">
        <v>0</v>
      </c>
      <c r="F61" t="s">
        <v>44</v>
      </c>
      <c r="K61" s="12" t="s">
        <v>2376</v>
      </c>
      <c r="L61" t="str">
        <f>IFERROR(VLOOKUP(K61,Таблица7[3]:Таблица7[[#This Row],[6]],2,FALSE),"")</f>
        <v>Фиксированное число 59</v>
      </c>
      <c r="M61" t="str">
        <f t="shared" si="0"/>
        <v>Фиксированное число 59 (0)</v>
      </c>
      <c r="N61" t="str" cm="1">
        <f t="array" ref="N61">IF(MOD(ROW()-ROW($B$2),16)=0,INDEX($M$2:$M$1000,(ROW()-ROW($B$2))/16+1),"")</f>
        <v/>
      </c>
    </row>
    <row r="62" spans="2:14" x14ac:dyDescent="0.3">
      <c r="B62" t="s">
        <v>2177</v>
      </c>
      <c r="C62" t="s">
        <v>68</v>
      </c>
      <c r="D62" t="s">
        <v>83</v>
      </c>
      <c r="E62">
        <v>0</v>
      </c>
      <c r="F62" t="s">
        <v>83</v>
      </c>
      <c r="K62" s="12" t="s">
        <v>2377</v>
      </c>
      <c r="L62" t="str">
        <f>IFERROR(VLOOKUP(K62,Таблица7[3]:Таблица7[[#This Row],[6]],2,FALSE),"")</f>
        <v>Фиксированное число 60</v>
      </c>
      <c r="M62" t="str">
        <f t="shared" si="0"/>
        <v>Фиксированное число 60 (0)</v>
      </c>
      <c r="N62" t="str" cm="1">
        <f t="array" ref="N62">IF(MOD(ROW()-ROW($B$2),16)=0,INDEX($M$2:$M$1000,(ROW()-ROW($B$2))/16+1),"")</f>
        <v/>
      </c>
    </row>
    <row r="63" spans="2:14" x14ac:dyDescent="0.3">
      <c r="B63" t="s">
        <v>2177</v>
      </c>
      <c r="C63" t="s">
        <v>69</v>
      </c>
      <c r="D63" t="s">
        <v>84</v>
      </c>
      <c r="E63">
        <v>0</v>
      </c>
      <c r="F63" t="s">
        <v>84</v>
      </c>
      <c r="K63" s="12" t="s">
        <v>2378</v>
      </c>
      <c r="L63" t="str">
        <f>IFERROR(VLOOKUP(K63,Таблица7[3]:Таблица7[[#This Row],[6]],2,FALSE),"")</f>
        <v>Фиксированное число 61</v>
      </c>
      <c r="M63" t="str">
        <f t="shared" si="0"/>
        <v>Фиксированное число 61 (0)</v>
      </c>
      <c r="N63" t="str" cm="1">
        <f t="array" ref="N63">IF(MOD(ROW()-ROW($B$2),16)=0,INDEX($M$2:$M$1000,(ROW()-ROW($B$2))/16+1),"")</f>
        <v/>
      </c>
    </row>
    <row r="64" spans="2:14" x14ac:dyDescent="0.3">
      <c r="B64" t="s">
        <v>2177</v>
      </c>
      <c r="C64" t="s">
        <v>70</v>
      </c>
      <c r="D64" t="s">
        <v>85</v>
      </c>
      <c r="E64">
        <v>0</v>
      </c>
      <c r="F64" t="s">
        <v>85</v>
      </c>
      <c r="K64" s="12" t="s">
        <v>2379</v>
      </c>
      <c r="L64" t="str">
        <f>IFERROR(VLOOKUP(K64,Таблица7[3]:Таблица7[[#This Row],[6]],2,FALSE),"")</f>
        <v>Фиксированное число 62</v>
      </c>
      <c r="M64" t="str">
        <f t="shared" si="0"/>
        <v>Фиксированное число 62 (0)</v>
      </c>
      <c r="N64" t="str" cm="1">
        <f t="array" ref="N64">IF(MOD(ROW()-ROW($B$2),16)=0,INDEX($M$2:$M$1000,(ROW()-ROW($B$2))/16+1),"")</f>
        <v/>
      </c>
    </row>
    <row r="65" spans="2:14" x14ac:dyDescent="0.3">
      <c r="B65" t="s">
        <v>2177</v>
      </c>
      <c r="C65" t="s">
        <v>71</v>
      </c>
      <c r="D65" t="s">
        <v>2257</v>
      </c>
      <c r="E65">
        <v>0</v>
      </c>
      <c r="F65" t="s">
        <v>2257</v>
      </c>
      <c r="K65" s="12" t="s">
        <v>2380</v>
      </c>
      <c r="L65" t="str">
        <f>IFERROR(VLOOKUP(K65,Таблица7[3]:Таблица7[[#This Row],[6]],2,FALSE),"")</f>
        <v>Фиксированное число 63</v>
      </c>
      <c r="M65" t="str">
        <f t="shared" si="0"/>
        <v>Фиксированное число 63 (0)</v>
      </c>
      <c r="N65" t="str" cm="1">
        <f t="array" ref="N65">IF(MOD(ROW()-ROW($B$2),16)=0,INDEX($M$2:$M$1000,(ROW()-ROW($B$2))/16+1),"")</f>
        <v/>
      </c>
    </row>
    <row r="66" spans="2:14" x14ac:dyDescent="0.3">
      <c r="B66" t="s">
        <v>2177</v>
      </c>
      <c r="C66" t="s">
        <v>72</v>
      </c>
      <c r="D66" t="s">
        <v>44</v>
      </c>
      <c r="E66">
        <v>0</v>
      </c>
      <c r="F66" t="s">
        <v>44</v>
      </c>
      <c r="K66" s="12" t="s">
        <v>2381</v>
      </c>
      <c r="L66" t="str">
        <f>IFERROR(VLOOKUP(K66,Таблица7[3]:Таблица7[[#This Row],[6]],2,FALSE),"")</f>
        <v>Фиксированное число 64</v>
      </c>
      <c r="M66" t="str">
        <f t="shared" si="0"/>
        <v>Фиксированное число 64 (0)</v>
      </c>
      <c r="N66" t="str" cm="1">
        <f t="array" ref="N66">IF(MOD(ROW()-ROW($B$2),16)=0,INDEX($M$2:$M$1000,(ROW()-ROW($B$2))/16+1),"")</f>
        <v>Фиксированное число 4 (0)</v>
      </c>
    </row>
    <row r="67" spans="2:14" x14ac:dyDescent="0.3">
      <c r="B67" t="s">
        <v>2177</v>
      </c>
      <c r="C67" t="s">
        <v>73</v>
      </c>
      <c r="D67" t="s">
        <v>44</v>
      </c>
      <c r="E67">
        <v>0</v>
      </c>
      <c r="F67" t="s">
        <v>44</v>
      </c>
      <c r="K67" s="12" t="s">
        <v>2382</v>
      </c>
      <c r="L67" t="str">
        <f>IFERROR(VLOOKUP(K67,Таблица7[3]:Таблица7[[#This Row],[6]],2,FALSE),"")</f>
        <v>Фиксированное число 65</v>
      </c>
      <c r="M67" t="str">
        <f t="shared" ref="M67:M130" si="2">IF(L67&lt;&gt;"",L67&amp;" (0)","")</f>
        <v>Фиксированное число 65 (0)</v>
      </c>
      <c r="N67" t="str" cm="1">
        <f t="array" ref="N67">IF(MOD(ROW()-ROW($B$2),16)=0,INDEX($M$2:$M$1000,(ROW()-ROW($B$2))/16+1),"")</f>
        <v/>
      </c>
    </row>
    <row r="68" spans="2:14" x14ac:dyDescent="0.3">
      <c r="B68" t="s">
        <v>2177</v>
      </c>
      <c r="C68" t="s">
        <v>74</v>
      </c>
      <c r="D68" t="s">
        <v>44</v>
      </c>
      <c r="E68">
        <v>0</v>
      </c>
      <c r="F68" t="s">
        <v>44</v>
      </c>
      <c r="K68" s="12" t="s">
        <v>2383</v>
      </c>
      <c r="L68" t="str">
        <f>IFERROR(VLOOKUP(K68,Таблица7[3]:Таблица7[[#This Row],[6]],2,FALSE),"")</f>
        <v>Фиксированное число 66</v>
      </c>
      <c r="M68" t="str">
        <f t="shared" si="2"/>
        <v>Фиксированное число 66 (0)</v>
      </c>
      <c r="N68" t="str" cm="1">
        <f t="array" ref="N68">IF(MOD(ROW()-ROW($B$2),16)=0,INDEX($M$2:$M$1000,(ROW()-ROW($B$2))/16+1),"")</f>
        <v/>
      </c>
    </row>
    <row r="69" spans="2:14" x14ac:dyDescent="0.3">
      <c r="B69" t="s">
        <v>2177</v>
      </c>
      <c r="C69" t="s">
        <v>75</v>
      </c>
      <c r="D69" t="s">
        <v>44</v>
      </c>
      <c r="E69">
        <v>0</v>
      </c>
      <c r="F69" t="s">
        <v>44</v>
      </c>
      <c r="K69" s="12" t="s">
        <v>2384</v>
      </c>
      <c r="L69" t="str">
        <f>IFERROR(VLOOKUP(K69,Таблица7[3]:Таблица7[[#This Row],[6]],2,FALSE),"")</f>
        <v>Фиксированное число 67</v>
      </c>
      <c r="M69" t="str">
        <f t="shared" si="2"/>
        <v>Фиксированное число 67 (0)</v>
      </c>
      <c r="N69" t="str" cm="1">
        <f t="array" ref="N69">IF(MOD(ROW()-ROW($B$2),16)=0,INDEX($M$2:$M$1000,(ROW()-ROW($B$2))/16+1),"")</f>
        <v/>
      </c>
    </row>
    <row r="70" spans="2:14" x14ac:dyDescent="0.3">
      <c r="B70" t="s">
        <v>2177</v>
      </c>
      <c r="C70" t="s">
        <v>76</v>
      </c>
      <c r="D70" t="s">
        <v>44</v>
      </c>
      <c r="E70">
        <v>0</v>
      </c>
      <c r="F70" t="s">
        <v>44</v>
      </c>
      <c r="K70" s="12" t="s">
        <v>2385</v>
      </c>
      <c r="L70" t="str">
        <f>IFERROR(VLOOKUP(K70,Таблица7[3]:Таблица7[[#This Row],[6]],2,FALSE),"")</f>
        <v>Фиксированное число 68</v>
      </c>
      <c r="M70" t="str">
        <f t="shared" si="2"/>
        <v>Фиксированное число 68 (0)</v>
      </c>
      <c r="N70" t="str" cm="1">
        <f t="array" ref="N70">IF(MOD(ROW()-ROW($B$2),16)=0,INDEX($M$2:$M$1000,(ROW()-ROW($B$2))/16+1),"")</f>
        <v/>
      </c>
    </row>
    <row r="71" spans="2:14" x14ac:dyDescent="0.3">
      <c r="B71" t="s">
        <v>2177</v>
      </c>
      <c r="C71" t="s">
        <v>77</v>
      </c>
      <c r="D71" t="s">
        <v>44</v>
      </c>
      <c r="E71">
        <v>0</v>
      </c>
      <c r="F71" t="s">
        <v>44</v>
      </c>
      <c r="K71" s="12" t="s">
        <v>2386</v>
      </c>
      <c r="L71" t="str">
        <f>IFERROR(VLOOKUP(K71,Таблица7[3]:Таблица7[[#This Row],[6]],2,FALSE),"")</f>
        <v>Фиксированное число 69</v>
      </c>
      <c r="M71" t="str">
        <f t="shared" si="2"/>
        <v>Фиксированное число 69 (0)</v>
      </c>
      <c r="N71" t="str" cm="1">
        <f t="array" ref="N71">IF(MOD(ROW()-ROW($B$2),16)=0,INDEX($M$2:$M$1000,(ROW()-ROW($B$2))/16+1),"")</f>
        <v/>
      </c>
    </row>
    <row r="72" spans="2:14" x14ac:dyDescent="0.3">
      <c r="B72" t="s">
        <v>2177</v>
      </c>
      <c r="C72" t="s">
        <v>106</v>
      </c>
      <c r="D72" t="s">
        <v>122</v>
      </c>
      <c r="E72">
        <v>0</v>
      </c>
      <c r="F72" t="s">
        <v>122</v>
      </c>
      <c r="K72" s="12" t="s">
        <v>2387</v>
      </c>
      <c r="L72" t="str">
        <f>IFERROR(VLOOKUP(K72,Таблица7[3]:Таблица7[[#This Row],[6]],2,FALSE),"")</f>
        <v>Фиксированное число 70</v>
      </c>
      <c r="M72" t="str">
        <f t="shared" si="2"/>
        <v>Фиксированное число 70 (0)</v>
      </c>
      <c r="N72" t="str" cm="1">
        <f t="array" ref="N72">IF(MOD(ROW()-ROW($B$2),16)=0,INDEX($M$2:$M$1000,(ROW()-ROW($B$2))/16+1),"")</f>
        <v/>
      </c>
    </row>
    <row r="73" spans="2:14" x14ac:dyDescent="0.3">
      <c r="B73" t="s">
        <v>2177</v>
      </c>
      <c r="C73" t="s">
        <v>107</v>
      </c>
      <c r="D73" t="s">
        <v>123</v>
      </c>
      <c r="E73">
        <v>0</v>
      </c>
      <c r="F73" t="s">
        <v>123</v>
      </c>
      <c r="K73" s="12" t="s">
        <v>2388</v>
      </c>
      <c r="L73" t="str">
        <f>IFERROR(VLOOKUP(K73,Таблица7[3]:Таблица7[[#This Row],[6]],2,FALSE),"")</f>
        <v>Фиксированное число 71</v>
      </c>
      <c r="M73" t="str">
        <f t="shared" si="2"/>
        <v>Фиксированное число 71 (0)</v>
      </c>
      <c r="N73" t="str" cm="1">
        <f t="array" ref="N73">IF(MOD(ROW()-ROW($B$2),16)=0,INDEX($M$2:$M$1000,(ROW()-ROW($B$2))/16+1),"")</f>
        <v/>
      </c>
    </row>
    <row r="74" spans="2:14" x14ac:dyDescent="0.3">
      <c r="B74" t="s">
        <v>2177</v>
      </c>
      <c r="C74" t="s">
        <v>108</v>
      </c>
      <c r="D74" t="s">
        <v>124</v>
      </c>
      <c r="E74">
        <v>0</v>
      </c>
      <c r="F74" t="s">
        <v>124</v>
      </c>
      <c r="K74" s="12" t="s">
        <v>2389</v>
      </c>
      <c r="L74" t="str">
        <f>IFERROR(VLOOKUP(K74,Таблица7[3]:Таблица7[[#This Row],[6]],2,FALSE),"")</f>
        <v>Фиксированное число 72</v>
      </c>
      <c r="M74" t="str">
        <f t="shared" si="2"/>
        <v>Фиксированное число 72 (0)</v>
      </c>
      <c r="N74" t="str" cm="1">
        <f t="array" ref="N74">IF(MOD(ROW()-ROW($B$2),16)=0,INDEX($M$2:$M$1000,(ROW()-ROW($B$2))/16+1),"")</f>
        <v/>
      </c>
    </row>
    <row r="75" spans="2:14" x14ac:dyDescent="0.3">
      <c r="B75" t="s">
        <v>2177</v>
      </c>
      <c r="C75" t="s">
        <v>109</v>
      </c>
      <c r="D75" t="s">
        <v>125</v>
      </c>
      <c r="E75">
        <v>0</v>
      </c>
      <c r="F75" t="s">
        <v>125</v>
      </c>
      <c r="K75" s="12" t="s">
        <v>2390</v>
      </c>
      <c r="L75" t="str">
        <f>IFERROR(VLOOKUP(K75,Таблица7[3]:Таблица7[[#This Row],[6]],2,FALSE),"")</f>
        <v>Фиксированное число 73</v>
      </c>
      <c r="M75" t="str">
        <f t="shared" si="2"/>
        <v>Фиксированное число 73 (0)</v>
      </c>
      <c r="N75" t="str" cm="1">
        <f t="array" ref="N75">IF(MOD(ROW()-ROW($B$2),16)=0,INDEX($M$2:$M$1000,(ROW()-ROW($B$2))/16+1),"")</f>
        <v/>
      </c>
    </row>
    <row r="76" spans="2:14" x14ac:dyDescent="0.3">
      <c r="B76" t="s">
        <v>2177</v>
      </c>
      <c r="C76" t="s">
        <v>110</v>
      </c>
      <c r="D76" t="s">
        <v>126</v>
      </c>
      <c r="E76">
        <v>0</v>
      </c>
      <c r="F76" t="s">
        <v>126</v>
      </c>
      <c r="K76" s="12" t="s">
        <v>2391</v>
      </c>
      <c r="L76" t="str">
        <f>IFERROR(VLOOKUP(K76,Таблица7[3]:Таблица7[[#This Row],[6]],2,FALSE),"")</f>
        <v>Фиксированное число 74</v>
      </c>
      <c r="M76" t="str">
        <f t="shared" si="2"/>
        <v>Фиксированное число 74 (0)</v>
      </c>
      <c r="N76" t="str" cm="1">
        <f t="array" ref="N76">IF(MOD(ROW()-ROW($B$2),16)=0,INDEX($M$2:$M$1000,(ROW()-ROW($B$2))/16+1),"")</f>
        <v/>
      </c>
    </row>
    <row r="77" spans="2:14" x14ac:dyDescent="0.3">
      <c r="B77" t="s">
        <v>2177</v>
      </c>
      <c r="C77" t="s">
        <v>111</v>
      </c>
      <c r="D77" t="s">
        <v>127</v>
      </c>
      <c r="E77">
        <v>0</v>
      </c>
      <c r="F77" t="s">
        <v>127</v>
      </c>
      <c r="K77" s="12" t="s">
        <v>2392</v>
      </c>
      <c r="L77" t="str">
        <f>IFERROR(VLOOKUP(K77,Таблица7[3]:Таблица7[[#This Row],[6]],2,FALSE),"")</f>
        <v>Фиксированное число 75</v>
      </c>
      <c r="M77" t="str">
        <f t="shared" si="2"/>
        <v>Фиксированное число 75 (0)</v>
      </c>
      <c r="N77" t="str" cm="1">
        <f t="array" ref="N77">IF(MOD(ROW()-ROW($B$2),16)=0,INDEX($M$2:$M$1000,(ROW()-ROW($B$2))/16+1),"")</f>
        <v/>
      </c>
    </row>
    <row r="78" spans="2:14" x14ac:dyDescent="0.3">
      <c r="B78" t="s">
        <v>2177</v>
      </c>
      <c r="C78" t="s">
        <v>112</v>
      </c>
      <c r="D78" t="s">
        <v>128</v>
      </c>
      <c r="E78">
        <v>0</v>
      </c>
      <c r="F78" t="s">
        <v>128</v>
      </c>
      <c r="K78" s="12" t="s">
        <v>2393</v>
      </c>
      <c r="L78" t="str">
        <f>IFERROR(VLOOKUP(K78,Таблица7[3]:Таблица7[[#This Row],[6]],2,FALSE),"")</f>
        <v>Фиксированное число 76</v>
      </c>
      <c r="M78" t="str">
        <f t="shared" si="2"/>
        <v>Фиксированное число 76 (0)</v>
      </c>
      <c r="N78" t="str" cm="1">
        <f t="array" ref="N78">IF(MOD(ROW()-ROW($B$2),16)=0,INDEX($M$2:$M$1000,(ROW()-ROW($B$2))/16+1),"")</f>
        <v/>
      </c>
    </row>
    <row r="79" spans="2:14" x14ac:dyDescent="0.3">
      <c r="B79" t="s">
        <v>2177</v>
      </c>
      <c r="C79" t="s">
        <v>113</v>
      </c>
      <c r="D79" t="s">
        <v>129</v>
      </c>
      <c r="E79">
        <v>0</v>
      </c>
      <c r="F79" t="s">
        <v>129</v>
      </c>
      <c r="K79" s="12" t="s">
        <v>2394</v>
      </c>
      <c r="L79" t="str">
        <f>IFERROR(VLOOKUP(K79,Таблица7[3]:Таблица7[[#This Row],[6]],2,FALSE),"")</f>
        <v>Фиксированное число 77</v>
      </c>
      <c r="M79" t="str">
        <f t="shared" si="2"/>
        <v>Фиксированное число 77 (0)</v>
      </c>
      <c r="N79" t="str" cm="1">
        <f t="array" ref="N79">IF(MOD(ROW()-ROW($B$2),16)=0,INDEX($M$2:$M$1000,(ROW()-ROW($B$2))/16+1),"")</f>
        <v/>
      </c>
    </row>
    <row r="80" spans="2:14" x14ac:dyDescent="0.3">
      <c r="B80" t="s">
        <v>2177</v>
      </c>
      <c r="C80" t="s">
        <v>114</v>
      </c>
      <c r="D80" t="s">
        <v>44</v>
      </c>
      <c r="E80">
        <v>0</v>
      </c>
      <c r="F80" t="s">
        <v>44</v>
      </c>
      <c r="K80" s="12" t="s">
        <v>2395</v>
      </c>
      <c r="L80" t="str">
        <f>IFERROR(VLOOKUP(K80,Таблица7[3]:Таблица7[[#This Row],[6]],2,FALSE),"")</f>
        <v>Фиксированное число 78</v>
      </c>
      <c r="M80" t="str">
        <f t="shared" si="2"/>
        <v>Фиксированное число 78 (0)</v>
      </c>
      <c r="N80" t="str" cm="1">
        <f t="array" ref="N80">IF(MOD(ROW()-ROW($B$2),16)=0,INDEX($M$2:$M$1000,(ROW()-ROW($B$2))/16+1),"")</f>
        <v/>
      </c>
    </row>
    <row r="81" spans="2:14" x14ac:dyDescent="0.3">
      <c r="B81" t="s">
        <v>2177</v>
      </c>
      <c r="C81" t="s">
        <v>115</v>
      </c>
      <c r="D81" t="s">
        <v>44</v>
      </c>
      <c r="E81">
        <v>0</v>
      </c>
      <c r="F81" t="s">
        <v>44</v>
      </c>
      <c r="K81" s="12" t="s">
        <v>2396</v>
      </c>
      <c r="L81" t="str">
        <f>IFERROR(VLOOKUP(K81,Таблица7[3]:Таблица7[[#This Row],[6]],2,FALSE),"")</f>
        <v>Фиксированное число 79</v>
      </c>
      <c r="M81" t="str">
        <f t="shared" si="2"/>
        <v>Фиксированное число 79 (0)</v>
      </c>
      <c r="N81" t="str" cm="1">
        <f t="array" ref="N81">IF(MOD(ROW()-ROW($B$2),16)=0,INDEX($M$2:$M$1000,(ROW()-ROW($B$2))/16+1),"")</f>
        <v/>
      </c>
    </row>
    <row r="82" spans="2:14" x14ac:dyDescent="0.3">
      <c r="B82" t="s">
        <v>2177</v>
      </c>
      <c r="C82" t="s">
        <v>116</v>
      </c>
      <c r="D82" t="s">
        <v>44</v>
      </c>
      <c r="E82">
        <v>0</v>
      </c>
      <c r="F82" t="s">
        <v>44</v>
      </c>
      <c r="K82" s="12" t="s">
        <v>2397</v>
      </c>
      <c r="L82" t="str">
        <f>IFERROR(VLOOKUP(K82,Таблица7[3]:Таблица7[[#This Row],[6]],2,FALSE),"")</f>
        <v>Фиксированное число 80</v>
      </c>
      <c r="M82" t="str">
        <f t="shared" si="2"/>
        <v>Фиксированное число 80 (0)</v>
      </c>
      <c r="N82" t="str" cm="1">
        <f t="array" ref="N82">IF(MOD(ROW()-ROW($B$2),16)=0,INDEX($M$2:$M$1000,(ROW()-ROW($B$2))/16+1),"")</f>
        <v>Фиксированное число 5 (0)</v>
      </c>
    </row>
    <row r="83" spans="2:14" x14ac:dyDescent="0.3">
      <c r="B83" t="s">
        <v>2177</v>
      </c>
      <c r="C83" t="s">
        <v>117</v>
      </c>
      <c r="D83" t="s">
        <v>44</v>
      </c>
      <c r="E83">
        <v>0</v>
      </c>
      <c r="F83" t="s">
        <v>44</v>
      </c>
      <c r="K83" s="12" t="s">
        <v>2398</v>
      </c>
      <c r="L83" t="str">
        <f>IFERROR(VLOOKUP(K83,Таблица7[3]:Таблица7[[#This Row],[6]],2,FALSE),"")</f>
        <v>Фиксированное число 81</v>
      </c>
      <c r="M83" t="str">
        <f t="shared" si="2"/>
        <v>Фиксированное число 81 (0)</v>
      </c>
      <c r="N83" t="str" cm="1">
        <f t="array" ref="N83">IF(MOD(ROW()-ROW($B$2),16)=0,INDEX($M$2:$M$1000,(ROW()-ROW($B$2))/16+1),"")</f>
        <v/>
      </c>
    </row>
    <row r="84" spans="2:14" x14ac:dyDescent="0.3">
      <c r="B84" t="s">
        <v>2177</v>
      </c>
      <c r="C84" t="s">
        <v>118</v>
      </c>
      <c r="D84" t="s">
        <v>44</v>
      </c>
      <c r="E84">
        <v>0</v>
      </c>
      <c r="F84" t="s">
        <v>44</v>
      </c>
      <c r="K84" s="12" t="s">
        <v>2399</v>
      </c>
      <c r="L84" t="str">
        <f>IFERROR(VLOOKUP(K84,Таблица7[3]:Таблица7[[#This Row],[6]],2,FALSE),"")</f>
        <v>Фиксированное число 82</v>
      </c>
      <c r="M84" t="str">
        <f t="shared" si="2"/>
        <v>Фиксированное число 82 (0)</v>
      </c>
      <c r="N84" t="str" cm="1">
        <f t="array" ref="N84">IF(MOD(ROW()-ROW($B$2),16)=0,INDEX($M$2:$M$1000,(ROW()-ROW($B$2))/16+1),"")</f>
        <v/>
      </c>
    </row>
    <row r="85" spans="2:14" x14ac:dyDescent="0.3">
      <c r="B85" t="s">
        <v>2177</v>
      </c>
      <c r="C85" t="s">
        <v>119</v>
      </c>
      <c r="D85" t="s">
        <v>44</v>
      </c>
      <c r="E85">
        <v>0</v>
      </c>
      <c r="F85" t="s">
        <v>44</v>
      </c>
      <c r="K85" s="12" t="s">
        <v>2400</v>
      </c>
      <c r="L85" t="str">
        <f>IFERROR(VLOOKUP(K85,Таблица7[3]:Таблица7[[#This Row],[6]],2,FALSE),"")</f>
        <v>Фиксированное число 83</v>
      </c>
      <c r="M85" t="str">
        <f t="shared" si="2"/>
        <v>Фиксированное число 83 (0)</v>
      </c>
      <c r="N85" t="str" cm="1">
        <f t="array" ref="N85">IF(MOD(ROW()-ROW($B$2),16)=0,INDEX($M$2:$M$1000,(ROW()-ROW($B$2))/16+1),"")</f>
        <v/>
      </c>
    </row>
    <row r="86" spans="2:14" x14ac:dyDescent="0.3">
      <c r="B86" t="s">
        <v>2177</v>
      </c>
      <c r="C86" t="s">
        <v>120</v>
      </c>
      <c r="D86" t="s">
        <v>44</v>
      </c>
      <c r="E86">
        <v>0</v>
      </c>
      <c r="F86" t="s">
        <v>44</v>
      </c>
      <c r="K86" s="12" t="s">
        <v>2401</v>
      </c>
      <c r="L86" t="str">
        <f>IFERROR(VLOOKUP(K86,Таблица7[3]:Таблица7[[#This Row],[6]],2,FALSE),"")</f>
        <v>Фиксированное число 84</v>
      </c>
      <c r="M86" t="str">
        <f t="shared" si="2"/>
        <v>Фиксированное число 84 (0)</v>
      </c>
      <c r="N86" t="str" cm="1">
        <f t="array" ref="N86">IF(MOD(ROW()-ROW($B$2),16)=0,INDEX($M$2:$M$1000,(ROW()-ROW($B$2))/16+1),"")</f>
        <v/>
      </c>
    </row>
    <row r="87" spans="2:14" x14ac:dyDescent="0.3">
      <c r="B87" t="s">
        <v>2177</v>
      </c>
      <c r="C87" t="s">
        <v>121</v>
      </c>
      <c r="D87" t="s">
        <v>44</v>
      </c>
      <c r="E87">
        <v>0</v>
      </c>
      <c r="F87" t="s">
        <v>44</v>
      </c>
      <c r="K87" s="12" t="s">
        <v>2402</v>
      </c>
      <c r="L87" t="str">
        <f>IFERROR(VLOOKUP(K87,Таблица7[3]:Таблица7[[#This Row],[6]],2,FALSE),"")</f>
        <v>Фиксированное число 85</v>
      </c>
      <c r="M87" t="str">
        <f t="shared" si="2"/>
        <v>Фиксированное число 85 (0)</v>
      </c>
      <c r="N87" t="str" cm="1">
        <f t="array" ref="N87">IF(MOD(ROW()-ROW($B$2),16)=0,INDEX($M$2:$M$1000,(ROW()-ROW($B$2))/16+1),"")</f>
        <v/>
      </c>
    </row>
    <row r="88" spans="2:14" x14ac:dyDescent="0.3">
      <c r="B88" t="s">
        <v>2177</v>
      </c>
      <c r="C88" t="s">
        <v>162</v>
      </c>
      <c r="D88" t="s">
        <v>178</v>
      </c>
      <c r="E88">
        <v>0</v>
      </c>
      <c r="F88" t="s">
        <v>178</v>
      </c>
      <c r="K88" s="12" t="s">
        <v>2403</v>
      </c>
      <c r="L88" t="str">
        <f>IFERROR(VLOOKUP(K88,Таблица7[3]:Таблица7[[#This Row],[6]],2,FALSE),"")</f>
        <v>Фиксированное число 86</v>
      </c>
      <c r="M88" t="str">
        <f t="shared" si="2"/>
        <v>Фиксированное число 86 (0)</v>
      </c>
      <c r="N88" t="str" cm="1">
        <f t="array" ref="N88">IF(MOD(ROW()-ROW($B$2),16)=0,INDEX($M$2:$M$1000,(ROW()-ROW($B$2))/16+1),"")</f>
        <v/>
      </c>
    </row>
    <row r="89" spans="2:14" x14ac:dyDescent="0.3">
      <c r="B89" t="s">
        <v>2177</v>
      </c>
      <c r="C89" t="s">
        <v>163</v>
      </c>
      <c r="D89" t="s">
        <v>179</v>
      </c>
      <c r="E89">
        <v>0</v>
      </c>
      <c r="F89" t="s">
        <v>179</v>
      </c>
      <c r="K89" s="12" t="s">
        <v>2404</v>
      </c>
      <c r="L89" t="str">
        <f>IFERROR(VLOOKUP(K89,Таблица7[3]:Таблица7[[#This Row],[6]],2,FALSE),"")</f>
        <v>Фиксированное число 87</v>
      </c>
      <c r="M89" t="str">
        <f t="shared" si="2"/>
        <v>Фиксированное число 87 (0)</v>
      </c>
      <c r="N89" t="str" cm="1">
        <f t="array" ref="N89">IF(MOD(ROW()-ROW($B$2),16)=0,INDEX($M$2:$M$1000,(ROW()-ROW($B$2))/16+1),"")</f>
        <v/>
      </c>
    </row>
    <row r="90" spans="2:14" x14ac:dyDescent="0.3">
      <c r="B90" t="s">
        <v>2177</v>
      </c>
      <c r="C90" t="s">
        <v>164</v>
      </c>
      <c r="D90" t="s">
        <v>180</v>
      </c>
      <c r="E90">
        <v>0</v>
      </c>
      <c r="F90" t="s">
        <v>180</v>
      </c>
      <c r="K90" s="12" t="s">
        <v>2405</v>
      </c>
      <c r="L90" t="str">
        <f>IFERROR(VLOOKUP(K90,Таблица7[3]:Таблица7[[#This Row],[6]],2,FALSE),"")</f>
        <v>Фиксированное число 88</v>
      </c>
      <c r="M90" t="str">
        <f t="shared" si="2"/>
        <v>Фиксированное число 88 (0)</v>
      </c>
      <c r="N90" t="str" cm="1">
        <f t="array" ref="N90">IF(MOD(ROW()-ROW($B$2),16)=0,INDEX($M$2:$M$1000,(ROW()-ROW($B$2))/16+1),"")</f>
        <v/>
      </c>
    </row>
    <row r="91" spans="2:14" x14ac:dyDescent="0.3">
      <c r="B91" t="s">
        <v>2177</v>
      </c>
      <c r="C91" t="s">
        <v>165</v>
      </c>
      <c r="D91" t="s">
        <v>181</v>
      </c>
      <c r="E91">
        <v>0</v>
      </c>
      <c r="F91" t="s">
        <v>181</v>
      </c>
      <c r="K91" s="12" t="s">
        <v>2406</v>
      </c>
      <c r="L91" t="str">
        <f>IFERROR(VLOOKUP(K91,Таблица7[3]:Таблица7[[#This Row],[6]],2,FALSE),"")</f>
        <v>Фиксированное число 89</v>
      </c>
      <c r="M91" t="str">
        <f t="shared" si="2"/>
        <v>Фиксированное число 89 (0)</v>
      </c>
      <c r="N91" t="str" cm="1">
        <f t="array" ref="N91">IF(MOD(ROW()-ROW($B$2),16)=0,INDEX($M$2:$M$1000,(ROW()-ROW($B$2))/16+1),"")</f>
        <v/>
      </c>
    </row>
    <row r="92" spans="2:14" x14ac:dyDescent="0.3">
      <c r="B92" t="s">
        <v>2177</v>
      </c>
      <c r="C92" t="s">
        <v>166</v>
      </c>
      <c r="D92" t="s">
        <v>182</v>
      </c>
      <c r="E92">
        <v>0</v>
      </c>
      <c r="F92" t="s">
        <v>182</v>
      </c>
      <c r="K92" s="12" t="s">
        <v>2407</v>
      </c>
      <c r="L92" t="str">
        <f>IFERROR(VLOOKUP(K92,Таблица7[3]:Таблица7[[#This Row],[6]],2,FALSE),"")</f>
        <v>Фиксированное число 90</v>
      </c>
      <c r="M92" t="str">
        <f t="shared" si="2"/>
        <v>Фиксированное число 90 (0)</v>
      </c>
      <c r="N92" t="str" cm="1">
        <f t="array" ref="N92">IF(MOD(ROW()-ROW($B$2),16)=0,INDEX($M$2:$M$1000,(ROW()-ROW($B$2))/16+1),"")</f>
        <v/>
      </c>
    </row>
    <row r="93" spans="2:14" x14ac:dyDescent="0.3">
      <c r="B93" t="s">
        <v>2177</v>
      </c>
      <c r="C93" t="s">
        <v>167</v>
      </c>
      <c r="D93" t="s">
        <v>183</v>
      </c>
      <c r="E93">
        <v>0</v>
      </c>
      <c r="F93" t="s">
        <v>183</v>
      </c>
      <c r="K93" s="12" t="s">
        <v>2408</v>
      </c>
      <c r="L93" t="str">
        <f>IFERROR(VLOOKUP(K93,Таблица7[3]:Таблица7[[#This Row],[6]],2,FALSE),"")</f>
        <v>Фиксированное число 91</v>
      </c>
      <c r="M93" t="str">
        <f t="shared" si="2"/>
        <v>Фиксированное число 91 (0)</v>
      </c>
      <c r="N93" t="str" cm="1">
        <f t="array" ref="N93">IF(MOD(ROW()-ROW($B$2),16)=0,INDEX($M$2:$M$1000,(ROW()-ROW($B$2))/16+1),"")</f>
        <v/>
      </c>
    </row>
    <row r="94" spans="2:14" x14ac:dyDescent="0.3">
      <c r="B94" t="s">
        <v>2177</v>
      </c>
      <c r="C94" t="s">
        <v>168</v>
      </c>
      <c r="D94" t="s">
        <v>184</v>
      </c>
      <c r="E94">
        <v>0</v>
      </c>
      <c r="F94" t="s">
        <v>184</v>
      </c>
      <c r="K94" s="12" t="s">
        <v>2409</v>
      </c>
      <c r="L94" t="str">
        <f>IFERROR(VLOOKUP(K94,Таблица7[3]:Таблица7[[#This Row],[6]],2,FALSE),"")</f>
        <v>Фиксированное число 92</v>
      </c>
      <c r="M94" t="str">
        <f t="shared" si="2"/>
        <v>Фиксированное число 92 (0)</v>
      </c>
      <c r="N94" t="str" cm="1">
        <f t="array" ref="N94">IF(MOD(ROW()-ROW($B$2),16)=0,INDEX($M$2:$M$1000,(ROW()-ROW($B$2))/16+1),"")</f>
        <v/>
      </c>
    </row>
    <row r="95" spans="2:14" x14ac:dyDescent="0.3">
      <c r="B95" t="s">
        <v>2177</v>
      </c>
      <c r="C95" t="s">
        <v>169</v>
      </c>
      <c r="D95" t="s">
        <v>193</v>
      </c>
      <c r="E95">
        <v>0</v>
      </c>
      <c r="F95" t="s">
        <v>193</v>
      </c>
      <c r="K95" s="12" t="s">
        <v>2410</v>
      </c>
      <c r="L95" t="str">
        <f>IFERROR(VLOOKUP(K95,Таблица7[3]:Таблица7[[#This Row],[6]],2,FALSE),"")</f>
        <v>Фиксированное число 93</v>
      </c>
      <c r="M95" t="str">
        <f t="shared" si="2"/>
        <v>Фиксированное число 93 (0)</v>
      </c>
      <c r="N95" t="str" cm="1">
        <f t="array" ref="N95">IF(MOD(ROW()-ROW($B$2),16)=0,INDEX($M$2:$M$1000,(ROW()-ROW($B$2))/16+1),"")</f>
        <v/>
      </c>
    </row>
    <row r="96" spans="2:14" x14ac:dyDescent="0.3">
      <c r="B96" t="s">
        <v>2177</v>
      </c>
      <c r="C96" t="s">
        <v>177</v>
      </c>
      <c r="D96" t="s">
        <v>192</v>
      </c>
      <c r="E96">
        <v>0</v>
      </c>
      <c r="F96" t="s">
        <v>192</v>
      </c>
      <c r="K96" s="12" t="s">
        <v>2411</v>
      </c>
      <c r="L96" t="str">
        <f>IFERROR(VLOOKUP(K96,Таблица7[3]:Таблица7[[#This Row],[6]],2,FALSE),"")</f>
        <v>Фиксированное число 94</v>
      </c>
      <c r="M96" t="str">
        <f t="shared" si="2"/>
        <v>Фиксированное число 94 (0)</v>
      </c>
      <c r="N96" t="str" cm="1">
        <f t="array" ref="N96">IF(MOD(ROW()-ROW($B$2),16)=0,INDEX($M$2:$M$1000,(ROW()-ROW($B$2))/16+1),"")</f>
        <v/>
      </c>
    </row>
    <row r="97" spans="2:14" x14ac:dyDescent="0.3">
      <c r="B97" t="s">
        <v>2177</v>
      </c>
      <c r="C97" t="s">
        <v>12</v>
      </c>
      <c r="D97" t="s">
        <v>2258</v>
      </c>
      <c r="E97">
        <v>0</v>
      </c>
      <c r="F97" t="s">
        <v>2258</v>
      </c>
      <c r="K97" s="12" t="s">
        <v>2412</v>
      </c>
      <c r="L97" t="str">
        <f>IFERROR(VLOOKUP(K97,Таблица7[3]:Таблица7[[#This Row],[6]],2,FALSE),"")</f>
        <v>Фиксированное число 95</v>
      </c>
      <c r="M97" t="str">
        <f t="shared" si="2"/>
        <v>Фиксированное число 95 (0)</v>
      </c>
      <c r="N97" t="str" cm="1">
        <f t="array" ref="N97">IF(MOD(ROW()-ROW($B$2),16)=0,INDEX($M$2:$M$1000,(ROW()-ROW($B$2))/16+1),"")</f>
        <v/>
      </c>
    </row>
    <row r="98" spans="2:14" x14ac:dyDescent="0.3">
      <c r="B98" t="s">
        <v>2177</v>
      </c>
      <c r="C98" t="s">
        <v>13</v>
      </c>
      <c r="D98" t="s">
        <v>2259</v>
      </c>
      <c r="E98">
        <v>0</v>
      </c>
      <c r="F98" t="s">
        <v>2259</v>
      </c>
      <c r="K98" s="12" t="s">
        <v>2413</v>
      </c>
      <c r="L98" t="str">
        <f>IFERROR(VLOOKUP(K98,Таблица7[3]:Таблица7[[#This Row],[6]],2,FALSE),"")</f>
        <v>Фиксированное число 96</v>
      </c>
      <c r="M98" t="str">
        <f t="shared" si="2"/>
        <v>Фиксированное число 96 (0)</v>
      </c>
      <c r="N98" t="str" cm="1">
        <f t="array" ref="N98">IF(MOD(ROW()-ROW($B$2),16)=0,INDEX($M$2:$M$1000,(ROW()-ROW($B$2))/16+1),"")</f>
        <v>Фиксированное число 6 (0)</v>
      </c>
    </row>
    <row r="99" spans="2:14" x14ac:dyDescent="0.3">
      <c r="B99" t="s">
        <v>2177</v>
      </c>
      <c r="C99" t="s">
        <v>14</v>
      </c>
      <c r="D99" t="s">
        <v>2260</v>
      </c>
      <c r="E99">
        <v>0</v>
      </c>
      <c r="F99" t="s">
        <v>2260</v>
      </c>
      <c r="K99" s="12" t="s">
        <v>2414</v>
      </c>
      <c r="L99" t="str">
        <f>IFERROR(VLOOKUP(K99,Таблица7[3]:Таблица7[[#This Row],[6]],2,FALSE),"")</f>
        <v>Фиксированное число 97</v>
      </c>
      <c r="M99" t="str">
        <f t="shared" si="2"/>
        <v>Фиксированное число 97 (0)</v>
      </c>
      <c r="N99" t="str" cm="1">
        <f t="array" ref="N99">IF(MOD(ROW()-ROW($B$2),16)=0,INDEX($M$2:$M$1000,(ROW()-ROW($B$2))/16+1),"")</f>
        <v/>
      </c>
    </row>
    <row r="100" spans="2:14" x14ac:dyDescent="0.3">
      <c r="B100" t="s">
        <v>2177</v>
      </c>
      <c r="C100" t="s">
        <v>15</v>
      </c>
      <c r="D100" t="s">
        <v>2261</v>
      </c>
      <c r="E100">
        <v>0</v>
      </c>
      <c r="F100" t="s">
        <v>2261</v>
      </c>
      <c r="K100" s="12" t="s">
        <v>2415</v>
      </c>
      <c r="L100" t="str">
        <f>IFERROR(VLOOKUP(K100,Таблица7[3]:Таблица7[[#This Row],[6]],2,FALSE),"")</f>
        <v>Фиксированное число 98</v>
      </c>
      <c r="M100" t="str">
        <f t="shared" si="2"/>
        <v>Фиксированное число 98 (0)</v>
      </c>
      <c r="N100" t="str" cm="1">
        <f t="array" ref="N100">IF(MOD(ROW()-ROW($B$2),16)=0,INDEX($M$2:$M$1000,(ROW()-ROW($B$2))/16+1),"")</f>
        <v/>
      </c>
    </row>
    <row r="101" spans="2:14" x14ac:dyDescent="0.3">
      <c r="B101" t="s">
        <v>2177</v>
      </c>
      <c r="C101" t="s">
        <v>16</v>
      </c>
      <c r="D101" t="s">
        <v>2262</v>
      </c>
      <c r="E101">
        <v>0</v>
      </c>
      <c r="F101" t="s">
        <v>2262</v>
      </c>
      <c r="K101" s="12" t="s">
        <v>2416</v>
      </c>
      <c r="L101" t="str">
        <f>IFERROR(VLOOKUP(K101,Таблица7[3]:Таблица7[[#This Row],[6]],2,FALSE),"")</f>
        <v>Фиксированное число 99</v>
      </c>
      <c r="M101" t="str">
        <f t="shared" si="2"/>
        <v>Фиксированное число 99 (0)</v>
      </c>
      <c r="N101" t="str" cm="1">
        <f t="array" ref="N101">IF(MOD(ROW()-ROW($B$2),16)=0,INDEX($M$2:$M$1000,(ROW()-ROW($B$2))/16+1),"")</f>
        <v/>
      </c>
    </row>
    <row r="102" spans="2:14" x14ac:dyDescent="0.3">
      <c r="B102" t="s">
        <v>2177</v>
      </c>
      <c r="C102" t="s">
        <v>17</v>
      </c>
      <c r="D102" t="s">
        <v>2263</v>
      </c>
      <c r="E102">
        <v>0</v>
      </c>
      <c r="F102" t="s">
        <v>2263</v>
      </c>
      <c r="K102" s="12" t="s">
        <v>2417</v>
      </c>
      <c r="L102" t="str">
        <f>IFERROR(VLOOKUP(K102,Таблица7[3]:Таблица7[[#This Row],[6]],2,FALSE),"")</f>
        <v>Фиксированное число 100</v>
      </c>
      <c r="M102" t="str">
        <f t="shared" si="2"/>
        <v>Фиксированное число 100 (0)</v>
      </c>
      <c r="N102" t="str" cm="1">
        <f t="array" ref="N102">IF(MOD(ROW()-ROW($B$2),16)=0,INDEX($M$2:$M$1000,(ROW()-ROW($B$2))/16+1),"")</f>
        <v/>
      </c>
    </row>
    <row r="103" spans="2:14" x14ac:dyDescent="0.3">
      <c r="B103" t="s">
        <v>2177</v>
      </c>
      <c r="C103" t="s">
        <v>18</v>
      </c>
      <c r="D103" t="s">
        <v>2264</v>
      </c>
      <c r="E103">
        <v>0</v>
      </c>
      <c r="F103" t="s">
        <v>2264</v>
      </c>
      <c r="K103" s="12" t="s">
        <v>2418</v>
      </c>
      <c r="L103" t="str">
        <f>IFERROR(VLOOKUP(K103,Таблица7[3]:Таблица7[[#This Row],[6]],2,FALSE),"")</f>
        <v>Фиксированное число 101</v>
      </c>
      <c r="M103" t="str">
        <f t="shared" si="2"/>
        <v>Фиксированное число 101 (0)</v>
      </c>
      <c r="N103" t="str" cm="1">
        <f t="array" ref="N103">IF(MOD(ROW()-ROW($B$2),16)=0,INDEX($M$2:$M$1000,(ROW()-ROW($B$2))/16+1),"")</f>
        <v/>
      </c>
    </row>
    <row r="104" spans="2:14" x14ac:dyDescent="0.3">
      <c r="B104" t="s">
        <v>2177</v>
      </c>
      <c r="C104" t="s">
        <v>19</v>
      </c>
      <c r="D104" t="s">
        <v>2265</v>
      </c>
      <c r="E104">
        <v>0</v>
      </c>
      <c r="F104" t="s">
        <v>2265</v>
      </c>
      <c r="K104" s="12" t="s">
        <v>2419</v>
      </c>
      <c r="L104" t="str">
        <f>IFERROR(VLOOKUP(K104,Таблица7[3]:Таблица7[[#This Row],[6]],2,FALSE),"")</f>
        <v>Фиксированное число 102</v>
      </c>
      <c r="M104" t="str">
        <f t="shared" si="2"/>
        <v>Фиксированное число 102 (0)</v>
      </c>
      <c r="N104" t="str" cm="1">
        <f t="array" ref="N104">IF(MOD(ROW()-ROW($B$2),16)=0,INDEX($M$2:$M$1000,(ROW()-ROW($B$2))/16+1),"")</f>
        <v/>
      </c>
    </row>
    <row r="105" spans="2:14" x14ac:dyDescent="0.3">
      <c r="B105" t="s">
        <v>2177</v>
      </c>
      <c r="C105" t="s">
        <v>20</v>
      </c>
      <c r="D105" t="s">
        <v>2266</v>
      </c>
      <c r="E105">
        <v>0</v>
      </c>
      <c r="F105" t="s">
        <v>2266</v>
      </c>
      <c r="K105" s="12" t="s">
        <v>2420</v>
      </c>
      <c r="L105" t="str">
        <f>IFERROR(VLOOKUP(K105,Таблица7[3]:Таблица7[[#This Row],[6]],2,FALSE),"")</f>
        <v>Фиксированное число 103</v>
      </c>
      <c r="M105" t="str">
        <f t="shared" si="2"/>
        <v>Фиксированное число 103 (0)</v>
      </c>
      <c r="N105" t="str" cm="1">
        <f t="array" ref="N105">IF(MOD(ROW()-ROW($B$2),16)=0,INDEX($M$2:$M$1000,(ROW()-ROW($B$2))/16+1),"")</f>
        <v/>
      </c>
    </row>
    <row r="106" spans="2:14" x14ac:dyDescent="0.3">
      <c r="B106" t="s">
        <v>2177</v>
      </c>
      <c r="C106" t="s">
        <v>21</v>
      </c>
      <c r="D106" t="s">
        <v>2267</v>
      </c>
      <c r="E106">
        <v>0</v>
      </c>
      <c r="F106" t="s">
        <v>2267</v>
      </c>
      <c r="K106" s="12" t="s">
        <v>2421</v>
      </c>
      <c r="L106" t="str">
        <f>IFERROR(VLOOKUP(K106,Таблица7[3]:Таблица7[[#This Row],[6]],2,FALSE),"")</f>
        <v>Фиксированное число 104</v>
      </c>
      <c r="M106" t="str">
        <f t="shared" si="2"/>
        <v>Фиксированное число 104 (0)</v>
      </c>
      <c r="N106" t="str" cm="1">
        <f t="array" ref="N106">IF(MOD(ROW()-ROW($B$2),16)=0,INDEX($M$2:$M$1000,(ROW()-ROW($B$2))/16+1),"")</f>
        <v/>
      </c>
    </row>
    <row r="107" spans="2:14" x14ac:dyDescent="0.3">
      <c r="B107" t="s">
        <v>2177</v>
      </c>
      <c r="C107" t="s">
        <v>22</v>
      </c>
      <c r="D107" t="s">
        <v>2268</v>
      </c>
      <c r="E107">
        <v>0</v>
      </c>
      <c r="F107" t="s">
        <v>2268</v>
      </c>
      <c r="K107" s="12" t="s">
        <v>2422</v>
      </c>
      <c r="L107" t="str">
        <f>IFERROR(VLOOKUP(K107,Таблица7[3]:Таблица7[[#This Row],[6]],2,FALSE),"")</f>
        <v>Фиксированное число 105</v>
      </c>
      <c r="M107" t="str">
        <f t="shared" si="2"/>
        <v>Фиксированное число 105 (0)</v>
      </c>
      <c r="N107" t="str" cm="1">
        <f t="array" ref="N107">IF(MOD(ROW()-ROW($B$2),16)=0,INDEX($M$2:$M$1000,(ROW()-ROW($B$2))/16+1),"")</f>
        <v/>
      </c>
    </row>
    <row r="108" spans="2:14" x14ac:dyDescent="0.3">
      <c r="B108" t="s">
        <v>2177</v>
      </c>
      <c r="C108" t="s">
        <v>23</v>
      </c>
      <c r="D108" t="s">
        <v>2268</v>
      </c>
      <c r="E108">
        <v>0</v>
      </c>
      <c r="F108" t="s">
        <v>2268</v>
      </c>
      <c r="K108" s="12" t="s">
        <v>2423</v>
      </c>
      <c r="L108" t="str">
        <f>IFERROR(VLOOKUP(K108,Таблица7[3]:Таблица7[[#This Row],[6]],2,FALSE),"")</f>
        <v>Фиксированное число 106</v>
      </c>
      <c r="M108" t="str">
        <f t="shared" si="2"/>
        <v>Фиксированное число 106 (0)</v>
      </c>
      <c r="N108" t="str" cm="1">
        <f t="array" ref="N108">IF(MOD(ROW()-ROW($B$2),16)=0,INDEX($M$2:$M$1000,(ROW()-ROW($B$2))/16+1),"")</f>
        <v/>
      </c>
    </row>
    <row r="109" spans="2:14" x14ac:dyDescent="0.3">
      <c r="B109" t="s">
        <v>2177</v>
      </c>
      <c r="C109" t="s">
        <v>24</v>
      </c>
      <c r="D109" t="s">
        <v>2268</v>
      </c>
      <c r="E109">
        <v>0</v>
      </c>
      <c r="F109" t="s">
        <v>2268</v>
      </c>
      <c r="K109" s="12" t="s">
        <v>2424</v>
      </c>
      <c r="L109" t="str">
        <f>IFERROR(VLOOKUP(K109,Таблица7[3]:Таблица7[[#This Row],[6]],2,FALSE),"")</f>
        <v>Фиксированное число 107</v>
      </c>
      <c r="M109" t="str">
        <f t="shared" si="2"/>
        <v>Фиксированное число 107 (0)</v>
      </c>
      <c r="N109" t="str" cm="1">
        <f t="array" ref="N109">IF(MOD(ROW()-ROW($B$2),16)=0,INDEX($M$2:$M$1000,(ROW()-ROW($B$2))/16+1),"")</f>
        <v/>
      </c>
    </row>
    <row r="110" spans="2:14" x14ac:dyDescent="0.3">
      <c r="B110" t="s">
        <v>2177</v>
      </c>
      <c r="C110" t="s">
        <v>25</v>
      </c>
      <c r="D110" t="s">
        <v>2268</v>
      </c>
      <c r="E110">
        <v>0</v>
      </c>
      <c r="F110" t="s">
        <v>2268</v>
      </c>
      <c r="K110" s="12" t="s">
        <v>2425</v>
      </c>
      <c r="L110" t="str">
        <f>IFERROR(VLOOKUP(K110,Таблица7[3]:Таблица7[[#This Row],[6]],2,FALSE),"")</f>
        <v>Фиксированное число 108</v>
      </c>
      <c r="M110" t="str">
        <f t="shared" si="2"/>
        <v>Фиксированное число 108 (0)</v>
      </c>
      <c r="N110" t="str" cm="1">
        <f t="array" ref="N110">IF(MOD(ROW()-ROW($B$2),16)=0,INDEX($M$2:$M$1000,(ROW()-ROW($B$2))/16+1),"")</f>
        <v/>
      </c>
    </row>
    <row r="111" spans="2:14" x14ac:dyDescent="0.3">
      <c r="B111" t="s">
        <v>2177</v>
      </c>
      <c r="C111" t="s">
        <v>26</v>
      </c>
      <c r="D111" t="s">
        <v>2268</v>
      </c>
      <c r="E111">
        <v>0</v>
      </c>
      <c r="F111" t="s">
        <v>2268</v>
      </c>
      <c r="K111" s="12" t="s">
        <v>2426</v>
      </c>
      <c r="L111" t="str">
        <f>IFERROR(VLOOKUP(K111,Таблица7[3]:Таблица7[[#This Row],[6]],2,FALSE),"")</f>
        <v>Фиксированное число 109</v>
      </c>
      <c r="M111" t="str">
        <f t="shared" si="2"/>
        <v>Фиксированное число 109 (0)</v>
      </c>
      <c r="N111" t="str" cm="1">
        <f t="array" ref="N111">IF(MOD(ROW()-ROW($B$2),16)=0,INDEX($M$2:$M$1000,(ROW()-ROW($B$2))/16+1),"")</f>
        <v/>
      </c>
    </row>
    <row r="112" spans="2:14" x14ac:dyDescent="0.3">
      <c r="B112" t="s">
        <v>2177</v>
      </c>
      <c r="C112" t="s">
        <v>27</v>
      </c>
      <c r="D112" t="s">
        <v>2268</v>
      </c>
      <c r="E112">
        <v>0</v>
      </c>
      <c r="F112" t="s">
        <v>2268</v>
      </c>
      <c r="K112" s="12" t="s">
        <v>2427</v>
      </c>
      <c r="L112" t="str">
        <f>IFERROR(VLOOKUP(K112,Таблица7[3]:Таблица7[[#This Row],[6]],2,FALSE),"")</f>
        <v>Фиксированное число 110</v>
      </c>
      <c r="M112" t="str">
        <f t="shared" si="2"/>
        <v>Фиксированное число 110 (0)</v>
      </c>
      <c r="N112" t="str" cm="1">
        <f t="array" ref="N112">IF(MOD(ROW()-ROW($B$2),16)=0,INDEX($M$2:$M$1000,(ROW()-ROW($B$2))/16+1),"")</f>
        <v/>
      </c>
    </row>
    <row r="113" spans="2:14" x14ac:dyDescent="0.3">
      <c r="B113" t="s">
        <v>2177</v>
      </c>
      <c r="C113" t="s">
        <v>86</v>
      </c>
      <c r="D113" t="s">
        <v>2269</v>
      </c>
      <c r="E113">
        <v>0</v>
      </c>
      <c r="F113" t="s">
        <v>2269</v>
      </c>
      <c r="K113" s="12" t="s">
        <v>2428</v>
      </c>
      <c r="L113" t="str">
        <f>IFERROR(VLOOKUP(K113,Таблица7[3]:Таблица7[[#This Row],[6]],2,FALSE),"")</f>
        <v>Фиксированное число 111</v>
      </c>
      <c r="M113" t="str">
        <f t="shared" si="2"/>
        <v>Фиксированное число 111 (0)</v>
      </c>
      <c r="N113" t="str" cm="1">
        <f t="array" ref="N113">IF(MOD(ROW()-ROW($B$2),16)=0,INDEX($M$2:$M$1000,(ROW()-ROW($B$2))/16+1),"")</f>
        <v/>
      </c>
    </row>
    <row r="114" spans="2:14" x14ac:dyDescent="0.3">
      <c r="B114" t="s">
        <v>2177</v>
      </c>
      <c r="C114" t="s">
        <v>87</v>
      </c>
      <c r="D114" t="s">
        <v>2270</v>
      </c>
      <c r="E114">
        <v>0</v>
      </c>
      <c r="F114" t="s">
        <v>2270</v>
      </c>
      <c r="K114" s="12" t="s">
        <v>2429</v>
      </c>
      <c r="L114" t="str">
        <f>IFERROR(VLOOKUP(K114,Таблица7[3]:Таблица7[[#This Row],[6]],2,FALSE),"")</f>
        <v>Фиксированное число 112</v>
      </c>
      <c r="M114" t="str">
        <f t="shared" si="2"/>
        <v>Фиксированное число 112 (0)</v>
      </c>
      <c r="N114" t="str" cm="1">
        <f t="array" ref="N114">IF(MOD(ROW()-ROW($B$2),16)=0,INDEX($M$2:$M$1000,(ROW()-ROW($B$2))/16+1),"")</f>
        <v>Фиксированное число 7 (0)</v>
      </c>
    </row>
    <row r="115" spans="2:14" x14ac:dyDescent="0.3">
      <c r="B115" t="s">
        <v>2177</v>
      </c>
      <c r="C115" t="s">
        <v>88</v>
      </c>
      <c r="D115" t="s">
        <v>2271</v>
      </c>
      <c r="E115">
        <v>0</v>
      </c>
      <c r="F115" t="s">
        <v>2271</v>
      </c>
      <c r="K115" s="12" t="s">
        <v>2430</v>
      </c>
      <c r="L115" t="str">
        <f>IFERROR(VLOOKUP(K115,Таблица7[3]:Таблица7[[#This Row],[6]],2,FALSE),"")</f>
        <v>Фиксированное число 113</v>
      </c>
      <c r="M115" t="str">
        <f t="shared" si="2"/>
        <v>Фиксированное число 113 (0)</v>
      </c>
      <c r="N115" t="str" cm="1">
        <f t="array" ref="N115">IF(MOD(ROW()-ROW($B$2),16)=0,INDEX($M$2:$M$1000,(ROW()-ROW($B$2))/16+1),"")</f>
        <v/>
      </c>
    </row>
    <row r="116" spans="2:14" x14ac:dyDescent="0.3">
      <c r="B116" t="s">
        <v>2177</v>
      </c>
      <c r="C116" t="s">
        <v>89</v>
      </c>
      <c r="D116" t="s">
        <v>2272</v>
      </c>
      <c r="E116">
        <v>0</v>
      </c>
      <c r="F116" t="s">
        <v>2272</v>
      </c>
      <c r="K116" s="12" t="s">
        <v>2431</v>
      </c>
      <c r="L116" t="str">
        <f>IFERROR(VLOOKUP(K116,Таблица7[3]:Таблица7[[#This Row],[6]],2,FALSE),"")</f>
        <v>Фиксированное число 114</v>
      </c>
      <c r="M116" t="str">
        <f t="shared" si="2"/>
        <v>Фиксированное число 114 (0)</v>
      </c>
      <c r="N116" t="str" cm="1">
        <f t="array" ref="N116">IF(MOD(ROW()-ROW($B$2),16)=0,INDEX($M$2:$M$1000,(ROW()-ROW($B$2))/16+1),"")</f>
        <v/>
      </c>
    </row>
    <row r="117" spans="2:14" x14ac:dyDescent="0.3">
      <c r="B117" t="s">
        <v>2177</v>
      </c>
      <c r="C117" t="s">
        <v>90</v>
      </c>
      <c r="D117" t="s">
        <v>2273</v>
      </c>
      <c r="E117">
        <v>0</v>
      </c>
      <c r="F117" t="s">
        <v>2273</v>
      </c>
      <c r="K117" s="12" t="s">
        <v>2432</v>
      </c>
      <c r="L117" t="str">
        <f>IFERROR(VLOOKUP(K117,Таблица7[3]:Таблица7[[#This Row],[6]],2,FALSE),"")</f>
        <v>Фиксированное число 115</v>
      </c>
      <c r="M117" t="str">
        <f t="shared" si="2"/>
        <v>Фиксированное число 115 (0)</v>
      </c>
      <c r="N117" t="str" cm="1">
        <f t="array" ref="N117">IF(MOD(ROW()-ROW($B$2),16)=0,INDEX($M$2:$M$1000,(ROW()-ROW($B$2))/16+1),"")</f>
        <v/>
      </c>
    </row>
    <row r="118" spans="2:14" x14ac:dyDescent="0.3">
      <c r="B118" t="s">
        <v>2177</v>
      </c>
      <c r="C118" t="s">
        <v>91</v>
      </c>
      <c r="D118" t="s">
        <v>2274</v>
      </c>
      <c r="E118">
        <v>0</v>
      </c>
      <c r="F118" t="s">
        <v>2274</v>
      </c>
      <c r="K118" s="12" t="s">
        <v>2433</v>
      </c>
      <c r="L118" t="str">
        <f>IFERROR(VLOOKUP(K118,Таблица7[3]:Таблица7[[#This Row],[6]],2,FALSE),"")</f>
        <v>Фиксированное число 116</v>
      </c>
      <c r="M118" t="str">
        <f t="shared" si="2"/>
        <v>Фиксированное число 116 (0)</v>
      </c>
      <c r="N118" t="str" cm="1">
        <f t="array" ref="N118">IF(MOD(ROW()-ROW($B$2),16)=0,INDEX($M$2:$M$1000,(ROW()-ROW($B$2))/16+1),"")</f>
        <v/>
      </c>
    </row>
    <row r="119" spans="2:14" x14ac:dyDescent="0.3">
      <c r="B119" t="s">
        <v>2177</v>
      </c>
      <c r="C119" t="s">
        <v>92</v>
      </c>
      <c r="D119" t="s">
        <v>2275</v>
      </c>
      <c r="E119">
        <v>0</v>
      </c>
      <c r="F119" t="s">
        <v>2275</v>
      </c>
      <c r="K119" s="12" t="s">
        <v>2434</v>
      </c>
      <c r="L119" t="str">
        <f>IFERROR(VLOOKUP(K119,Таблица7[3]:Таблица7[[#This Row],[6]],2,FALSE),"")</f>
        <v>Фиксированное число 117</v>
      </c>
      <c r="M119" t="str">
        <f t="shared" si="2"/>
        <v>Фиксированное число 117 (0)</v>
      </c>
      <c r="N119" t="str" cm="1">
        <f t="array" ref="N119">IF(MOD(ROW()-ROW($B$2),16)=0,INDEX($M$2:$M$1000,(ROW()-ROW($B$2))/16+1),"")</f>
        <v/>
      </c>
    </row>
    <row r="120" spans="2:14" x14ac:dyDescent="0.3">
      <c r="B120" t="s">
        <v>2177</v>
      </c>
      <c r="C120" t="s">
        <v>93</v>
      </c>
      <c r="D120" t="s">
        <v>2276</v>
      </c>
      <c r="E120">
        <v>0</v>
      </c>
      <c r="F120" t="s">
        <v>2276</v>
      </c>
      <c r="K120" s="12" t="s">
        <v>2435</v>
      </c>
      <c r="L120" t="str">
        <f>IFERROR(VLOOKUP(K120,Таблица7[3]:Таблица7[[#This Row],[6]],2,FALSE),"")</f>
        <v>Фиксированное число 118</v>
      </c>
      <c r="M120" t="str">
        <f t="shared" si="2"/>
        <v>Фиксированное число 118 (0)</v>
      </c>
      <c r="N120" t="str" cm="1">
        <f t="array" ref="N120">IF(MOD(ROW()-ROW($B$2),16)=0,INDEX($M$2:$M$1000,(ROW()-ROW($B$2))/16+1),"")</f>
        <v/>
      </c>
    </row>
    <row r="121" spans="2:14" x14ac:dyDescent="0.3">
      <c r="B121" t="s">
        <v>2177</v>
      </c>
      <c r="C121" t="s">
        <v>94</v>
      </c>
      <c r="D121" t="s">
        <v>2277</v>
      </c>
      <c r="E121">
        <v>0</v>
      </c>
      <c r="F121" t="s">
        <v>2277</v>
      </c>
      <c r="K121" s="12" t="s">
        <v>2436</v>
      </c>
      <c r="L121" t="str">
        <f>IFERROR(VLOOKUP(K121,Таблица7[3]:Таблица7[[#This Row],[6]],2,FALSE),"")</f>
        <v>Фиксированное число 119</v>
      </c>
      <c r="M121" t="str">
        <f t="shared" si="2"/>
        <v>Фиксированное число 119 (0)</v>
      </c>
      <c r="N121" t="str" cm="1">
        <f t="array" ref="N121">IF(MOD(ROW()-ROW($B$2),16)=0,INDEX($M$2:$M$1000,(ROW()-ROW($B$2))/16+1),"")</f>
        <v/>
      </c>
    </row>
    <row r="122" spans="2:14" x14ac:dyDescent="0.3">
      <c r="B122" t="s">
        <v>2177</v>
      </c>
      <c r="C122" t="s">
        <v>95</v>
      </c>
      <c r="D122" t="s">
        <v>2274</v>
      </c>
      <c r="E122">
        <v>0</v>
      </c>
      <c r="F122" t="s">
        <v>2274</v>
      </c>
      <c r="K122" s="12" t="s">
        <v>2437</v>
      </c>
      <c r="L122" t="str">
        <f>IFERROR(VLOOKUP(K122,Таблица7[3]:Таблица7[[#This Row],[6]],2,FALSE),"")</f>
        <v>Фиксированное число 120</v>
      </c>
      <c r="M122" t="str">
        <f t="shared" si="2"/>
        <v>Фиксированное число 120 (0)</v>
      </c>
      <c r="N122" t="str" cm="1">
        <f t="array" ref="N122">IF(MOD(ROW()-ROW($B$2),16)=0,INDEX($M$2:$M$1000,(ROW()-ROW($B$2))/16+1),"")</f>
        <v/>
      </c>
    </row>
    <row r="123" spans="2:14" x14ac:dyDescent="0.3">
      <c r="B123" t="s">
        <v>2177</v>
      </c>
      <c r="C123" t="s">
        <v>96</v>
      </c>
      <c r="D123" t="s">
        <v>2274</v>
      </c>
      <c r="E123">
        <v>0</v>
      </c>
      <c r="F123" t="s">
        <v>2274</v>
      </c>
      <c r="K123" s="12" t="s">
        <v>2438</v>
      </c>
      <c r="L123" t="str">
        <f>IFERROR(VLOOKUP(K123,Таблица7[3]:Таблица7[[#This Row],[6]],2,FALSE),"")</f>
        <v>Фиксированное число 121</v>
      </c>
      <c r="M123" t="str">
        <f t="shared" si="2"/>
        <v>Фиксированное число 121 (0)</v>
      </c>
      <c r="N123" t="str" cm="1">
        <f t="array" ref="N123">IF(MOD(ROW()-ROW($B$2),16)=0,INDEX($M$2:$M$1000,(ROW()-ROW($B$2))/16+1),"")</f>
        <v/>
      </c>
    </row>
    <row r="124" spans="2:14" x14ac:dyDescent="0.3">
      <c r="B124" t="s">
        <v>2177</v>
      </c>
      <c r="C124" t="s">
        <v>97</v>
      </c>
      <c r="D124" t="s">
        <v>2274</v>
      </c>
      <c r="E124">
        <v>0</v>
      </c>
      <c r="F124" t="s">
        <v>2274</v>
      </c>
      <c r="K124" s="12" t="s">
        <v>2439</v>
      </c>
      <c r="L124" t="str">
        <f>IFERROR(VLOOKUP(K124,Таблица7[3]:Таблица7[[#This Row],[6]],2,FALSE),"")</f>
        <v>Фиксированное число 122</v>
      </c>
      <c r="M124" t="str">
        <f t="shared" si="2"/>
        <v>Фиксированное число 122 (0)</v>
      </c>
      <c r="N124" t="str" cm="1">
        <f t="array" ref="N124">IF(MOD(ROW()-ROW($B$2),16)=0,INDEX($M$2:$M$1000,(ROW()-ROW($B$2))/16+1),"")</f>
        <v/>
      </c>
    </row>
    <row r="125" spans="2:14" x14ac:dyDescent="0.3">
      <c r="B125" t="s">
        <v>2177</v>
      </c>
      <c r="C125" t="s">
        <v>98</v>
      </c>
      <c r="D125" t="s">
        <v>2274</v>
      </c>
      <c r="E125">
        <v>0</v>
      </c>
      <c r="F125" t="s">
        <v>2274</v>
      </c>
      <c r="K125" s="12" t="s">
        <v>2440</v>
      </c>
      <c r="L125" t="str">
        <f>IFERROR(VLOOKUP(K125,Таблица7[3]:Таблица7[[#This Row],[6]],2,FALSE),"")</f>
        <v>Фиксированное число 123</v>
      </c>
      <c r="M125" t="str">
        <f t="shared" si="2"/>
        <v>Фиксированное число 123 (0)</v>
      </c>
      <c r="N125" t="str" cm="1">
        <f t="array" ref="N125">IF(MOD(ROW()-ROW($B$2),16)=0,INDEX($M$2:$M$1000,(ROW()-ROW($B$2))/16+1),"")</f>
        <v/>
      </c>
    </row>
    <row r="126" spans="2:14" x14ac:dyDescent="0.3">
      <c r="B126" t="s">
        <v>2177</v>
      </c>
      <c r="C126" t="s">
        <v>99</v>
      </c>
      <c r="D126" t="s">
        <v>2274</v>
      </c>
      <c r="E126">
        <v>0</v>
      </c>
      <c r="F126" t="s">
        <v>2274</v>
      </c>
      <c r="K126" s="12" t="s">
        <v>2441</v>
      </c>
      <c r="L126" t="str">
        <f>IFERROR(VLOOKUP(K126,Таблица7[3]:Таблица7[[#This Row],[6]],2,FALSE),"")</f>
        <v>Фиксированное число 124</v>
      </c>
      <c r="M126" t="str">
        <f t="shared" si="2"/>
        <v>Фиксированное число 124 (0)</v>
      </c>
      <c r="N126" t="str" cm="1">
        <f t="array" ref="N126">IF(MOD(ROW()-ROW($B$2),16)=0,INDEX($M$2:$M$1000,(ROW()-ROW($B$2))/16+1),"")</f>
        <v/>
      </c>
    </row>
    <row r="127" spans="2:14" x14ac:dyDescent="0.3">
      <c r="B127" t="s">
        <v>2177</v>
      </c>
      <c r="C127" t="s">
        <v>100</v>
      </c>
      <c r="D127" t="s">
        <v>2274</v>
      </c>
      <c r="E127">
        <v>0</v>
      </c>
      <c r="F127" t="s">
        <v>2274</v>
      </c>
      <c r="K127" s="12" t="s">
        <v>2442</v>
      </c>
      <c r="L127" t="str">
        <f>IFERROR(VLOOKUP(K127,Таблица7[3]:Таблица7[[#This Row],[6]],2,FALSE),"")</f>
        <v>Фиксированное число 125</v>
      </c>
      <c r="M127" t="str">
        <f t="shared" si="2"/>
        <v>Фиксированное число 125 (0)</v>
      </c>
      <c r="N127" t="str" cm="1">
        <f t="array" ref="N127">IF(MOD(ROW()-ROW($B$2),16)=0,INDEX($M$2:$M$1000,(ROW()-ROW($B$2))/16+1),"")</f>
        <v/>
      </c>
    </row>
    <row r="128" spans="2:14" x14ac:dyDescent="0.3">
      <c r="B128" t="s">
        <v>2177</v>
      </c>
      <c r="C128" t="s">
        <v>101</v>
      </c>
      <c r="D128" t="s">
        <v>2274</v>
      </c>
      <c r="E128">
        <v>0</v>
      </c>
      <c r="F128" t="s">
        <v>2274</v>
      </c>
      <c r="K128" s="12" t="s">
        <v>2443</v>
      </c>
      <c r="L128" t="str">
        <f>IFERROR(VLOOKUP(K128,Таблица7[3]:Таблица7[[#This Row],[6]],2,FALSE),"")</f>
        <v>Фиксированное число 126</v>
      </c>
      <c r="M128" t="str">
        <f t="shared" si="2"/>
        <v>Фиксированное число 126 (0)</v>
      </c>
      <c r="N128" t="str" cm="1">
        <f t="array" ref="N128">IF(MOD(ROW()-ROW($B$2),16)=0,INDEX($M$2:$M$1000,(ROW()-ROW($B$2))/16+1),"")</f>
        <v/>
      </c>
    </row>
    <row r="129" spans="2:14" x14ac:dyDescent="0.3">
      <c r="B129" t="s">
        <v>2177</v>
      </c>
      <c r="C129" t="s">
        <v>130</v>
      </c>
      <c r="D129" t="s">
        <v>2278</v>
      </c>
      <c r="E129">
        <v>0</v>
      </c>
      <c r="F129" t="s">
        <v>2278</v>
      </c>
      <c r="K129" s="12" t="s">
        <v>2444</v>
      </c>
      <c r="L129" t="str">
        <f>IFERROR(VLOOKUP(K129,Таблица7[3]:Таблица7[[#This Row],[6]],2,FALSE),"")</f>
        <v>Фиксированное число 127</v>
      </c>
      <c r="M129" t="str">
        <f t="shared" si="2"/>
        <v>Фиксированное число 127 (0)</v>
      </c>
      <c r="N129" t="str" cm="1">
        <f t="array" ref="N129">IF(MOD(ROW()-ROW($B$2),16)=0,INDEX($M$2:$M$1000,(ROW()-ROW($B$2))/16+1),"")</f>
        <v/>
      </c>
    </row>
    <row r="130" spans="2:14" x14ac:dyDescent="0.3">
      <c r="B130" t="s">
        <v>2177</v>
      </c>
      <c r="C130" t="s">
        <v>131</v>
      </c>
      <c r="D130" t="s">
        <v>2279</v>
      </c>
      <c r="E130">
        <v>0</v>
      </c>
      <c r="F130" t="s">
        <v>2279</v>
      </c>
      <c r="K130" s="12" t="s">
        <v>2445</v>
      </c>
      <c r="L130" t="str">
        <f>IFERROR(VLOOKUP(K130,Таблица7[3]:Таблица7[[#This Row],[6]],2,FALSE),"")</f>
        <v>Фиксированное число 128</v>
      </c>
      <c r="M130" t="str">
        <f t="shared" si="2"/>
        <v>Фиксированное число 128 (0)</v>
      </c>
      <c r="N130" t="str" cm="1">
        <f t="array" ref="N130">IF(MOD(ROW()-ROW($B$2),16)=0,INDEX($M$2:$M$1000,(ROW()-ROW($B$2))/16+1),"")</f>
        <v>Фиксированное число 8 (0)</v>
      </c>
    </row>
    <row r="131" spans="2:14" x14ac:dyDescent="0.3">
      <c r="B131" t="s">
        <v>2177</v>
      </c>
      <c r="C131" t="s">
        <v>132</v>
      </c>
      <c r="D131" t="s">
        <v>2280</v>
      </c>
      <c r="E131">
        <v>0</v>
      </c>
      <c r="F131" t="s">
        <v>2280</v>
      </c>
      <c r="K131" s="12" t="s">
        <v>5298</v>
      </c>
      <c r="L131" t="str">
        <f>IFERROR(VLOOKUP(K131,Таблица7[3]:Таблица7[[#This Row],[6]],2,FALSE),"")</f>
        <v/>
      </c>
      <c r="M131" t="str">
        <f t="shared" ref="M131:M194" si="3">IF(L131&lt;&gt;"",L131&amp;" (0)","")</f>
        <v/>
      </c>
      <c r="N131" t="str" cm="1">
        <f t="array" ref="N131">IF(MOD(ROW()-ROW($B$2),16)=0,INDEX($M$2:$M$1000,(ROW()-ROW($B$2))/16+1),"")</f>
        <v/>
      </c>
    </row>
    <row r="132" spans="2:14" x14ac:dyDescent="0.3">
      <c r="B132" t="s">
        <v>2177</v>
      </c>
      <c r="C132" t="s">
        <v>133</v>
      </c>
      <c r="D132" t="s">
        <v>2281</v>
      </c>
      <c r="E132">
        <v>0</v>
      </c>
      <c r="F132" t="s">
        <v>2281</v>
      </c>
      <c r="K132" s="12" t="s">
        <v>2462</v>
      </c>
      <c r="L132" t="str">
        <f>IFERROR(VLOOKUP(K132,Таблица7[3]:Таблица7[[#This Row],[6]],2,FALSE),"")</f>
        <v>HMI Скорость робота</v>
      </c>
      <c r="M132" t="str">
        <f t="shared" si="3"/>
        <v>HMI Скорость робота (0)</v>
      </c>
      <c r="N132" t="str" cm="1">
        <f t="array" ref="N132">IF(MOD(ROW()-ROW($B$2),16)=0,INDEX($M$2:$M$1000,(ROW()-ROW($B$2))/16+1),"")</f>
        <v/>
      </c>
    </row>
    <row r="133" spans="2:14" x14ac:dyDescent="0.3">
      <c r="B133" t="s">
        <v>2177</v>
      </c>
      <c r="C133" t="s">
        <v>134</v>
      </c>
      <c r="D133" t="s">
        <v>2282</v>
      </c>
      <c r="E133">
        <v>0</v>
      </c>
      <c r="F133" t="s">
        <v>2282</v>
      </c>
      <c r="K133" s="12" t="s">
        <v>2498</v>
      </c>
      <c r="L133" t="str">
        <f>IFERROR(VLOOKUP(K133,Таблица7[3]:Таблица7[[#This Row],[6]],2,FALSE),"")</f>
        <v>HMI Время, в течении которого разблокирована полка после нажатия кнопки</v>
      </c>
      <c r="M133" t="str">
        <f t="shared" si="3"/>
        <v>HMI Время, в течении которого разблокирована полка после нажатия кнопки (0)</v>
      </c>
      <c r="N133" t="str" cm="1">
        <f t="array" ref="N133">IF(MOD(ROW()-ROW($B$2),16)=0,INDEX($M$2:$M$1000,(ROW()-ROW($B$2))/16+1),"")</f>
        <v/>
      </c>
    </row>
    <row r="134" spans="2:14" x14ac:dyDescent="0.3">
      <c r="B134" t="s">
        <v>2177</v>
      </c>
      <c r="C134" t="s">
        <v>135</v>
      </c>
      <c r="D134" t="s">
        <v>2283</v>
      </c>
      <c r="E134">
        <v>0</v>
      </c>
      <c r="F134" t="s">
        <v>2283</v>
      </c>
      <c r="K134" s="12" t="s">
        <v>2597</v>
      </c>
      <c r="L134" t="str">
        <f>IFERROR(VLOOKUP(K134,Таблица7[3]:Таблица7[[#This Row],[6]],2,FALSE),"")</f>
        <v>HMI Количество деталей на полке 1</v>
      </c>
      <c r="M134" t="str">
        <f t="shared" si="3"/>
        <v>HMI Количество деталей на полке 1 (0)</v>
      </c>
      <c r="N134" t="str" cm="1">
        <f t="array" ref="N134">IF(MOD(ROW()-ROW($B$2),16)=0,INDEX($M$2:$M$1000,(ROW()-ROW($B$2))/16+1),"")</f>
        <v/>
      </c>
    </row>
    <row r="135" spans="2:14" x14ac:dyDescent="0.3">
      <c r="B135" t="s">
        <v>2177</v>
      </c>
      <c r="C135" t="s">
        <v>136</v>
      </c>
      <c r="D135" t="s">
        <v>2284</v>
      </c>
      <c r="E135">
        <v>0</v>
      </c>
      <c r="F135" t="s">
        <v>2284</v>
      </c>
      <c r="K135" s="12" t="s">
        <v>2598</v>
      </c>
      <c r="L135" t="str">
        <f>IFERROR(VLOOKUP(K135,Таблица7[3]:Таблица7[[#This Row],[6]],2,FALSE),"")</f>
        <v>HMI Количество деталей на полке 2</v>
      </c>
      <c r="M135" t="str">
        <f t="shared" si="3"/>
        <v>HMI Количество деталей на полке 2 (0)</v>
      </c>
      <c r="N135" t="str" cm="1">
        <f t="array" ref="N135">IF(MOD(ROW()-ROW($B$2),16)=0,INDEX($M$2:$M$1000,(ROW()-ROW($B$2))/16+1),"")</f>
        <v/>
      </c>
    </row>
    <row r="136" spans="2:14" x14ac:dyDescent="0.3">
      <c r="B136" t="s">
        <v>2177</v>
      </c>
      <c r="C136" t="s">
        <v>137</v>
      </c>
      <c r="D136" t="s">
        <v>2285</v>
      </c>
      <c r="E136">
        <v>0</v>
      </c>
      <c r="F136" t="s">
        <v>2285</v>
      </c>
      <c r="K136" s="12" t="s">
        <v>2599</v>
      </c>
      <c r="L136" t="str">
        <f>IFERROR(VLOOKUP(K136,Таблица7[3]:Таблица7[[#This Row],[6]],2,FALSE),"")</f>
        <v>HMI Количество деталей на полке 3</v>
      </c>
      <c r="M136" t="str">
        <f t="shared" si="3"/>
        <v>HMI Количество деталей на полке 3 (0)</v>
      </c>
      <c r="N136" t="str" cm="1">
        <f t="array" ref="N136">IF(MOD(ROW()-ROW($B$2),16)=0,INDEX($M$2:$M$1000,(ROW()-ROW($B$2))/16+1),"")</f>
        <v/>
      </c>
    </row>
    <row r="137" spans="2:14" x14ac:dyDescent="0.3">
      <c r="B137" t="s">
        <v>2177</v>
      </c>
      <c r="C137" t="s">
        <v>138</v>
      </c>
      <c r="D137" t="s">
        <v>2268</v>
      </c>
      <c r="E137">
        <v>0</v>
      </c>
      <c r="F137" t="s">
        <v>2268</v>
      </c>
      <c r="K137" s="12" t="s">
        <v>2600</v>
      </c>
      <c r="L137" t="str">
        <f>IFERROR(VLOOKUP(K137,Таблица7[3]:Таблица7[[#This Row],[6]],2,FALSE),"")</f>
        <v>HMI Количество деталей на полке 4</v>
      </c>
      <c r="M137" t="str">
        <f t="shared" si="3"/>
        <v>HMI Количество деталей на полке 4 (0)</v>
      </c>
      <c r="N137" t="str" cm="1">
        <f t="array" ref="N137">IF(MOD(ROW()-ROW($B$2),16)=0,INDEX($M$2:$M$1000,(ROW()-ROW($B$2))/16+1),"")</f>
        <v/>
      </c>
    </row>
    <row r="138" spans="2:14" x14ac:dyDescent="0.3">
      <c r="B138" t="s">
        <v>2177</v>
      </c>
      <c r="C138" t="s">
        <v>139</v>
      </c>
      <c r="D138" t="s">
        <v>2268</v>
      </c>
      <c r="E138">
        <v>0</v>
      </c>
      <c r="F138" t="s">
        <v>2268</v>
      </c>
      <c r="K138" s="12" t="s">
        <v>4156</v>
      </c>
      <c r="L138" t="str">
        <f>IFERROR(VLOOKUP(K138,Таблица7[3]:Таблица7[[#This Row],[6]],2,FALSE),"")</f>
        <v>Количество деталей для задания</v>
      </c>
      <c r="M138" t="str">
        <f t="shared" si="3"/>
        <v>Количество деталей для задания (0)</v>
      </c>
      <c r="N138" t="str" cm="1">
        <f t="array" ref="N138">IF(MOD(ROW()-ROW($B$2),16)=0,INDEX($M$2:$M$1000,(ROW()-ROW($B$2))/16+1),"")</f>
        <v/>
      </c>
    </row>
    <row r="139" spans="2:14" x14ac:dyDescent="0.3">
      <c r="B139" t="s">
        <v>2177</v>
      </c>
      <c r="C139" t="s">
        <v>140</v>
      </c>
      <c r="D139" t="s">
        <v>2268</v>
      </c>
      <c r="E139">
        <v>0</v>
      </c>
      <c r="F139" t="s">
        <v>2268</v>
      </c>
      <c r="K139" s="12" t="s">
        <v>5299</v>
      </c>
      <c r="L139" t="str">
        <f>IFERROR(VLOOKUP(K139,Таблица7[3]:Таблица7[[#This Row],[6]],2,FALSE),"")</f>
        <v/>
      </c>
      <c r="M139" t="str">
        <f t="shared" si="3"/>
        <v/>
      </c>
      <c r="N139" t="str" cm="1">
        <f t="array" ref="N139">IF(MOD(ROW()-ROW($B$2),16)=0,INDEX($M$2:$M$1000,(ROW()-ROW($B$2))/16+1),"")</f>
        <v/>
      </c>
    </row>
    <row r="140" spans="2:14" x14ac:dyDescent="0.3">
      <c r="B140" t="s">
        <v>2177</v>
      </c>
      <c r="C140" t="s">
        <v>141</v>
      </c>
      <c r="D140" t="s">
        <v>2268</v>
      </c>
      <c r="E140">
        <v>0</v>
      </c>
      <c r="F140" t="s">
        <v>2268</v>
      </c>
      <c r="K140" s="12" t="s">
        <v>5300</v>
      </c>
      <c r="L140" t="str">
        <f>IFERROR(VLOOKUP(K140,Таблица7[3]:Таблица7[[#This Row],[6]],2,FALSE),"")</f>
        <v/>
      </c>
      <c r="M140" t="str">
        <f t="shared" si="3"/>
        <v/>
      </c>
      <c r="N140" t="str" cm="1">
        <f t="array" ref="N140">IF(MOD(ROW()-ROW($B$2),16)=0,INDEX($M$2:$M$1000,(ROW()-ROW($B$2))/16+1),"")</f>
        <v/>
      </c>
    </row>
    <row r="141" spans="2:14" x14ac:dyDescent="0.3">
      <c r="B141" t="s">
        <v>2177</v>
      </c>
      <c r="C141" t="s">
        <v>142</v>
      </c>
      <c r="D141" t="s">
        <v>2268</v>
      </c>
      <c r="E141">
        <v>0</v>
      </c>
      <c r="F141" t="s">
        <v>2268</v>
      </c>
      <c r="K141" s="12" t="s">
        <v>5301</v>
      </c>
      <c r="L141" t="str">
        <f>IFERROR(VLOOKUP(K141,Таблица7[3]:Таблица7[[#This Row],[6]],2,FALSE),"")</f>
        <v/>
      </c>
      <c r="M141" t="str">
        <f t="shared" si="3"/>
        <v/>
      </c>
      <c r="N141" t="str" cm="1">
        <f t="array" ref="N141">IF(MOD(ROW()-ROW($B$2),16)=0,INDEX($M$2:$M$1000,(ROW()-ROW($B$2))/16+1),"")</f>
        <v/>
      </c>
    </row>
    <row r="142" spans="2:14" x14ac:dyDescent="0.3">
      <c r="B142" t="s">
        <v>2177</v>
      </c>
      <c r="C142" t="s">
        <v>143</v>
      </c>
      <c r="D142" t="s">
        <v>2268</v>
      </c>
      <c r="E142">
        <v>0</v>
      </c>
      <c r="F142" t="s">
        <v>2268</v>
      </c>
      <c r="K142" s="12" t="s">
        <v>2579</v>
      </c>
      <c r="L142" t="str">
        <f>IFERROR(VLOOKUP(K142,Таблица7[3]:Таблица7[[#This Row],[6]],2,FALSE),"")</f>
        <v>Выбранный номер задания</v>
      </c>
      <c r="M142" t="str">
        <f t="shared" si="3"/>
        <v>Выбранный номер задания (0)</v>
      </c>
      <c r="N142" t="str" cm="1">
        <f t="array" ref="N142">IF(MOD(ROW()-ROW($B$2),16)=0,INDEX($M$2:$M$1000,(ROW()-ROW($B$2))/16+1),"")</f>
        <v/>
      </c>
    </row>
    <row r="143" spans="2:14" x14ac:dyDescent="0.3">
      <c r="B143" t="s">
        <v>2177</v>
      </c>
      <c r="C143" t="s">
        <v>144</v>
      </c>
      <c r="D143" t="s">
        <v>2268</v>
      </c>
      <c r="E143">
        <v>0</v>
      </c>
      <c r="F143" t="s">
        <v>2268</v>
      </c>
      <c r="K143" s="12" t="s">
        <v>2596</v>
      </c>
      <c r="L143" t="str">
        <f>IFERROR(VLOOKUP(K143,Таблица7[3]:Таблица7[[#This Row],[6]],2,FALSE),"")</f>
        <v>Выбранный номер задания - 1</v>
      </c>
      <c r="M143" t="str">
        <f t="shared" si="3"/>
        <v>Выбранный номер задания - 1 (0)</v>
      </c>
      <c r="N143" t="str" cm="1">
        <f t="array" ref="N143">IF(MOD(ROW()-ROW($B$2),16)=0,INDEX($M$2:$M$1000,(ROW()-ROW($B$2))/16+1),"")</f>
        <v/>
      </c>
    </row>
    <row r="144" spans="2:14" x14ac:dyDescent="0.3">
      <c r="B144" t="s">
        <v>2177</v>
      </c>
      <c r="C144" t="s">
        <v>145</v>
      </c>
      <c r="D144" t="s">
        <v>2268</v>
      </c>
      <c r="E144">
        <v>0</v>
      </c>
      <c r="F144" t="s">
        <v>2268</v>
      </c>
      <c r="K144" s="12" t="s">
        <v>2592</v>
      </c>
      <c r="L144" t="str">
        <f>IFERROR(VLOOKUP(K144,Таблица7[3]:Таблица7[[#This Row],[6]],2,FALSE),"")</f>
        <v>Оффсет строки для выбранного номера названия</v>
      </c>
      <c r="M144" t="str">
        <f t="shared" si="3"/>
        <v>Оффсет строки для выбранного номера названия (0)</v>
      </c>
      <c r="N144" t="str" cm="1">
        <f t="array" ref="N144">IF(MOD(ROW()-ROW($B$2),16)=0,INDEX($M$2:$M$1000,(ROW()-ROW($B$2))/16+1),"")</f>
        <v/>
      </c>
    </row>
    <row r="145" spans="2:14" x14ac:dyDescent="0.3">
      <c r="B145" t="s">
        <v>2177</v>
      </c>
      <c r="C145" t="s">
        <v>146</v>
      </c>
      <c r="D145" t="s">
        <v>2286</v>
      </c>
      <c r="E145">
        <v>0</v>
      </c>
      <c r="F145" t="s">
        <v>2286</v>
      </c>
      <c r="K145" s="12" t="s">
        <v>2593</v>
      </c>
      <c r="L145" t="str">
        <f>IFERROR(VLOOKUP(K145,Таблица7[3]:Таблица7[[#This Row],[6]],2,FALSE),"")</f>
        <v>MULNULL</v>
      </c>
      <c r="M145" t="str">
        <f t="shared" si="3"/>
        <v>MULNULL (0)</v>
      </c>
      <c r="N145" t="str" cm="1">
        <f t="array" ref="N145">IF(MOD(ROW()-ROW($B$2),16)=0,INDEX($M$2:$M$1000,(ROW()-ROW($B$2))/16+1),"")</f>
        <v/>
      </c>
    </row>
    <row r="146" spans="2:14" x14ac:dyDescent="0.3">
      <c r="B146" t="s">
        <v>2177</v>
      </c>
      <c r="C146" t="s">
        <v>147</v>
      </c>
      <c r="D146" t="s">
        <v>2287</v>
      </c>
      <c r="E146">
        <v>0</v>
      </c>
      <c r="F146" t="s">
        <v>2287</v>
      </c>
      <c r="K146" s="12" t="s">
        <v>2594</v>
      </c>
      <c r="L146" t="str">
        <f>IFERROR(VLOOKUP(K146,Таблица7[3]:Таблица7[[#This Row],[6]],2,FALSE),"")</f>
        <v>MULNULL</v>
      </c>
      <c r="M146" t="str">
        <f t="shared" si="3"/>
        <v>MULNULL (0)</v>
      </c>
      <c r="N146" t="str" cm="1">
        <f t="array" ref="N146">IF(MOD(ROW()-ROW($B$2),16)=0,INDEX($M$2:$M$1000,(ROW()-ROW($B$2))/16+1),"")</f>
        <v>Фиксированное число 9 (0)</v>
      </c>
    </row>
    <row r="147" spans="2:14" x14ac:dyDescent="0.3">
      <c r="B147" t="s">
        <v>2177</v>
      </c>
      <c r="C147" t="s">
        <v>148</v>
      </c>
      <c r="D147" t="s">
        <v>2288</v>
      </c>
      <c r="E147">
        <v>0</v>
      </c>
      <c r="F147" t="s">
        <v>2288</v>
      </c>
      <c r="K147" s="12" t="s">
        <v>2595</v>
      </c>
      <c r="L147" t="str">
        <f>IFERROR(VLOOKUP(K147,Таблица7[3]:Таблица7[[#This Row],[6]],2,FALSE),"")</f>
        <v>MULNULL</v>
      </c>
      <c r="M147" t="str">
        <f t="shared" si="3"/>
        <v>MULNULL (0)</v>
      </c>
      <c r="N147" t="str" cm="1">
        <f t="array" ref="N147">IF(MOD(ROW()-ROW($B$2),16)=0,INDEX($M$2:$M$1000,(ROW()-ROW($B$2))/16+1),"")</f>
        <v/>
      </c>
    </row>
    <row r="148" spans="2:14" x14ac:dyDescent="0.3">
      <c r="B148" t="s">
        <v>2177</v>
      </c>
      <c r="C148" t="s">
        <v>149</v>
      </c>
      <c r="D148" t="s">
        <v>2289</v>
      </c>
      <c r="E148">
        <v>0</v>
      </c>
      <c r="F148" t="s">
        <v>2289</v>
      </c>
      <c r="K148" s="12" t="s">
        <v>2609</v>
      </c>
      <c r="L148" t="str">
        <f>IFERROR(VLOOKUP(K148,Таблица7[3]:Таблица7[[#This Row],[6]],2,FALSE),"")</f>
        <v>Счётчик страницы заданий</v>
      </c>
      <c r="M148" t="str">
        <f t="shared" si="3"/>
        <v>Счётчик страницы заданий (0)</v>
      </c>
      <c r="N148" t="str" cm="1">
        <f t="array" ref="N148">IF(MOD(ROW()-ROW($B$2),16)=0,INDEX($M$2:$M$1000,(ROW()-ROW($B$2))/16+1),"")</f>
        <v/>
      </c>
    </row>
    <row r="149" spans="2:14" x14ac:dyDescent="0.3">
      <c r="B149" t="s">
        <v>2177</v>
      </c>
      <c r="C149" t="s">
        <v>150</v>
      </c>
      <c r="D149" t="s">
        <v>2290</v>
      </c>
      <c r="E149">
        <v>0</v>
      </c>
      <c r="F149" t="s">
        <v>2290</v>
      </c>
      <c r="K149" s="12" t="s">
        <v>2610</v>
      </c>
      <c r="L149" t="str">
        <f>IFERROR(VLOOKUP(K149,Таблица7[3]:Таблица7[[#This Row],[6]],2,FALSE),"")</f>
        <v>Оффсет номера страницы списка заданий</v>
      </c>
      <c r="M149" t="str">
        <f t="shared" si="3"/>
        <v>Оффсет номера страницы списка заданий (0)</v>
      </c>
      <c r="N149" t="str" cm="1">
        <f t="array" ref="N149">IF(MOD(ROW()-ROW($B$2),16)=0,INDEX($M$2:$M$1000,(ROW()-ROW($B$2))/16+1),"")</f>
        <v/>
      </c>
    </row>
    <row r="150" spans="2:14" x14ac:dyDescent="0.3">
      <c r="B150" t="s">
        <v>2177</v>
      </c>
      <c r="C150" t="s">
        <v>151</v>
      </c>
      <c r="D150" t="s">
        <v>2291</v>
      </c>
      <c r="E150">
        <v>0</v>
      </c>
      <c r="F150" t="s">
        <v>2291</v>
      </c>
      <c r="K150" s="12" t="s">
        <v>2611</v>
      </c>
      <c r="L150" t="str">
        <f>IFERROR(VLOOKUP(K150,Таблица7[3]:Таблица7[[#This Row],[6]],2,FALSE),"")</f>
        <v>MULNULL</v>
      </c>
      <c r="M150" t="str">
        <f t="shared" si="3"/>
        <v>MULNULL (0)</v>
      </c>
      <c r="N150" t="str" cm="1">
        <f t="array" ref="N150">IF(MOD(ROW()-ROW($B$2),16)=0,INDEX($M$2:$M$1000,(ROW()-ROW($B$2))/16+1),"")</f>
        <v/>
      </c>
    </row>
    <row r="151" spans="2:14" x14ac:dyDescent="0.3">
      <c r="B151" t="s">
        <v>2177</v>
      </c>
      <c r="C151" t="s">
        <v>152</v>
      </c>
      <c r="D151" t="s">
        <v>2292</v>
      </c>
      <c r="E151">
        <v>0</v>
      </c>
      <c r="F151" t="s">
        <v>2292</v>
      </c>
      <c r="K151" s="12" t="s">
        <v>2612</v>
      </c>
      <c r="L151" t="str">
        <f>IFERROR(VLOOKUP(K151,Таблица7[3]:Таблица7[[#This Row],[6]],2,FALSE),"")</f>
        <v>MULNULL</v>
      </c>
      <c r="M151" t="str">
        <f t="shared" si="3"/>
        <v>MULNULL (0)</v>
      </c>
      <c r="N151" t="str" cm="1">
        <f t="array" ref="N151">IF(MOD(ROW()-ROW($B$2),16)=0,INDEX($M$2:$M$1000,(ROW()-ROW($B$2))/16+1),"")</f>
        <v/>
      </c>
    </row>
    <row r="152" spans="2:14" x14ac:dyDescent="0.3">
      <c r="B152" t="s">
        <v>2177</v>
      </c>
      <c r="C152" t="s">
        <v>153</v>
      </c>
      <c r="D152" t="s">
        <v>2293</v>
      </c>
      <c r="E152">
        <v>0</v>
      </c>
      <c r="F152" t="s">
        <v>2293</v>
      </c>
      <c r="K152" s="12" t="s">
        <v>2613</v>
      </c>
      <c r="L152" t="str">
        <f>IFERROR(VLOOKUP(K152,Таблица7[3]:Таблица7[[#This Row],[6]],2,FALSE),"")</f>
        <v>MULNULL</v>
      </c>
      <c r="M152" t="str">
        <f t="shared" si="3"/>
        <v>MULNULL (0)</v>
      </c>
      <c r="N152" t="str" cm="1">
        <f t="array" ref="N152">IF(MOD(ROW()-ROW($B$2),16)=0,INDEX($M$2:$M$1000,(ROW()-ROW($B$2))/16+1),"")</f>
        <v/>
      </c>
    </row>
    <row r="153" spans="2:14" x14ac:dyDescent="0.3">
      <c r="B153" t="s">
        <v>2177</v>
      </c>
      <c r="C153" t="s">
        <v>161</v>
      </c>
      <c r="D153" t="s">
        <v>2294</v>
      </c>
      <c r="E153">
        <v>0</v>
      </c>
      <c r="F153" t="s">
        <v>2294</v>
      </c>
      <c r="K153" s="12" t="s">
        <v>2614</v>
      </c>
      <c r="L153" t="str">
        <f>IFERROR(VLOOKUP(K153,Таблица7[3]:Таблица7[[#This Row],[6]],2,FALSE),"")</f>
        <v>Оффсет строки страницы списка заданий</v>
      </c>
      <c r="M153" t="str">
        <f t="shared" si="3"/>
        <v>Оффсет строки страницы списка заданий (0)</v>
      </c>
      <c r="N153" t="str" cm="1">
        <f t="array" ref="N153">IF(MOD(ROW()-ROW($B$2),16)=0,INDEX($M$2:$M$1000,(ROW()-ROW($B$2))/16+1),"")</f>
        <v/>
      </c>
    </row>
    <row r="154" spans="2:14" x14ac:dyDescent="0.3">
      <c r="B154" t="s">
        <v>2177</v>
      </c>
      <c r="C154" t="s">
        <v>2295</v>
      </c>
      <c r="D154" t="s">
        <v>198</v>
      </c>
      <c r="E154">
        <v>0</v>
      </c>
      <c r="F154" t="s">
        <v>198</v>
      </c>
      <c r="K154" s="12" t="s">
        <v>2615</v>
      </c>
      <c r="L154" t="str">
        <f>IFERROR(VLOOKUP(K154,Таблица7[3]:Таблица7[[#This Row],[6]],2,FALSE),"")</f>
        <v>MULNULL</v>
      </c>
      <c r="M154" t="str">
        <f t="shared" si="3"/>
        <v>MULNULL (0)</v>
      </c>
      <c r="N154" t="str" cm="1">
        <f t="array" ref="N154">IF(MOD(ROW()-ROW($B$2),16)=0,INDEX($M$2:$M$1000,(ROW()-ROW($B$2))/16+1),"")</f>
        <v/>
      </c>
    </row>
    <row r="155" spans="2:14" x14ac:dyDescent="0.3">
      <c r="B155" t="s">
        <v>2177</v>
      </c>
      <c r="C155" t="s">
        <v>300</v>
      </c>
      <c r="D155" t="s">
        <v>199</v>
      </c>
      <c r="E155">
        <v>0</v>
      </c>
      <c r="F155" t="s">
        <v>199</v>
      </c>
      <c r="K155" s="12" t="s">
        <v>2616</v>
      </c>
      <c r="L155" t="str">
        <f>IFERROR(VLOOKUP(K155,Таблица7[3]:Таблица7[[#This Row],[6]],2,FALSE),"")</f>
        <v>MULNULL</v>
      </c>
      <c r="M155" t="str">
        <f t="shared" si="3"/>
        <v>MULNULL (0)</v>
      </c>
      <c r="N155" t="str" cm="1">
        <f t="array" ref="N155">IF(MOD(ROW()-ROW($B$2),16)=0,INDEX($M$2:$M$1000,(ROW()-ROW($B$2))/16+1),"")</f>
        <v/>
      </c>
    </row>
    <row r="156" spans="2:14" x14ac:dyDescent="0.3">
      <c r="B156" t="s">
        <v>2177</v>
      </c>
      <c r="C156" t="s">
        <v>2296</v>
      </c>
      <c r="D156" t="s">
        <v>200</v>
      </c>
      <c r="E156">
        <v>0</v>
      </c>
      <c r="F156" t="s">
        <v>200</v>
      </c>
      <c r="K156" s="12" t="s">
        <v>2617</v>
      </c>
      <c r="L156" t="str">
        <f>IFERROR(VLOOKUP(K156,Таблица7[3]:Таблица7[[#This Row],[6]],2,FALSE),"")</f>
        <v>MULNULL</v>
      </c>
      <c r="M156" t="str">
        <f t="shared" si="3"/>
        <v>MULNULL (0)</v>
      </c>
      <c r="N156" t="str" cm="1">
        <f t="array" ref="N156">IF(MOD(ROW()-ROW($B$2),16)=0,INDEX($M$2:$M$1000,(ROW()-ROW($B$2))/16+1),"")</f>
        <v/>
      </c>
    </row>
    <row r="157" spans="2:14" x14ac:dyDescent="0.3">
      <c r="B157" t="s">
        <v>2177</v>
      </c>
      <c r="C157" t="s">
        <v>309</v>
      </c>
      <c r="D157" t="s">
        <v>201</v>
      </c>
      <c r="E157">
        <v>0</v>
      </c>
      <c r="F157" t="s">
        <v>201</v>
      </c>
      <c r="K157" s="12" t="s">
        <v>2618</v>
      </c>
      <c r="L157" t="str">
        <f>IFERROR(VLOOKUP(K157,Таблица7[3]:Таблица7[[#This Row],[6]],2,FALSE),"")</f>
        <v>Номер кнопки на странице списка заданий</v>
      </c>
      <c r="M157" t="str">
        <f t="shared" si="3"/>
        <v>Номер кнопки на странице списка заданий (0)</v>
      </c>
      <c r="N157" t="str" cm="1">
        <f t="array" ref="N157">IF(MOD(ROW()-ROW($B$2),16)=0,INDEX($M$2:$M$1000,(ROW()-ROW($B$2))/16+1),"")</f>
        <v/>
      </c>
    </row>
    <row r="158" spans="2:14" x14ac:dyDescent="0.3">
      <c r="B158" t="s">
        <v>2177</v>
      </c>
      <c r="C158" t="s">
        <v>302</v>
      </c>
      <c r="D158" t="s">
        <v>202</v>
      </c>
      <c r="E158">
        <v>0</v>
      </c>
      <c r="F158" t="s">
        <v>202</v>
      </c>
      <c r="K158" s="12" t="s">
        <v>2619</v>
      </c>
      <c r="L158" t="str">
        <f>IFERROR(VLOOKUP(K158,Таблица7[3]:Таблица7[[#This Row],[6]],2,FALSE),"")</f>
        <v>Номер редактируемого задания</v>
      </c>
      <c r="M158" t="str">
        <f t="shared" si="3"/>
        <v>Номер редактируемого задания (0)</v>
      </c>
      <c r="N158" t="str" cm="1">
        <f t="array" ref="N158">IF(MOD(ROW()-ROW($B$2),16)=0,INDEX($M$2:$M$1000,(ROW()-ROW($B$2))/16+1),"")</f>
        <v/>
      </c>
    </row>
    <row r="159" spans="2:14" x14ac:dyDescent="0.3">
      <c r="B159" t="s">
        <v>2177</v>
      </c>
      <c r="C159" t="s">
        <v>303</v>
      </c>
      <c r="D159" t="s">
        <v>203</v>
      </c>
      <c r="E159">
        <v>0</v>
      </c>
      <c r="F159" t="s">
        <v>203</v>
      </c>
      <c r="K159" s="12" t="s">
        <v>2621</v>
      </c>
      <c r="L159" t="str">
        <f>IFERROR(VLOOKUP(K159,Таблица7[3]:Таблица7[[#This Row],[6]],2,FALSE),"")</f>
        <v>Счётчик страницы пластин</v>
      </c>
      <c r="M159" t="str">
        <f t="shared" si="3"/>
        <v>Счётчик страницы пластин (0)</v>
      </c>
      <c r="N159" t="str" cm="1">
        <f t="array" ref="N159">IF(MOD(ROW()-ROW($B$2),16)=0,INDEX($M$2:$M$1000,(ROW()-ROW($B$2))/16+1),"")</f>
        <v/>
      </c>
    </row>
    <row r="160" spans="2:14" x14ac:dyDescent="0.3">
      <c r="B160" t="s">
        <v>2177</v>
      </c>
      <c r="C160" t="s">
        <v>2297</v>
      </c>
      <c r="D160" t="s">
        <v>204</v>
      </c>
      <c r="E160">
        <v>0</v>
      </c>
      <c r="F160" t="s">
        <v>204</v>
      </c>
      <c r="K160" s="12" t="s">
        <v>2622</v>
      </c>
      <c r="L160" t="str">
        <f>IFERROR(VLOOKUP(K160,Таблица7[3]:Таблица7[[#This Row],[6]],2,FALSE),"")</f>
        <v>Оффсет номера страницы списка пластин</v>
      </c>
      <c r="M160" t="str">
        <f t="shared" si="3"/>
        <v>Оффсет номера страницы списка пластин (0)</v>
      </c>
      <c r="N160" t="str" cm="1">
        <f t="array" ref="N160">IF(MOD(ROW()-ROW($B$2),16)=0,INDEX($M$2:$M$1000,(ROW()-ROW($B$2))/16+1),"")</f>
        <v/>
      </c>
    </row>
    <row r="161" spans="2:14" x14ac:dyDescent="0.3">
      <c r="B161" t="s">
        <v>2177</v>
      </c>
      <c r="C161" t="s">
        <v>2298</v>
      </c>
      <c r="D161" t="s">
        <v>205</v>
      </c>
      <c r="E161">
        <v>0</v>
      </c>
      <c r="F161" t="s">
        <v>205</v>
      </c>
      <c r="K161" s="12" t="s">
        <v>2623</v>
      </c>
      <c r="L161" t="str">
        <f>IFERROR(VLOOKUP(K161,Таблица7[3]:Таблица7[[#This Row],[6]],2,FALSE),"")</f>
        <v>MULNULL</v>
      </c>
      <c r="M161" t="str">
        <f t="shared" si="3"/>
        <v>MULNULL (0)</v>
      </c>
      <c r="N161" t="str" cm="1">
        <f t="array" ref="N161">IF(MOD(ROW()-ROW($B$2),16)=0,INDEX($M$2:$M$1000,(ROW()-ROW($B$2))/16+1),"")</f>
        <v/>
      </c>
    </row>
    <row r="162" spans="2:14" x14ac:dyDescent="0.3">
      <c r="B162" t="s">
        <v>2177</v>
      </c>
      <c r="C162" t="s">
        <v>310</v>
      </c>
      <c r="D162" t="s">
        <v>206</v>
      </c>
      <c r="E162">
        <v>0</v>
      </c>
      <c r="F162" t="s">
        <v>206</v>
      </c>
      <c r="K162" s="12" t="s">
        <v>2624</v>
      </c>
      <c r="L162" t="str">
        <f>IFERROR(VLOOKUP(K162,Таблица7[3]:Таблица7[[#This Row],[6]],2,FALSE),"")</f>
        <v>MULNULL</v>
      </c>
      <c r="M162" t="str">
        <f t="shared" si="3"/>
        <v>MULNULL (0)</v>
      </c>
      <c r="N162" t="str" cm="1">
        <f t="array" ref="N162">IF(MOD(ROW()-ROW($B$2),16)=0,INDEX($M$2:$M$1000,(ROW()-ROW($B$2))/16+1),"")</f>
        <v>Фиксированное число 10 (0)</v>
      </c>
    </row>
    <row r="163" spans="2:14" x14ac:dyDescent="0.3">
      <c r="B163" t="s">
        <v>2177</v>
      </c>
      <c r="C163" t="s">
        <v>305</v>
      </c>
      <c r="D163" t="s">
        <v>207</v>
      </c>
      <c r="E163">
        <v>0</v>
      </c>
      <c r="F163" t="s">
        <v>207</v>
      </c>
      <c r="K163" s="12" t="s">
        <v>2625</v>
      </c>
      <c r="L163" t="str">
        <f>IFERROR(VLOOKUP(K163,Таблица7[3]:Таблица7[[#This Row],[6]],2,FALSE),"")</f>
        <v>MULNULL</v>
      </c>
      <c r="M163" t="str">
        <f t="shared" si="3"/>
        <v>MULNULL (0)</v>
      </c>
      <c r="N163" t="str" cm="1">
        <f t="array" ref="N163">IF(MOD(ROW()-ROW($B$2),16)=0,INDEX($M$2:$M$1000,(ROW()-ROW($B$2))/16+1),"")</f>
        <v/>
      </c>
    </row>
    <row r="164" spans="2:14" x14ac:dyDescent="0.3">
      <c r="B164" t="s">
        <v>2177</v>
      </c>
      <c r="C164" t="s">
        <v>2299</v>
      </c>
      <c r="D164" t="s">
        <v>208</v>
      </c>
      <c r="E164">
        <v>0</v>
      </c>
      <c r="F164" t="s">
        <v>208</v>
      </c>
      <c r="K164" s="12" t="s">
        <v>2626</v>
      </c>
      <c r="L164" t="str">
        <f>IFERROR(VLOOKUP(K164,Таблица7[3]:Таблица7[[#This Row],[6]],2,FALSE),"")</f>
        <v>Оффсет строки страницы списка пластин</v>
      </c>
      <c r="M164" t="str">
        <f t="shared" si="3"/>
        <v>Оффсет строки страницы списка пластин (0)</v>
      </c>
      <c r="N164" t="str" cm="1">
        <f t="array" ref="N164">IF(MOD(ROW()-ROW($B$2),16)=0,INDEX($M$2:$M$1000,(ROW()-ROW($B$2))/16+1),"")</f>
        <v/>
      </c>
    </row>
    <row r="165" spans="2:14" x14ac:dyDescent="0.3">
      <c r="B165" t="s">
        <v>2177</v>
      </c>
      <c r="C165" t="s">
        <v>304</v>
      </c>
      <c r="D165" t="s">
        <v>209</v>
      </c>
      <c r="E165">
        <v>0</v>
      </c>
      <c r="F165" t="s">
        <v>209</v>
      </c>
      <c r="K165" s="12" t="s">
        <v>2627</v>
      </c>
      <c r="L165" t="str">
        <f>IFERROR(VLOOKUP(K165,Таблица7[3]:Таблица7[[#This Row],[6]],2,FALSE),"")</f>
        <v>MULNULL</v>
      </c>
      <c r="M165" t="str">
        <f t="shared" si="3"/>
        <v>MULNULL (0)</v>
      </c>
      <c r="N165" t="str" cm="1">
        <f t="array" ref="N165">IF(MOD(ROW()-ROW($B$2),16)=0,INDEX($M$2:$M$1000,(ROW()-ROW($B$2))/16+1),"")</f>
        <v/>
      </c>
    </row>
    <row r="166" spans="2:14" x14ac:dyDescent="0.3">
      <c r="B166" t="s">
        <v>2177</v>
      </c>
      <c r="C166" t="s">
        <v>2300</v>
      </c>
      <c r="D166" t="s">
        <v>210</v>
      </c>
      <c r="E166">
        <v>0</v>
      </c>
      <c r="F166" t="s">
        <v>210</v>
      </c>
      <c r="K166" s="12" t="s">
        <v>2628</v>
      </c>
      <c r="L166" t="str">
        <f>IFERROR(VLOOKUP(K166,Таблица7[3]:Таблица7[[#This Row],[6]],2,FALSE),"")</f>
        <v>MULNULL</v>
      </c>
      <c r="M166" t="str">
        <f t="shared" si="3"/>
        <v>MULNULL (0)</v>
      </c>
      <c r="N166" t="str" cm="1">
        <f t="array" ref="N166">IF(MOD(ROW()-ROW($B$2),16)=0,INDEX($M$2:$M$1000,(ROW()-ROW($B$2))/16+1),"")</f>
        <v/>
      </c>
    </row>
    <row r="167" spans="2:14" x14ac:dyDescent="0.3">
      <c r="B167" t="s">
        <v>2177</v>
      </c>
      <c r="C167" t="s">
        <v>2301</v>
      </c>
      <c r="D167" t="s">
        <v>211</v>
      </c>
      <c r="E167">
        <v>0</v>
      </c>
      <c r="F167" t="s">
        <v>211</v>
      </c>
      <c r="K167" s="12" t="s">
        <v>2629</v>
      </c>
      <c r="L167" t="str">
        <f>IFERROR(VLOOKUP(K167,Таблица7[3]:Таблица7[[#This Row],[6]],2,FALSE),"")</f>
        <v>MULNULL</v>
      </c>
      <c r="M167" t="str">
        <f t="shared" si="3"/>
        <v>MULNULL (0)</v>
      </c>
      <c r="N167" t="str" cm="1">
        <f t="array" ref="N167">IF(MOD(ROW()-ROW($B$2),16)=0,INDEX($M$2:$M$1000,(ROW()-ROW($B$2))/16+1),"")</f>
        <v/>
      </c>
    </row>
    <row r="168" spans="2:14" x14ac:dyDescent="0.3">
      <c r="B168" t="s">
        <v>2177</v>
      </c>
      <c r="C168" t="s">
        <v>2302</v>
      </c>
      <c r="D168" t="s">
        <v>212</v>
      </c>
      <c r="E168">
        <v>0</v>
      </c>
      <c r="F168" t="s">
        <v>212</v>
      </c>
      <c r="K168" s="12" t="s">
        <v>2630</v>
      </c>
      <c r="L168" t="str">
        <f>IFERROR(VLOOKUP(K168,Таблица7[3]:Таблица7[[#This Row],[6]],2,FALSE),"")</f>
        <v>Номер кнопки на странице списка пластин</v>
      </c>
      <c r="M168" t="str">
        <f t="shared" si="3"/>
        <v>Номер кнопки на странице списка пластин (0)</v>
      </c>
      <c r="N168" t="str" cm="1">
        <f t="array" ref="N168">IF(MOD(ROW()-ROW($B$2),16)=0,INDEX($M$2:$M$1000,(ROW()-ROW($B$2))/16+1),"")</f>
        <v/>
      </c>
    </row>
    <row r="169" spans="2:14" x14ac:dyDescent="0.3">
      <c r="B169" t="s">
        <v>2177</v>
      </c>
      <c r="C169" t="s">
        <v>2303</v>
      </c>
      <c r="D169" t="s">
        <v>213</v>
      </c>
      <c r="E169">
        <v>0</v>
      </c>
      <c r="F169" t="s">
        <v>213</v>
      </c>
      <c r="K169" s="12" t="s">
        <v>2631</v>
      </c>
      <c r="L169" t="str">
        <f>IFERROR(VLOOKUP(K169,Таблица7[3]:Таблица7[[#This Row],[6]],2,FALSE),"")</f>
        <v>Номер редактируемой пластины</v>
      </c>
      <c r="M169" t="str">
        <f t="shared" si="3"/>
        <v>Номер редактируемой пластины (0)</v>
      </c>
      <c r="N169" t="str" cm="1">
        <f t="array" ref="N169">IF(MOD(ROW()-ROW($B$2),16)=0,INDEX($M$2:$M$1000,(ROW()-ROW($B$2))/16+1),"")</f>
        <v/>
      </c>
    </row>
    <row r="170" spans="2:14" x14ac:dyDescent="0.3">
      <c r="B170" t="s">
        <v>2177</v>
      </c>
      <c r="C170" t="s">
        <v>2304</v>
      </c>
      <c r="D170" t="s">
        <v>214</v>
      </c>
      <c r="E170">
        <v>0</v>
      </c>
      <c r="F170" t="s">
        <v>214</v>
      </c>
      <c r="K170" s="12" t="s">
        <v>4118</v>
      </c>
      <c r="L170" t="str">
        <f>IFERROR(VLOOKUP(K170,Таблица7[3]:Таблица7[[#This Row],[6]],2,FALSE),"")</f>
        <v>Смещение номера ред. пластины на 100</v>
      </c>
      <c r="M170" t="str">
        <f t="shared" si="3"/>
        <v>Смещение номера ред. пластины на 100 (0)</v>
      </c>
      <c r="N170" t="str" cm="1">
        <f t="array" ref="N170">IF(MOD(ROW()-ROW($B$2),16)=0,INDEX($M$2:$M$1000,(ROW()-ROW($B$2))/16+1),"")</f>
        <v/>
      </c>
    </row>
    <row r="171" spans="2:14" x14ac:dyDescent="0.3">
      <c r="B171" t="s">
        <v>2177</v>
      </c>
      <c r="C171" t="s">
        <v>2305</v>
      </c>
      <c r="D171" t="s">
        <v>215</v>
      </c>
      <c r="E171">
        <v>0</v>
      </c>
      <c r="F171" t="s">
        <v>215</v>
      </c>
      <c r="K171" s="12" t="s">
        <v>5302</v>
      </c>
      <c r="L171" t="str">
        <f>IFERROR(VLOOKUP(K171,Таблица7[3]:Таблица7[[#This Row],[6]],2,FALSE),"")</f>
        <v/>
      </c>
      <c r="M171" t="str">
        <f t="shared" si="3"/>
        <v/>
      </c>
      <c r="N171" t="str" cm="1">
        <f t="array" ref="N171">IF(MOD(ROW()-ROW($B$2),16)=0,INDEX($M$2:$M$1000,(ROW()-ROW($B$2))/16+1),"")</f>
        <v/>
      </c>
    </row>
    <row r="172" spans="2:14" x14ac:dyDescent="0.3">
      <c r="B172" t="s">
        <v>2177</v>
      </c>
      <c r="C172" t="s">
        <v>2306</v>
      </c>
      <c r="D172" t="s">
        <v>216</v>
      </c>
      <c r="E172">
        <v>0</v>
      </c>
      <c r="F172" t="s">
        <v>216</v>
      </c>
      <c r="K172" s="12" t="s">
        <v>4104</v>
      </c>
      <c r="L172" t="str">
        <f>IFERROR(VLOOKUP(K172,Таблица7[3]:Таблица7[[#This Row],[6]],2,FALSE),"")</f>
        <v>Предыдущее выбранное задание</v>
      </c>
      <c r="M172" t="str">
        <f t="shared" si="3"/>
        <v>Предыдущее выбранное задание (0)</v>
      </c>
      <c r="N172" t="str" cm="1">
        <f t="array" ref="N172">IF(MOD(ROW()-ROW($B$2),16)=0,INDEX($M$2:$M$1000,(ROW()-ROW($B$2))/16+1),"")</f>
        <v/>
      </c>
    </row>
    <row r="173" spans="2:14" x14ac:dyDescent="0.3">
      <c r="B173" t="s">
        <v>2177</v>
      </c>
      <c r="C173" t="s">
        <v>2307</v>
      </c>
      <c r="D173" t="s">
        <v>2308</v>
      </c>
      <c r="E173">
        <v>0</v>
      </c>
      <c r="F173" t="s">
        <v>2308</v>
      </c>
      <c r="K173" s="12" t="s">
        <v>4105</v>
      </c>
      <c r="L173" t="str">
        <f>IFERROR(VLOOKUP(K173,Таблица7[3]:Таблица7[[#This Row],[6]],2,FALSE),"")</f>
        <v xml:space="preserve">Предыдущая выбранная пластина </v>
      </c>
      <c r="M173" t="str">
        <f t="shared" si="3"/>
        <v>Предыдущая выбранная пластина  (0)</v>
      </c>
      <c r="N173" t="str" cm="1">
        <f t="array" ref="N173">IF(MOD(ROW()-ROW($B$2),16)=0,INDEX($M$2:$M$1000,(ROW()-ROW($B$2))/16+1),"")</f>
        <v/>
      </c>
    </row>
    <row r="174" spans="2:14" x14ac:dyDescent="0.3">
      <c r="B174" t="s">
        <v>2177</v>
      </c>
      <c r="C174" t="s">
        <v>2309</v>
      </c>
      <c r="D174" t="s">
        <v>199</v>
      </c>
      <c r="E174">
        <v>0</v>
      </c>
      <c r="F174" t="s">
        <v>199</v>
      </c>
      <c r="K174" s="12" t="s">
        <v>4119</v>
      </c>
      <c r="L174" t="str">
        <f>IFERROR(VLOOKUP(K174,Таблица7[3]:Таблица7[[#This Row],[6]],2,FALSE),"")</f>
        <v>Номер редактируемого задания -1</v>
      </c>
      <c r="M174" t="str">
        <f t="shared" si="3"/>
        <v>Номер редактируемого задания -1 (0)</v>
      </c>
      <c r="N174" t="str" cm="1">
        <f t="array" ref="N174">IF(MOD(ROW()-ROW($B$2),16)=0,INDEX($M$2:$M$1000,(ROW()-ROW($B$2))/16+1),"")</f>
        <v/>
      </c>
    </row>
    <row r="175" spans="2:14" x14ac:dyDescent="0.3">
      <c r="B175" t="s">
        <v>2177</v>
      </c>
      <c r="C175" t="s">
        <v>2310</v>
      </c>
      <c r="D175" t="s">
        <v>2311</v>
      </c>
      <c r="E175">
        <v>0</v>
      </c>
      <c r="F175" t="s">
        <v>2311</v>
      </c>
      <c r="K175" s="12" t="s">
        <v>4123</v>
      </c>
      <c r="L175" t="str">
        <f>IFERROR(VLOOKUP(K175,Таблица7[3]:Таблица7[[#This Row],[6]],2,FALSE),"")</f>
        <v>Номер редактируемой пластины -101</v>
      </c>
      <c r="M175" t="str">
        <f t="shared" si="3"/>
        <v>Номер редактируемой пластины -101 (0)</v>
      </c>
      <c r="N175" t="str" cm="1">
        <f t="array" ref="N175">IF(MOD(ROW()-ROW($B$2),16)=0,INDEX($M$2:$M$1000,(ROW()-ROW($B$2))/16+1),"")</f>
        <v/>
      </c>
    </row>
    <row r="176" spans="2:14" x14ac:dyDescent="0.3">
      <c r="B176" t="s">
        <v>2312</v>
      </c>
      <c r="C176" t="s">
        <v>2313</v>
      </c>
      <c r="D176" t="s">
        <v>2314</v>
      </c>
      <c r="E176">
        <v>0</v>
      </c>
      <c r="F176" t="s">
        <v>2314</v>
      </c>
      <c r="K176" s="12" t="s">
        <v>4202</v>
      </c>
      <c r="L176" t="str">
        <f>IFERROR(VLOOKUP(K176,Таблица7[3]:Таблица7[[#This Row],[6]],2,FALSE),"")</f>
        <v>Номер редактируемой пластины -1</v>
      </c>
      <c r="M176" t="str">
        <f t="shared" si="3"/>
        <v>Номер редактируемой пластины -1 (0)</v>
      </c>
      <c r="N176" t="str" cm="1">
        <f t="array" ref="N176">IF(MOD(ROW()-ROW($B$2),16)=0,INDEX($M$2:$M$1000,(ROW()-ROW($B$2))/16+1),"")</f>
        <v/>
      </c>
    </row>
    <row r="177" spans="2:14" x14ac:dyDescent="0.3">
      <c r="B177" t="s">
        <v>2173</v>
      </c>
      <c r="C177" t="s">
        <v>2315</v>
      </c>
      <c r="D177" t="s">
        <v>2316</v>
      </c>
      <c r="E177">
        <v>0</v>
      </c>
      <c r="F177" t="s">
        <v>2316</v>
      </c>
      <c r="K177" s="12" t="s">
        <v>4157</v>
      </c>
      <c r="L177" t="str">
        <f>IFERROR(VLOOKUP(K177,Таблица7[3]:Таблица7[[#This Row],[6]],2,FALSE),"")</f>
        <v>Оффсет строки для выбранного номера пластины</v>
      </c>
      <c r="M177" t="str">
        <f t="shared" si="3"/>
        <v>Оффсет строки для выбранного номера пластины (0)</v>
      </c>
      <c r="N177" t="str" cm="1">
        <f t="array" ref="N177">IF(MOD(ROW()-ROW($B$2),16)=0,INDEX($M$2:$M$1000,(ROW()-ROW($B$2))/16+1),"")</f>
        <v/>
      </c>
    </row>
    <row r="178" spans="2:14" x14ac:dyDescent="0.3">
      <c r="B178" t="s">
        <v>2173</v>
      </c>
      <c r="C178" t="s">
        <v>2317</v>
      </c>
      <c r="D178" t="s">
        <v>467</v>
      </c>
      <c r="E178">
        <v>0</v>
      </c>
      <c r="F178" t="s">
        <v>467</v>
      </c>
      <c r="K178" s="12" t="s">
        <v>4158</v>
      </c>
      <c r="L178" t="str">
        <f>IFERROR(VLOOKUP(K178,Таблица7[3]:Таблица7[[#This Row],[6]],2,FALSE),"")</f>
        <v>MULNULL</v>
      </c>
      <c r="M178" t="str">
        <f t="shared" si="3"/>
        <v>MULNULL (0)</v>
      </c>
      <c r="N178" t="str" cm="1">
        <f t="array" ref="N178">IF(MOD(ROW()-ROW($B$2),16)=0,INDEX($M$2:$M$1000,(ROW()-ROW($B$2))/16+1),"")</f>
        <v>Фиксированное число 11 (0)</v>
      </c>
    </row>
    <row r="179" spans="2:14" x14ac:dyDescent="0.3">
      <c r="B179" t="s">
        <v>2173</v>
      </c>
      <c r="C179" t="s">
        <v>2318</v>
      </c>
      <c r="D179" t="s">
        <v>468</v>
      </c>
      <c r="E179">
        <v>0</v>
      </c>
      <c r="F179" t="s">
        <v>468</v>
      </c>
      <c r="K179" s="12" t="s">
        <v>4159</v>
      </c>
      <c r="L179" t="str">
        <f>IFERROR(VLOOKUP(K179,Таблица7[3]:Таблица7[[#This Row],[6]],2,FALSE),"")</f>
        <v>MULNULL</v>
      </c>
      <c r="M179" t="str">
        <f t="shared" si="3"/>
        <v>MULNULL (0)</v>
      </c>
      <c r="N179" t="str" cm="1">
        <f t="array" ref="N179">IF(MOD(ROW()-ROW($B$2),16)=0,INDEX($M$2:$M$1000,(ROW()-ROW($B$2))/16+1),"")</f>
        <v/>
      </c>
    </row>
    <row r="180" spans="2:14" x14ac:dyDescent="0.3">
      <c r="B180" t="s">
        <v>2173</v>
      </c>
      <c r="C180" t="s">
        <v>2319</v>
      </c>
      <c r="D180" t="s">
        <v>469</v>
      </c>
      <c r="E180">
        <v>0</v>
      </c>
      <c r="F180" t="s">
        <v>469</v>
      </c>
      <c r="K180" s="12" t="s">
        <v>4160</v>
      </c>
      <c r="L180" t="str">
        <f>IFERROR(VLOOKUP(K180,Таблица7[3]:Таблица7[[#This Row],[6]],2,FALSE),"")</f>
        <v>MULNULL</v>
      </c>
      <c r="M180" t="str">
        <f t="shared" si="3"/>
        <v>MULNULL (0)</v>
      </c>
      <c r="N180" t="str" cm="1">
        <f t="array" ref="N180">IF(MOD(ROW()-ROW($B$2),16)=0,INDEX($M$2:$M$1000,(ROW()-ROW($B$2))/16+1),"")</f>
        <v/>
      </c>
    </row>
    <row r="181" spans="2:14" x14ac:dyDescent="0.3">
      <c r="B181" t="s">
        <v>2173</v>
      </c>
      <c r="C181" t="s">
        <v>2320</v>
      </c>
      <c r="D181" t="s">
        <v>470</v>
      </c>
      <c r="E181">
        <v>0</v>
      </c>
      <c r="F181" t="s">
        <v>470</v>
      </c>
      <c r="K181" s="12" t="s">
        <v>5303</v>
      </c>
      <c r="L181" t="str">
        <f>IFERROR(VLOOKUP(K181,Таблица7[3]:Таблица7[[#This Row],[6]],2,FALSE),"")</f>
        <v/>
      </c>
      <c r="M181" t="str">
        <f t="shared" si="3"/>
        <v/>
      </c>
      <c r="N181" t="str" cm="1">
        <f t="array" ref="N181">IF(MOD(ROW()-ROW($B$2),16)=0,INDEX($M$2:$M$1000,(ROW()-ROW($B$2))/16+1),"")</f>
        <v/>
      </c>
    </row>
    <row r="182" spans="2:14" x14ac:dyDescent="0.3">
      <c r="B182" t="s">
        <v>2173</v>
      </c>
      <c r="C182" t="s">
        <v>2321</v>
      </c>
      <c r="D182" t="s">
        <v>471</v>
      </c>
      <c r="E182">
        <v>0</v>
      </c>
      <c r="F182" t="s">
        <v>471</v>
      </c>
      <c r="K182" s="12" t="s">
        <v>4146</v>
      </c>
      <c r="L182" t="str">
        <f>IFERROR(VLOOKUP(K182,Таблица7[3]:Таблица7[[#This Row],[6]],2,FALSE),"")</f>
        <v>Последняя загруженная пластина</v>
      </c>
      <c r="M182" t="str">
        <f t="shared" si="3"/>
        <v>Последняя загруженная пластина (0)</v>
      </c>
      <c r="N182" t="str" cm="1">
        <f t="array" ref="N182">IF(MOD(ROW()-ROW($B$2),16)=0,INDEX($M$2:$M$1000,(ROW()-ROW($B$2))/16+1),"")</f>
        <v/>
      </c>
    </row>
    <row r="183" spans="2:14" x14ac:dyDescent="0.3">
      <c r="B183" t="s">
        <v>2173</v>
      </c>
      <c r="C183" t="s">
        <v>2322</v>
      </c>
      <c r="D183" t="s">
        <v>472</v>
      </c>
      <c r="E183">
        <v>0</v>
      </c>
      <c r="F183" t="s">
        <v>472</v>
      </c>
      <c r="K183" s="12" t="s">
        <v>5304</v>
      </c>
      <c r="L183" t="str">
        <f>IFERROR(VLOOKUP(K183,Таблица7[3]:Таблица7[[#This Row],[6]],2,FALSE),"")</f>
        <v/>
      </c>
      <c r="M183" t="str">
        <f t="shared" si="3"/>
        <v/>
      </c>
      <c r="N183" t="str" cm="1">
        <f t="array" ref="N183">IF(MOD(ROW()-ROW($B$2),16)=0,INDEX($M$2:$M$1000,(ROW()-ROW($B$2))/16+1),"")</f>
        <v/>
      </c>
    </row>
    <row r="184" spans="2:14" x14ac:dyDescent="0.3">
      <c r="B184" t="s">
        <v>2173</v>
      </c>
      <c r="C184" t="s">
        <v>2323</v>
      </c>
      <c r="D184" t="s">
        <v>473</v>
      </c>
      <c r="E184">
        <v>0</v>
      </c>
      <c r="F184" t="s">
        <v>473</v>
      </c>
      <c r="K184" s="12" t="s">
        <v>5305</v>
      </c>
      <c r="L184" t="str">
        <f>IFERROR(VLOOKUP(K184,Таблица7[3]:Таблица7[[#This Row],[6]],2,FALSE),"")</f>
        <v/>
      </c>
      <c r="M184" t="str">
        <f t="shared" si="3"/>
        <v/>
      </c>
      <c r="N184" t="str" cm="1">
        <f t="array" ref="N184">IF(MOD(ROW()-ROW($B$2),16)=0,INDEX($M$2:$M$1000,(ROW()-ROW($B$2))/16+1),"")</f>
        <v/>
      </c>
    </row>
    <row r="185" spans="2:14" x14ac:dyDescent="0.3">
      <c r="B185" t="s">
        <v>2173</v>
      </c>
      <c r="C185" t="s">
        <v>2324</v>
      </c>
      <c r="D185" t="s">
        <v>474</v>
      </c>
      <c r="E185">
        <v>0</v>
      </c>
      <c r="F185" t="s">
        <v>474</v>
      </c>
      <c r="K185" s="12" t="s">
        <v>5306</v>
      </c>
      <c r="L185" t="str">
        <f>IFERROR(VLOOKUP(K185,Таблица7[3]:Таблица7[[#This Row],[6]],2,FALSE),"")</f>
        <v/>
      </c>
      <c r="M185" t="str">
        <f t="shared" si="3"/>
        <v/>
      </c>
      <c r="N185" t="str" cm="1">
        <f t="array" ref="N185">IF(MOD(ROW()-ROW($B$2),16)=0,INDEX($M$2:$M$1000,(ROW()-ROW($B$2))/16+1),"")</f>
        <v/>
      </c>
    </row>
    <row r="186" spans="2:14" x14ac:dyDescent="0.3">
      <c r="B186" t="s">
        <v>2173</v>
      </c>
      <c r="C186" t="s">
        <v>2325</v>
      </c>
      <c r="D186" t="s">
        <v>475</v>
      </c>
      <c r="E186">
        <v>0</v>
      </c>
      <c r="F186" t="s">
        <v>475</v>
      </c>
      <c r="K186" s="12" t="s">
        <v>5307</v>
      </c>
      <c r="L186" t="str">
        <f>IFERROR(VLOOKUP(K186,Таблица7[3]:Таблица7[[#This Row],[6]],2,FALSE),"")</f>
        <v/>
      </c>
      <c r="M186" t="str">
        <f t="shared" si="3"/>
        <v/>
      </c>
      <c r="N186" t="str" cm="1">
        <f t="array" ref="N186">IF(MOD(ROW()-ROW($B$2),16)=0,INDEX($M$2:$M$1000,(ROW()-ROW($B$2))/16+1),"")</f>
        <v/>
      </c>
    </row>
    <row r="187" spans="2:14" x14ac:dyDescent="0.3">
      <c r="B187" t="s">
        <v>2173</v>
      </c>
      <c r="C187" t="s">
        <v>2326</v>
      </c>
      <c r="D187" t="s">
        <v>476</v>
      </c>
      <c r="E187">
        <v>0</v>
      </c>
      <c r="F187" t="s">
        <v>476</v>
      </c>
      <c r="K187" s="12" t="s">
        <v>5308</v>
      </c>
      <c r="L187" t="str">
        <f>IFERROR(VLOOKUP(K187,Таблица7[3]:Таблица7[[#This Row],[6]],2,FALSE),"")</f>
        <v/>
      </c>
      <c r="M187" t="str">
        <f t="shared" si="3"/>
        <v/>
      </c>
      <c r="N187" t="str" cm="1">
        <f t="array" ref="N187">IF(MOD(ROW()-ROW($B$2),16)=0,INDEX($M$2:$M$1000,(ROW()-ROW($B$2))/16+1),"")</f>
        <v/>
      </c>
    </row>
    <row r="188" spans="2:14" x14ac:dyDescent="0.3">
      <c r="B188" t="s">
        <v>2173</v>
      </c>
      <c r="C188" t="s">
        <v>2327</v>
      </c>
      <c r="D188" t="s">
        <v>477</v>
      </c>
      <c r="E188">
        <v>0</v>
      </c>
      <c r="F188" t="s">
        <v>477</v>
      </c>
      <c r="K188" s="12" t="s">
        <v>5309</v>
      </c>
      <c r="L188" t="str">
        <f>IFERROR(VLOOKUP(K188,Таблица7[3]:Таблица7[[#This Row],[6]],2,FALSE),"")</f>
        <v/>
      </c>
      <c r="M188" t="str">
        <f t="shared" si="3"/>
        <v/>
      </c>
      <c r="N188" t="str" cm="1">
        <f t="array" ref="N188">IF(MOD(ROW()-ROW($B$2),16)=0,INDEX($M$2:$M$1000,(ROW()-ROW($B$2))/16+1),"")</f>
        <v/>
      </c>
    </row>
    <row r="189" spans="2:14" x14ac:dyDescent="0.3">
      <c r="B189" t="s">
        <v>2173</v>
      </c>
      <c r="C189" t="s">
        <v>2328</v>
      </c>
      <c r="D189" t="s">
        <v>478</v>
      </c>
      <c r="E189">
        <v>0</v>
      </c>
      <c r="F189" t="s">
        <v>478</v>
      </c>
      <c r="K189" s="12" t="s">
        <v>5310</v>
      </c>
      <c r="L189" t="str">
        <f>IFERROR(VLOOKUP(K189,Таблица7[3]:Таблица7[[#This Row],[6]],2,FALSE),"")</f>
        <v/>
      </c>
      <c r="M189" t="str">
        <f t="shared" si="3"/>
        <v/>
      </c>
      <c r="N189" t="str" cm="1">
        <f t="array" ref="N189">IF(MOD(ROW()-ROW($B$2),16)=0,INDEX($M$2:$M$1000,(ROW()-ROW($B$2))/16+1),"")</f>
        <v/>
      </c>
    </row>
    <row r="190" spans="2:14" x14ac:dyDescent="0.3">
      <c r="B190" t="s">
        <v>2173</v>
      </c>
      <c r="C190" t="s">
        <v>2329</v>
      </c>
      <c r="D190" t="s">
        <v>479</v>
      </c>
      <c r="E190">
        <v>0</v>
      </c>
      <c r="F190" t="s">
        <v>479</v>
      </c>
      <c r="K190" s="12" t="s">
        <v>5311</v>
      </c>
      <c r="L190" t="str">
        <f>IFERROR(VLOOKUP(K190,Таблица7[3]:Таблица7[[#This Row],[6]],2,FALSE),"")</f>
        <v/>
      </c>
      <c r="M190" t="str">
        <f t="shared" si="3"/>
        <v/>
      </c>
      <c r="N190" t="str" cm="1">
        <f t="array" ref="N190">IF(MOD(ROW()-ROW($B$2),16)=0,INDEX($M$2:$M$1000,(ROW()-ROW($B$2))/16+1),"")</f>
        <v/>
      </c>
    </row>
    <row r="191" spans="2:14" x14ac:dyDescent="0.3">
      <c r="B191" t="s">
        <v>2173</v>
      </c>
      <c r="C191" t="s">
        <v>2330</v>
      </c>
      <c r="D191" t="s">
        <v>480</v>
      </c>
      <c r="E191">
        <v>0</v>
      </c>
      <c r="F191" t="s">
        <v>480</v>
      </c>
      <c r="K191" s="12" t="s">
        <v>5312</v>
      </c>
      <c r="L191" t="str">
        <f>IFERROR(VLOOKUP(K191,Таблица7[3]:Таблица7[[#This Row],[6]],2,FALSE),"")</f>
        <v/>
      </c>
      <c r="M191" t="str">
        <f t="shared" si="3"/>
        <v/>
      </c>
      <c r="N191" t="str" cm="1">
        <f t="array" ref="N191">IF(MOD(ROW()-ROW($B$2),16)=0,INDEX($M$2:$M$1000,(ROW()-ROW($B$2))/16+1),"")</f>
        <v/>
      </c>
    </row>
    <row r="192" spans="2:14" x14ac:dyDescent="0.3">
      <c r="B192" t="s">
        <v>2173</v>
      </c>
      <c r="C192" t="s">
        <v>2331</v>
      </c>
      <c r="D192" t="s">
        <v>481</v>
      </c>
      <c r="E192">
        <v>0</v>
      </c>
      <c r="F192" t="s">
        <v>481</v>
      </c>
      <c r="K192" s="12" t="s">
        <v>4207</v>
      </c>
      <c r="L192" t="str">
        <f>IFERROR(VLOOKUP(K192,Таблица7[3]:Таблица7[[#This Row],[6]],2,FALSE),"")</f>
        <v>Выбранная пластина -1</v>
      </c>
      <c r="M192" t="str">
        <f t="shared" si="3"/>
        <v>Выбранная пластина -1 (0)</v>
      </c>
      <c r="N192" t="str" cm="1">
        <f t="array" ref="N192">IF(MOD(ROW()-ROW($B$2),16)=0,INDEX($M$2:$M$1000,(ROW()-ROW($B$2))/16+1),"")</f>
        <v/>
      </c>
    </row>
    <row r="193" spans="2:14" x14ac:dyDescent="0.3">
      <c r="B193" t="s">
        <v>2173</v>
      </c>
      <c r="C193" t="s">
        <v>2332</v>
      </c>
      <c r="D193" t="s">
        <v>482</v>
      </c>
      <c r="E193">
        <v>0</v>
      </c>
      <c r="F193" t="s">
        <v>482</v>
      </c>
      <c r="K193" s="12" t="s">
        <v>5313</v>
      </c>
      <c r="L193" t="str">
        <f>IFERROR(VLOOKUP(K193,Таблица7[3]:Таблица7[[#This Row],[6]],2,FALSE),"")</f>
        <v/>
      </c>
      <c r="M193" t="str">
        <f t="shared" si="3"/>
        <v/>
      </c>
      <c r="N193" t="str" cm="1">
        <f t="array" ref="N193">IF(MOD(ROW()-ROW($B$2),16)=0,INDEX($M$2:$M$1000,(ROW()-ROW($B$2))/16+1),"")</f>
        <v/>
      </c>
    </row>
    <row r="194" spans="2:14" x14ac:dyDescent="0.3">
      <c r="B194" t="s">
        <v>2173</v>
      </c>
      <c r="C194" t="s">
        <v>2333</v>
      </c>
      <c r="D194" t="s">
        <v>483</v>
      </c>
      <c r="E194">
        <v>0</v>
      </c>
      <c r="F194" t="s">
        <v>483</v>
      </c>
      <c r="K194" s="12" t="s">
        <v>5314</v>
      </c>
      <c r="L194" t="str">
        <f>IFERROR(VLOOKUP(K194,Таблица7[3]:Таблица7[[#This Row],[6]],2,FALSE),"")</f>
        <v/>
      </c>
      <c r="M194" t="str">
        <f t="shared" si="3"/>
        <v/>
      </c>
      <c r="N194" t="str" cm="1">
        <f t="array" ref="N194">IF(MOD(ROW()-ROW($B$2),16)=0,INDEX($M$2:$M$1000,(ROW()-ROW($B$2))/16+1),"")</f>
        <v>Фиксированное число 12 (0)</v>
      </c>
    </row>
    <row r="195" spans="2:14" x14ac:dyDescent="0.3">
      <c r="B195" t="s">
        <v>2173</v>
      </c>
      <c r="C195" t="s">
        <v>2334</v>
      </c>
      <c r="D195" t="s">
        <v>484</v>
      </c>
      <c r="E195">
        <v>0</v>
      </c>
      <c r="F195" t="s">
        <v>484</v>
      </c>
      <c r="K195" s="12" t="s">
        <v>5315</v>
      </c>
      <c r="L195" t="str">
        <f>IFERROR(VLOOKUP(K195,Таблица7[3]:Таблица7[[#This Row],[6]],2,FALSE),"")</f>
        <v/>
      </c>
      <c r="M195" t="str">
        <f t="shared" ref="M195:M258" si="4">IF(L195&lt;&gt;"",L195&amp;" (0)","")</f>
        <v/>
      </c>
      <c r="N195" t="str" cm="1">
        <f t="array" ref="N195">IF(MOD(ROW()-ROW($B$2),16)=0,INDEX($M$2:$M$1000,(ROW()-ROW($B$2))/16+1),"")</f>
        <v/>
      </c>
    </row>
    <row r="196" spans="2:14" x14ac:dyDescent="0.3">
      <c r="B196" t="s">
        <v>2173</v>
      </c>
      <c r="C196" t="s">
        <v>2335</v>
      </c>
      <c r="D196" t="s">
        <v>485</v>
      </c>
      <c r="E196">
        <v>0</v>
      </c>
      <c r="F196" t="s">
        <v>485</v>
      </c>
      <c r="K196" s="12" t="s">
        <v>5316</v>
      </c>
      <c r="L196" t="str">
        <f>IFERROR(VLOOKUP(K196,Таблица7[3]:Таблица7[[#This Row],[6]],2,FALSE),"")</f>
        <v/>
      </c>
      <c r="M196" t="str">
        <f t="shared" si="4"/>
        <v/>
      </c>
      <c r="N196" t="str" cm="1">
        <f t="array" ref="N196">IF(MOD(ROW()-ROW($B$2),16)=0,INDEX($M$2:$M$1000,(ROW()-ROW($B$2))/16+1),"")</f>
        <v/>
      </c>
    </row>
    <row r="197" spans="2:14" x14ac:dyDescent="0.3">
      <c r="B197" t="s">
        <v>2173</v>
      </c>
      <c r="C197" t="s">
        <v>2336</v>
      </c>
      <c r="D197" t="s">
        <v>486</v>
      </c>
      <c r="E197">
        <v>0</v>
      </c>
      <c r="F197" t="s">
        <v>486</v>
      </c>
      <c r="K197" s="12" t="s">
        <v>5317</v>
      </c>
      <c r="L197" t="str">
        <f>IFERROR(VLOOKUP(K197,Таблица7[3]:Таблица7[[#This Row],[6]],2,FALSE),"")</f>
        <v/>
      </c>
      <c r="M197" t="str">
        <f t="shared" si="4"/>
        <v/>
      </c>
      <c r="N197" t="str" cm="1">
        <f t="array" ref="N197">IF(MOD(ROW()-ROW($B$2),16)=0,INDEX($M$2:$M$1000,(ROW()-ROW($B$2))/16+1),"")</f>
        <v/>
      </c>
    </row>
    <row r="198" spans="2:14" x14ac:dyDescent="0.3">
      <c r="B198" t="s">
        <v>2173</v>
      </c>
      <c r="C198" t="s">
        <v>2337</v>
      </c>
      <c r="D198" t="s">
        <v>487</v>
      </c>
      <c r="E198">
        <v>0</v>
      </c>
      <c r="F198" t="s">
        <v>487</v>
      </c>
      <c r="K198" s="12" t="s">
        <v>5318</v>
      </c>
      <c r="L198" t="str">
        <f>IFERROR(VLOOKUP(K198,Таблица7[3]:Таблица7[[#This Row],[6]],2,FALSE),"")</f>
        <v/>
      </c>
      <c r="M198" t="str">
        <f t="shared" si="4"/>
        <v/>
      </c>
      <c r="N198" t="str" cm="1">
        <f t="array" ref="N198">IF(MOD(ROW()-ROW($B$2),16)=0,INDEX($M$2:$M$1000,(ROW()-ROW($B$2))/16+1),"")</f>
        <v/>
      </c>
    </row>
    <row r="199" spans="2:14" x14ac:dyDescent="0.3">
      <c r="B199" t="s">
        <v>2173</v>
      </c>
      <c r="C199" t="s">
        <v>2338</v>
      </c>
      <c r="D199" t="s">
        <v>488</v>
      </c>
      <c r="E199">
        <v>0</v>
      </c>
      <c r="F199" t="s">
        <v>488</v>
      </c>
      <c r="K199" s="12" t="s">
        <v>5319</v>
      </c>
      <c r="L199" t="str">
        <f>IFERROR(VLOOKUP(K199,Таблица7[3]:Таблица7[[#This Row],[6]],2,FALSE),"")</f>
        <v/>
      </c>
      <c r="M199" t="str">
        <f t="shared" si="4"/>
        <v/>
      </c>
      <c r="N199" t="str" cm="1">
        <f t="array" ref="N199">IF(MOD(ROW()-ROW($B$2),16)=0,INDEX($M$2:$M$1000,(ROW()-ROW($B$2))/16+1),"")</f>
        <v/>
      </c>
    </row>
    <row r="200" spans="2:14" x14ac:dyDescent="0.3">
      <c r="B200" t="s">
        <v>2173</v>
      </c>
      <c r="C200" t="s">
        <v>2339</v>
      </c>
      <c r="D200" t="s">
        <v>489</v>
      </c>
      <c r="E200">
        <v>0</v>
      </c>
      <c r="F200" t="s">
        <v>489</v>
      </c>
      <c r="K200" s="12" t="s">
        <v>5320</v>
      </c>
      <c r="L200" t="str">
        <f>IFERROR(VLOOKUP(K200,Таблица7[3]:Таблица7[[#This Row],[6]],2,FALSE),"")</f>
        <v/>
      </c>
      <c r="M200" t="str">
        <f t="shared" si="4"/>
        <v/>
      </c>
      <c r="N200" t="str" cm="1">
        <f t="array" ref="N200">IF(MOD(ROW()-ROW($B$2),16)=0,INDEX($M$2:$M$1000,(ROW()-ROW($B$2))/16+1),"")</f>
        <v/>
      </c>
    </row>
    <row r="201" spans="2:14" x14ac:dyDescent="0.3">
      <c r="B201" t="s">
        <v>2173</v>
      </c>
      <c r="C201" t="s">
        <v>2340</v>
      </c>
      <c r="D201" t="s">
        <v>490</v>
      </c>
      <c r="E201">
        <v>0</v>
      </c>
      <c r="F201" t="s">
        <v>490</v>
      </c>
      <c r="K201" s="12" t="s">
        <v>2620</v>
      </c>
      <c r="L201" t="str">
        <f>IFERROR(VLOOKUP(K201,Таблица7[3]:Таблица7[[#This Row],[6]],2,FALSE),"")</f>
        <v>Номер страницы HMI</v>
      </c>
      <c r="M201" t="str">
        <f t="shared" si="4"/>
        <v>Номер страницы HMI (0)</v>
      </c>
      <c r="N201" t="str" cm="1">
        <f t="array" ref="N201">IF(MOD(ROW()-ROW($B$2),16)=0,INDEX($M$2:$M$1000,(ROW()-ROW($B$2))/16+1),"")</f>
        <v/>
      </c>
    </row>
    <row r="202" spans="2:14" x14ac:dyDescent="0.3">
      <c r="B202" t="s">
        <v>2173</v>
      </c>
      <c r="C202" t="s">
        <v>2341</v>
      </c>
      <c r="D202" t="s">
        <v>491</v>
      </c>
      <c r="E202">
        <v>0</v>
      </c>
      <c r="F202" t="s">
        <v>491</v>
      </c>
      <c r="K202" s="12" t="s">
        <v>2555</v>
      </c>
      <c r="L202" t="str">
        <f>IFERROR(VLOOKUP(K202,Таблица7[3]:Таблица7[[#This Row],[6]],2,FALSE),"")</f>
        <v>Код ошибки работы с базой данных</v>
      </c>
      <c r="M202" t="str">
        <f t="shared" si="4"/>
        <v>Код ошибки работы с базой данных (0)</v>
      </c>
      <c r="N202" t="str" cm="1">
        <f t="array" ref="N202">IF(MOD(ROW()-ROW($B$2),16)=0,INDEX($M$2:$M$1000,(ROW()-ROW($B$2))/16+1),"")</f>
        <v/>
      </c>
    </row>
    <row r="203" spans="2:14" x14ac:dyDescent="0.3">
      <c r="B203" t="s">
        <v>2173</v>
      </c>
      <c r="C203" t="s">
        <v>2342</v>
      </c>
      <c r="D203" t="s">
        <v>492</v>
      </c>
      <c r="E203">
        <v>0</v>
      </c>
      <c r="F203" t="s">
        <v>492</v>
      </c>
      <c r="K203" s="12" t="s">
        <v>2556</v>
      </c>
      <c r="L203" t="str">
        <f>IFERROR(VLOOKUP(K203,Таблица7[3]:Таблица7[[#This Row],[6]],2,FALSE),"")</f>
        <v>Выбор типа рецепта (пластины/задания)</v>
      </c>
      <c r="M203" t="str">
        <f t="shared" si="4"/>
        <v>Выбор типа рецепта (пластины/задания) (0)</v>
      </c>
      <c r="N203" t="str" cm="1">
        <f t="array" ref="N203">IF(MOD(ROW()-ROW($B$2),16)=0,INDEX($M$2:$M$1000,(ROW()-ROW($B$2))/16+1),"")</f>
        <v/>
      </c>
    </row>
    <row r="204" spans="2:14" x14ac:dyDescent="0.3">
      <c r="B204" t="s">
        <v>2173</v>
      </c>
      <c r="C204" t="s">
        <v>2343</v>
      </c>
      <c r="D204" t="s">
        <v>493</v>
      </c>
      <c r="E204">
        <v>0</v>
      </c>
      <c r="F204" t="s">
        <v>493</v>
      </c>
      <c r="K204" s="12" t="s">
        <v>2557</v>
      </c>
      <c r="L204" t="str">
        <f>IFERROR(VLOOKUP(K204,Таблица7[3]:Таблица7[[#This Row],[6]],2,FALSE),"")</f>
        <v>Выбор блока рецепта</v>
      </c>
      <c r="M204" t="str">
        <f t="shared" si="4"/>
        <v>Выбор блока рецепта (0)</v>
      </c>
      <c r="N204" t="str" cm="1">
        <f t="array" ref="N204">IF(MOD(ROW()-ROW($B$2),16)=0,INDEX($M$2:$M$1000,(ROW()-ROW($B$2))/16+1),"")</f>
        <v/>
      </c>
    </row>
    <row r="205" spans="2:14" x14ac:dyDescent="0.3">
      <c r="B205" t="s">
        <v>2173</v>
      </c>
      <c r="C205" t="s">
        <v>2344</v>
      </c>
      <c r="D205" t="s">
        <v>494</v>
      </c>
      <c r="E205">
        <v>0</v>
      </c>
      <c r="F205" t="s">
        <v>494</v>
      </c>
      <c r="K205" s="12" t="s">
        <v>4174</v>
      </c>
      <c r="L205" t="str">
        <f>IFERROR(VLOOKUP(K205,Таблица7[3]:Таблица7[[#This Row],[6]],2,FALSE),"")</f>
        <v>Выбор номера файла (для EFR)</v>
      </c>
      <c r="M205" t="str">
        <f t="shared" si="4"/>
        <v>Выбор номера файла (для EFR) (0)</v>
      </c>
      <c r="N205" t="str" cm="1">
        <f t="array" ref="N205">IF(MOD(ROW()-ROW($B$2),16)=0,INDEX($M$2:$M$1000,(ROW()-ROW($B$2))/16+1),"")</f>
        <v/>
      </c>
    </row>
    <row r="206" spans="2:14" x14ac:dyDescent="0.3">
      <c r="B206" t="s">
        <v>2173</v>
      </c>
      <c r="C206" t="s">
        <v>2345</v>
      </c>
      <c r="D206" t="s">
        <v>495</v>
      </c>
      <c r="E206">
        <v>0</v>
      </c>
      <c r="F206" t="s">
        <v>495</v>
      </c>
      <c r="K206" s="12" t="s">
        <v>5321</v>
      </c>
      <c r="L206" t="str">
        <f>IFERROR(VLOOKUP(K206,Таблица7[3]:Таблица7[[#This Row],[6]],2,FALSE),"")</f>
        <v/>
      </c>
      <c r="M206" t="str">
        <f t="shared" si="4"/>
        <v/>
      </c>
      <c r="N206" t="str" cm="1">
        <f t="array" ref="N206">IF(MOD(ROW()-ROW($B$2),16)=0,INDEX($M$2:$M$1000,(ROW()-ROW($B$2))/16+1),"")</f>
        <v/>
      </c>
    </row>
    <row r="207" spans="2:14" x14ac:dyDescent="0.3">
      <c r="B207" t="s">
        <v>2173</v>
      </c>
      <c r="C207" t="s">
        <v>2346</v>
      </c>
      <c r="D207" t="s">
        <v>496</v>
      </c>
      <c r="E207">
        <v>0</v>
      </c>
      <c r="F207" t="s">
        <v>496</v>
      </c>
      <c r="K207" s="12" t="s">
        <v>5322</v>
      </c>
      <c r="L207" t="str">
        <f>IFERROR(VLOOKUP(K207,Таблица7[3]:Таблица7[[#This Row],[6]],2,FALSE),"")</f>
        <v/>
      </c>
      <c r="M207" t="str">
        <f t="shared" si="4"/>
        <v/>
      </c>
      <c r="N207" t="str" cm="1">
        <f t="array" ref="N207">IF(MOD(ROW()-ROW($B$2),16)=0,INDEX($M$2:$M$1000,(ROW()-ROW($B$2))/16+1),"")</f>
        <v/>
      </c>
    </row>
    <row r="208" spans="2:14" x14ac:dyDescent="0.3">
      <c r="B208" t="s">
        <v>2173</v>
      </c>
      <c r="C208" t="s">
        <v>2347</v>
      </c>
      <c r="D208" t="s">
        <v>497</v>
      </c>
      <c r="E208">
        <v>0</v>
      </c>
      <c r="F208" t="s">
        <v>497</v>
      </c>
      <c r="K208" s="12" t="s">
        <v>5323</v>
      </c>
      <c r="L208" t="str">
        <f>IFERROR(VLOOKUP(K208,Таблица7[3]:Таблица7[[#This Row],[6]],2,FALSE),"")</f>
        <v/>
      </c>
      <c r="M208" t="str">
        <f t="shared" si="4"/>
        <v/>
      </c>
      <c r="N208" t="str" cm="1">
        <f t="array" ref="N208">IF(MOD(ROW()-ROW($B$2),16)=0,INDEX($M$2:$M$1000,(ROW()-ROW($B$2))/16+1),"")</f>
        <v/>
      </c>
    </row>
    <row r="209" spans="2:14" x14ac:dyDescent="0.3">
      <c r="B209" t="s">
        <v>2173</v>
      </c>
      <c r="C209" t="s">
        <v>2348</v>
      </c>
      <c r="D209" t="s">
        <v>498</v>
      </c>
      <c r="E209">
        <v>0</v>
      </c>
      <c r="F209" t="s">
        <v>498</v>
      </c>
      <c r="K209" s="12" t="s">
        <v>5324</v>
      </c>
      <c r="L209" t="str">
        <f>IFERROR(VLOOKUP(K209,Таблица7[3]:Таблица7[[#This Row],[6]],2,FALSE),"")</f>
        <v/>
      </c>
      <c r="M209" t="str">
        <f t="shared" si="4"/>
        <v/>
      </c>
      <c r="N209" t="str" cm="1">
        <f t="array" ref="N209">IF(MOD(ROW()-ROW($B$2),16)=0,INDEX($M$2:$M$1000,(ROW()-ROW($B$2))/16+1),"")</f>
        <v/>
      </c>
    </row>
    <row r="210" spans="2:14" x14ac:dyDescent="0.3">
      <c r="B210" t="s">
        <v>2173</v>
      </c>
      <c r="C210" t="s">
        <v>2349</v>
      </c>
      <c r="D210" t="s">
        <v>499</v>
      </c>
      <c r="E210">
        <v>0</v>
      </c>
      <c r="F210" t="s">
        <v>499</v>
      </c>
      <c r="K210" s="12" t="s">
        <v>5325</v>
      </c>
      <c r="L210" t="str">
        <f>IFERROR(VLOOKUP(K210,Таблица7[3]:Таблица7[[#This Row],[6]],2,FALSE),"")</f>
        <v/>
      </c>
      <c r="M210" t="str">
        <f t="shared" si="4"/>
        <v/>
      </c>
      <c r="N210" t="str" cm="1">
        <f t="array" ref="N210">IF(MOD(ROW()-ROW($B$2),16)=0,INDEX($M$2:$M$1000,(ROW()-ROW($B$2))/16+1),"")</f>
        <v>Фиксированное число 13 (0)</v>
      </c>
    </row>
    <row r="211" spans="2:14" x14ac:dyDescent="0.3">
      <c r="B211" t="s">
        <v>2173</v>
      </c>
      <c r="C211" t="s">
        <v>2350</v>
      </c>
      <c r="D211" t="s">
        <v>500</v>
      </c>
      <c r="E211">
        <v>0</v>
      </c>
      <c r="F211" t="s">
        <v>500</v>
      </c>
      <c r="K211" s="12" t="s">
        <v>5326</v>
      </c>
      <c r="L211" t="str">
        <f>IFERROR(VLOOKUP(K211,Таблица7[3]:Таблица7[[#This Row],[6]],2,FALSE),"")</f>
        <v/>
      </c>
      <c r="M211" t="str">
        <f t="shared" si="4"/>
        <v/>
      </c>
      <c r="N211" t="str" cm="1">
        <f t="array" ref="N211">IF(MOD(ROW()-ROW($B$2),16)=0,INDEX($M$2:$M$1000,(ROW()-ROW($B$2))/16+1),"")</f>
        <v/>
      </c>
    </row>
    <row r="212" spans="2:14" x14ac:dyDescent="0.3">
      <c r="B212" t="s">
        <v>2173</v>
      </c>
      <c r="C212" t="s">
        <v>2351</v>
      </c>
      <c r="D212" t="s">
        <v>501</v>
      </c>
      <c r="E212">
        <v>0</v>
      </c>
      <c r="F212" t="s">
        <v>501</v>
      </c>
      <c r="K212" s="12" t="s">
        <v>4261</v>
      </c>
      <c r="L212" t="str">
        <f>IFERROR(VLOOKUP(K212,Таблица7[3]:Таблица7[[#This Row],[6]],2,FALSE),"")</f>
        <v>Таймер открытия захвата 1</v>
      </c>
      <c r="M212" t="str">
        <f t="shared" si="4"/>
        <v>Таймер открытия захвата 1 (0)</v>
      </c>
      <c r="N212" t="str" cm="1">
        <f t="array" ref="N212">IF(MOD(ROW()-ROW($B$2),16)=0,INDEX($M$2:$M$1000,(ROW()-ROW($B$2))/16+1),"")</f>
        <v/>
      </c>
    </row>
    <row r="213" spans="2:14" x14ac:dyDescent="0.3">
      <c r="B213" t="s">
        <v>2173</v>
      </c>
      <c r="C213" t="s">
        <v>2352</v>
      </c>
      <c r="D213" t="s">
        <v>502</v>
      </c>
      <c r="E213">
        <v>0</v>
      </c>
      <c r="F213" t="s">
        <v>502</v>
      </c>
      <c r="K213" s="12" t="s">
        <v>4262</v>
      </c>
      <c r="L213" t="str">
        <f>IFERROR(VLOOKUP(K213,Таблица7[3]:Таблица7[[#This Row],[6]],2,FALSE),"")</f>
        <v>Таймер закрытия захвата 1</v>
      </c>
      <c r="M213" t="str">
        <f t="shared" si="4"/>
        <v>Таймер закрытия захвата 1 (0)</v>
      </c>
      <c r="N213" t="str" cm="1">
        <f t="array" ref="N213">IF(MOD(ROW()-ROW($B$2),16)=0,INDEX($M$2:$M$1000,(ROW()-ROW($B$2))/16+1),"")</f>
        <v/>
      </c>
    </row>
    <row r="214" spans="2:14" x14ac:dyDescent="0.3">
      <c r="B214" t="s">
        <v>2173</v>
      </c>
      <c r="C214" t="s">
        <v>2353</v>
      </c>
      <c r="D214" t="s">
        <v>503</v>
      </c>
      <c r="E214">
        <v>0</v>
      </c>
      <c r="F214" t="s">
        <v>503</v>
      </c>
      <c r="K214" s="12" t="s">
        <v>4522</v>
      </c>
      <c r="L214" t="str">
        <f>IFERROR(VLOOKUP(K214,Таблица7[3]:Таблица7[[#This Row],[6]],2,FALSE),"")</f>
        <v>Таймер открытия захвата 2</v>
      </c>
      <c r="M214" t="str">
        <f t="shared" si="4"/>
        <v>Таймер открытия захвата 2 (0)</v>
      </c>
      <c r="N214" t="str" cm="1">
        <f t="array" ref="N214">IF(MOD(ROW()-ROW($B$2),16)=0,INDEX($M$2:$M$1000,(ROW()-ROW($B$2))/16+1),"")</f>
        <v/>
      </c>
    </row>
    <row r="215" spans="2:14" x14ac:dyDescent="0.3">
      <c r="B215" t="s">
        <v>2173</v>
      </c>
      <c r="C215" t="s">
        <v>2354</v>
      </c>
      <c r="D215" t="s">
        <v>504</v>
      </c>
      <c r="E215">
        <v>0</v>
      </c>
      <c r="F215" t="s">
        <v>504</v>
      </c>
      <c r="K215" s="12" t="s">
        <v>4263</v>
      </c>
      <c r="L215" t="str">
        <f>IFERROR(VLOOKUP(K215,Таблица7[3]:Таблица7[[#This Row],[6]],2,FALSE),"")</f>
        <v>Таймер закрытия захвата 2</v>
      </c>
      <c r="M215" t="str">
        <f t="shared" si="4"/>
        <v>Таймер закрытия захвата 2 (0)</v>
      </c>
      <c r="N215" t="str" cm="1">
        <f t="array" ref="N215">IF(MOD(ROW()-ROW($B$2),16)=0,INDEX($M$2:$M$1000,(ROW()-ROW($B$2))/16+1),"")</f>
        <v/>
      </c>
    </row>
    <row r="216" spans="2:14" x14ac:dyDescent="0.3">
      <c r="B216" t="s">
        <v>2173</v>
      </c>
      <c r="C216" t="s">
        <v>2355</v>
      </c>
      <c r="D216" t="s">
        <v>505</v>
      </c>
      <c r="E216">
        <v>0</v>
      </c>
      <c r="F216" t="s">
        <v>505</v>
      </c>
      <c r="K216" s="12" t="s">
        <v>4264</v>
      </c>
      <c r="L216" t="str">
        <f>IFERROR(VLOOKUP(K216,Таблица7[3]:Таблица7[[#This Row],[6]],2,FALSE),"")</f>
        <v>Таймер открытия патрона 1</v>
      </c>
      <c r="M216" t="str">
        <f t="shared" si="4"/>
        <v>Таймер открытия патрона 1 (0)</v>
      </c>
      <c r="N216" t="str" cm="1">
        <f t="array" ref="N216">IF(MOD(ROW()-ROW($B$2),16)=0,INDEX($M$2:$M$1000,(ROW()-ROW($B$2))/16+1),"")</f>
        <v/>
      </c>
    </row>
    <row r="217" spans="2:14" x14ac:dyDescent="0.3">
      <c r="B217" t="s">
        <v>2173</v>
      </c>
      <c r="C217" t="s">
        <v>2356</v>
      </c>
      <c r="D217" t="s">
        <v>506</v>
      </c>
      <c r="E217">
        <v>0</v>
      </c>
      <c r="F217" t="s">
        <v>506</v>
      </c>
      <c r="K217" s="12" t="s">
        <v>4265</v>
      </c>
      <c r="L217" t="str">
        <f>IFERROR(VLOOKUP(K217,Таблица7[3]:Таблица7[[#This Row],[6]],2,FALSE),"")</f>
        <v>Таймер закрытия патрона 1</v>
      </c>
      <c r="M217" t="str">
        <f t="shared" si="4"/>
        <v>Таймер закрытия патрона 1 (0)</v>
      </c>
      <c r="N217" t="str" cm="1">
        <f t="array" ref="N217">IF(MOD(ROW()-ROW($B$2),16)=0,INDEX($M$2:$M$1000,(ROW()-ROW($B$2))/16+1),"")</f>
        <v/>
      </c>
    </row>
    <row r="218" spans="2:14" x14ac:dyDescent="0.3">
      <c r="B218" t="s">
        <v>2173</v>
      </c>
      <c r="C218" t="s">
        <v>2357</v>
      </c>
      <c r="D218" t="s">
        <v>507</v>
      </c>
      <c r="E218">
        <v>0</v>
      </c>
      <c r="F218" t="s">
        <v>507</v>
      </c>
      <c r="K218" s="12" t="s">
        <v>4266</v>
      </c>
      <c r="L218" t="str">
        <f>IFERROR(VLOOKUP(K218,Таблица7[3]:Таблица7[[#This Row],[6]],2,FALSE),"")</f>
        <v>Таймер открытия патрона 2 / ВСП</v>
      </c>
      <c r="M218" t="str">
        <f t="shared" si="4"/>
        <v>Таймер открытия патрона 2 / ВСП (0)</v>
      </c>
      <c r="N218" t="str" cm="1">
        <f t="array" ref="N218">IF(MOD(ROW()-ROW($B$2),16)=0,INDEX($M$2:$M$1000,(ROW()-ROW($B$2))/16+1),"")</f>
        <v/>
      </c>
    </row>
    <row r="219" spans="2:14" x14ac:dyDescent="0.3">
      <c r="B219" t="s">
        <v>2173</v>
      </c>
      <c r="C219" t="s">
        <v>2358</v>
      </c>
      <c r="D219" t="s">
        <v>508</v>
      </c>
      <c r="E219">
        <v>0</v>
      </c>
      <c r="F219" t="s">
        <v>508</v>
      </c>
      <c r="K219" s="12" t="s">
        <v>4267</v>
      </c>
      <c r="L219" t="str">
        <f>IFERROR(VLOOKUP(K219,Таблица7[3]:Таблица7[[#This Row],[6]],2,FALSE),"")</f>
        <v>Таймер закрытия захвата 2 / ВСП</v>
      </c>
      <c r="M219" t="str">
        <f t="shared" si="4"/>
        <v>Таймер закрытия захвата 2 / ВСП (0)</v>
      </c>
      <c r="N219" t="str" cm="1">
        <f t="array" ref="N219">IF(MOD(ROW()-ROW($B$2),16)=0,INDEX($M$2:$M$1000,(ROW()-ROW($B$2))/16+1),"")</f>
        <v/>
      </c>
    </row>
    <row r="220" spans="2:14" x14ac:dyDescent="0.3">
      <c r="B220" t="s">
        <v>2173</v>
      </c>
      <c r="C220" t="s">
        <v>2359</v>
      </c>
      <c r="D220" t="s">
        <v>509</v>
      </c>
      <c r="E220">
        <v>0</v>
      </c>
      <c r="F220" t="s">
        <v>509</v>
      </c>
      <c r="K220" s="12" t="s">
        <v>5327</v>
      </c>
      <c r="L220" t="str">
        <f>IFERROR(VLOOKUP(K220,Таблица7[3]:Таблица7[[#This Row],[6]],2,FALSE),"")</f>
        <v/>
      </c>
      <c r="M220" t="str">
        <f t="shared" si="4"/>
        <v/>
      </c>
      <c r="N220" t="str" cm="1">
        <f t="array" ref="N220">IF(MOD(ROW()-ROW($B$2),16)=0,INDEX($M$2:$M$1000,(ROW()-ROW($B$2))/16+1),"")</f>
        <v/>
      </c>
    </row>
    <row r="221" spans="2:14" x14ac:dyDescent="0.3">
      <c r="B221" t="s">
        <v>2173</v>
      </c>
      <c r="C221" t="s">
        <v>2360</v>
      </c>
      <c r="D221" t="s">
        <v>510</v>
      </c>
      <c r="E221">
        <v>0</v>
      </c>
      <c r="F221" t="s">
        <v>510</v>
      </c>
      <c r="K221" s="12" t="s">
        <v>5328</v>
      </c>
      <c r="L221" t="str">
        <f>IFERROR(VLOOKUP(K221,Таблица7[3]:Таблица7[[#This Row],[6]],2,FALSE),"")</f>
        <v/>
      </c>
      <c r="M221" t="str">
        <f t="shared" si="4"/>
        <v/>
      </c>
      <c r="N221" t="str" cm="1">
        <f t="array" ref="N221">IF(MOD(ROW()-ROW($B$2),16)=0,INDEX($M$2:$M$1000,(ROW()-ROW($B$2))/16+1),"")</f>
        <v/>
      </c>
    </row>
    <row r="222" spans="2:14" x14ac:dyDescent="0.3">
      <c r="B222" t="s">
        <v>2173</v>
      </c>
      <c r="C222" t="s">
        <v>2361</v>
      </c>
      <c r="D222" t="s">
        <v>511</v>
      </c>
      <c r="E222">
        <v>0</v>
      </c>
      <c r="F222" t="s">
        <v>511</v>
      </c>
      <c r="K222" s="12" t="s">
        <v>5329</v>
      </c>
      <c r="L222" t="str">
        <f>IFERROR(VLOOKUP(K222,Таблица7[3]:Таблица7[[#This Row],[6]],2,FALSE),"")</f>
        <v/>
      </c>
      <c r="M222" t="str">
        <f t="shared" si="4"/>
        <v/>
      </c>
      <c r="N222" t="str" cm="1">
        <f t="array" ref="N222">IF(MOD(ROW()-ROW($B$2),16)=0,INDEX($M$2:$M$1000,(ROW()-ROW($B$2))/16+1),"")</f>
        <v/>
      </c>
    </row>
    <row r="223" spans="2:14" x14ac:dyDescent="0.3">
      <c r="B223" t="s">
        <v>2173</v>
      </c>
      <c r="C223" t="s">
        <v>2362</v>
      </c>
      <c r="D223" t="s">
        <v>512</v>
      </c>
      <c r="E223">
        <v>0</v>
      </c>
      <c r="F223" t="s">
        <v>512</v>
      </c>
      <c r="K223" s="12" t="s">
        <v>4521</v>
      </c>
      <c r="L223" t="str">
        <f>IFERROR(VLOOKUP(K223,Таблица7[3]:Таблица7[[#This Row],[6]],2,FALSE),"")</f>
        <v>Overshoot</v>
      </c>
      <c r="M223" t="str">
        <f t="shared" si="4"/>
        <v>Overshoot (0)</v>
      </c>
      <c r="N223" t="str" cm="1">
        <f t="array" ref="N223">IF(MOD(ROW()-ROW($B$2),16)=0,INDEX($M$2:$M$1000,(ROW()-ROW($B$2))/16+1),"")</f>
        <v/>
      </c>
    </row>
    <row r="224" spans="2:14" x14ac:dyDescent="0.3">
      <c r="B224" t="s">
        <v>2173</v>
      </c>
      <c r="C224" t="s">
        <v>2363</v>
      </c>
      <c r="D224" t="s">
        <v>513</v>
      </c>
      <c r="E224">
        <v>0</v>
      </c>
      <c r="F224" t="s">
        <v>513</v>
      </c>
      <c r="K224" s="12" t="s">
        <v>4298</v>
      </c>
      <c r="L224" t="str">
        <f>IFERROR(VLOOKUP(K224,Таблица7[3]:Таблица7[[#This Row],[6]],2,FALSE),"")</f>
        <v>Скорость поиска</v>
      </c>
      <c r="M224" t="str">
        <f t="shared" si="4"/>
        <v>Скорость поиска (0)</v>
      </c>
      <c r="N224" t="str" cm="1">
        <f t="array" ref="N224">IF(MOD(ROW()-ROW($B$2),16)=0,INDEX($M$2:$M$1000,(ROW()-ROW($B$2))/16+1),"")</f>
        <v/>
      </c>
    </row>
    <row r="225" spans="2:14" x14ac:dyDescent="0.3">
      <c r="B225" t="s">
        <v>2173</v>
      </c>
      <c r="C225" t="s">
        <v>2364</v>
      </c>
      <c r="D225" t="s">
        <v>514</v>
      </c>
      <c r="E225">
        <v>0</v>
      </c>
      <c r="F225" t="s">
        <v>514</v>
      </c>
      <c r="K225" s="12" t="s">
        <v>4304</v>
      </c>
      <c r="L225" t="str">
        <f>IFERROR(VLOOKUP(K225,Таблица7[3]:Таблица7[[#This Row],[6]],2,FALSE),"")</f>
        <v>Скорость обдува</v>
      </c>
      <c r="M225" t="str">
        <f t="shared" si="4"/>
        <v>Скорость обдува (0)</v>
      </c>
      <c r="N225" t="str" cm="1">
        <f t="array" ref="N225">IF(MOD(ROW()-ROW($B$2),16)=0,INDEX($M$2:$M$1000,(ROW()-ROW($B$2))/16+1),"")</f>
        <v/>
      </c>
    </row>
    <row r="226" spans="2:14" x14ac:dyDescent="0.3">
      <c r="B226" t="s">
        <v>2173</v>
      </c>
      <c r="C226" t="s">
        <v>2365</v>
      </c>
      <c r="D226" t="s">
        <v>515</v>
      </c>
      <c r="E226">
        <v>0</v>
      </c>
      <c r="F226" t="s">
        <v>515</v>
      </c>
      <c r="K226" s="12" t="s">
        <v>5330</v>
      </c>
      <c r="L226" t="str">
        <f>IFERROR(VLOOKUP(K226,Таблица7[3]:Таблица7[[#This Row],[6]],2,FALSE),"")</f>
        <v/>
      </c>
      <c r="M226" t="str">
        <f t="shared" si="4"/>
        <v/>
      </c>
      <c r="N226" t="str" cm="1">
        <f t="array" ref="N226">IF(MOD(ROW()-ROW($B$2),16)=0,INDEX($M$2:$M$1000,(ROW()-ROW($B$2))/16+1),"")</f>
        <v>Фиксированное число 14 (0)</v>
      </c>
    </row>
    <row r="227" spans="2:14" x14ac:dyDescent="0.3">
      <c r="B227" t="s">
        <v>2173</v>
      </c>
      <c r="C227" t="s">
        <v>2366</v>
      </c>
      <c r="D227" t="s">
        <v>516</v>
      </c>
      <c r="E227">
        <v>0</v>
      </c>
      <c r="F227" t="s">
        <v>516</v>
      </c>
      <c r="K227" s="12" t="s">
        <v>5331</v>
      </c>
      <c r="L227" t="str">
        <f>IFERROR(VLOOKUP(K227,Таблица7[3]:Таблица7[[#This Row],[6]],2,FALSE),"")</f>
        <v/>
      </c>
      <c r="M227" t="str">
        <f t="shared" si="4"/>
        <v/>
      </c>
      <c r="N227" t="str" cm="1">
        <f t="array" ref="N227">IF(MOD(ROW()-ROW($B$2),16)=0,INDEX($M$2:$M$1000,(ROW()-ROW($B$2))/16+1),"")</f>
        <v/>
      </c>
    </row>
    <row r="228" spans="2:14" x14ac:dyDescent="0.3">
      <c r="B228" t="s">
        <v>2173</v>
      </c>
      <c r="C228" t="s">
        <v>2367</v>
      </c>
      <c r="D228" t="s">
        <v>517</v>
      </c>
      <c r="E228">
        <v>0</v>
      </c>
      <c r="F228" t="s">
        <v>517</v>
      </c>
      <c r="K228" s="12" t="s">
        <v>5332</v>
      </c>
      <c r="L228" t="str">
        <f>IFERROR(VLOOKUP(K228,Таблица7[3]:Таблица7[[#This Row],[6]],2,FALSE),"")</f>
        <v/>
      </c>
      <c r="M228" t="str">
        <f t="shared" si="4"/>
        <v/>
      </c>
      <c r="N228" t="str" cm="1">
        <f t="array" ref="N228">IF(MOD(ROW()-ROW($B$2),16)=0,INDEX($M$2:$M$1000,(ROW()-ROW($B$2))/16+1),"")</f>
        <v/>
      </c>
    </row>
    <row r="229" spans="2:14" x14ac:dyDescent="0.3">
      <c r="B229" t="s">
        <v>2173</v>
      </c>
      <c r="C229" t="s">
        <v>2368</v>
      </c>
      <c r="D229" t="s">
        <v>518</v>
      </c>
      <c r="E229">
        <v>0</v>
      </c>
      <c r="F229" t="s">
        <v>518</v>
      </c>
      <c r="K229" s="12" t="s">
        <v>5333</v>
      </c>
      <c r="L229" t="str">
        <f>IFERROR(VLOOKUP(K229,Таблица7[3]:Таблица7[[#This Row],[6]],2,FALSE),"")</f>
        <v/>
      </c>
      <c r="M229" t="str">
        <f t="shared" si="4"/>
        <v/>
      </c>
      <c r="N229" t="str" cm="1">
        <f t="array" ref="N229">IF(MOD(ROW()-ROW($B$2),16)=0,INDEX($M$2:$M$1000,(ROW()-ROW($B$2))/16+1),"")</f>
        <v/>
      </c>
    </row>
    <row r="230" spans="2:14" x14ac:dyDescent="0.3">
      <c r="B230" t="s">
        <v>2173</v>
      </c>
      <c r="C230" t="s">
        <v>2369</v>
      </c>
      <c r="D230" t="s">
        <v>519</v>
      </c>
      <c r="E230">
        <v>0</v>
      </c>
      <c r="F230" t="s">
        <v>519</v>
      </c>
      <c r="K230" s="12" t="s">
        <v>5334</v>
      </c>
      <c r="L230" t="str">
        <f>IFERROR(VLOOKUP(K230,Таблица7[3]:Таблица7[[#This Row],[6]],2,FALSE),"")</f>
        <v/>
      </c>
      <c r="M230" t="str">
        <f t="shared" si="4"/>
        <v/>
      </c>
      <c r="N230" t="str" cm="1">
        <f t="array" ref="N230">IF(MOD(ROW()-ROW($B$2),16)=0,INDEX($M$2:$M$1000,(ROW()-ROW($B$2))/16+1),"")</f>
        <v/>
      </c>
    </row>
    <row r="231" spans="2:14" x14ac:dyDescent="0.3">
      <c r="B231" t="s">
        <v>2173</v>
      </c>
      <c r="C231" t="s">
        <v>2370</v>
      </c>
      <c r="D231" t="s">
        <v>520</v>
      </c>
      <c r="E231">
        <v>0</v>
      </c>
      <c r="F231" t="s">
        <v>520</v>
      </c>
      <c r="K231" s="12" t="s">
        <v>5335</v>
      </c>
      <c r="L231" t="str">
        <f>IFERROR(VLOOKUP(K231,Таблица7[3]:Таблица7[[#This Row],[6]],2,FALSE),"")</f>
        <v/>
      </c>
      <c r="M231" t="str">
        <f t="shared" si="4"/>
        <v/>
      </c>
      <c r="N231" t="str" cm="1">
        <f t="array" ref="N231">IF(MOD(ROW()-ROW($B$2),16)=0,INDEX($M$2:$M$1000,(ROW()-ROW($B$2))/16+1),"")</f>
        <v/>
      </c>
    </row>
    <row r="232" spans="2:14" x14ac:dyDescent="0.3">
      <c r="B232" t="s">
        <v>2173</v>
      </c>
      <c r="C232" t="s">
        <v>2371</v>
      </c>
      <c r="D232" t="s">
        <v>521</v>
      </c>
      <c r="E232">
        <v>0</v>
      </c>
      <c r="F232" t="s">
        <v>521</v>
      </c>
      <c r="K232" s="12" t="s">
        <v>5336</v>
      </c>
      <c r="L232" t="str">
        <f>IFERROR(VLOOKUP(K232,Таблица7[3]:Таблица7[[#This Row],[6]],2,FALSE),"")</f>
        <v/>
      </c>
      <c r="M232" t="str">
        <f t="shared" si="4"/>
        <v/>
      </c>
      <c r="N232" t="str" cm="1">
        <f t="array" ref="N232">IF(MOD(ROW()-ROW($B$2),16)=0,INDEX($M$2:$M$1000,(ROW()-ROW($B$2))/16+1),"")</f>
        <v/>
      </c>
    </row>
    <row r="233" spans="2:14" x14ac:dyDescent="0.3">
      <c r="B233" t="s">
        <v>2173</v>
      </c>
      <c r="C233" t="s">
        <v>2372</v>
      </c>
      <c r="D233" t="s">
        <v>522</v>
      </c>
      <c r="E233">
        <v>0</v>
      </c>
      <c r="F233" t="s">
        <v>522</v>
      </c>
      <c r="K233" s="12" t="s">
        <v>5337</v>
      </c>
      <c r="L233" t="str">
        <f>IFERROR(VLOOKUP(K233,Таблица7[3]:Таблица7[[#This Row],[6]],2,FALSE),"")</f>
        <v/>
      </c>
      <c r="M233" t="str">
        <f t="shared" si="4"/>
        <v/>
      </c>
      <c r="N233" t="str" cm="1">
        <f t="array" ref="N233">IF(MOD(ROW()-ROW($B$2),16)=0,INDEX($M$2:$M$1000,(ROW()-ROW($B$2))/16+1),"")</f>
        <v/>
      </c>
    </row>
    <row r="234" spans="2:14" x14ac:dyDescent="0.3">
      <c r="B234" t="s">
        <v>2173</v>
      </c>
      <c r="C234" t="s">
        <v>2373</v>
      </c>
      <c r="D234" t="s">
        <v>523</v>
      </c>
      <c r="E234">
        <v>0</v>
      </c>
      <c r="F234" t="s">
        <v>523</v>
      </c>
      <c r="K234" s="12" t="s">
        <v>5338</v>
      </c>
      <c r="L234" t="str">
        <f>IFERROR(VLOOKUP(K234,Таблица7[3]:Таблица7[[#This Row],[6]],2,FALSE),"")</f>
        <v/>
      </c>
      <c r="M234" t="str">
        <f t="shared" si="4"/>
        <v/>
      </c>
      <c r="N234" t="str" cm="1">
        <f t="array" ref="N234">IF(MOD(ROW()-ROW($B$2),16)=0,INDEX($M$2:$M$1000,(ROW()-ROW($B$2))/16+1),"")</f>
        <v/>
      </c>
    </row>
    <row r="235" spans="2:14" x14ac:dyDescent="0.3">
      <c r="B235" t="s">
        <v>2173</v>
      </c>
      <c r="C235" t="s">
        <v>2374</v>
      </c>
      <c r="D235" t="s">
        <v>524</v>
      </c>
      <c r="E235">
        <v>0</v>
      </c>
      <c r="F235" t="s">
        <v>524</v>
      </c>
      <c r="K235" s="12" t="s">
        <v>5339</v>
      </c>
      <c r="L235" t="str">
        <f>IFERROR(VLOOKUP(K235,Таблица7[3]:Таблица7[[#This Row],[6]],2,FALSE),"")</f>
        <v/>
      </c>
      <c r="M235" t="str">
        <f t="shared" si="4"/>
        <v/>
      </c>
      <c r="N235" t="str" cm="1">
        <f t="array" ref="N235">IF(MOD(ROW()-ROW($B$2),16)=0,INDEX($M$2:$M$1000,(ROW()-ROW($B$2))/16+1),"")</f>
        <v/>
      </c>
    </row>
    <row r="236" spans="2:14" x14ac:dyDescent="0.3">
      <c r="B236" t="s">
        <v>2173</v>
      </c>
      <c r="C236" t="s">
        <v>2375</v>
      </c>
      <c r="D236" t="s">
        <v>525</v>
      </c>
      <c r="E236">
        <v>0</v>
      </c>
      <c r="F236" t="s">
        <v>525</v>
      </c>
      <c r="K236" s="12" t="s">
        <v>5340</v>
      </c>
      <c r="L236" t="str">
        <f>IFERROR(VLOOKUP(K236,Таблица7[3]:Таблица7[[#This Row],[6]],2,FALSE),"")</f>
        <v/>
      </c>
      <c r="M236" t="str">
        <f t="shared" si="4"/>
        <v/>
      </c>
      <c r="N236" t="str" cm="1">
        <f t="array" ref="N236">IF(MOD(ROW()-ROW($B$2),16)=0,INDEX($M$2:$M$1000,(ROW()-ROW($B$2))/16+1),"")</f>
        <v/>
      </c>
    </row>
    <row r="237" spans="2:14" x14ac:dyDescent="0.3">
      <c r="B237" t="s">
        <v>2173</v>
      </c>
      <c r="C237" t="s">
        <v>2376</v>
      </c>
      <c r="D237" t="s">
        <v>526</v>
      </c>
      <c r="E237">
        <v>0</v>
      </c>
      <c r="F237" t="s">
        <v>526</v>
      </c>
      <c r="K237" s="12" t="s">
        <v>5341</v>
      </c>
      <c r="L237" t="str">
        <f>IFERROR(VLOOKUP(K237,Таблица7[3]:Таблица7[[#This Row],[6]],2,FALSE),"")</f>
        <v/>
      </c>
      <c r="M237" t="str">
        <f t="shared" si="4"/>
        <v/>
      </c>
      <c r="N237" t="str" cm="1">
        <f t="array" ref="N237">IF(MOD(ROW()-ROW($B$2),16)=0,INDEX($M$2:$M$1000,(ROW()-ROW($B$2))/16+1),"")</f>
        <v/>
      </c>
    </row>
    <row r="238" spans="2:14" x14ac:dyDescent="0.3">
      <c r="B238" t="s">
        <v>2173</v>
      </c>
      <c r="C238" t="s">
        <v>2377</v>
      </c>
      <c r="D238" t="s">
        <v>527</v>
      </c>
      <c r="E238">
        <v>0</v>
      </c>
      <c r="F238" t="s">
        <v>527</v>
      </c>
      <c r="K238" s="12" t="s">
        <v>5342</v>
      </c>
      <c r="L238" t="str">
        <f>IFERROR(VLOOKUP(K238,Таблица7[3]:Таблица7[[#This Row],[6]],2,FALSE),"")</f>
        <v/>
      </c>
      <c r="M238" t="str">
        <f t="shared" si="4"/>
        <v/>
      </c>
      <c r="N238" t="str" cm="1">
        <f t="array" ref="N238">IF(MOD(ROW()-ROW($B$2),16)=0,INDEX($M$2:$M$1000,(ROW()-ROW($B$2))/16+1),"")</f>
        <v/>
      </c>
    </row>
    <row r="239" spans="2:14" x14ac:dyDescent="0.3">
      <c r="B239" t="s">
        <v>2173</v>
      </c>
      <c r="C239" t="s">
        <v>2378</v>
      </c>
      <c r="D239" t="s">
        <v>528</v>
      </c>
      <c r="E239">
        <v>0</v>
      </c>
      <c r="F239" t="s">
        <v>528</v>
      </c>
      <c r="K239" s="12" t="s">
        <v>5343</v>
      </c>
      <c r="L239" t="str">
        <f>IFERROR(VLOOKUP(K239,Таблица7[3]:Таблица7[[#This Row],[6]],2,FALSE),"")</f>
        <v/>
      </c>
      <c r="M239" t="str">
        <f t="shared" si="4"/>
        <v/>
      </c>
      <c r="N239" t="str" cm="1">
        <f t="array" ref="N239">IF(MOD(ROW()-ROW($B$2),16)=0,INDEX($M$2:$M$1000,(ROW()-ROW($B$2))/16+1),"")</f>
        <v/>
      </c>
    </row>
    <row r="240" spans="2:14" x14ac:dyDescent="0.3">
      <c r="B240" t="s">
        <v>2173</v>
      </c>
      <c r="C240" t="s">
        <v>2379</v>
      </c>
      <c r="D240" t="s">
        <v>529</v>
      </c>
      <c r="E240">
        <v>0</v>
      </c>
      <c r="F240" t="s">
        <v>529</v>
      </c>
      <c r="K240" s="12" t="s">
        <v>5344</v>
      </c>
      <c r="L240" t="str">
        <f>IFERROR(VLOOKUP(K240,Таблица7[3]:Таблица7[[#This Row],[6]],2,FALSE),"")</f>
        <v/>
      </c>
      <c r="M240" t="str">
        <f t="shared" si="4"/>
        <v/>
      </c>
      <c r="N240" t="str" cm="1">
        <f t="array" ref="N240">IF(MOD(ROW()-ROW($B$2),16)=0,INDEX($M$2:$M$1000,(ROW()-ROW($B$2))/16+1),"")</f>
        <v/>
      </c>
    </row>
    <row r="241" spans="2:14" x14ac:dyDescent="0.3">
      <c r="B241" t="s">
        <v>2173</v>
      </c>
      <c r="C241" t="s">
        <v>2380</v>
      </c>
      <c r="D241" t="s">
        <v>530</v>
      </c>
      <c r="E241">
        <v>0</v>
      </c>
      <c r="F241" t="s">
        <v>530</v>
      </c>
      <c r="K241" s="12" t="s">
        <v>5345</v>
      </c>
      <c r="L241" t="str">
        <f>IFERROR(VLOOKUP(K241,Таблица7[3]:Таблица7[[#This Row],[6]],2,FALSE),"")</f>
        <v/>
      </c>
      <c r="M241" t="str">
        <f t="shared" si="4"/>
        <v/>
      </c>
      <c r="N241" t="str" cm="1">
        <f t="array" ref="N241">IF(MOD(ROW()-ROW($B$2),16)=0,INDEX($M$2:$M$1000,(ROW()-ROW($B$2))/16+1),"")</f>
        <v/>
      </c>
    </row>
    <row r="242" spans="2:14" x14ac:dyDescent="0.3">
      <c r="B242" t="s">
        <v>2173</v>
      </c>
      <c r="C242" t="s">
        <v>2381</v>
      </c>
      <c r="D242" t="s">
        <v>531</v>
      </c>
      <c r="E242">
        <v>0</v>
      </c>
      <c r="F242" t="s">
        <v>531</v>
      </c>
      <c r="K242" s="12" t="s">
        <v>5346</v>
      </c>
      <c r="L242" t="str">
        <f>IFERROR(VLOOKUP(K242,Таблица7[3]:Таблица7[[#This Row],[6]],2,FALSE),"")</f>
        <v/>
      </c>
      <c r="M242" t="str">
        <f t="shared" si="4"/>
        <v/>
      </c>
      <c r="N242" t="str" cm="1">
        <f t="array" ref="N242">IF(MOD(ROW()-ROW($B$2),16)=0,INDEX($M$2:$M$1000,(ROW()-ROW($B$2))/16+1),"")</f>
        <v>Фиксированное число 15 (0)</v>
      </c>
    </row>
    <row r="243" spans="2:14" x14ac:dyDescent="0.3">
      <c r="B243" t="s">
        <v>2173</v>
      </c>
      <c r="C243" t="s">
        <v>2382</v>
      </c>
      <c r="D243" t="s">
        <v>532</v>
      </c>
      <c r="E243">
        <v>0</v>
      </c>
      <c r="F243" t="s">
        <v>532</v>
      </c>
      <c r="K243" s="12" t="s">
        <v>5347</v>
      </c>
      <c r="L243" t="str">
        <f>IFERROR(VLOOKUP(K243,Таблица7[3]:Таблица7[[#This Row],[6]],2,FALSE),"")</f>
        <v/>
      </c>
      <c r="M243" t="str">
        <f t="shared" si="4"/>
        <v/>
      </c>
      <c r="N243" t="str" cm="1">
        <f t="array" ref="N243">IF(MOD(ROW()-ROW($B$2),16)=0,INDEX($M$2:$M$1000,(ROW()-ROW($B$2))/16+1),"")</f>
        <v/>
      </c>
    </row>
    <row r="244" spans="2:14" x14ac:dyDescent="0.3">
      <c r="B244" t="s">
        <v>2173</v>
      </c>
      <c r="C244" t="s">
        <v>2383</v>
      </c>
      <c r="D244" t="s">
        <v>533</v>
      </c>
      <c r="E244">
        <v>0</v>
      </c>
      <c r="F244" t="s">
        <v>533</v>
      </c>
      <c r="K244" s="12" t="s">
        <v>5348</v>
      </c>
      <c r="L244" t="str">
        <f>IFERROR(VLOOKUP(K244,Таблица7[3]:Таблица7[[#This Row],[6]],2,FALSE),"")</f>
        <v/>
      </c>
      <c r="M244" t="str">
        <f t="shared" si="4"/>
        <v/>
      </c>
      <c r="N244" t="str" cm="1">
        <f t="array" ref="N244">IF(MOD(ROW()-ROW($B$2),16)=0,INDEX($M$2:$M$1000,(ROW()-ROW($B$2))/16+1),"")</f>
        <v/>
      </c>
    </row>
    <row r="245" spans="2:14" x14ac:dyDescent="0.3">
      <c r="B245" t="s">
        <v>2173</v>
      </c>
      <c r="C245" t="s">
        <v>2384</v>
      </c>
      <c r="D245" t="s">
        <v>534</v>
      </c>
      <c r="E245">
        <v>0</v>
      </c>
      <c r="F245" t="s">
        <v>534</v>
      </c>
      <c r="K245" s="12" t="s">
        <v>5349</v>
      </c>
      <c r="L245" t="str">
        <f>IFERROR(VLOOKUP(K245,Таблица7[3]:Таблица7[[#This Row],[6]],2,FALSE),"")</f>
        <v/>
      </c>
      <c r="M245" t="str">
        <f t="shared" si="4"/>
        <v/>
      </c>
      <c r="N245" t="str" cm="1">
        <f t="array" ref="N245">IF(MOD(ROW()-ROW($B$2),16)=0,INDEX($M$2:$M$1000,(ROW()-ROW($B$2))/16+1),"")</f>
        <v/>
      </c>
    </row>
    <row r="246" spans="2:14" x14ac:dyDescent="0.3">
      <c r="B246" t="s">
        <v>2173</v>
      </c>
      <c r="C246" t="s">
        <v>2385</v>
      </c>
      <c r="D246" t="s">
        <v>535</v>
      </c>
      <c r="E246">
        <v>0</v>
      </c>
      <c r="F246" t="s">
        <v>535</v>
      </c>
      <c r="K246" s="12" t="s">
        <v>5350</v>
      </c>
      <c r="L246" t="str">
        <f>IFERROR(VLOOKUP(K246,Таблица7[3]:Таблица7[[#This Row],[6]],2,FALSE),"")</f>
        <v/>
      </c>
      <c r="M246" t="str">
        <f t="shared" si="4"/>
        <v/>
      </c>
      <c r="N246" t="str" cm="1">
        <f t="array" ref="N246">IF(MOD(ROW()-ROW($B$2),16)=0,INDEX($M$2:$M$1000,(ROW()-ROW($B$2))/16+1),"")</f>
        <v/>
      </c>
    </row>
    <row r="247" spans="2:14" x14ac:dyDescent="0.3">
      <c r="B247" t="s">
        <v>2173</v>
      </c>
      <c r="C247" t="s">
        <v>2386</v>
      </c>
      <c r="D247" t="s">
        <v>536</v>
      </c>
      <c r="E247">
        <v>0</v>
      </c>
      <c r="F247" t="s">
        <v>536</v>
      </c>
      <c r="K247" s="12" t="s">
        <v>5351</v>
      </c>
      <c r="L247" t="str">
        <f>IFERROR(VLOOKUP(K247,Таблица7[3]:Таблица7[[#This Row],[6]],2,FALSE),"")</f>
        <v/>
      </c>
      <c r="M247" t="str">
        <f t="shared" si="4"/>
        <v/>
      </c>
      <c r="N247" t="str" cm="1">
        <f t="array" ref="N247">IF(MOD(ROW()-ROW($B$2),16)=0,INDEX($M$2:$M$1000,(ROW()-ROW($B$2))/16+1),"")</f>
        <v/>
      </c>
    </row>
    <row r="248" spans="2:14" x14ac:dyDescent="0.3">
      <c r="B248" t="s">
        <v>2173</v>
      </c>
      <c r="C248" t="s">
        <v>2387</v>
      </c>
      <c r="D248" t="s">
        <v>537</v>
      </c>
      <c r="E248">
        <v>0</v>
      </c>
      <c r="F248" t="s">
        <v>537</v>
      </c>
      <c r="K248" s="12" t="s">
        <v>5352</v>
      </c>
      <c r="L248" t="str">
        <f>IFERROR(VLOOKUP(K248,Таблица7[3]:Таблица7[[#This Row],[6]],2,FALSE),"")</f>
        <v/>
      </c>
      <c r="M248" t="str">
        <f t="shared" si="4"/>
        <v/>
      </c>
      <c r="N248" t="str" cm="1">
        <f t="array" ref="N248">IF(MOD(ROW()-ROW($B$2),16)=0,INDEX($M$2:$M$1000,(ROW()-ROW($B$2))/16+1),"")</f>
        <v/>
      </c>
    </row>
    <row r="249" spans="2:14" x14ac:dyDescent="0.3">
      <c r="B249" t="s">
        <v>2173</v>
      </c>
      <c r="C249" t="s">
        <v>2388</v>
      </c>
      <c r="D249" t="s">
        <v>538</v>
      </c>
      <c r="E249">
        <v>0</v>
      </c>
      <c r="F249" t="s">
        <v>538</v>
      </c>
      <c r="K249" s="12" t="s">
        <v>5353</v>
      </c>
      <c r="L249" t="str">
        <f>IFERROR(VLOOKUP(K249,Таблица7[3]:Таблица7[[#This Row],[6]],2,FALSE),"")</f>
        <v/>
      </c>
      <c r="M249" t="str">
        <f t="shared" si="4"/>
        <v/>
      </c>
      <c r="N249" t="str" cm="1">
        <f t="array" ref="N249">IF(MOD(ROW()-ROW($B$2),16)=0,INDEX($M$2:$M$1000,(ROW()-ROW($B$2))/16+1),"")</f>
        <v/>
      </c>
    </row>
    <row r="250" spans="2:14" x14ac:dyDescent="0.3">
      <c r="B250" t="s">
        <v>2173</v>
      </c>
      <c r="C250" t="s">
        <v>2389</v>
      </c>
      <c r="D250" t="s">
        <v>539</v>
      </c>
      <c r="E250">
        <v>0</v>
      </c>
      <c r="F250" t="s">
        <v>539</v>
      </c>
      <c r="K250" s="12" t="s">
        <v>5354</v>
      </c>
      <c r="L250" t="str">
        <f>IFERROR(VLOOKUP(K250,Таблица7[3]:Таблица7[[#This Row],[6]],2,FALSE),"")</f>
        <v/>
      </c>
      <c r="M250" t="str">
        <f t="shared" si="4"/>
        <v/>
      </c>
      <c r="N250" t="str" cm="1">
        <f t="array" ref="N250">IF(MOD(ROW()-ROW($B$2),16)=0,INDEX($M$2:$M$1000,(ROW()-ROW($B$2))/16+1),"")</f>
        <v/>
      </c>
    </row>
    <row r="251" spans="2:14" x14ac:dyDescent="0.3">
      <c r="B251" t="s">
        <v>2173</v>
      </c>
      <c r="C251" t="s">
        <v>2390</v>
      </c>
      <c r="D251" t="s">
        <v>540</v>
      </c>
      <c r="E251">
        <v>0</v>
      </c>
      <c r="F251" t="s">
        <v>540</v>
      </c>
      <c r="K251" s="12" t="s">
        <v>5355</v>
      </c>
      <c r="L251" t="str">
        <f>IFERROR(VLOOKUP(K251,Таблица7[3]:Таблица7[[#This Row],[6]],2,FALSE),"")</f>
        <v/>
      </c>
      <c r="M251" t="str">
        <f t="shared" si="4"/>
        <v/>
      </c>
      <c r="N251" t="str" cm="1">
        <f t="array" ref="N251">IF(MOD(ROW()-ROW($B$2),16)=0,INDEX($M$2:$M$1000,(ROW()-ROW($B$2))/16+1),"")</f>
        <v/>
      </c>
    </row>
    <row r="252" spans="2:14" x14ac:dyDescent="0.3">
      <c r="B252" t="s">
        <v>2173</v>
      </c>
      <c r="C252" t="s">
        <v>2391</v>
      </c>
      <c r="D252" t="s">
        <v>541</v>
      </c>
      <c r="E252">
        <v>0</v>
      </c>
      <c r="F252" t="s">
        <v>541</v>
      </c>
      <c r="K252" s="12" t="s">
        <v>4472</v>
      </c>
      <c r="L252" t="str">
        <f>IFERROR(VLOOKUP(K252,Таблица7[3]:Таблица7[[#This Row],[6]],2,FALSE),"")</f>
        <v>Пароль от уровня 1</v>
      </c>
      <c r="M252" t="str">
        <f t="shared" si="4"/>
        <v>Пароль от уровня 1 (0)</v>
      </c>
      <c r="N252" t="str" cm="1">
        <f t="array" ref="N252">IF(MOD(ROW()-ROW($B$2),16)=0,INDEX($M$2:$M$1000,(ROW()-ROW($B$2))/16+1),"")</f>
        <v/>
      </c>
    </row>
    <row r="253" spans="2:14" x14ac:dyDescent="0.3">
      <c r="B253" t="s">
        <v>2173</v>
      </c>
      <c r="C253" t="s">
        <v>2392</v>
      </c>
      <c r="D253" t="s">
        <v>542</v>
      </c>
      <c r="E253">
        <v>0</v>
      </c>
      <c r="F253" t="s">
        <v>542</v>
      </c>
      <c r="K253" s="12" t="s">
        <v>5356</v>
      </c>
      <c r="L253" t="str">
        <f>IFERROR(VLOOKUP(K253,Таблица7[3]:Таблица7[[#This Row],[6]],2,FALSE),"")</f>
        <v/>
      </c>
      <c r="M253" t="str">
        <f t="shared" si="4"/>
        <v/>
      </c>
      <c r="N253" t="str" cm="1">
        <f t="array" ref="N253">IF(MOD(ROW()-ROW($B$2),16)=0,INDEX($M$2:$M$1000,(ROW()-ROW($B$2))/16+1),"")</f>
        <v/>
      </c>
    </row>
    <row r="254" spans="2:14" x14ac:dyDescent="0.3">
      <c r="B254" t="s">
        <v>2173</v>
      </c>
      <c r="C254" t="s">
        <v>2393</v>
      </c>
      <c r="D254" t="s">
        <v>543</v>
      </c>
      <c r="E254">
        <v>0</v>
      </c>
      <c r="F254" t="s">
        <v>543</v>
      </c>
      <c r="K254" s="12" t="s">
        <v>5357</v>
      </c>
      <c r="L254" t="str">
        <f>IFERROR(VLOOKUP(K254,Таблица7[3]:Таблица7[[#This Row],[6]],2,FALSE),"")</f>
        <v/>
      </c>
      <c r="M254" t="str">
        <f t="shared" si="4"/>
        <v/>
      </c>
      <c r="N254" t="str" cm="1">
        <f t="array" ref="N254">IF(MOD(ROW()-ROW($B$2),16)=0,INDEX($M$2:$M$1000,(ROW()-ROW($B$2))/16+1),"")</f>
        <v/>
      </c>
    </row>
    <row r="255" spans="2:14" x14ac:dyDescent="0.3">
      <c r="B255" t="s">
        <v>2173</v>
      </c>
      <c r="C255" t="s">
        <v>2394</v>
      </c>
      <c r="D255" t="s">
        <v>544</v>
      </c>
      <c r="E255">
        <v>0</v>
      </c>
      <c r="F255" t="s">
        <v>544</v>
      </c>
      <c r="K255" s="12" t="s">
        <v>5358</v>
      </c>
      <c r="L255" t="str">
        <f>IFERROR(VLOOKUP(K255,Таблица7[3]:Таблица7[[#This Row],[6]],2,FALSE),"")</f>
        <v/>
      </c>
      <c r="M255" t="str">
        <f t="shared" si="4"/>
        <v/>
      </c>
      <c r="N255" t="str" cm="1">
        <f t="array" ref="N255">IF(MOD(ROW()-ROW($B$2),16)=0,INDEX($M$2:$M$1000,(ROW()-ROW($B$2))/16+1),"")</f>
        <v/>
      </c>
    </row>
    <row r="256" spans="2:14" x14ac:dyDescent="0.3">
      <c r="B256" t="s">
        <v>2173</v>
      </c>
      <c r="C256" t="s">
        <v>2395</v>
      </c>
      <c r="D256" t="s">
        <v>545</v>
      </c>
      <c r="E256">
        <v>0</v>
      </c>
      <c r="F256" t="s">
        <v>545</v>
      </c>
      <c r="K256" s="12" t="s">
        <v>5359</v>
      </c>
      <c r="L256" t="str">
        <f>IFERROR(VLOOKUP(K256,Таблица7[3]:Таблица7[[#This Row],[6]],2,FALSE),"")</f>
        <v/>
      </c>
      <c r="M256" t="str">
        <f t="shared" si="4"/>
        <v/>
      </c>
      <c r="N256" t="str" cm="1">
        <f t="array" ref="N256">IF(MOD(ROW()-ROW($B$2),16)=0,INDEX($M$2:$M$1000,(ROW()-ROW($B$2))/16+1),"")</f>
        <v/>
      </c>
    </row>
    <row r="257" spans="2:14" x14ac:dyDescent="0.3">
      <c r="B257" t="s">
        <v>2173</v>
      </c>
      <c r="C257" t="s">
        <v>2396</v>
      </c>
      <c r="D257" t="s">
        <v>546</v>
      </c>
      <c r="E257">
        <v>0</v>
      </c>
      <c r="F257" t="s">
        <v>546</v>
      </c>
      <c r="K257" s="12" t="s">
        <v>5360</v>
      </c>
      <c r="L257" t="str">
        <f>IFERROR(VLOOKUP(K257,Таблица7[3]:Таблица7[[#This Row],[6]],2,FALSE),"")</f>
        <v/>
      </c>
      <c r="M257" t="str">
        <f t="shared" si="4"/>
        <v/>
      </c>
      <c r="N257" t="str" cm="1">
        <f t="array" ref="N257">IF(MOD(ROW()-ROW($B$2),16)=0,INDEX($M$2:$M$1000,(ROW()-ROW($B$2))/16+1),"")</f>
        <v/>
      </c>
    </row>
    <row r="258" spans="2:14" x14ac:dyDescent="0.3">
      <c r="B258" t="s">
        <v>2173</v>
      </c>
      <c r="C258" t="s">
        <v>2397</v>
      </c>
      <c r="D258" t="s">
        <v>547</v>
      </c>
      <c r="E258">
        <v>0</v>
      </c>
      <c r="F258" t="s">
        <v>547</v>
      </c>
      <c r="K258" s="12" t="s">
        <v>4473</v>
      </c>
      <c r="L258" t="str">
        <f>IFERROR(VLOOKUP(K258,Таблица7[3]:Таблица7[[#This Row],[6]],2,FALSE),"")</f>
        <v>Пароль от уровня 2</v>
      </c>
      <c r="M258" t="str">
        <f t="shared" si="4"/>
        <v>Пароль от уровня 2 (0)</v>
      </c>
      <c r="N258" t="str" cm="1">
        <f t="array" ref="N258">IF(MOD(ROW()-ROW($B$2),16)=0,INDEX($M$2:$M$1000,(ROW()-ROW($B$2))/16+1),"")</f>
        <v>Фиксированное число 16 (0)</v>
      </c>
    </row>
    <row r="259" spans="2:14" x14ac:dyDescent="0.3">
      <c r="B259" t="s">
        <v>2173</v>
      </c>
      <c r="C259" t="s">
        <v>2398</v>
      </c>
      <c r="D259" t="s">
        <v>548</v>
      </c>
      <c r="E259">
        <v>0</v>
      </c>
      <c r="F259" t="s">
        <v>548</v>
      </c>
      <c r="K259" s="12" t="s">
        <v>5361</v>
      </c>
      <c r="L259" t="str">
        <f>IFERROR(VLOOKUP(K259,Таблица7[3]:Таблица7[[#This Row],[6]],2,FALSE),"")</f>
        <v/>
      </c>
      <c r="M259" t="str">
        <f t="shared" ref="M259:M322" si="5">IF(L259&lt;&gt;"",L259&amp;" (0)","")</f>
        <v/>
      </c>
      <c r="N259" t="str" cm="1">
        <f t="array" ref="N259">IF(MOD(ROW()-ROW($B$2),16)=0,INDEX($M$2:$M$1000,(ROW()-ROW($B$2))/16+1),"")</f>
        <v/>
      </c>
    </row>
    <row r="260" spans="2:14" x14ac:dyDescent="0.3">
      <c r="B260" t="s">
        <v>2173</v>
      </c>
      <c r="C260" t="s">
        <v>2399</v>
      </c>
      <c r="D260" t="s">
        <v>549</v>
      </c>
      <c r="E260">
        <v>0</v>
      </c>
      <c r="F260" t="s">
        <v>549</v>
      </c>
      <c r="K260" s="12" t="s">
        <v>5362</v>
      </c>
      <c r="L260" t="str">
        <f>IFERROR(VLOOKUP(K260,Таблица7[3]:Таблица7[[#This Row],[6]],2,FALSE),"")</f>
        <v/>
      </c>
      <c r="M260" t="str">
        <f t="shared" si="5"/>
        <v/>
      </c>
      <c r="N260" t="str" cm="1">
        <f t="array" ref="N260">IF(MOD(ROW()-ROW($B$2),16)=0,INDEX($M$2:$M$1000,(ROW()-ROW($B$2))/16+1),"")</f>
        <v/>
      </c>
    </row>
    <row r="261" spans="2:14" x14ac:dyDescent="0.3">
      <c r="B261" t="s">
        <v>2173</v>
      </c>
      <c r="C261" t="s">
        <v>2400</v>
      </c>
      <c r="D261" t="s">
        <v>550</v>
      </c>
      <c r="E261">
        <v>0</v>
      </c>
      <c r="F261" t="s">
        <v>550</v>
      </c>
      <c r="K261" s="12" t="s">
        <v>5363</v>
      </c>
      <c r="L261" t="str">
        <f>IFERROR(VLOOKUP(K261,Таблица7[3]:Таблица7[[#This Row],[6]],2,FALSE),"")</f>
        <v/>
      </c>
      <c r="M261" t="str">
        <f t="shared" si="5"/>
        <v/>
      </c>
      <c r="N261" t="str" cm="1">
        <f t="array" ref="N261">IF(MOD(ROW()-ROW($B$2),16)=0,INDEX($M$2:$M$1000,(ROW()-ROW($B$2))/16+1),"")</f>
        <v/>
      </c>
    </row>
    <row r="262" spans="2:14" x14ac:dyDescent="0.3">
      <c r="B262" t="s">
        <v>2173</v>
      </c>
      <c r="C262" t="s">
        <v>2401</v>
      </c>
      <c r="D262" t="s">
        <v>551</v>
      </c>
      <c r="E262">
        <v>0</v>
      </c>
      <c r="F262" t="s">
        <v>551</v>
      </c>
      <c r="K262" s="12" t="s">
        <v>5364</v>
      </c>
      <c r="L262" t="str">
        <f>IFERROR(VLOOKUP(K262,Таблица7[3]:Таблица7[[#This Row],[6]],2,FALSE),"")</f>
        <v/>
      </c>
      <c r="M262" t="str">
        <f t="shared" si="5"/>
        <v/>
      </c>
      <c r="N262" t="str" cm="1">
        <f t="array" ref="N262">IF(MOD(ROW()-ROW($B$2),16)=0,INDEX($M$2:$M$1000,(ROW()-ROW($B$2))/16+1),"")</f>
        <v/>
      </c>
    </row>
    <row r="263" spans="2:14" x14ac:dyDescent="0.3">
      <c r="B263" t="s">
        <v>2173</v>
      </c>
      <c r="C263" t="s">
        <v>2402</v>
      </c>
      <c r="D263" t="s">
        <v>552</v>
      </c>
      <c r="E263">
        <v>0</v>
      </c>
      <c r="F263" t="s">
        <v>552</v>
      </c>
      <c r="K263" s="12" t="s">
        <v>5365</v>
      </c>
      <c r="L263" t="str">
        <f>IFERROR(VLOOKUP(K263,Таблица7[3]:Таблица7[[#This Row],[6]],2,FALSE),"")</f>
        <v/>
      </c>
      <c r="M263" t="str">
        <f t="shared" si="5"/>
        <v/>
      </c>
      <c r="N263" t="str" cm="1">
        <f t="array" ref="N263">IF(MOD(ROW()-ROW($B$2),16)=0,INDEX($M$2:$M$1000,(ROW()-ROW($B$2))/16+1),"")</f>
        <v/>
      </c>
    </row>
    <row r="264" spans="2:14" x14ac:dyDescent="0.3">
      <c r="B264" t="s">
        <v>2173</v>
      </c>
      <c r="C264" t="s">
        <v>2403</v>
      </c>
      <c r="D264" t="s">
        <v>553</v>
      </c>
      <c r="E264">
        <v>0</v>
      </c>
      <c r="F264" t="s">
        <v>553</v>
      </c>
      <c r="K264" s="12" t="s">
        <v>5366</v>
      </c>
      <c r="L264" t="str">
        <f>IFERROR(VLOOKUP(K264,Таблица7[3]:Таблица7[[#This Row],[6]],2,FALSE),"")</f>
        <v/>
      </c>
      <c r="M264" t="str">
        <f t="shared" si="5"/>
        <v/>
      </c>
      <c r="N264" t="str" cm="1">
        <f t="array" ref="N264">IF(MOD(ROW()-ROW($B$2),16)=0,INDEX($M$2:$M$1000,(ROW()-ROW($B$2))/16+1),"")</f>
        <v/>
      </c>
    </row>
    <row r="265" spans="2:14" x14ac:dyDescent="0.3">
      <c r="B265" t="s">
        <v>2173</v>
      </c>
      <c r="C265" t="s">
        <v>2404</v>
      </c>
      <c r="D265" t="s">
        <v>554</v>
      </c>
      <c r="E265">
        <v>0</v>
      </c>
      <c r="F265" t="s">
        <v>554</v>
      </c>
      <c r="K265" s="12" t="s">
        <v>5367</v>
      </c>
      <c r="L265" t="str">
        <f>IFERROR(VLOOKUP(K265,Таблица7[3]:Таблица7[[#This Row],[6]],2,FALSE),"")</f>
        <v/>
      </c>
      <c r="M265" t="str">
        <f t="shared" si="5"/>
        <v/>
      </c>
      <c r="N265" t="str" cm="1">
        <f t="array" ref="N265">IF(MOD(ROW()-ROW($B$2),16)=0,INDEX($M$2:$M$1000,(ROW()-ROW($B$2))/16+1),"")</f>
        <v/>
      </c>
    </row>
    <row r="266" spans="2:14" x14ac:dyDescent="0.3">
      <c r="B266" t="s">
        <v>2173</v>
      </c>
      <c r="C266" t="s">
        <v>2405</v>
      </c>
      <c r="D266" t="s">
        <v>555</v>
      </c>
      <c r="E266">
        <v>0</v>
      </c>
      <c r="F266" t="s">
        <v>555</v>
      </c>
      <c r="K266" s="12" t="s">
        <v>5368</v>
      </c>
      <c r="L266" t="str">
        <f>IFERROR(VLOOKUP(K266,Таблица7[3]:Таблица7[[#This Row],[6]],2,FALSE),"")</f>
        <v/>
      </c>
      <c r="M266" t="str">
        <f t="shared" si="5"/>
        <v/>
      </c>
      <c r="N266" t="str" cm="1">
        <f t="array" ref="N266">IF(MOD(ROW()-ROW($B$2),16)=0,INDEX($M$2:$M$1000,(ROW()-ROW($B$2))/16+1),"")</f>
        <v/>
      </c>
    </row>
    <row r="267" spans="2:14" x14ac:dyDescent="0.3">
      <c r="B267" t="s">
        <v>2173</v>
      </c>
      <c r="C267" t="s">
        <v>2406</v>
      </c>
      <c r="D267" t="s">
        <v>556</v>
      </c>
      <c r="E267">
        <v>0</v>
      </c>
      <c r="F267" t="s">
        <v>556</v>
      </c>
      <c r="K267" s="12" t="s">
        <v>5369</v>
      </c>
      <c r="L267" t="str">
        <f>IFERROR(VLOOKUP(K267,Таблица7[3]:Таблица7[[#This Row],[6]],2,FALSE),"")</f>
        <v/>
      </c>
      <c r="M267" t="str">
        <f t="shared" si="5"/>
        <v/>
      </c>
      <c r="N267" t="str" cm="1">
        <f t="array" ref="N267">IF(MOD(ROW()-ROW($B$2),16)=0,INDEX($M$2:$M$1000,(ROW()-ROW($B$2))/16+1),"")</f>
        <v/>
      </c>
    </row>
    <row r="268" spans="2:14" x14ac:dyDescent="0.3">
      <c r="B268" t="s">
        <v>2173</v>
      </c>
      <c r="C268" t="s">
        <v>2407</v>
      </c>
      <c r="D268" t="s">
        <v>557</v>
      </c>
      <c r="E268">
        <v>0</v>
      </c>
      <c r="F268" t="s">
        <v>557</v>
      </c>
      <c r="K268" s="12" t="s">
        <v>5370</v>
      </c>
      <c r="L268" t="str">
        <f>IFERROR(VLOOKUP(K268,Таблица7[3]:Таблица7[[#This Row],[6]],2,FALSE),"")</f>
        <v/>
      </c>
      <c r="M268" t="str">
        <f t="shared" si="5"/>
        <v/>
      </c>
      <c r="N268" t="str" cm="1">
        <f t="array" ref="N268">IF(MOD(ROW()-ROW($B$2),16)=0,INDEX($M$2:$M$1000,(ROW()-ROW($B$2))/16+1),"")</f>
        <v/>
      </c>
    </row>
    <row r="269" spans="2:14" x14ac:dyDescent="0.3">
      <c r="B269" t="s">
        <v>2173</v>
      </c>
      <c r="C269" t="s">
        <v>2408</v>
      </c>
      <c r="D269" t="s">
        <v>558</v>
      </c>
      <c r="E269">
        <v>0</v>
      </c>
      <c r="F269" t="s">
        <v>558</v>
      </c>
      <c r="K269" s="12" t="s">
        <v>5371</v>
      </c>
      <c r="L269" t="str">
        <f>IFERROR(VLOOKUP(K269,Таблица7[3]:Таблица7[[#This Row],[6]],2,FALSE),"")</f>
        <v/>
      </c>
      <c r="M269" t="str">
        <f t="shared" si="5"/>
        <v/>
      </c>
      <c r="N269" t="str" cm="1">
        <f t="array" ref="N269">IF(MOD(ROW()-ROW($B$2),16)=0,INDEX($M$2:$M$1000,(ROW()-ROW($B$2))/16+1),"")</f>
        <v/>
      </c>
    </row>
    <row r="270" spans="2:14" x14ac:dyDescent="0.3">
      <c r="B270" t="s">
        <v>2173</v>
      </c>
      <c r="C270" t="s">
        <v>2409</v>
      </c>
      <c r="D270" t="s">
        <v>559</v>
      </c>
      <c r="E270">
        <v>0</v>
      </c>
      <c r="F270" t="s">
        <v>559</v>
      </c>
      <c r="K270" s="12" t="s">
        <v>5372</v>
      </c>
      <c r="L270" t="str">
        <f>IFERROR(VLOOKUP(K270,Таблица7[3]:Таблица7[[#This Row],[6]],2,FALSE),"")</f>
        <v/>
      </c>
      <c r="M270" t="str">
        <f t="shared" si="5"/>
        <v/>
      </c>
      <c r="N270" t="str" cm="1">
        <f t="array" ref="N270">IF(MOD(ROW()-ROW($B$2),16)=0,INDEX($M$2:$M$1000,(ROW()-ROW($B$2))/16+1),"")</f>
        <v/>
      </c>
    </row>
    <row r="271" spans="2:14" x14ac:dyDescent="0.3">
      <c r="B271" t="s">
        <v>2173</v>
      </c>
      <c r="C271" t="s">
        <v>2410</v>
      </c>
      <c r="D271" t="s">
        <v>560</v>
      </c>
      <c r="E271">
        <v>0</v>
      </c>
      <c r="F271" t="s">
        <v>560</v>
      </c>
      <c r="K271" s="12" t="s">
        <v>5373</v>
      </c>
      <c r="L271" t="str">
        <f>IFERROR(VLOOKUP(K271,Таблица7[3]:Таблица7[[#This Row],[6]],2,FALSE),"")</f>
        <v/>
      </c>
      <c r="M271" t="str">
        <f t="shared" si="5"/>
        <v/>
      </c>
      <c r="N271" t="str" cm="1">
        <f t="array" ref="N271">IF(MOD(ROW()-ROW($B$2),16)=0,INDEX($M$2:$M$1000,(ROW()-ROW($B$2))/16+1),"")</f>
        <v/>
      </c>
    </row>
    <row r="272" spans="2:14" x14ac:dyDescent="0.3">
      <c r="B272" t="s">
        <v>2173</v>
      </c>
      <c r="C272" t="s">
        <v>2411</v>
      </c>
      <c r="D272" t="s">
        <v>561</v>
      </c>
      <c r="E272">
        <v>0</v>
      </c>
      <c r="F272" t="s">
        <v>561</v>
      </c>
      <c r="K272" s="12" t="s">
        <v>5374</v>
      </c>
      <c r="L272" t="str">
        <f>IFERROR(VLOOKUP(K272,Таблица7[3]:Таблица7[[#This Row],[6]],2,FALSE),"")</f>
        <v/>
      </c>
      <c r="M272" t="str">
        <f t="shared" si="5"/>
        <v/>
      </c>
      <c r="N272" t="str" cm="1">
        <f t="array" ref="N272">IF(MOD(ROW()-ROW($B$2),16)=0,INDEX($M$2:$M$1000,(ROW()-ROW($B$2))/16+1),"")</f>
        <v/>
      </c>
    </row>
    <row r="273" spans="2:14" x14ac:dyDescent="0.3">
      <c r="B273" t="s">
        <v>2173</v>
      </c>
      <c r="C273" t="s">
        <v>2412</v>
      </c>
      <c r="D273" t="s">
        <v>562</v>
      </c>
      <c r="E273">
        <v>0</v>
      </c>
      <c r="F273" t="s">
        <v>562</v>
      </c>
      <c r="K273" s="12" t="s">
        <v>5375</v>
      </c>
      <c r="L273" t="str">
        <f>IFERROR(VLOOKUP(K273,Таблица7[3]:Таблица7[[#This Row],[6]],2,FALSE),"")</f>
        <v/>
      </c>
      <c r="M273" t="str">
        <f t="shared" si="5"/>
        <v/>
      </c>
      <c r="N273" t="str" cm="1">
        <f t="array" ref="N273">IF(MOD(ROW()-ROW($B$2),16)=0,INDEX($M$2:$M$1000,(ROW()-ROW($B$2))/16+1),"")</f>
        <v/>
      </c>
    </row>
    <row r="274" spans="2:14" x14ac:dyDescent="0.3">
      <c r="B274" t="s">
        <v>2173</v>
      </c>
      <c r="C274" t="s">
        <v>2413</v>
      </c>
      <c r="D274" t="s">
        <v>563</v>
      </c>
      <c r="E274">
        <v>0</v>
      </c>
      <c r="F274" t="s">
        <v>563</v>
      </c>
      <c r="K274" s="12" t="s">
        <v>5376</v>
      </c>
      <c r="L274" t="str">
        <f>IFERROR(VLOOKUP(K274,Таблица7[3]:Таблица7[[#This Row],[6]],2,FALSE),"")</f>
        <v/>
      </c>
      <c r="M274" t="str">
        <f t="shared" si="5"/>
        <v/>
      </c>
      <c r="N274" t="str" cm="1">
        <f t="array" ref="N274">IF(MOD(ROW()-ROW($B$2),16)=0,INDEX($M$2:$M$1000,(ROW()-ROW($B$2))/16+1),"")</f>
        <v>Фиксированное число 17 (0)</v>
      </c>
    </row>
    <row r="275" spans="2:14" x14ac:dyDescent="0.3">
      <c r="B275" t="s">
        <v>2173</v>
      </c>
      <c r="C275" t="s">
        <v>2414</v>
      </c>
      <c r="D275" t="s">
        <v>564</v>
      </c>
      <c r="E275">
        <v>0</v>
      </c>
      <c r="F275" t="s">
        <v>564</v>
      </c>
      <c r="K275" s="12" t="s">
        <v>5377</v>
      </c>
      <c r="L275" t="str">
        <f>IFERROR(VLOOKUP(K275,Таблица7[3]:Таблица7[[#This Row],[6]],2,FALSE),"")</f>
        <v/>
      </c>
      <c r="M275" t="str">
        <f t="shared" si="5"/>
        <v/>
      </c>
      <c r="N275" t="str" cm="1">
        <f t="array" ref="N275">IF(MOD(ROW()-ROW($B$2),16)=0,INDEX($M$2:$M$1000,(ROW()-ROW($B$2))/16+1),"")</f>
        <v/>
      </c>
    </row>
    <row r="276" spans="2:14" x14ac:dyDescent="0.3">
      <c r="B276" t="s">
        <v>2173</v>
      </c>
      <c r="C276" t="s">
        <v>2415</v>
      </c>
      <c r="D276" t="s">
        <v>565</v>
      </c>
      <c r="E276">
        <v>0</v>
      </c>
      <c r="F276" t="s">
        <v>565</v>
      </c>
      <c r="K276" s="12" t="s">
        <v>5378</v>
      </c>
      <c r="L276" t="str">
        <f>IFERROR(VLOOKUP(K276,Таблица7[3]:Таблица7[[#This Row],[6]],2,FALSE),"")</f>
        <v/>
      </c>
      <c r="M276" t="str">
        <f t="shared" si="5"/>
        <v/>
      </c>
      <c r="N276" t="str" cm="1">
        <f t="array" ref="N276">IF(MOD(ROW()-ROW($B$2),16)=0,INDEX($M$2:$M$1000,(ROW()-ROW($B$2))/16+1),"")</f>
        <v/>
      </c>
    </row>
    <row r="277" spans="2:14" x14ac:dyDescent="0.3">
      <c r="B277" t="s">
        <v>2173</v>
      </c>
      <c r="C277" t="s">
        <v>2416</v>
      </c>
      <c r="D277" t="s">
        <v>566</v>
      </c>
      <c r="E277">
        <v>0</v>
      </c>
      <c r="F277" t="s">
        <v>566</v>
      </c>
      <c r="K277" s="12" t="s">
        <v>5379</v>
      </c>
      <c r="L277" t="str">
        <f>IFERROR(VLOOKUP(K277,Таблица7[3]:Таблица7[[#This Row],[6]],2,FALSE),"")</f>
        <v/>
      </c>
      <c r="M277" t="str">
        <f t="shared" si="5"/>
        <v/>
      </c>
      <c r="N277" t="str" cm="1">
        <f t="array" ref="N277">IF(MOD(ROW()-ROW($B$2),16)=0,INDEX($M$2:$M$1000,(ROW()-ROW($B$2))/16+1),"")</f>
        <v/>
      </c>
    </row>
    <row r="278" spans="2:14" x14ac:dyDescent="0.3">
      <c r="B278" t="s">
        <v>2173</v>
      </c>
      <c r="C278" t="s">
        <v>2417</v>
      </c>
      <c r="D278" t="s">
        <v>567</v>
      </c>
      <c r="E278">
        <v>0</v>
      </c>
      <c r="F278" t="s">
        <v>567</v>
      </c>
      <c r="K278" s="12" t="s">
        <v>5380</v>
      </c>
      <c r="L278" t="str">
        <f>IFERROR(VLOOKUP(K278,Таблица7[3]:Таблица7[[#This Row],[6]],2,FALSE),"")</f>
        <v/>
      </c>
      <c r="M278" t="str">
        <f t="shared" si="5"/>
        <v/>
      </c>
      <c r="N278" t="str" cm="1">
        <f t="array" ref="N278">IF(MOD(ROW()-ROW($B$2),16)=0,INDEX($M$2:$M$1000,(ROW()-ROW($B$2))/16+1),"")</f>
        <v/>
      </c>
    </row>
    <row r="279" spans="2:14" x14ac:dyDescent="0.3">
      <c r="B279" t="s">
        <v>2173</v>
      </c>
      <c r="C279" t="s">
        <v>2418</v>
      </c>
      <c r="D279" t="s">
        <v>568</v>
      </c>
      <c r="E279">
        <v>0</v>
      </c>
      <c r="F279" t="s">
        <v>568</v>
      </c>
      <c r="K279" s="12" t="s">
        <v>5381</v>
      </c>
      <c r="L279" t="str">
        <f>IFERROR(VLOOKUP(K279,Таблица7[3]:Таблица7[[#This Row],[6]],2,FALSE),"")</f>
        <v/>
      </c>
      <c r="M279" t="str">
        <f t="shared" si="5"/>
        <v/>
      </c>
      <c r="N279" t="str" cm="1">
        <f t="array" ref="N279">IF(MOD(ROW()-ROW($B$2),16)=0,INDEX($M$2:$M$1000,(ROW()-ROW($B$2))/16+1),"")</f>
        <v/>
      </c>
    </row>
    <row r="280" spans="2:14" x14ac:dyDescent="0.3">
      <c r="B280" t="s">
        <v>2173</v>
      </c>
      <c r="C280" t="s">
        <v>2419</v>
      </c>
      <c r="D280" t="s">
        <v>569</v>
      </c>
      <c r="E280">
        <v>0</v>
      </c>
      <c r="F280" t="s">
        <v>569</v>
      </c>
      <c r="K280" s="12" t="s">
        <v>5382</v>
      </c>
      <c r="L280" t="str">
        <f>IFERROR(VLOOKUP(K280,Таблица7[3]:Таблица7[[#This Row],[6]],2,FALSE),"")</f>
        <v/>
      </c>
      <c r="M280" t="str">
        <f t="shared" si="5"/>
        <v/>
      </c>
      <c r="N280" t="str" cm="1">
        <f t="array" ref="N280">IF(MOD(ROW()-ROW($B$2),16)=0,INDEX($M$2:$M$1000,(ROW()-ROW($B$2))/16+1),"")</f>
        <v/>
      </c>
    </row>
    <row r="281" spans="2:14" x14ac:dyDescent="0.3">
      <c r="B281" t="s">
        <v>2173</v>
      </c>
      <c r="C281" t="s">
        <v>2420</v>
      </c>
      <c r="D281" t="s">
        <v>570</v>
      </c>
      <c r="E281">
        <v>0</v>
      </c>
      <c r="F281" t="s">
        <v>570</v>
      </c>
      <c r="K281" s="12" t="s">
        <v>5383</v>
      </c>
      <c r="L281" t="str">
        <f>IFERROR(VLOOKUP(K281,Таблица7[3]:Таблица7[[#This Row],[6]],2,FALSE),"")</f>
        <v/>
      </c>
      <c r="M281" t="str">
        <f t="shared" si="5"/>
        <v/>
      </c>
      <c r="N281" t="str" cm="1">
        <f t="array" ref="N281">IF(MOD(ROW()-ROW($B$2),16)=0,INDEX($M$2:$M$1000,(ROW()-ROW($B$2))/16+1),"")</f>
        <v/>
      </c>
    </row>
    <row r="282" spans="2:14" x14ac:dyDescent="0.3">
      <c r="B282" t="s">
        <v>2173</v>
      </c>
      <c r="C282" t="s">
        <v>2421</v>
      </c>
      <c r="D282" t="s">
        <v>571</v>
      </c>
      <c r="E282">
        <v>0</v>
      </c>
      <c r="F282" t="s">
        <v>571</v>
      </c>
      <c r="K282" s="12" t="s">
        <v>5384</v>
      </c>
      <c r="L282" t="str">
        <f>IFERROR(VLOOKUP(K282,Таблица7[3]:Таблица7[[#This Row],[6]],2,FALSE),"")</f>
        <v/>
      </c>
      <c r="M282" t="str">
        <f t="shared" si="5"/>
        <v/>
      </c>
      <c r="N282" t="str" cm="1">
        <f t="array" ref="N282">IF(MOD(ROW()-ROW($B$2),16)=0,INDEX($M$2:$M$1000,(ROW()-ROW($B$2))/16+1),"")</f>
        <v/>
      </c>
    </row>
    <row r="283" spans="2:14" x14ac:dyDescent="0.3">
      <c r="B283" t="s">
        <v>2173</v>
      </c>
      <c r="C283" t="s">
        <v>2422</v>
      </c>
      <c r="D283" t="s">
        <v>572</v>
      </c>
      <c r="E283">
        <v>0</v>
      </c>
      <c r="F283" t="s">
        <v>572</v>
      </c>
      <c r="K283" s="12" t="s">
        <v>5385</v>
      </c>
      <c r="L283" t="str">
        <f>IFERROR(VLOOKUP(K283,Таблица7[3]:Таблица7[[#This Row],[6]],2,FALSE),"")</f>
        <v/>
      </c>
      <c r="M283" t="str">
        <f t="shared" si="5"/>
        <v/>
      </c>
      <c r="N283" t="str" cm="1">
        <f t="array" ref="N283">IF(MOD(ROW()-ROW($B$2),16)=0,INDEX($M$2:$M$1000,(ROW()-ROW($B$2))/16+1),"")</f>
        <v/>
      </c>
    </row>
    <row r="284" spans="2:14" x14ac:dyDescent="0.3">
      <c r="B284" t="s">
        <v>2173</v>
      </c>
      <c r="C284" t="s">
        <v>2423</v>
      </c>
      <c r="D284" t="s">
        <v>573</v>
      </c>
      <c r="E284">
        <v>0</v>
      </c>
      <c r="F284" t="s">
        <v>573</v>
      </c>
      <c r="K284" s="12" t="s">
        <v>5386</v>
      </c>
      <c r="L284" t="str">
        <f>IFERROR(VLOOKUP(K284,Таблица7[3]:Таблица7[[#This Row],[6]],2,FALSE),"")</f>
        <v/>
      </c>
      <c r="M284" t="str">
        <f t="shared" si="5"/>
        <v/>
      </c>
      <c r="N284" t="str" cm="1">
        <f t="array" ref="N284">IF(MOD(ROW()-ROW($B$2),16)=0,INDEX($M$2:$M$1000,(ROW()-ROW($B$2))/16+1),"")</f>
        <v/>
      </c>
    </row>
    <row r="285" spans="2:14" x14ac:dyDescent="0.3">
      <c r="B285" t="s">
        <v>2173</v>
      </c>
      <c r="C285" t="s">
        <v>2424</v>
      </c>
      <c r="D285" t="s">
        <v>574</v>
      </c>
      <c r="E285">
        <v>0</v>
      </c>
      <c r="F285" t="s">
        <v>574</v>
      </c>
      <c r="K285" s="12" t="s">
        <v>5387</v>
      </c>
      <c r="L285" t="str">
        <f>IFERROR(VLOOKUP(K285,Таблица7[3]:Таблица7[[#This Row],[6]],2,FALSE),"")</f>
        <v/>
      </c>
      <c r="M285" t="str">
        <f t="shared" si="5"/>
        <v/>
      </c>
      <c r="N285" t="str" cm="1">
        <f t="array" ref="N285">IF(MOD(ROW()-ROW($B$2),16)=0,INDEX($M$2:$M$1000,(ROW()-ROW($B$2))/16+1),"")</f>
        <v/>
      </c>
    </row>
    <row r="286" spans="2:14" x14ac:dyDescent="0.3">
      <c r="B286" t="s">
        <v>2173</v>
      </c>
      <c r="C286" t="s">
        <v>2425</v>
      </c>
      <c r="D286" t="s">
        <v>575</v>
      </c>
      <c r="E286">
        <v>0</v>
      </c>
      <c r="F286" t="s">
        <v>575</v>
      </c>
      <c r="K286" s="12" t="s">
        <v>5388</v>
      </c>
      <c r="L286" t="str">
        <f>IFERROR(VLOOKUP(K286,Таблица7[3]:Таблица7[[#This Row],[6]],2,FALSE),"")</f>
        <v/>
      </c>
      <c r="M286" t="str">
        <f t="shared" si="5"/>
        <v/>
      </c>
      <c r="N286" t="str" cm="1">
        <f t="array" ref="N286">IF(MOD(ROW()-ROW($B$2),16)=0,INDEX($M$2:$M$1000,(ROW()-ROW($B$2))/16+1),"")</f>
        <v/>
      </c>
    </row>
    <row r="287" spans="2:14" x14ac:dyDescent="0.3">
      <c r="B287" t="s">
        <v>2173</v>
      </c>
      <c r="C287" t="s">
        <v>2426</v>
      </c>
      <c r="D287" t="s">
        <v>576</v>
      </c>
      <c r="E287">
        <v>0</v>
      </c>
      <c r="F287" t="s">
        <v>576</v>
      </c>
      <c r="K287" s="12" t="s">
        <v>5389</v>
      </c>
      <c r="L287" t="str">
        <f>IFERROR(VLOOKUP(K287,Таблица7[3]:Таблица7[[#This Row],[6]],2,FALSE),"")</f>
        <v/>
      </c>
      <c r="M287" t="str">
        <f t="shared" si="5"/>
        <v/>
      </c>
      <c r="N287" t="str" cm="1">
        <f t="array" ref="N287">IF(MOD(ROW()-ROW($B$2),16)=0,INDEX($M$2:$M$1000,(ROW()-ROW($B$2))/16+1),"")</f>
        <v/>
      </c>
    </row>
    <row r="288" spans="2:14" x14ac:dyDescent="0.3">
      <c r="B288" t="s">
        <v>2173</v>
      </c>
      <c r="C288" t="s">
        <v>2427</v>
      </c>
      <c r="D288" t="s">
        <v>577</v>
      </c>
      <c r="E288">
        <v>0</v>
      </c>
      <c r="F288" t="s">
        <v>577</v>
      </c>
      <c r="K288" s="12" t="s">
        <v>5390</v>
      </c>
      <c r="L288" t="str">
        <f>IFERROR(VLOOKUP(K288,Таблица7[3]:Таблица7[[#This Row],[6]],2,FALSE),"")</f>
        <v/>
      </c>
      <c r="M288" t="str">
        <f t="shared" si="5"/>
        <v/>
      </c>
      <c r="N288" t="str" cm="1">
        <f t="array" ref="N288">IF(MOD(ROW()-ROW($B$2),16)=0,INDEX($M$2:$M$1000,(ROW()-ROW($B$2))/16+1),"")</f>
        <v/>
      </c>
    </row>
    <row r="289" spans="2:14" x14ac:dyDescent="0.3">
      <c r="B289" t="s">
        <v>2173</v>
      </c>
      <c r="C289" t="s">
        <v>2428</v>
      </c>
      <c r="D289" t="s">
        <v>578</v>
      </c>
      <c r="E289">
        <v>0</v>
      </c>
      <c r="F289" t="s">
        <v>578</v>
      </c>
      <c r="K289" s="12" t="s">
        <v>5391</v>
      </c>
      <c r="L289" t="str">
        <f>IFERROR(VLOOKUP(K289,Таблица7[3]:Таблица7[[#This Row],[6]],2,FALSE),"")</f>
        <v/>
      </c>
      <c r="M289" t="str">
        <f t="shared" si="5"/>
        <v/>
      </c>
      <c r="N289" t="str" cm="1">
        <f t="array" ref="N289">IF(MOD(ROW()-ROW($B$2),16)=0,INDEX($M$2:$M$1000,(ROW()-ROW($B$2))/16+1),"")</f>
        <v/>
      </c>
    </row>
    <row r="290" spans="2:14" x14ac:dyDescent="0.3">
      <c r="B290" t="s">
        <v>2173</v>
      </c>
      <c r="C290" t="s">
        <v>2429</v>
      </c>
      <c r="D290" t="s">
        <v>579</v>
      </c>
      <c r="E290">
        <v>0</v>
      </c>
      <c r="F290" t="s">
        <v>579</v>
      </c>
      <c r="K290" s="12" t="s">
        <v>5392</v>
      </c>
      <c r="L290" t="str">
        <f>IFERROR(VLOOKUP(K290,Таблица7[3]:Таблица7[[#This Row],[6]],2,FALSE),"")</f>
        <v/>
      </c>
      <c r="M290" t="str">
        <f t="shared" si="5"/>
        <v/>
      </c>
      <c r="N290" t="str" cm="1">
        <f t="array" ref="N290">IF(MOD(ROW()-ROW($B$2),16)=0,INDEX($M$2:$M$1000,(ROW()-ROW($B$2))/16+1),"")</f>
        <v>Фиксированное число 18 (0)</v>
      </c>
    </row>
    <row r="291" spans="2:14" x14ac:dyDescent="0.3">
      <c r="B291" t="s">
        <v>2173</v>
      </c>
      <c r="C291" t="s">
        <v>2430</v>
      </c>
      <c r="D291" t="s">
        <v>580</v>
      </c>
      <c r="E291">
        <v>0</v>
      </c>
      <c r="F291" t="s">
        <v>580</v>
      </c>
      <c r="K291" s="12" t="s">
        <v>5393</v>
      </c>
      <c r="L291" t="str">
        <f>IFERROR(VLOOKUP(K291,Таблица7[3]:Таблица7[[#This Row],[6]],2,FALSE),"")</f>
        <v/>
      </c>
      <c r="M291" t="str">
        <f t="shared" si="5"/>
        <v/>
      </c>
      <c r="N291" t="str" cm="1">
        <f t="array" ref="N291">IF(MOD(ROW()-ROW($B$2),16)=0,INDEX($M$2:$M$1000,(ROW()-ROW($B$2))/16+1),"")</f>
        <v/>
      </c>
    </row>
    <row r="292" spans="2:14" x14ac:dyDescent="0.3">
      <c r="B292" t="s">
        <v>2173</v>
      </c>
      <c r="C292" t="s">
        <v>2431</v>
      </c>
      <c r="D292" t="s">
        <v>581</v>
      </c>
      <c r="E292">
        <v>0</v>
      </c>
      <c r="F292" t="s">
        <v>581</v>
      </c>
      <c r="K292" s="12" t="s">
        <v>5394</v>
      </c>
      <c r="L292" t="str">
        <f>IFERROR(VLOOKUP(K292,Таблица7[3]:Таблица7[[#This Row],[6]],2,FALSE),"")</f>
        <v/>
      </c>
      <c r="M292" t="str">
        <f t="shared" si="5"/>
        <v/>
      </c>
      <c r="N292" t="str" cm="1">
        <f t="array" ref="N292">IF(MOD(ROW()-ROW($B$2),16)=0,INDEX($M$2:$M$1000,(ROW()-ROW($B$2))/16+1),"")</f>
        <v/>
      </c>
    </row>
    <row r="293" spans="2:14" x14ac:dyDescent="0.3">
      <c r="B293" t="s">
        <v>2173</v>
      </c>
      <c r="C293" t="s">
        <v>2432</v>
      </c>
      <c r="D293" t="s">
        <v>582</v>
      </c>
      <c r="E293">
        <v>0</v>
      </c>
      <c r="F293" t="s">
        <v>582</v>
      </c>
      <c r="K293" s="12" t="s">
        <v>5395</v>
      </c>
      <c r="L293" t="str">
        <f>IFERROR(VLOOKUP(K293,Таблица7[3]:Таблица7[[#This Row],[6]],2,FALSE),"")</f>
        <v/>
      </c>
      <c r="M293" t="str">
        <f t="shared" si="5"/>
        <v/>
      </c>
      <c r="N293" t="str" cm="1">
        <f t="array" ref="N293">IF(MOD(ROW()-ROW($B$2),16)=0,INDEX($M$2:$M$1000,(ROW()-ROW($B$2))/16+1),"")</f>
        <v/>
      </c>
    </row>
    <row r="294" spans="2:14" x14ac:dyDescent="0.3">
      <c r="B294" t="s">
        <v>2173</v>
      </c>
      <c r="C294" t="s">
        <v>2433</v>
      </c>
      <c r="D294" t="s">
        <v>583</v>
      </c>
      <c r="E294">
        <v>0</v>
      </c>
      <c r="F294" t="s">
        <v>583</v>
      </c>
      <c r="K294" s="12" t="s">
        <v>5396</v>
      </c>
      <c r="L294" t="str">
        <f>IFERROR(VLOOKUP(K294,Таблица7[3]:Таблица7[[#This Row],[6]],2,FALSE),"")</f>
        <v/>
      </c>
      <c r="M294" t="str">
        <f t="shared" si="5"/>
        <v/>
      </c>
      <c r="N294" t="str" cm="1">
        <f t="array" ref="N294">IF(MOD(ROW()-ROW($B$2),16)=0,INDEX($M$2:$M$1000,(ROW()-ROW($B$2))/16+1),"")</f>
        <v/>
      </c>
    </row>
    <row r="295" spans="2:14" x14ac:dyDescent="0.3">
      <c r="B295" t="s">
        <v>2173</v>
      </c>
      <c r="C295" t="s">
        <v>2434</v>
      </c>
      <c r="D295" t="s">
        <v>584</v>
      </c>
      <c r="E295">
        <v>0</v>
      </c>
      <c r="F295" t="s">
        <v>584</v>
      </c>
      <c r="K295" s="12" t="s">
        <v>5397</v>
      </c>
      <c r="L295" t="str">
        <f>IFERROR(VLOOKUP(K295,Таблица7[3]:Таблица7[[#This Row],[6]],2,FALSE),"")</f>
        <v/>
      </c>
      <c r="M295" t="str">
        <f t="shared" si="5"/>
        <v/>
      </c>
      <c r="N295" t="str" cm="1">
        <f t="array" ref="N295">IF(MOD(ROW()-ROW($B$2),16)=0,INDEX($M$2:$M$1000,(ROW()-ROW($B$2))/16+1),"")</f>
        <v/>
      </c>
    </row>
    <row r="296" spans="2:14" x14ac:dyDescent="0.3">
      <c r="B296" t="s">
        <v>2173</v>
      </c>
      <c r="C296" t="s">
        <v>2435</v>
      </c>
      <c r="D296" t="s">
        <v>585</v>
      </c>
      <c r="E296">
        <v>0</v>
      </c>
      <c r="F296" t="s">
        <v>585</v>
      </c>
      <c r="K296" s="12" t="s">
        <v>5398</v>
      </c>
      <c r="L296" t="str">
        <f>IFERROR(VLOOKUP(K296,Таблица7[3]:Таблица7[[#This Row],[6]],2,FALSE),"")</f>
        <v/>
      </c>
      <c r="M296" t="str">
        <f t="shared" si="5"/>
        <v/>
      </c>
      <c r="N296" t="str" cm="1">
        <f t="array" ref="N296">IF(MOD(ROW()-ROW($B$2),16)=0,INDEX($M$2:$M$1000,(ROW()-ROW($B$2))/16+1),"")</f>
        <v/>
      </c>
    </row>
    <row r="297" spans="2:14" x14ac:dyDescent="0.3">
      <c r="B297" t="s">
        <v>2173</v>
      </c>
      <c r="C297" t="s">
        <v>2436</v>
      </c>
      <c r="D297" t="s">
        <v>586</v>
      </c>
      <c r="E297">
        <v>0</v>
      </c>
      <c r="F297" t="s">
        <v>586</v>
      </c>
      <c r="K297" s="12" t="s">
        <v>5399</v>
      </c>
      <c r="L297" t="str">
        <f>IFERROR(VLOOKUP(K297,Таблица7[3]:Таблица7[[#This Row],[6]],2,FALSE),"")</f>
        <v/>
      </c>
      <c r="M297" t="str">
        <f t="shared" si="5"/>
        <v/>
      </c>
      <c r="N297" t="str" cm="1">
        <f t="array" ref="N297">IF(MOD(ROW()-ROW($B$2),16)=0,INDEX($M$2:$M$1000,(ROW()-ROW($B$2))/16+1),"")</f>
        <v/>
      </c>
    </row>
    <row r="298" spans="2:14" x14ac:dyDescent="0.3">
      <c r="B298" t="s">
        <v>2173</v>
      </c>
      <c r="C298" t="s">
        <v>2437</v>
      </c>
      <c r="D298" t="s">
        <v>587</v>
      </c>
      <c r="E298">
        <v>0</v>
      </c>
      <c r="F298" t="s">
        <v>587</v>
      </c>
      <c r="K298" s="12" t="s">
        <v>5400</v>
      </c>
      <c r="L298" t="str">
        <f>IFERROR(VLOOKUP(K298,Таблица7[3]:Таблица7[[#This Row],[6]],2,FALSE),"")</f>
        <v/>
      </c>
      <c r="M298" t="str">
        <f t="shared" si="5"/>
        <v/>
      </c>
      <c r="N298" t="str" cm="1">
        <f t="array" ref="N298">IF(MOD(ROW()-ROW($B$2),16)=0,INDEX($M$2:$M$1000,(ROW()-ROW($B$2))/16+1),"")</f>
        <v/>
      </c>
    </row>
    <row r="299" spans="2:14" x14ac:dyDescent="0.3">
      <c r="B299" t="s">
        <v>2173</v>
      </c>
      <c r="C299" t="s">
        <v>2438</v>
      </c>
      <c r="D299" t="s">
        <v>588</v>
      </c>
      <c r="E299">
        <v>0</v>
      </c>
      <c r="F299" t="s">
        <v>588</v>
      </c>
      <c r="K299" s="12" t="s">
        <v>5401</v>
      </c>
      <c r="L299" t="str">
        <f>IFERROR(VLOOKUP(K299,Таблица7[3]:Таблица7[[#This Row],[6]],2,FALSE),"")</f>
        <v/>
      </c>
      <c r="M299" t="str">
        <f t="shared" si="5"/>
        <v/>
      </c>
      <c r="N299" t="str" cm="1">
        <f t="array" ref="N299">IF(MOD(ROW()-ROW($B$2),16)=0,INDEX($M$2:$M$1000,(ROW()-ROW($B$2))/16+1),"")</f>
        <v/>
      </c>
    </row>
    <row r="300" spans="2:14" x14ac:dyDescent="0.3">
      <c r="B300" t="s">
        <v>2173</v>
      </c>
      <c r="C300" t="s">
        <v>2439</v>
      </c>
      <c r="D300" t="s">
        <v>589</v>
      </c>
      <c r="E300">
        <v>0</v>
      </c>
      <c r="F300" t="s">
        <v>589</v>
      </c>
      <c r="K300" s="12" t="s">
        <v>5402</v>
      </c>
      <c r="L300" t="str">
        <f>IFERROR(VLOOKUP(K300,Таблица7[3]:Таблица7[[#This Row],[6]],2,FALSE),"")</f>
        <v/>
      </c>
      <c r="M300" t="str">
        <f t="shared" si="5"/>
        <v/>
      </c>
      <c r="N300" t="str" cm="1">
        <f t="array" ref="N300">IF(MOD(ROW()-ROW($B$2),16)=0,INDEX($M$2:$M$1000,(ROW()-ROW($B$2))/16+1),"")</f>
        <v/>
      </c>
    </row>
    <row r="301" spans="2:14" x14ac:dyDescent="0.3">
      <c r="B301" t="s">
        <v>2173</v>
      </c>
      <c r="C301" t="s">
        <v>2440</v>
      </c>
      <c r="D301" t="s">
        <v>590</v>
      </c>
      <c r="E301">
        <v>0</v>
      </c>
      <c r="F301" t="s">
        <v>590</v>
      </c>
      <c r="K301" s="12" t="s">
        <v>5403</v>
      </c>
      <c r="L301" t="str">
        <f>IFERROR(VLOOKUP(K301,Таблица7[3]:Таблица7[[#This Row],[6]],2,FALSE),"")</f>
        <v/>
      </c>
      <c r="M301" t="str">
        <f t="shared" si="5"/>
        <v/>
      </c>
      <c r="N301" t="str" cm="1">
        <f t="array" ref="N301">IF(MOD(ROW()-ROW($B$2),16)=0,INDEX($M$2:$M$1000,(ROW()-ROW($B$2))/16+1),"")</f>
        <v/>
      </c>
    </row>
    <row r="302" spans="2:14" x14ac:dyDescent="0.3">
      <c r="B302" t="s">
        <v>2173</v>
      </c>
      <c r="C302" t="s">
        <v>2441</v>
      </c>
      <c r="D302" t="s">
        <v>591</v>
      </c>
      <c r="E302">
        <v>0</v>
      </c>
      <c r="F302" t="s">
        <v>591</v>
      </c>
      <c r="K302" s="12" t="s">
        <v>4124</v>
      </c>
      <c r="L302" t="str">
        <f>IFERROR(VLOOKUP(K302,Таблица7[3]:Таблица7[[#This Row],[6]],2,FALSE),"")</f>
        <v>Длина заготовки</v>
      </c>
      <c r="M302" t="str">
        <f t="shared" si="5"/>
        <v>Длина заготовки (0)</v>
      </c>
      <c r="N302" t="str" cm="1">
        <f t="array" ref="N302">IF(MOD(ROW()-ROW($B$2),16)=0,INDEX($M$2:$M$1000,(ROW()-ROW($B$2))/16+1),"")</f>
        <v/>
      </c>
    </row>
    <row r="303" spans="2:14" x14ac:dyDescent="0.3">
      <c r="B303" t="s">
        <v>2173</v>
      </c>
      <c r="C303" t="s">
        <v>2442</v>
      </c>
      <c r="D303" t="s">
        <v>592</v>
      </c>
      <c r="E303">
        <v>0</v>
      </c>
      <c r="F303" t="s">
        <v>592</v>
      </c>
      <c r="K303" s="12" t="s">
        <v>4125</v>
      </c>
      <c r="L303" t="str">
        <f>IFERROR(VLOOKUP(K303,Таблица7[3]:Таблица7[[#This Row],[6]],2,FALSE),"")</f>
        <v>Диаметр заготоки</v>
      </c>
      <c r="M303" t="str">
        <f t="shared" si="5"/>
        <v>Диаметр заготоки (0)</v>
      </c>
      <c r="N303" t="str" cm="1">
        <f t="array" ref="N303">IF(MOD(ROW()-ROW($B$2),16)=0,INDEX($M$2:$M$1000,(ROW()-ROW($B$2))/16+1),"")</f>
        <v/>
      </c>
    </row>
    <row r="304" spans="2:14" x14ac:dyDescent="0.3">
      <c r="B304" t="s">
        <v>2173</v>
      </c>
      <c r="C304" t="s">
        <v>2443</v>
      </c>
      <c r="D304" t="s">
        <v>593</v>
      </c>
      <c r="E304">
        <v>0</v>
      </c>
      <c r="F304" t="s">
        <v>593</v>
      </c>
      <c r="K304" s="12" t="s">
        <v>4126</v>
      </c>
      <c r="L304" t="str">
        <f>IFERROR(VLOOKUP(K304,Таблица7[3]:Таблица7[[#This Row],[6]],2,FALSE),"")</f>
        <v>Длина обработанной с одной стороны детали</v>
      </c>
      <c r="M304" t="str">
        <f t="shared" si="5"/>
        <v>Длина обработанной с одной стороны детали (0)</v>
      </c>
      <c r="N304" t="str" cm="1">
        <f t="array" ref="N304">IF(MOD(ROW()-ROW($B$2),16)=0,INDEX($M$2:$M$1000,(ROW()-ROW($B$2))/16+1),"")</f>
        <v/>
      </c>
    </row>
    <row r="305" spans="2:14" x14ac:dyDescent="0.3">
      <c r="B305" t="s">
        <v>2173</v>
      </c>
      <c r="C305" t="s">
        <v>2444</v>
      </c>
      <c r="D305" t="s">
        <v>594</v>
      </c>
      <c r="E305">
        <v>0</v>
      </c>
      <c r="F305" t="s">
        <v>594</v>
      </c>
      <c r="K305" s="12" t="s">
        <v>4127</v>
      </c>
      <c r="L305" t="str">
        <f>IFERROR(VLOOKUP(K305,Таблица7[3]:Таблица7[[#This Row],[6]],2,FALSE),"")</f>
        <v>Диаметр обработанной с одной стороны детали</v>
      </c>
      <c r="M305" t="str">
        <f t="shared" si="5"/>
        <v>Диаметр обработанной с одной стороны детали (0)</v>
      </c>
      <c r="N305" t="str" cm="1">
        <f t="array" ref="N305">IF(MOD(ROW()-ROW($B$2),16)=0,INDEX($M$2:$M$1000,(ROW()-ROW($B$2))/16+1),"")</f>
        <v/>
      </c>
    </row>
    <row r="306" spans="2:14" x14ac:dyDescent="0.3">
      <c r="B306" t="s">
        <v>2173</v>
      </c>
      <c r="C306" t="s">
        <v>2445</v>
      </c>
      <c r="D306" t="s">
        <v>595</v>
      </c>
      <c r="E306">
        <v>0</v>
      </c>
      <c r="F306" t="s">
        <v>595</v>
      </c>
      <c r="K306" s="12" t="s">
        <v>4128</v>
      </c>
      <c r="L306" t="str">
        <f>IFERROR(VLOOKUP(K306,Таблица7[3]:Таблица7[[#This Row],[6]],2,FALSE),"")</f>
        <v>Длина готовой детали</v>
      </c>
      <c r="M306" t="str">
        <f t="shared" si="5"/>
        <v>Длина готовой детали (0)</v>
      </c>
      <c r="N306" t="str" cm="1">
        <f t="array" ref="N306">IF(MOD(ROW()-ROW($B$2),16)=0,INDEX($M$2:$M$1000,(ROW()-ROW($B$2))/16+1),"")</f>
        <v>Фиксированное число 19 (0)</v>
      </c>
    </row>
    <row r="307" spans="2:14" x14ac:dyDescent="0.3">
      <c r="B307" t="s">
        <v>2177</v>
      </c>
      <c r="C307" t="s">
        <v>2446</v>
      </c>
      <c r="D307" t="s">
        <v>2447</v>
      </c>
      <c r="E307">
        <v>0</v>
      </c>
      <c r="F307" t="s">
        <v>2447</v>
      </c>
      <c r="K307" s="12" t="s">
        <v>4129</v>
      </c>
      <c r="L307" t="str">
        <f>IFERROR(VLOOKUP(K307,Таблица7[3]:Таблица7[[#This Row],[6]],2,FALSE),"")</f>
        <v>Диаметр готовой детали</v>
      </c>
      <c r="M307" t="str">
        <f t="shared" si="5"/>
        <v>Диаметр готовой детали (0)</v>
      </c>
      <c r="N307" t="str" cm="1">
        <f t="array" ref="N307">IF(MOD(ROW()-ROW($B$2),16)=0,INDEX($M$2:$M$1000,(ROW()-ROW($B$2))/16+1),"")</f>
        <v/>
      </c>
    </row>
    <row r="308" spans="2:14" x14ac:dyDescent="0.3">
      <c r="B308" t="s">
        <v>2177</v>
      </c>
      <c r="C308" t="s">
        <v>2448</v>
      </c>
      <c r="D308" t="s">
        <v>2449</v>
      </c>
      <c r="E308">
        <v>0</v>
      </c>
      <c r="F308" t="s">
        <v>2449</v>
      </c>
      <c r="K308" s="12" t="s">
        <v>4130</v>
      </c>
      <c r="L308" t="str">
        <f>IFERROR(VLOOKUP(K308,Таблица7[3]:Таблица7[[#This Row],[6]],2,FALSE),"")</f>
        <v>Полная длина кулачков на захвате 1</v>
      </c>
      <c r="M308" t="str">
        <f t="shared" si="5"/>
        <v>Полная длина кулачков на захвате 1 (0)</v>
      </c>
      <c r="N308" t="str" cm="1">
        <f t="array" ref="N308">IF(MOD(ROW()-ROW($B$2),16)=0,INDEX($M$2:$M$1000,(ROW()-ROW($B$2))/16+1),"")</f>
        <v/>
      </c>
    </row>
    <row r="309" spans="2:14" x14ac:dyDescent="0.3">
      <c r="B309" t="s">
        <v>2177</v>
      </c>
      <c r="C309" t="s">
        <v>2450</v>
      </c>
      <c r="D309" t="s">
        <v>2451</v>
      </c>
      <c r="E309">
        <v>0</v>
      </c>
      <c r="F309" t="s">
        <v>2451</v>
      </c>
      <c r="K309" s="12" t="s">
        <v>4131</v>
      </c>
      <c r="L309" t="str">
        <f>IFERROR(VLOOKUP(K309,Таблица7[3]:Таблица7[[#This Row],[6]],2,FALSE),"")</f>
        <v>Тело кулачков на захвате 1</v>
      </c>
      <c r="M309" t="str">
        <f t="shared" si="5"/>
        <v>Тело кулачков на захвате 1 (0)</v>
      </c>
      <c r="N309" t="str" cm="1">
        <f t="array" ref="N309">IF(MOD(ROW()-ROW($B$2),16)=0,INDEX($M$2:$M$1000,(ROW()-ROW($B$2))/16+1),"")</f>
        <v/>
      </c>
    </row>
    <row r="310" spans="2:14" x14ac:dyDescent="0.3">
      <c r="B310" t="s">
        <v>2312</v>
      </c>
      <c r="C310" t="s">
        <v>2452</v>
      </c>
      <c r="D310" t="s">
        <v>2453</v>
      </c>
      <c r="E310">
        <v>0</v>
      </c>
      <c r="F310" t="s">
        <v>2453</v>
      </c>
      <c r="K310" s="12" t="s">
        <v>4132</v>
      </c>
      <c r="L310" t="str">
        <f>IFERROR(VLOOKUP(K310,Таблица7[3]:Таблица7[[#This Row],[6]],2,FALSE),"")</f>
        <v>Полная длина кулачков на захвате 2</v>
      </c>
      <c r="M310" t="str">
        <f t="shared" si="5"/>
        <v>Полная длина кулачков на захвате 2 (0)</v>
      </c>
      <c r="N310" t="str" cm="1">
        <f t="array" ref="N310">IF(MOD(ROW()-ROW($B$2),16)=0,INDEX($M$2:$M$1000,(ROW()-ROW($B$2))/16+1),"")</f>
        <v/>
      </c>
    </row>
    <row r="311" spans="2:14" x14ac:dyDescent="0.3">
      <c r="B311" t="s">
        <v>2312</v>
      </c>
      <c r="C311" t="s">
        <v>2454</v>
      </c>
      <c r="D311" t="s">
        <v>2455</v>
      </c>
      <c r="E311">
        <v>0</v>
      </c>
      <c r="F311" t="s">
        <v>2455</v>
      </c>
      <c r="K311" s="12" t="s">
        <v>4133</v>
      </c>
      <c r="L311" t="str">
        <f>IFERROR(VLOOKUP(K311,Таблица7[3]:Таблица7[[#This Row],[6]],2,FALSE),"")</f>
        <v>Тело кулачков на захвате 2</v>
      </c>
      <c r="M311" t="str">
        <f t="shared" si="5"/>
        <v>Тело кулачков на захвате 2 (0)</v>
      </c>
      <c r="N311" t="str" cm="1">
        <f t="array" ref="N311">IF(MOD(ROW()-ROW($B$2),16)=0,INDEX($M$2:$M$1000,(ROW()-ROW($B$2))/16+1),"")</f>
        <v/>
      </c>
    </row>
    <row r="312" spans="2:14" x14ac:dyDescent="0.3">
      <c r="B312" t="s">
        <v>2177</v>
      </c>
      <c r="C312" t="s">
        <v>2456</v>
      </c>
      <c r="D312" t="s">
        <v>2457</v>
      </c>
      <c r="E312">
        <v>0</v>
      </c>
      <c r="F312" t="s">
        <v>2457</v>
      </c>
      <c r="K312" s="12" t="s">
        <v>4134</v>
      </c>
      <c r="L312" t="str">
        <f>IFERROR(VLOOKUP(K312,Таблица7[3]:Таблица7[[#This Row],[6]],2,FALSE),"")</f>
        <v>Полная длина кулачков в патроне 1</v>
      </c>
      <c r="M312" t="str">
        <f t="shared" si="5"/>
        <v>Полная длина кулачков в патроне 1 (0)</v>
      </c>
      <c r="N312" t="str" cm="1">
        <f t="array" ref="N312">IF(MOD(ROW()-ROW($B$2),16)=0,INDEX($M$2:$M$1000,(ROW()-ROW($B$2))/16+1),"")</f>
        <v/>
      </c>
    </row>
    <row r="313" spans="2:14" x14ac:dyDescent="0.3">
      <c r="B313" t="s">
        <v>2312</v>
      </c>
      <c r="C313" t="s">
        <v>2458</v>
      </c>
      <c r="D313" t="s">
        <v>2459</v>
      </c>
      <c r="E313">
        <v>0</v>
      </c>
      <c r="F313" t="s">
        <v>2459</v>
      </c>
      <c r="K313" s="12" t="s">
        <v>4135</v>
      </c>
      <c r="L313" t="str">
        <f>IFERROR(VLOOKUP(K313,Таблица7[3]:Таблица7[[#This Row],[6]],2,FALSE),"")</f>
        <v>Тело кулачков в патроне 1</v>
      </c>
      <c r="M313" t="str">
        <f t="shared" si="5"/>
        <v>Тело кулачков в патроне 1 (0)</v>
      </c>
      <c r="N313" t="str" cm="1">
        <f t="array" ref="N313">IF(MOD(ROW()-ROW($B$2),16)=0,INDEX($M$2:$M$1000,(ROW()-ROW($B$2))/16+1),"")</f>
        <v/>
      </c>
    </row>
    <row r="314" spans="2:14" x14ac:dyDescent="0.3">
      <c r="B314" t="s">
        <v>2173</v>
      </c>
      <c r="C314" t="s">
        <v>2460</v>
      </c>
      <c r="D314" t="s">
        <v>2461</v>
      </c>
      <c r="E314">
        <v>0</v>
      </c>
      <c r="F314" t="s">
        <v>2461</v>
      </c>
      <c r="K314" s="12" t="s">
        <v>4136</v>
      </c>
      <c r="L314" t="str">
        <f>IFERROR(VLOOKUP(K314,Таблица7[3]:Таблица7[[#This Row],[6]],2,FALSE),"")</f>
        <v>Полная длина кулачков в патроне 2/ ст.перехвата</v>
      </c>
      <c r="M314" t="str">
        <f t="shared" si="5"/>
        <v>Полная длина кулачков в патроне 2/ ст.перехвата (0)</v>
      </c>
      <c r="N314" t="str" cm="1">
        <f t="array" ref="N314">IF(MOD(ROW()-ROW($B$2),16)=0,INDEX($M$2:$M$1000,(ROW()-ROW($B$2))/16+1),"")</f>
        <v/>
      </c>
    </row>
    <row r="315" spans="2:14" x14ac:dyDescent="0.3">
      <c r="B315" t="s">
        <v>2173</v>
      </c>
      <c r="C315" t="s">
        <v>2462</v>
      </c>
      <c r="D315" t="s">
        <v>596</v>
      </c>
      <c r="E315">
        <v>0</v>
      </c>
      <c r="F315" t="s">
        <v>596</v>
      </c>
      <c r="K315" s="12" t="s">
        <v>4137</v>
      </c>
      <c r="L315" t="str">
        <f>IFERROR(VLOOKUP(K315,Таблица7[3]:Таблица7[[#This Row],[6]],2,FALSE),"")</f>
        <v>Тело кулачков в патроне 2/ ст.перехвата</v>
      </c>
      <c r="M315" t="str">
        <f t="shared" si="5"/>
        <v>Тело кулачков в патроне 2/ ст.перехвата (0)</v>
      </c>
      <c r="N315" t="str" cm="1">
        <f t="array" ref="N315">IF(MOD(ROW()-ROW($B$2),16)=0,INDEX($M$2:$M$1000,(ROW()-ROW($B$2))/16+1),"")</f>
        <v/>
      </c>
    </row>
    <row r="316" spans="2:14" x14ac:dyDescent="0.3">
      <c r="B316" t="s">
        <v>2177</v>
      </c>
      <c r="C316" t="s">
        <v>2463</v>
      </c>
      <c r="D316" t="s">
        <v>351</v>
      </c>
      <c r="E316">
        <v>0</v>
      </c>
      <c r="F316" t="s">
        <v>351</v>
      </c>
      <c r="K316" s="12" t="s">
        <v>4138</v>
      </c>
      <c r="L316" t="str">
        <f>IFERROR(VLOOKUP(K316,Таблица7[3]:Таблица7[[#This Row],[6]],2,FALSE),"")</f>
        <v>Количество рядов на пластине</v>
      </c>
      <c r="M316" t="str">
        <f t="shared" si="5"/>
        <v>Количество рядов на пластине (0)</v>
      </c>
      <c r="N316" t="str" cm="1">
        <f t="array" ref="N316">IF(MOD(ROW()-ROW($B$2),16)=0,INDEX($M$2:$M$1000,(ROW()-ROW($B$2))/16+1),"")</f>
        <v/>
      </c>
    </row>
    <row r="317" spans="2:14" x14ac:dyDescent="0.3">
      <c r="B317" t="s">
        <v>2177</v>
      </c>
      <c r="C317" t="s">
        <v>2464</v>
      </c>
      <c r="D317" t="s">
        <v>352</v>
      </c>
      <c r="E317">
        <v>0</v>
      </c>
      <c r="F317" t="s">
        <v>352</v>
      </c>
      <c r="K317" s="12" t="s">
        <v>4139</v>
      </c>
      <c r="L317" t="str">
        <f>IFERROR(VLOOKUP(K317,Таблица7[3]:Таблица7[[#This Row],[6]],2,FALSE),"")</f>
        <v>Количество ячеек в нечётных рядах</v>
      </c>
      <c r="M317" t="str">
        <f t="shared" si="5"/>
        <v>Количество ячеек в нечётных рядах (0)</v>
      </c>
      <c r="N317" t="str" cm="1">
        <f t="array" ref="N317">IF(MOD(ROW()-ROW($B$2),16)=0,INDEX($M$2:$M$1000,(ROW()-ROW($B$2))/16+1),"")</f>
        <v/>
      </c>
    </row>
    <row r="318" spans="2:14" x14ac:dyDescent="0.3">
      <c r="B318" t="s">
        <v>2177</v>
      </c>
      <c r="C318" t="s">
        <v>306</v>
      </c>
      <c r="D318" t="s">
        <v>353</v>
      </c>
      <c r="E318">
        <v>0</v>
      </c>
      <c r="F318" t="s">
        <v>353</v>
      </c>
      <c r="K318" s="12" t="s">
        <v>4140</v>
      </c>
      <c r="L318" t="str">
        <f>IFERROR(VLOOKUP(K318,Таблица7[3]:Таблица7[[#This Row],[6]],2,FALSE),"")</f>
        <v>Количество ячеек в чётных рядах</v>
      </c>
      <c r="M318" t="str">
        <f t="shared" si="5"/>
        <v>Количество ячеек в чётных рядах (0)</v>
      </c>
      <c r="N318" t="str" cm="1">
        <f t="array" ref="N318">IF(MOD(ROW()-ROW($B$2),16)=0,INDEX($M$2:$M$1000,(ROW()-ROW($B$2))/16+1),"")</f>
        <v/>
      </c>
    </row>
    <row r="319" spans="2:14" x14ac:dyDescent="0.3">
      <c r="B319" t="s">
        <v>2177</v>
      </c>
      <c r="C319" t="s">
        <v>2465</v>
      </c>
      <c r="D319" t="s">
        <v>354</v>
      </c>
      <c r="E319">
        <v>0</v>
      </c>
      <c r="F319" t="s">
        <v>354</v>
      </c>
      <c r="K319" s="12" t="s">
        <v>4141</v>
      </c>
      <c r="L319" t="str">
        <f>IFERROR(VLOOKUP(K319,Таблица7[3]:Таблица7[[#This Row],[6]],2,FALSE),"")</f>
        <v>Расстояние между ячейками</v>
      </c>
      <c r="M319" t="str">
        <f t="shared" si="5"/>
        <v>Расстояние между ячейками (0)</v>
      </c>
      <c r="N319" t="str" cm="1">
        <f t="array" ref="N319">IF(MOD(ROW()-ROW($B$2),16)=0,INDEX($M$2:$M$1000,(ROW()-ROW($B$2))/16+1),"")</f>
        <v/>
      </c>
    </row>
    <row r="320" spans="2:14" x14ac:dyDescent="0.3">
      <c r="B320" t="s">
        <v>2177</v>
      </c>
      <c r="C320" t="s">
        <v>2466</v>
      </c>
      <c r="D320" t="s">
        <v>355</v>
      </c>
      <c r="E320">
        <v>0</v>
      </c>
      <c r="F320" t="s">
        <v>355</v>
      </c>
      <c r="K320" s="12" t="s">
        <v>4142</v>
      </c>
      <c r="L320" t="str">
        <f>IFERROR(VLOOKUP(K320,Таблица7[3]:Таблица7[[#This Row],[6]],2,FALSE),"")</f>
        <v>Расстояние между рядами</v>
      </c>
      <c r="M320" t="str">
        <f t="shared" si="5"/>
        <v>Расстояние между рядами (0)</v>
      </c>
      <c r="N320" t="str" cm="1">
        <f t="array" ref="N320">IF(MOD(ROW()-ROW($B$2),16)=0,INDEX($M$2:$M$1000,(ROW()-ROW($B$2))/16+1),"")</f>
        <v/>
      </c>
    </row>
    <row r="321" spans="2:14" x14ac:dyDescent="0.3">
      <c r="B321" t="s">
        <v>2177</v>
      </c>
      <c r="C321" t="s">
        <v>2467</v>
      </c>
      <c r="D321" t="s">
        <v>180</v>
      </c>
      <c r="E321">
        <v>0</v>
      </c>
      <c r="F321" t="s">
        <v>180</v>
      </c>
      <c r="K321" s="12" t="s">
        <v>4143</v>
      </c>
      <c r="L321" t="str">
        <f>IFERROR(VLOOKUP(K321,Таблица7[3]:Таблица7[[#This Row],[6]],2,FALSE),"")</f>
        <v>Смещение чётного ряда</v>
      </c>
      <c r="M321" t="str">
        <f t="shared" si="5"/>
        <v>Смещение чётного ряда (0)</v>
      </c>
      <c r="N321" t="str" cm="1">
        <f t="array" ref="N321">IF(MOD(ROW()-ROW($B$2),16)=0,INDEX($M$2:$M$1000,(ROW()-ROW($B$2))/16+1),"")</f>
        <v/>
      </c>
    </row>
    <row r="322" spans="2:14" x14ac:dyDescent="0.3">
      <c r="B322" t="s">
        <v>2177</v>
      </c>
      <c r="C322" t="s">
        <v>2468</v>
      </c>
      <c r="D322" t="s">
        <v>181</v>
      </c>
      <c r="E322">
        <v>0</v>
      </c>
      <c r="F322" t="s">
        <v>181</v>
      </c>
      <c r="K322" s="12" t="s">
        <v>4144</v>
      </c>
      <c r="L322" t="str">
        <f>IFERROR(VLOOKUP(K322,Таблица7[3]:Таблица7[[#This Row],[6]],2,FALSE),"")</f>
        <v>Смещение первого ряда относительно нуля Х</v>
      </c>
      <c r="M322" t="str">
        <f t="shared" si="5"/>
        <v>Смещение первого ряда относительно нуля Х (0)</v>
      </c>
      <c r="N322" t="str" cm="1">
        <f t="array" ref="N322">IF(MOD(ROW()-ROW($B$2),16)=0,INDEX($M$2:$M$1000,(ROW()-ROW($B$2))/16+1),"")</f>
        <v>Фиксированное число 20 (0)</v>
      </c>
    </row>
    <row r="323" spans="2:14" x14ac:dyDescent="0.3">
      <c r="B323" t="s">
        <v>2177</v>
      </c>
      <c r="C323" t="s">
        <v>2469</v>
      </c>
      <c r="D323" t="s">
        <v>367</v>
      </c>
      <c r="E323">
        <v>0</v>
      </c>
      <c r="F323" t="s">
        <v>367</v>
      </c>
      <c r="K323" s="12" t="s">
        <v>2558</v>
      </c>
      <c r="L323" t="str">
        <f>IFERROR(VLOOKUP(K323,Таблица7[3]:Таблица7[[#This Row],[6]],2,FALSE),"")</f>
        <v>Смещение первого ряда относительно нуля Y</v>
      </c>
      <c r="M323" t="str">
        <f t="shared" ref="M323:M386" si="6">IF(L323&lt;&gt;"",L323&amp;" (0)","")</f>
        <v>Смещение первого ряда относительно нуля Y (0)</v>
      </c>
      <c r="N323" t="str" cm="1">
        <f t="array" ref="N323">IF(MOD(ROW()-ROW($B$2),16)=0,INDEX($M$2:$M$1000,(ROW()-ROW($B$2))/16+1),"")</f>
        <v/>
      </c>
    </row>
    <row r="324" spans="2:14" x14ac:dyDescent="0.3">
      <c r="B324" t="s">
        <v>2177</v>
      </c>
      <c r="C324" t="s">
        <v>2470</v>
      </c>
      <c r="D324" t="s">
        <v>368</v>
      </c>
      <c r="E324">
        <v>0</v>
      </c>
      <c r="F324" t="s">
        <v>368</v>
      </c>
      <c r="K324" s="12" t="s">
        <v>4171</v>
      </c>
      <c r="L324" t="str">
        <f>IFERROR(VLOOKUP(K324,Таблица7[3]:Таблица7[[#This Row],[6]],2,FALSE),"")</f>
        <v>Номер программы на станке</v>
      </c>
      <c r="M324" t="str">
        <f t="shared" si="6"/>
        <v>Номер программы на станке (0)</v>
      </c>
      <c r="N324" t="str" cm="1">
        <f t="array" ref="N324">IF(MOD(ROW()-ROW($B$2),16)=0,INDEX($M$2:$M$1000,(ROW()-ROW($B$2))/16+1),"")</f>
        <v/>
      </c>
    </row>
    <row r="325" spans="2:14" x14ac:dyDescent="0.3">
      <c r="B325" t="s">
        <v>2177</v>
      </c>
      <c r="C325" t="s">
        <v>2471</v>
      </c>
      <c r="D325" t="s">
        <v>369</v>
      </c>
      <c r="E325">
        <v>0</v>
      </c>
      <c r="F325" t="s">
        <v>369</v>
      </c>
      <c r="K325" s="12" t="s">
        <v>2559</v>
      </c>
      <c r="L325" t="str">
        <f>IFERROR(VLOOKUP(K325,Таблица7[3]:Таблица7[[#This Row],[6]],2,FALSE),"")</f>
        <v>Номер кастомной программы перехвата</v>
      </c>
      <c r="M325" t="str">
        <f t="shared" si="6"/>
        <v>Номер кастомной программы перехвата (0)</v>
      </c>
      <c r="N325" t="str" cm="1">
        <f t="array" ref="N325">IF(MOD(ROW()-ROW($B$2),16)=0,INDEX($M$2:$M$1000,(ROW()-ROW($B$2))/16+1),"")</f>
        <v/>
      </c>
    </row>
    <row r="326" spans="2:14" x14ac:dyDescent="0.3">
      <c r="B326" t="s">
        <v>2177</v>
      </c>
      <c r="C326" t="s">
        <v>2472</v>
      </c>
      <c r="D326" t="s">
        <v>218</v>
      </c>
      <c r="E326">
        <v>0</v>
      </c>
      <c r="F326" t="s">
        <v>218</v>
      </c>
      <c r="K326" s="12" t="s">
        <v>2560</v>
      </c>
      <c r="L326" t="str">
        <f>IFERROR(VLOOKUP(K326,Таблица7[3]:Таблица7[[#This Row],[6]],2,FALSE),"")</f>
        <v>Номер кастомной программы обдува перед установкой</v>
      </c>
      <c r="M326" t="str">
        <f t="shared" si="6"/>
        <v>Номер кастомной программы обдува перед установкой (0)</v>
      </c>
      <c r="N326" t="str" cm="1">
        <f t="array" ref="N326">IF(MOD(ROW()-ROW($B$2),16)=0,INDEX($M$2:$M$1000,(ROW()-ROW($B$2))/16+1),"")</f>
        <v/>
      </c>
    </row>
    <row r="327" spans="2:14" x14ac:dyDescent="0.3">
      <c r="B327" t="s">
        <v>2177</v>
      </c>
      <c r="C327" t="s">
        <v>2473</v>
      </c>
      <c r="D327" t="s">
        <v>220</v>
      </c>
      <c r="E327">
        <v>0</v>
      </c>
      <c r="F327" t="s">
        <v>220</v>
      </c>
      <c r="K327" s="12" t="s">
        <v>2561</v>
      </c>
      <c r="L327" t="str">
        <f>IFERROR(VLOOKUP(K327,Таблица7[3]:Таблица7[[#This Row],[6]],2,FALSE),"")</f>
        <v>Номер кастомной программы обдува после установки</v>
      </c>
      <c r="M327" t="str">
        <f t="shared" si="6"/>
        <v>Номер кастомной программы обдува после установки (0)</v>
      </c>
      <c r="N327" t="str" cm="1">
        <f t="array" ref="N327">IF(MOD(ROW()-ROW($B$2),16)=0,INDEX($M$2:$M$1000,(ROW()-ROW($B$2))/16+1),"")</f>
        <v/>
      </c>
    </row>
    <row r="328" spans="2:14" x14ac:dyDescent="0.3">
      <c r="B328" t="s">
        <v>2177</v>
      </c>
      <c r="C328" t="s">
        <v>2474</v>
      </c>
      <c r="D328" t="s">
        <v>221</v>
      </c>
      <c r="E328">
        <v>0</v>
      </c>
      <c r="F328" t="s">
        <v>221</v>
      </c>
      <c r="K328" s="12" t="s">
        <v>2562</v>
      </c>
      <c r="L328" t="str">
        <f>IFERROR(VLOOKUP(K328,Таблица7[3]:Таблица7[[#This Row],[6]],2,FALSE),"")</f>
        <v>Резерв</v>
      </c>
      <c r="M328" t="str">
        <f t="shared" si="6"/>
        <v>Резерв (0)</v>
      </c>
      <c r="N328" t="str" cm="1">
        <f t="array" ref="N328">IF(MOD(ROW()-ROW($B$2),16)=0,INDEX($M$2:$M$1000,(ROW()-ROW($B$2))/16+1),"")</f>
        <v/>
      </c>
    </row>
    <row r="329" spans="2:14" x14ac:dyDescent="0.3">
      <c r="B329" t="s">
        <v>2177</v>
      </c>
      <c r="C329" t="s">
        <v>2475</v>
      </c>
      <c r="D329" t="s">
        <v>222</v>
      </c>
      <c r="E329">
        <v>0</v>
      </c>
      <c r="F329" t="s">
        <v>222</v>
      </c>
      <c r="K329" s="12" t="s">
        <v>2563</v>
      </c>
      <c r="L329" t="str">
        <f>IFERROR(VLOOKUP(K329,Таблица7[3]:Таблица7[[#This Row],[6]],2,FALSE),"")</f>
        <v>Резерв</v>
      </c>
      <c r="M329" t="str">
        <f t="shared" si="6"/>
        <v>Резерв (0)</v>
      </c>
      <c r="N329" t="str" cm="1">
        <f t="array" ref="N329">IF(MOD(ROW()-ROW($B$2),16)=0,INDEX($M$2:$M$1000,(ROW()-ROW($B$2))/16+1),"")</f>
        <v/>
      </c>
    </row>
    <row r="330" spans="2:14" x14ac:dyDescent="0.3">
      <c r="B330" t="s">
        <v>2177</v>
      </c>
      <c r="C330" t="s">
        <v>2476</v>
      </c>
      <c r="D330" t="s">
        <v>223</v>
      </c>
      <c r="E330">
        <v>0</v>
      </c>
      <c r="F330" t="s">
        <v>223</v>
      </c>
      <c r="K330" s="12" t="s">
        <v>2564</v>
      </c>
      <c r="L330" t="str">
        <f>IFERROR(VLOOKUP(K330,Таблица7[3]:Таблица7[[#This Row],[6]],2,FALSE),"")</f>
        <v>Резерв</v>
      </c>
      <c r="M330" t="str">
        <f t="shared" si="6"/>
        <v>Резерв (0)</v>
      </c>
      <c r="N330" t="str" cm="1">
        <f t="array" ref="N330">IF(MOD(ROW()-ROW($B$2),16)=0,INDEX($M$2:$M$1000,(ROW()-ROW($B$2))/16+1),"")</f>
        <v/>
      </c>
    </row>
    <row r="331" spans="2:14" x14ac:dyDescent="0.3">
      <c r="B331" t="s">
        <v>2177</v>
      </c>
      <c r="C331" t="s">
        <v>2477</v>
      </c>
      <c r="D331" t="s">
        <v>224</v>
      </c>
      <c r="E331">
        <v>0</v>
      </c>
      <c r="F331" t="s">
        <v>224</v>
      </c>
      <c r="K331" s="12" t="s">
        <v>2565</v>
      </c>
      <c r="L331" t="str">
        <f>IFERROR(VLOOKUP(K331,Таблица7[3]:Таблица7[[#This Row],[6]],2,FALSE),"")</f>
        <v>Резерв</v>
      </c>
      <c r="M331" t="str">
        <f t="shared" si="6"/>
        <v>Резерв (0)</v>
      </c>
      <c r="N331" t="str" cm="1">
        <f t="array" ref="N331">IF(MOD(ROW()-ROW($B$2),16)=0,INDEX($M$2:$M$1000,(ROW()-ROW($B$2))/16+1),"")</f>
        <v/>
      </c>
    </row>
    <row r="332" spans="2:14" x14ac:dyDescent="0.3">
      <c r="B332" t="s">
        <v>2177</v>
      </c>
      <c r="C332" t="s">
        <v>2478</v>
      </c>
      <c r="D332" t="s">
        <v>361</v>
      </c>
      <c r="E332">
        <v>0</v>
      </c>
      <c r="F332" t="s">
        <v>361</v>
      </c>
      <c r="K332" s="12" t="s">
        <v>2566</v>
      </c>
      <c r="L332" t="str">
        <f>IFERROR(VLOOKUP(K332,Таблица7[3]:Таблица7[[#This Row],[6]],2,FALSE),"")</f>
        <v>Резерв</v>
      </c>
      <c r="M332" t="str">
        <f t="shared" si="6"/>
        <v>Резерв (0)</v>
      </c>
      <c r="N332" t="str" cm="1">
        <f t="array" ref="N332">IF(MOD(ROW()-ROW($B$2),16)=0,INDEX($M$2:$M$1000,(ROW()-ROW($B$2))/16+1),"")</f>
        <v/>
      </c>
    </row>
    <row r="333" spans="2:14" x14ac:dyDescent="0.3">
      <c r="B333" t="s">
        <v>2177</v>
      </c>
      <c r="C333" t="s">
        <v>2479</v>
      </c>
      <c r="D333" t="s">
        <v>362</v>
      </c>
      <c r="E333">
        <v>0</v>
      </c>
      <c r="F333" t="s">
        <v>362</v>
      </c>
      <c r="K333" s="12" t="s">
        <v>4510</v>
      </c>
      <c r="L333" t="str">
        <f>IFERROR(VLOOKUP(K333,Таблица7[3]:Таблица7[[#This Row],[6]],2,FALSE),"")</f>
        <v>Резерв</v>
      </c>
      <c r="M333" t="str">
        <f t="shared" si="6"/>
        <v>Резерв (0)</v>
      </c>
      <c r="N333" t="str" cm="1">
        <f t="array" ref="N333">IF(MOD(ROW()-ROW($B$2),16)=0,INDEX($M$2:$M$1000,(ROW()-ROW($B$2))/16+1),"")</f>
        <v/>
      </c>
    </row>
    <row r="334" spans="2:14" x14ac:dyDescent="0.3">
      <c r="B334" t="s">
        <v>2177</v>
      </c>
      <c r="C334" t="s">
        <v>2480</v>
      </c>
      <c r="D334" t="s">
        <v>363</v>
      </c>
      <c r="E334">
        <v>0</v>
      </c>
      <c r="F334" t="s">
        <v>363</v>
      </c>
      <c r="K334" s="12" t="s">
        <v>4511</v>
      </c>
      <c r="L334" t="str">
        <f>IFERROR(VLOOKUP(K334,Таблица7[3]:Таблица7[[#This Row],[6]],2,FALSE),"")</f>
        <v>Флаги задания</v>
      </c>
      <c r="M334" t="str">
        <f t="shared" si="6"/>
        <v>Флаги задания (0)</v>
      </c>
      <c r="N334" t="str" cm="1">
        <f t="array" ref="N334">IF(MOD(ROW()-ROW($B$2),16)=0,INDEX($M$2:$M$1000,(ROW()-ROW($B$2))/16+1),"")</f>
        <v/>
      </c>
    </row>
    <row r="335" spans="2:14" x14ac:dyDescent="0.3">
      <c r="B335" t="s">
        <v>2177</v>
      </c>
      <c r="C335" t="s">
        <v>2481</v>
      </c>
      <c r="D335" t="s">
        <v>124</v>
      </c>
      <c r="E335">
        <v>0</v>
      </c>
      <c r="F335" t="s">
        <v>124</v>
      </c>
      <c r="K335" s="12" t="s">
        <v>5404</v>
      </c>
      <c r="L335" t="str">
        <f>IFERROR(VLOOKUP(K335,Таблица7[3]:Таблица7[[#This Row],[6]],2,FALSE),"")</f>
        <v/>
      </c>
      <c r="M335" t="str">
        <f t="shared" si="6"/>
        <v/>
      </c>
      <c r="N335" t="str" cm="1">
        <f t="array" ref="N335">IF(MOD(ROW()-ROW($B$2),16)=0,INDEX($M$2:$M$1000,(ROW()-ROW($B$2))/16+1),"")</f>
        <v/>
      </c>
    </row>
    <row r="336" spans="2:14" x14ac:dyDescent="0.3">
      <c r="B336" t="s">
        <v>2177</v>
      </c>
      <c r="C336" t="s">
        <v>2482</v>
      </c>
      <c r="D336" t="s">
        <v>125</v>
      </c>
      <c r="E336">
        <v>0</v>
      </c>
      <c r="F336" t="s">
        <v>125</v>
      </c>
      <c r="K336" s="12" t="s">
        <v>5405</v>
      </c>
      <c r="L336" t="str">
        <f>IFERROR(VLOOKUP(K336,Таблица7[3]:Таблица7[[#This Row],[6]],2,FALSE),"")</f>
        <v/>
      </c>
      <c r="M336" t="str">
        <f t="shared" si="6"/>
        <v/>
      </c>
      <c r="N336" t="str" cm="1">
        <f t="array" ref="N336">IF(MOD(ROW()-ROW($B$2),16)=0,INDEX($M$2:$M$1000,(ROW()-ROW($B$2))/16+1),"")</f>
        <v/>
      </c>
    </row>
    <row r="337" spans="2:14" x14ac:dyDescent="0.3">
      <c r="B337" t="s">
        <v>2177</v>
      </c>
      <c r="C337" t="s">
        <v>2483</v>
      </c>
      <c r="D337" t="s">
        <v>126</v>
      </c>
      <c r="E337">
        <v>0</v>
      </c>
      <c r="F337" t="s">
        <v>126</v>
      </c>
      <c r="K337" s="12" t="s">
        <v>5406</v>
      </c>
      <c r="L337" t="str">
        <f>IFERROR(VLOOKUP(K337,Таблица7[3]:Таблица7[[#This Row],[6]],2,FALSE),"")</f>
        <v/>
      </c>
      <c r="M337" t="str">
        <f t="shared" si="6"/>
        <v/>
      </c>
      <c r="N337" t="str" cm="1">
        <f t="array" ref="N337">IF(MOD(ROW()-ROW($B$2),16)=0,INDEX($M$2:$M$1000,(ROW()-ROW($B$2))/16+1),"")</f>
        <v/>
      </c>
    </row>
    <row r="338" spans="2:14" x14ac:dyDescent="0.3">
      <c r="B338" t="s">
        <v>2177</v>
      </c>
      <c r="C338" t="s">
        <v>2484</v>
      </c>
      <c r="D338" t="s">
        <v>127</v>
      </c>
      <c r="E338">
        <v>0</v>
      </c>
      <c r="F338" t="s">
        <v>127</v>
      </c>
      <c r="K338" s="12" t="s">
        <v>5407</v>
      </c>
      <c r="L338" t="str">
        <f>IFERROR(VLOOKUP(K338,Таблица7[3]:Таблица7[[#This Row],[6]],2,FALSE),"")</f>
        <v/>
      </c>
      <c r="M338" t="str">
        <f t="shared" si="6"/>
        <v/>
      </c>
      <c r="N338" t="str" cm="1">
        <f t="array" ref="N338">IF(MOD(ROW()-ROW($B$2),16)=0,INDEX($M$2:$M$1000,(ROW()-ROW($B$2))/16+1),"")</f>
        <v>Фиксированное число 21 (0)</v>
      </c>
    </row>
    <row r="339" spans="2:14" x14ac:dyDescent="0.3">
      <c r="B339" t="s">
        <v>2177</v>
      </c>
      <c r="C339" t="s">
        <v>2485</v>
      </c>
      <c r="D339" t="s">
        <v>123</v>
      </c>
      <c r="E339">
        <v>0</v>
      </c>
      <c r="F339" t="s">
        <v>123</v>
      </c>
      <c r="K339" s="12" t="s">
        <v>5408</v>
      </c>
      <c r="L339" t="str">
        <f>IFERROR(VLOOKUP(K339,Таблица7[3]:Таблица7[[#This Row],[6]],2,FALSE),"")</f>
        <v/>
      </c>
      <c r="M339" t="str">
        <f t="shared" si="6"/>
        <v/>
      </c>
      <c r="N339" t="str" cm="1">
        <f t="array" ref="N339">IF(MOD(ROW()-ROW($B$2),16)=0,INDEX($M$2:$M$1000,(ROW()-ROW($B$2))/16+1),"")</f>
        <v/>
      </c>
    </row>
    <row r="340" spans="2:14" x14ac:dyDescent="0.3">
      <c r="B340" t="s">
        <v>2177</v>
      </c>
      <c r="C340" t="s">
        <v>2486</v>
      </c>
      <c r="D340" t="s">
        <v>219</v>
      </c>
      <c r="E340">
        <v>0</v>
      </c>
      <c r="F340" t="s">
        <v>219</v>
      </c>
      <c r="K340" s="12" t="s">
        <v>5409</v>
      </c>
      <c r="L340" t="str">
        <f>IFERROR(VLOOKUP(K340,Таблица7[3]:Таблица7[[#This Row],[6]],2,FALSE),"")</f>
        <v/>
      </c>
      <c r="M340" t="str">
        <f t="shared" si="6"/>
        <v/>
      </c>
      <c r="N340" t="str" cm="1">
        <f t="array" ref="N340">IF(MOD(ROW()-ROW($B$2),16)=0,INDEX($M$2:$M$1000,(ROW()-ROW($B$2))/16+1),"")</f>
        <v/>
      </c>
    </row>
    <row r="341" spans="2:14" x14ac:dyDescent="0.3">
      <c r="B341" t="s">
        <v>2177</v>
      </c>
      <c r="C341" t="s">
        <v>2487</v>
      </c>
      <c r="D341" t="s">
        <v>250</v>
      </c>
      <c r="E341">
        <v>0</v>
      </c>
      <c r="F341" t="s">
        <v>250</v>
      </c>
      <c r="K341" s="12" t="s">
        <v>5410</v>
      </c>
      <c r="L341" t="str">
        <f>IFERROR(VLOOKUP(K341,Таблица7[3]:Таблица7[[#This Row],[6]],2,FALSE),"")</f>
        <v/>
      </c>
      <c r="M341" t="str">
        <f t="shared" si="6"/>
        <v/>
      </c>
      <c r="N341" t="str" cm="1">
        <f t="array" ref="N341">IF(MOD(ROW()-ROW($B$2),16)=0,INDEX($M$2:$M$1000,(ROW()-ROW($B$2))/16+1),"")</f>
        <v/>
      </c>
    </row>
    <row r="342" spans="2:14" x14ac:dyDescent="0.3">
      <c r="B342" t="s">
        <v>2177</v>
      </c>
      <c r="C342" t="s">
        <v>2488</v>
      </c>
      <c r="D342" t="s">
        <v>251</v>
      </c>
      <c r="E342">
        <v>0</v>
      </c>
      <c r="F342" t="s">
        <v>251</v>
      </c>
      <c r="K342" s="12" t="s">
        <v>5411</v>
      </c>
      <c r="L342" t="str">
        <f>IFERROR(VLOOKUP(K342,Таблица7[3]:Таблица7[[#This Row],[6]],2,FALSE),"")</f>
        <v/>
      </c>
      <c r="M342" t="str">
        <f t="shared" si="6"/>
        <v/>
      </c>
      <c r="N342" t="str" cm="1">
        <f t="array" ref="N342">IF(MOD(ROW()-ROW($B$2),16)=0,INDEX($M$2:$M$1000,(ROW()-ROW($B$2))/16+1),"")</f>
        <v/>
      </c>
    </row>
    <row r="343" spans="2:14" x14ac:dyDescent="0.3">
      <c r="B343" t="s">
        <v>2177</v>
      </c>
      <c r="C343" t="s">
        <v>2489</v>
      </c>
      <c r="D343" t="s">
        <v>252</v>
      </c>
      <c r="E343">
        <v>0</v>
      </c>
      <c r="F343" t="s">
        <v>252</v>
      </c>
      <c r="K343" s="12" t="s">
        <v>5412</v>
      </c>
      <c r="L343" t="str">
        <f>IFERROR(VLOOKUP(K343,Таблица7[3]:Таблица7[[#This Row],[6]],2,FALSE),"")</f>
        <v/>
      </c>
      <c r="M343" t="str">
        <f t="shared" si="6"/>
        <v/>
      </c>
      <c r="N343" t="str" cm="1">
        <f t="array" ref="N343">IF(MOD(ROW()-ROW($B$2),16)=0,INDEX($M$2:$M$1000,(ROW()-ROW($B$2))/16+1),"")</f>
        <v/>
      </c>
    </row>
    <row r="344" spans="2:14" x14ac:dyDescent="0.3">
      <c r="B344" t="s">
        <v>2177</v>
      </c>
      <c r="C344" t="s">
        <v>2490</v>
      </c>
      <c r="D344" t="s">
        <v>253</v>
      </c>
      <c r="E344">
        <v>0</v>
      </c>
      <c r="F344" t="s">
        <v>253</v>
      </c>
      <c r="K344" s="12" t="s">
        <v>5413</v>
      </c>
      <c r="L344" t="str">
        <f>IFERROR(VLOOKUP(K344,Таблица7[3]:Таблица7[[#This Row],[6]],2,FALSE),"")</f>
        <v/>
      </c>
      <c r="M344" t="str">
        <f t="shared" si="6"/>
        <v/>
      </c>
      <c r="N344" t="str" cm="1">
        <f t="array" ref="N344">IF(MOD(ROW()-ROW($B$2),16)=0,INDEX($M$2:$M$1000,(ROW()-ROW($B$2))/16+1),"")</f>
        <v/>
      </c>
    </row>
    <row r="345" spans="2:14" x14ac:dyDescent="0.3">
      <c r="B345" t="s">
        <v>2177</v>
      </c>
      <c r="C345" t="s">
        <v>2491</v>
      </c>
      <c r="D345" t="s">
        <v>226</v>
      </c>
      <c r="E345">
        <v>0</v>
      </c>
      <c r="F345" t="s">
        <v>226</v>
      </c>
      <c r="K345" s="12" t="s">
        <v>5414</v>
      </c>
      <c r="L345" t="str">
        <f>IFERROR(VLOOKUP(K345,Таблица7[3]:Таблица7[[#This Row],[6]],2,FALSE),"")</f>
        <v/>
      </c>
      <c r="M345" t="str">
        <f t="shared" si="6"/>
        <v/>
      </c>
      <c r="N345" t="str" cm="1">
        <f t="array" ref="N345">IF(MOD(ROW()-ROW($B$2),16)=0,INDEX($M$2:$M$1000,(ROW()-ROW($B$2))/16+1),"")</f>
        <v/>
      </c>
    </row>
    <row r="346" spans="2:14" x14ac:dyDescent="0.3">
      <c r="B346" t="s">
        <v>2177</v>
      </c>
      <c r="C346" t="s">
        <v>2492</v>
      </c>
      <c r="D346" t="s">
        <v>227</v>
      </c>
      <c r="E346">
        <v>0</v>
      </c>
      <c r="F346" t="s">
        <v>227</v>
      </c>
      <c r="K346" s="12" t="s">
        <v>5415</v>
      </c>
      <c r="L346" t="str">
        <f>IFERROR(VLOOKUP(K346,Таблица7[3]:Таблица7[[#This Row],[6]],2,FALSE),"")</f>
        <v/>
      </c>
      <c r="M346" t="str">
        <f t="shared" si="6"/>
        <v/>
      </c>
      <c r="N346" t="str" cm="1">
        <f t="array" ref="N346">IF(MOD(ROW()-ROW($B$2),16)=0,INDEX($M$2:$M$1000,(ROW()-ROW($B$2))/16+1),"")</f>
        <v/>
      </c>
    </row>
    <row r="347" spans="2:14" x14ac:dyDescent="0.3">
      <c r="B347" t="s">
        <v>2177</v>
      </c>
      <c r="C347" t="s">
        <v>2493</v>
      </c>
      <c r="D347" t="s">
        <v>228</v>
      </c>
      <c r="E347">
        <v>0</v>
      </c>
      <c r="F347" t="s">
        <v>228</v>
      </c>
      <c r="K347" s="12" t="s">
        <v>5416</v>
      </c>
      <c r="L347" t="str">
        <f>IFERROR(VLOOKUP(K347,Таблица7[3]:Таблица7[[#This Row],[6]],2,FALSE),"")</f>
        <v/>
      </c>
      <c r="M347" t="str">
        <f t="shared" si="6"/>
        <v/>
      </c>
      <c r="N347" t="str" cm="1">
        <f t="array" ref="N347">IF(MOD(ROW()-ROW($B$2),16)=0,INDEX($M$2:$M$1000,(ROW()-ROW($B$2))/16+1),"")</f>
        <v/>
      </c>
    </row>
    <row r="348" spans="2:14" x14ac:dyDescent="0.3">
      <c r="B348" t="s">
        <v>2177</v>
      </c>
      <c r="C348" t="s">
        <v>2494</v>
      </c>
      <c r="D348" t="s">
        <v>229</v>
      </c>
      <c r="E348">
        <v>0</v>
      </c>
      <c r="F348" t="s">
        <v>229</v>
      </c>
      <c r="K348" s="12" t="s">
        <v>5417</v>
      </c>
      <c r="L348" t="str">
        <f>IFERROR(VLOOKUP(K348,Таблица7[3]:Таблица7[[#This Row],[6]],2,FALSE),"")</f>
        <v/>
      </c>
      <c r="M348" t="str">
        <f t="shared" si="6"/>
        <v/>
      </c>
      <c r="N348" t="str" cm="1">
        <f t="array" ref="N348">IF(MOD(ROW()-ROW($B$2),16)=0,INDEX($M$2:$M$1000,(ROW()-ROW($B$2))/16+1),"")</f>
        <v/>
      </c>
    </row>
    <row r="349" spans="2:14" x14ac:dyDescent="0.3">
      <c r="B349" t="s">
        <v>2177</v>
      </c>
      <c r="C349" t="s">
        <v>2495</v>
      </c>
      <c r="D349" t="s">
        <v>225</v>
      </c>
      <c r="E349">
        <v>0</v>
      </c>
      <c r="F349" t="s">
        <v>225</v>
      </c>
      <c r="K349" s="12" t="s">
        <v>5418</v>
      </c>
      <c r="L349" t="str">
        <f>IFERROR(VLOOKUP(K349,Таблица7[3]:Таблица7[[#This Row],[6]],2,FALSE),"")</f>
        <v/>
      </c>
      <c r="M349" t="str">
        <f t="shared" si="6"/>
        <v/>
      </c>
      <c r="N349" t="str" cm="1">
        <f t="array" ref="N349">IF(MOD(ROW()-ROW($B$2),16)=0,INDEX($M$2:$M$1000,(ROW()-ROW($B$2))/16+1),"")</f>
        <v/>
      </c>
    </row>
    <row r="350" spans="2:14" x14ac:dyDescent="0.3">
      <c r="B350" t="s">
        <v>2312</v>
      </c>
      <c r="C350" t="s">
        <v>2496</v>
      </c>
      <c r="D350" t="s">
        <v>2497</v>
      </c>
      <c r="E350">
        <v>0</v>
      </c>
      <c r="F350" t="s">
        <v>2497</v>
      </c>
      <c r="K350" s="12" t="s">
        <v>5419</v>
      </c>
      <c r="L350" t="str">
        <f>IFERROR(VLOOKUP(K350,Таблица7[3]:Таблица7[[#This Row],[6]],2,FALSE),"")</f>
        <v/>
      </c>
      <c r="M350" t="str">
        <f t="shared" si="6"/>
        <v/>
      </c>
      <c r="N350" t="str" cm="1">
        <f t="array" ref="N350">IF(MOD(ROW()-ROW($B$2),16)=0,INDEX($M$2:$M$1000,(ROW()-ROW($B$2))/16+1),"")</f>
        <v/>
      </c>
    </row>
    <row r="351" spans="2:14" x14ac:dyDescent="0.3">
      <c r="B351" t="s">
        <v>2173</v>
      </c>
      <c r="C351" t="s">
        <v>2498</v>
      </c>
      <c r="D351" t="s">
        <v>597</v>
      </c>
      <c r="E351">
        <v>0</v>
      </c>
      <c r="F351" t="s">
        <v>597</v>
      </c>
      <c r="K351" s="12" t="s">
        <v>5420</v>
      </c>
      <c r="L351" t="str">
        <f>IFERROR(VLOOKUP(K351,Таблица7[3]:Таблица7[[#This Row],[6]],2,FALSE),"")</f>
        <v/>
      </c>
      <c r="M351" t="str">
        <f t="shared" si="6"/>
        <v/>
      </c>
      <c r="N351" t="str" cm="1">
        <f t="array" ref="N351">IF(MOD(ROW()-ROW($B$2),16)=0,INDEX($M$2:$M$1000,(ROW()-ROW($B$2))/16+1),"")</f>
        <v/>
      </c>
    </row>
    <row r="352" spans="2:14" x14ac:dyDescent="0.3">
      <c r="B352" t="s">
        <v>2177</v>
      </c>
      <c r="C352" t="s">
        <v>2499</v>
      </c>
      <c r="D352" t="s">
        <v>2500</v>
      </c>
      <c r="E352">
        <v>0</v>
      </c>
      <c r="F352" t="s">
        <v>2500</v>
      </c>
      <c r="K352" s="12" t="s">
        <v>5421</v>
      </c>
      <c r="L352" t="str">
        <f>IFERROR(VLOOKUP(K352,Таблица7[3]:Таблица7[[#This Row],[6]],2,FALSE),"")</f>
        <v/>
      </c>
      <c r="M352" t="str">
        <f t="shared" si="6"/>
        <v/>
      </c>
      <c r="N352" t="str" cm="1">
        <f t="array" ref="N352">IF(MOD(ROW()-ROW($B$2),16)=0,INDEX($M$2:$M$1000,(ROW()-ROW($B$2))/16+1),"")</f>
        <v/>
      </c>
    </row>
    <row r="353" spans="2:14" x14ac:dyDescent="0.3">
      <c r="B353" t="s">
        <v>2177</v>
      </c>
      <c r="C353" t="s">
        <v>2501</v>
      </c>
      <c r="D353" t="s">
        <v>2502</v>
      </c>
      <c r="E353">
        <v>0</v>
      </c>
      <c r="F353" t="s">
        <v>2502</v>
      </c>
      <c r="K353" s="12" t="s">
        <v>5422</v>
      </c>
      <c r="L353" t="str">
        <f>IFERROR(VLOOKUP(K353,Таблица7[3]:Таблица7[[#This Row],[6]],2,FALSE),"")</f>
        <v/>
      </c>
      <c r="M353" t="str">
        <f t="shared" si="6"/>
        <v/>
      </c>
      <c r="N353" t="str" cm="1">
        <f t="array" ref="N353">IF(MOD(ROW()-ROW($B$2),16)=0,INDEX($M$2:$M$1000,(ROW()-ROW($B$2))/16+1),"")</f>
        <v/>
      </c>
    </row>
    <row r="354" spans="2:14" x14ac:dyDescent="0.3">
      <c r="B354" t="s">
        <v>2177</v>
      </c>
      <c r="C354" t="s">
        <v>2503</v>
      </c>
      <c r="D354" t="s">
        <v>2504</v>
      </c>
      <c r="E354">
        <v>0</v>
      </c>
      <c r="F354" t="s">
        <v>2504</v>
      </c>
      <c r="K354" s="12" t="s">
        <v>5423</v>
      </c>
      <c r="L354" t="str">
        <f>IFERROR(VLOOKUP(K354,Таблица7[3]:Таблица7[[#This Row],[6]],2,FALSE),"")</f>
        <v/>
      </c>
      <c r="M354" t="str">
        <f t="shared" si="6"/>
        <v/>
      </c>
      <c r="N354" t="str" cm="1">
        <f t="array" ref="N354">IF(MOD(ROW()-ROW($B$2),16)=0,INDEX($M$2:$M$1000,(ROW()-ROW($B$2))/16+1),"")</f>
        <v>Фиксированное число 22 (0)</v>
      </c>
    </row>
    <row r="355" spans="2:14" x14ac:dyDescent="0.3">
      <c r="B355" t="s">
        <v>2177</v>
      </c>
      <c r="C355" t="s">
        <v>2505</v>
      </c>
      <c r="D355" t="s">
        <v>2506</v>
      </c>
      <c r="E355">
        <v>0</v>
      </c>
      <c r="F355" t="s">
        <v>2506</v>
      </c>
      <c r="K355" s="12" t="s">
        <v>5424</v>
      </c>
      <c r="L355" t="str">
        <f>IFERROR(VLOOKUP(K355,Таблица7[3]:Таблица7[[#This Row],[6]],2,FALSE),"")</f>
        <v/>
      </c>
      <c r="M355" t="str">
        <f t="shared" si="6"/>
        <v/>
      </c>
      <c r="N355" t="str" cm="1">
        <f t="array" ref="N355">IF(MOD(ROW()-ROW($B$2),16)=0,INDEX($M$2:$M$1000,(ROW()-ROW($B$2))/16+1),"")</f>
        <v/>
      </c>
    </row>
    <row r="356" spans="2:14" x14ac:dyDescent="0.3">
      <c r="B356" t="s">
        <v>2177</v>
      </c>
      <c r="C356" t="s">
        <v>2507</v>
      </c>
      <c r="D356" t="s">
        <v>2508</v>
      </c>
      <c r="E356">
        <v>0</v>
      </c>
      <c r="F356" t="s">
        <v>2508</v>
      </c>
      <c r="K356" s="12" t="s">
        <v>5425</v>
      </c>
      <c r="L356" t="str">
        <f>IFERROR(VLOOKUP(K356,Таблица7[3]:Таблица7[[#This Row],[6]],2,FALSE),"")</f>
        <v/>
      </c>
      <c r="M356" t="str">
        <f t="shared" si="6"/>
        <v/>
      </c>
      <c r="N356" t="str" cm="1">
        <f t="array" ref="N356">IF(MOD(ROW()-ROW($B$2),16)=0,INDEX($M$2:$M$1000,(ROW()-ROW($B$2))/16+1),"")</f>
        <v/>
      </c>
    </row>
    <row r="357" spans="2:14" x14ac:dyDescent="0.3">
      <c r="B357" t="s">
        <v>2177</v>
      </c>
      <c r="C357" t="s">
        <v>2509</v>
      </c>
      <c r="D357" t="s">
        <v>2510</v>
      </c>
      <c r="E357">
        <v>0</v>
      </c>
      <c r="F357" t="s">
        <v>2510</v>
      </c>
      <c r="K357" s="12" t="s">
        <v>5426</v>
      </c>
      <c r="L357" t="str">
        <f>IFERROR(VLOOKUP(K357,Таблица7[3]:Таблица7[[#This Row],[6]],2,FALSE),"")</f>
        <v/>
      </c>
      <c r="M357" t="str">
        <f t="shared" si="6"/>
        <v/>
      </c>
      <c r="N357" t="str" cm="1">
        <f t="array" ref="N357">IF(MOD(ROW()-ROW($B$2),16)=0,INDEX($M$2:$M$1000,(ROW()-ROW($B$2))/16+1),"")</f>
        <v/>
      </c>
    </row>
    <row r="358" spans="2:14" x14ac:dyDescent="0.3">
      <c r="B358" t="s">
        <v>2177</v>
      </c>
      <c r="C358" t="s">
        <v>2511</v>
      </c>
      <c r="D358" t="s">
        <v>2512</v>
      </c>
      <c r="E358">
        <v>0</v>
      </c>
      <c r="F358" t="s">
        <v>2512</v>
      </c>
      <c r="K358" s="12" t="s">
        <v>5427</v>
      </c>
      <c r="L358" t="str">
        <f>IFERROR(VLOOKUP(K358,Таблица7[3]:Таблица7[[#This Row],[6]],2,FALSE),"")</f>
        <v/>
      </c>
      <c r="M358" t="str">
        <f t="shared" si="6"/>
        <v/>
      </c>
      <c r="N358" t="str" cm="1">
        <f t="array" ref="N358">IF(MOD(ROW()-ROW($B$2),16)=0,INDEX($M$2:$M$1000,(ROW()-ROW($B$2))/16+1),"")</f>
        <v/>
      </c>
    </row>
    <row r="359" spans="2:14" x14ac:dyDescent="0.3">
      <c r="B359" t="s">
        <v>2177</v>
      </c>
      <c r="C359" t="s">
        <v>2513</v>
      </c>
      <c r="D359" t="s">
        <v>2514</v>
      </c>
      <c r="E359">
        <v>0</v>
      </c>
      <c r="F359" t="s">
        <v>2514</v>
      </c>
      <c r="K359" s="12" t="s">
        <v>5428</v>
      </c>
      <c r="L359" t="str">
        <f>IFERROR(VLOOKUP(K359,Таблица7[3]:Таблица7[[#This Row],[6]],2,FALSE),"")</f>
        <v/>
      </c>
      <c r="M359" t="str">
        <f t="shared" si="6"/>
        <v/>
      </c>
      <c r="N359" t="str" cm="1">
        <f t="array" ref="N359">IF(MOD(ROW()-ROW($B$2),16)=0,INDEX($M$2:$M$1000,(ROW()-ROW($B$2))/16+1),"")</f>
        <v/>
      </c>
    </row>
    <row r="360" spans="2:14" x14ac:dyDescent="0.3">
      <c r="B360" t="s">
        <v>2177</v>
      </c>
      <c r="C360" t="s">
        <v>308</v>
      </c>
      <c r="D360" t="s">
        <v>299</v>
      </c>
      <c r="E360">
        <v>0</v>
      </c>
      <c r="F360" t="s">
        <v>299</v>
      </c>
      <c r="K360" s="12" t="s">
        <v>5429</v>
      </c>
      <c r="L360" t="str">
        <f>IFERROR(VLOOKUP(K360,Таблица7[3]:Таблица7[[#This Row],[6]],2,FALSE),"")</f>
        <v/>
      </c>
      <c r="M360" t="str">
        <f t="shared" si="6"/>
        <v/>
      </c>
      <c r="N360" t="str" cm="1">
        <f t="array" ref="N360">IF(MOD(ROW()-ROW($B$2),16)=0,INDEX($M$2:$M$1000,(ROW()-ROW($B$2))/16+1),"")</f>
        <v/>
      </c>
    </row>
    <row r="361" spans="2:14" x14ac:dyDescent="0.3">
      <c r="B361" t="s">
        <v>2177</v>
      </c>
      <c r="C361" t="s">
        <v>2515</v>
      </c>
      <c r="D361" t="s">
        <v>2516</v>
      </c>
      <c r="E361">
        <v>0</v>
      </c>
      <c r="F361" t="s">
        <v>2516</v>
      </c>
      <c r="K361" s="12" t="s">
        <v>5430</v>
      </c>
      <c r="L361" t="str">
        <f>IFERROR(VLOOKUP(K361,Таблица7[3]:Таблица7[[#This Row],[6]],2,FALSE),"")</f>
        <v/>
      </c>
      <c r="M361" t="str">
        <f t="shared" si="6"/>
        <v/>
      </c>
      <c r="N361" t="str" cm="1">
        <f t="array" ref="N361">IF(MOD(ROW()-ROW($B$2),16)=0,INDEX($M$2:$M$1000,(ROW()-ROW($B$2))/16+1),"")</f>
        <v/>
      </c>
    </row>
    <row r="362" spans="2:14" x14ac:dyDescent="0.3">
      <c r="B362" t="s">
        <v>2312</v>
      </c>
      <c r="C362" t="s">
        <v>2517</v>
      </c>
      <c r="D362" t="s">
        <v>2518</v>
      </c>
      <c r="E362">
        <v>0</v>
      </c>
      <c r="F362" t="s">
        <v>2518</v>
      </c>
      <c r="K362" s="12" t="s">
        <v>5431</v>
      </c>
      <c r="L362" t="str">
        <f>IFERROR(VLOOKUP(K362,Таблица7[3]:Таблица7[[#This Row],[6]],2,FALSE),"")</f>
        <v/>
      </c>
      <c r="M362" t="str">
        <f t="shared" si="6"/>
        <v/>
      </c>
      <c r="N362" t="str" cm="1">
        <f t="array" ref="N362">IF(MOD(ROW()-ROW($B$2),16)=0,INDEX($M$2:$M$1000,(ROW()-ROW($B$2))/16+1),"")</f>
        <v/>
      </c>
    </row>
    <row r="363" spans="2:14" x14ac:dyDescent="0.3">
      <c r="B363" t="s">
        <v>2312</v>
      </c>
      <c r="C363" t="s">
        <v>2519</v>
      </c>
      <c r="D363" t="s">
        <v>2520</v>
      </c>
      <c r="E363">
        <v>0</v>
      </c>
      <c r="F363" t="s">
        <v>2520</v>
      </c>
      <c r="K363" s="12" t="s">
        <v>5432</v>
      </c>
      <c r="L363" t="str">
        <f>IFERROR(VLOOKUP(K363,Таблица7[3]:Таблица7[[#This Row],[6]],2,FALSE),"")</f>
        <v/>
      </c>
      <c r="M363" t="str">
        <f t="shared" si="6"/>
        <v/>
      </c>
      <c r="N363" t="str" cm="1">
        <f t="array" ref="N363">IF(MOD(ROW()-ROW($B$2),16)=0,INDEX($M$2:$M$1000,(ROW()-ROW($B$2))/16+1),"")</f>
        <v/>
      </c>
    </row>
    <row r="364" spans="2:14" x14ac:dyDescent="0.3">
      <c r="B364" t="s">
        <v>2312</v>
      </c>
      <c r="C364" t="s">
        <v>2521</v>
      </c>
      <c r="D364" t="s">
        <v>2522</v>
      </c>
      <c r="E364">
        <v>0</v>
      </c>
      <c r="F364" t="s">
        <v>2522</v>
      </c>
      <c r="K364" s="12" t="s">
        <v>5433</v>
      </c>
      <c r="L364" t="str">
        <f>IFERROR(VLOOKUP(K364,Таблица7[3]:Таблица7[[#This Row],[6]],2,FALSE),"")</f>
        <v/>
      </c>
      <c r="M364" t="str">
        <f t="shared" si="6"/>
        <v/>
      </c>
      <c r="N364" t="str" cm="1">
        <f t="array" ref="N364">IF(MOD(ROW()-ROW($B$2),16)=0,INDEX($M$2:$M$1000,(ROW()-ROW($B$2))/16+1),"")</f>
        <v/>
      </c>
    </row>
    <row r="365" spans="2:14" x14ac:dyDescent="0.3">
      <c r="B365" t="s">
        <v>2312</v>
      </c>
      <c r="C365" t="s">
        <v>2523</v>
      </c>
      <c r="D365" t="s">
        <v>2524</v>
      </c>
      <c r="E365">
        <v>0</v>
      </c>
      <c r="F365" t="s">
        <v>2524</v>
      </c>
      <c r="K365" s="12" t="s">
        <v>5434</v>
      </c>
      <c r="L365" t="str">
        <f>IFERROR(VLOOKUP(K365,Таблица7[3]:Таблица7[[#This Row],[6]],2,FALSE),"")</f>
        <v/>
      </c>
      <c r="M365" t="str">
        <f t="shared" si="6"/>
        <v/>
      </c>
      <c r="N365" t="str" cm="1">
        <f t="array" ref="N365">IF(MOD(ROW()-ROW($B$2),16)=0,INDEX($M$2:$M$1000,(ROW()-ROW($B$2))/16+1),"")</f>
        <v/>
      </c>
    </row>
    <row r="366" spans="2:14" x14ac:dyDescent="0.3">
      <c r="B366" t="s">
        <v>2312</v>
      </c>
      <c r="C366" t="s">
        <v>2525</v>
      </c>
      <c r="D366" t="s">
        <v>2526</v>
      </c>
      <c r="E366">
        <v>0</v>
      </c>
      <c r="F366" t="s">
        <v>2526</v>
      </c>
      <c r="K366" s="12" t="s">
        <v>5435</v>
      </c>
      <c r="L366" t="str">
        <f>IFERROR(VLOOKUP(K366,Таблица7[3]:Таблица7[[#This Row],[6]],2,FALSE),"")</f>
        <v/>
      </c>
      <c r="M366" t="str">
        <f t="shared" si="6"/>
        <v/>
      </c>
      <c r="N366" t="str" cm="1">
        <f t="array" ref="N366">IF(MOD(ROW()-ROW($B$2),16)=0,INDEX($M$2:$M$1000,(ROW()-ROW($B$2))/16+1),"")</f>
        <v/>
      </c>
    </row>
    <row r="367" spans="2:14" x14ac:dyDescent="0.3">
      <c r="B367" t="s">
        <v>2312</v>
      </c>
      <c r="C367" t="s">
        <v>2527</v>
      </c>
      <c r="D367" t="s">
        <v>2528</v>
      </c>
      <c r="E367">
        <v>0</v>
      </c>
      <c r="F367" t="s">
        <v>2528</v>
      </c>
      <c r="K367" s="12" t="s">
        <v>5436</v>
      </c>
      <c r="L367" t="str">
        <f>IFERROR(VLOOKUP(K367,Таблица7[3]:Таблица7[[#This Row],[6]],2,FALSE),"")</f>
        <v/>
      </c>
      <c r="M367" t="str">
        <f t="shared" si="6"/>
        <v/>
      </c>
      <c r="N367" t="str" cm="1">
        <f t="array" ref="N367">IF(MOD(ROW()-ROW($B$2),16)=0,INDEX($M$2:$M$1000,(ROW()-ROW($B$2))/16+1),"")</f>
        <v/>
      </c>
    </row>
    <row r="368" spans="2:14" x14ac:dyDescent="0.3">
      <c r="B368" t="s">
        <v>2312</v>
      </c>
      <c r="C368" t="s">
        <v>2529</v>
      </c>
      <c r="D368" t="s">
        <v>2530</v>
      </c>
      <c r="E368">
        <v>0</v>
      </c>
      <c r="F368" t="s">
        <v>2530</v>
      </c>
      <c r="K368" s="12" t="s">
        <v>5437</v>
      </c>
      <c r="L368" t="str">
        <f>IFERROR(VLOOKUP(K368,Таблица7[3]:Таблица7[[#This Row],[6]],2,FALSE),"")</f>
        <v/>
      </c>
      <c r="M368" t="str">
        <f t="shared" si="6"/>
        <v/>
      </c>
      <c r="N368" t="str" cm="1">
        <f t="array" ref="N368">IF(MOD(ROW()-ROW($B$2),16)=0,INDEX($M$2:$M$1000,(ROW()-ROW($B$2))/16+1),"")</f>
        <v/>
      </c>
    </row>
    <row r="369" spans="2:14" x14ac:dyDescent="0.3">
      <c r="B369" t="s">
        <v>2177</v>
      </c>
      <c r="C369" t="s">
        <v>307</v>
      </c>
      <c r="D369" t="s">
        <v>244</v>
      </c>
      <c r="E369">
        <v>0</v>
      </c>
      <c r="F369" t="s">
        <v>244</v>
      </c>
      <c r="K369" s="12" t="s">
        <v>5438</v>
      </c>
      <c r="L369" t="str">
        <f>IFERROR(VLOOKUP(K369,Таблица7[3]:Таблица7[[#This Row],[6]],2,FALSE),"")</f>
        <v/>
      </c>
      <c r="M369" t="str">
        <f t="shared" si="6"/>
        <v/>
      </c>
      <c r="N369" t="str" cm="1">
        <f t="array" ref="N369">IF(MOD(ROW()-ROW($B$2),16)=0,INDEX($M$2:$M$1000,(ROW()-ROW($B$2))/16+1),"")</f>
        <v/>
      </c>
    </row>
    <row r="370" spans="2:14" x14ac:dyDescent="0.3">
      <c r="B370" t="s">
        <v>2177</v>
      </c>
      <c r="C370" t="s">
        <v>2531</v>
      </c>
      <c r="D370" t="s">
        <v>245</v>
      </c>
      <c r="E370">
        <v>0</v>
      </c>
      <c r="F370" t="s">
        <v>245</v>
      </c>
      <c r="K370" s="12" t="s">
        <v>5439</v>
      </c>
      <c r="L370" t="str">
        <f>IFERROR(VLOOKUP(K370,Таблица7[3]:Таблица7[[#This Row],[6]],2,FALSE),"")</f>
        <v/>
      </c>
      <c r="M370" t="str">
        <f t="shared" si="6"/>
        <v/>
      </c>
      <c r="N370" t="str" cm="1">
        <f t="array" ref="N370">IF(MOD(ROW()-ROW($B$2),16)=0,INDEX($M$2:$M$1000,(ROW()-ROW($B$2))/16+1),"")</f>
        <v>Фиксированное число 23 (0)</v>
      </c>
    </row>
    <row r="371" spans="2:14" x14ac:dyDescent="0.3">
      <c r="B371" t="s">
        <v>2177</v>
      </c>
      <c r="C371" t="s">
        <v>2532</v>
      </c>
      <c r="D371" t="s">
        <v>246</v>
      </c>
      <c r="E371">
        <v>0</v>
      </c>
      <c r="F371" t="s">
        <v>246</v>
      </c>
      <c r="K371" s="12" t="s">
        <v>5440</v>
      </c>
      <c r="L371" t="str">
        <f>IFERROR(VLOOKUP(K371,Таблица7[3]:Таблица7[[#This Row],[6]],2,FALSE),"")</f>
        <v/>
      </c>
      <c r="M371" t="str">
        <f t="shared" si="6"/>
        <v/>
      </c>
      <c r="N371" t="str" cm="1">
        <f t="array" ref="N371">IF(MOD(ROW()-ROW($B$2),16)=0,INDEX($M$2:$M$1000,(ROW()-ROW($B$2))/16+1),"")</f>
        <v/>
      </c>
    </row>
    <row r="372" spans="2:14" x14ac:dyDescent="0.3">
      <c r="B372" t="s">
        <v>2177</v>
      </c>
      <c r="C372" t="s">
        <v>2533</v>
      </c>
      <c r="D372" t="s">
        <v>247</v>
      </c>
      <c r="E372">
        <v>0</v>
      </c>
      <c r="F372" t="s">
        <v>247</v>
      </c>
      <c r="K372" s="12" t="s">
        <v>5441</v>
      </c>
      <c r="L372" t="str">
        <f>IFERROR(VLOOKUP(K372,Таблица7[3]:Таблица7[[#This Row],[6]],2,FALSE),"")</f>
        <v/>
      </c>
      <c r="M372" t="str">
        <f t="shared" si="6"/>
        <v/>
      </c>
      <c r="N372" t="str" cm="1">
        <f t="array" ref="N372">IF(MOD(ROW()-ROW($B$2),16)=0,INDEX($M$2:$M$1000,(ROW()-ROW($B$2))/16+1),"")</f>
        <v/>
      </c>
    </row>
    <row r="373" spans="2:14" x14ac:dyDescent="0.3">
      <c r="B373" t="s">
        <v>2177</v>
      </c>
      <c r="C373" t="s">
        <v>2534</v>
      </c>
      <c r="D373" t="s">
        <v>248</v>
      </c>
      <c r="E373">
        <v>0</v>
      </c>
      <c r="F373" t="s">
        <v>248</v>
      </c>
      <c r="K373" s="12" t="s">
        <v>5442</v>
      </c>
      <c r="L373" t="str">
        <f>IFERROR(VLOOKUP(K373,Таблица7[3]:Таблица7[[#This Row],[6]],2,FALSE),"")</f>
        <v/>
      </c>
      <c r="M373" t="str">
        <f t="shared" si="6"/>
        <v/>
      </c>
      <c r="N373" t="str" cm="1">
        <f t="array" ref="N373">IF(MOD(ROW()-ROW($B$2),16)=0,INDEX($M$2:$M$1000,(ROW()-ROW($B$2))/16+1),"")</f>
        <v/>
      </c>
    </row>
    <row r="374" spans="2:14" x14ac:dyDescent="0.3">
      <c r="B374" t="s">
        <v>2177</v>
      </c>
      <c r="C374" t="s">
        <v>2535</v>
      </c>
      <c r="D374" t="s">
        <v>370</v>
      </c>
      <c r="E374">
        <v>0</v>
      </c>
      <c r="F374" t="s">
        <v>370</v>
      </c>
      <c r="K374" s="12" t="s">
        <v>5443</v>
      </c>
      <c r="L374" t="str">
        <f>IFERROR(VLOOKUP(K374,Таблица7[3]:Таблица7[[#This Row],[6]],2,FALSE),"")</f>
        <v/>
      </c>
      <c r="M374" t="str">
        <f t="shared" si="6"/>
        <v/>
      </c>
      <c r="N374" t="str" cm="1">
        <f t="array" ref="N374">IF(MOD(ROW()-ROW($B$2),16)=0,INDEX($M$2:$M$1000,(ROW()-ROW($B$2))/16+1),"")</f>
        <v/>
      </c>
    </row>
    <row r="375" spans="2:14" x14ac:dyDescent="0.3">
      <c r="B375" t="s">
        <v>2177</v>
      </c>
      <c r="C375" t="s">
        <v>2536</v>
      </c>
      <c r="D375" t="s">
        <v>230</v>
      </c>
      <c r="E375">
        <v>0</v>
      </c>
      <c r="F375" t="s">
        <v>230</v>
      </c>
      <c r="K375" s="12" t="s">
        <v>5444</v>
      </c>
      <c r="L375" t="str">
        <f>IFERROR(VLOOKUP(K375,Таблица7[3]:Таблица7[[#This Row],[6]],2,FALSE),"")</f>
        <v/>
      </c>
      <c r="M375" t="str">
        <f t="shared" si="6"/>
        <v/>
      </c>
      <c r="N375" t="str" cm="1">
        <f t="array" ref="N375">IF(MOD(ROW()-ROW($B$2),16)=0,INDEX($M$2:$M$1000,(ROW()-ROW($B$2))/16+1),"")</f>
        <v/>
      </c>
    </row>
    <row r="376" spans="2:14" x14ac:dyDescent="0.3">
      <c r="B376" t="s">
        <v>2177</v>
      </c>
      <c r="C376" t="s">
        <v>2537</v>
      </c>
      <c r="D376" t="s">
        <v>231</v>
      </c>
      <c r="E376">
        <v>0</v>
      </c>
      <c r="F376" t="s">
        <v>231</v>
      </c>
      <c r="K376" s="12" t="s">
        <v>5445</v>
      </c>
      <c r="L376" t="str">
        <f>IFERROR(VLOOKUP(K376,Таблица7[3]:Таблица7[[#This Row],[6]],2,FALSE),"")</f>
        <v/>
      </c>
      <c r="M376" t="str">
        <f t="shared" si="6"/>
        <v/>
      </c>
      <c r="N376" t="str" cm="1">
        <f t="array" ref="N376">IF(MOD(ROW()-ROW($B$2),16)=0,INDEX($M$2:$M$1000,(ROW()-ROW($B$2))/16+1),"")</f>
        <v/>
      </c>
    </row>
    <row r="377" spans="2:14" x14ac:dyDescent="0.3">
      <c r="B377" t="s">
        <v>2177</v>
      </c>
      <c r="C377" t="s">
        <v>2538</v>
      </c>
      <c r="D377" t="s">
        <v>232</v>
      </c>
      <c r="E377">
        <v>0</v>
      </c>
      <c r="F377" t="s">
        <v>232</v>
      </c>
      <c r="K377" s="12" t="s">
        <v>5446</v>
      </c>
      <c r="L377" t="str">
        <f>IFERROR(VLOOKUP(K377,Таблица7[3]:Таблица7[[#This Row],[6]],2,FALSE),"")</f>
        <v/>
      </c>
      <c r="M377" t="str">
        <f t="shared" si="6"/>
        <v/>
      </c>
      <c r="N377" t="str" cm="1">
        <f t="array" ref="N377">IF(MOD(ROW()-ROW($B$2),16)=0,INDEX($M$2:$M$1000,(ROW()-ROW($B$2))/16+1),"")</f>
        <v/>
      </c>
    </row>
    <row r="378" spans="2:14" x14ac:dyDescent="0.3">
      <c r="B378" t="s">
        <v>2177</v>
      </c>
      <c r="C378" t="s">
        <v>2539</v>
      </c>
      <c r="D378" t="s">
        <v>233</v>
      </c>
      <c r="E378">
        <v>0</v>
      </c>
      <c r="F378" t="s">
        <v>233</v>
      </c>
      <c r="K378" s="12" t="s">
        <v>5447</v>
      </c>
      <c r="L378" t="str">
        <f>IFERROR(VLOOKUP(K378,Таблица7[3]:Таблица7[[#This Row],[6]],2,FALSE),"")</f>
        <v/>
      </c>
      <c r="M378" t="str">
        <f t="shared" si="6"/>
        <v/>
      </c>
      <c r="N378" t="str" cm="1">
        <f t="array" ref="N378">IF(MOD(ROW()-ROW($B$2),16)=0,INDEX($M$2:$M$1000,(ROW()-ROW($B$2))/16+1),"")</f>
        <v/>
      </c>
    </row>
    <row r="379" spans="2:14" x14ac:dyDescent="0.3">
      <c r="B379" t="s">
        <v>2177</v>
      </c>
      <c r="C379" t="s">
        <v>2540</v>
      </c>
      <c r="D379" t="s">
        <v>254</v>
      </c>
      <c r="E379">
        <v>0</v>
      </c>
      <c r="F379" t="s">
        <v>254</v>
      </c>
      <c r="K379" s="12" t="s">
        <v>5448</v>
      </c>
      <c r="L379" t="str">
        <f>IFERROR(VLOOKUP(K379,Таблица7[3]:Таблица7[[#This Row],[6]],2,FALSE),"")</f>
        <v/>
      </c>
      <c r="M379" t="str">
        <f t="shared" si="6"/>
        <v/>
      </c>
      <c r="N379" t="str" cm="1">
        <f t="array" ref="N379">IF(MOD(ROW()-ROW($B$2),16)=0,INDEX($M$2:$M$1000,(ROW()-ROW($B$2))/16+1),"")</f>
        <v/>
      </c>
    </row>
    <row r="380" spans="2:14" x14ac:dyDescent="0.3">
      <c r="B380" t="s">
        <v>2177</v>
      </c>
      <c r="C380" t="s">
        <v>2541</v>
      </c>
      <c r="D380" t="s">
        <v>255</v>
      </c>
      <c r="E380">
        <v>0</v>
      </c>
      <c r="F380" t="s">
        <v>255</v>
      </c>
      <c r="K380" s="12" t="s">
        <v>5449</v>
      </c>
      <c r="L380" t="str">
        <f>IFERROR(VLOOKUP(K380,Таблица7[3]:Таблица7[[#This Row],[6]],2,FALSE),"")</f>
        <v/>
      </c>
      <c r="M380" t="str">
        <f t="shared" si="6"/>
        <v/>
      </c>
      <c r="N380" t="str" cm="1">
        <f t="array" ref="N380">IF(MOD(ROW()-ROW($B$2),16)=0,INDEX($M$2:$M$1000,(ROW()-ROW($B$2))/16+1),"")</f>
        <v/>
      </c>
    </row>
    <row r="381" spans="2:14" x14ac:dyDescent="0.3">
      <c r="B381" t="s">
        <v>2177</v>
      </c>
      <c r="C381" t="s">
        <v>2542</v>
      </c>
      <c r="D381" t="s">
        <v>256</v>
      </c>
      <c r="E381">
        <v>0</v>
      </c>
      <c r="F381" t="s">
        <v>256</v>
      </c>
      <c r="K381" s="12" t="s">
        <v>5450</v>
      </c>
      <c r="L381" t="str">
        <f>IFERROR(VLOOKUP(K381,Таблица7[3]:Таблица7[[#This Row],[6]],2,FALSE),"")</f>
        <v/>
      </c>
      <c r="M381" t="str">
        <f t="shared" si="6"/>
        <v/>
      </c>
      <c r="N381" t="str" cm="1">
        <f t="array" ref="N381">IF(MOD(ROW()-ROW($B$2),16)=0,INDEX($M$2:$M$1000,(ROW()-ROW($B$2))/16+1),"")</f>
        <v/>
      </c>
    </row>
    <row r="382" spans="2:14" x14ac:dyDescent="0.3">
      <c r="B382" t="s">
        <v>2177</v>
      </c>
      <c r="C382" t="s">
        <v>2543</v>
      </c>
      <c r="D382" t="s">
        <v>257</v>
      </c>
      <c r="E382">
        <v>0</v>
      </c>
      <c r="F382" t="s">
        <v>257</v>
      </c>
      <c r="K382" s="12" t="s">
        <v>5451</v>
      </c>
      <c r="L382" t="str">
        <f>IFERROR(VLOOKUP(K382,Таблица7[3]:Таблица7[[#This Row],[6]],2,FALSE),"")</f>
        <v/>
      </c>
      <c r="M382" t="str">
        <f t="shared" si="6"/>
        <v/>
      </c>
      <c r="N382" t="str" cm="1">
        <f t="array" ref="N382">IF(MOD(ROW()-ROW($B$2),16)=0,INDEX($M$2:$M$1000,(ROW()-ROW($B$2))/16+1),"")</f>
        <v/>
      </c>
    </row>
    <row r="383" spans="2:14" x14ac:dyDescent="0.3">
      <c r="B383" t="s">
        <v>2177</v>
      </c>
      <c r="C383" t="s">
        <v>2544</v>
      </c>
      <c r="D383" t="s">
        <v>2461</v>
      </c>
      <c r="E383">
        <v>0</v>
      </c>
      <c r="F383" t="s">
        <v>2461</v>
      </c>
      <c r="K383" s="12" t="s">
        <v>5452</v>
      </c>
      <c r="L383" t="str">
        <f>IFERROR(VLOOKUP(K383,Таблица7[3]:Таблица7[[#This Row],[6]],2,FALSE),"")</f>
        <v/>
      </c>
      <c r="M383" t="str">
        <f t="shared" si="6"/>
        <v/>
      </c>
      <c r="N383" t="str" cm="1">
        <f t="array" ref="N383">IF(MOD(ROW()-ROW($B$2),16)=0,INDEX($M$2:$M$1000,(ROW()-ROW($B$2))/16+1),"")</f>
        <v/>
      </c>
    </row>
    <row r="384" spans="2:14" x14ac:dyDescent="0.3">
      <c r="B384" t="s">
        <v>2177</v>
      </c>
      <c r="C384" t="s">
        <v>2545</v>
      </c>
      <c r="D384" t="s">
        <v>2546</v>
      </c>
      <c r="E384">
        <v>0</v>
      </c>
      <c r="F384" t="s">
        <v>2546</v>
      </c>
      <c r="K384" s="12" t="s">
        <v>5453</v>
      </c>
      <c r="L384" t="str">
        <f>IFERROR(VLOOKUP(K384,Таблица7[3]:Таблица7[[#This Row],[6]],2,FALSE),"")</f>
        <v/>
      </c>
      <c r="M384" t="str">
        <f t="shared" si="6"/>
        <v/>
      </c>
      <c r="N384" t="str" cm="1">
        <f t="array" ref="N384">IF(MOD(ROW()-ROW($B$2),16)=0,INDEX($M$2:$M$1000,(ROW()-ROW($B$2))/16+1),"")</f>
        <v/>
      </c>
    </row>
    <row r="385" spans="2:14" x14ac:dyDescent="0.3">
      <c r="B385" t="s">
        <v>2177</v>
      </c>
      <c r="C385" t="s">
        <v>2547</v>
      </c>
      <c r="D385" t="s">
        <v>2548</v>
      </c>
      <c r="E385">
        <v>0</v>
      </c>
      <c r="F385" t="s">
        <v>2548</v>
      </c>
      <c r="K385" s="12" t="s">
        <v>5454</v>
      </c>
      <c r="L385" t="str">
        <f>IFERROR(VLOOKUP(K385,Таблица7[3]:Таблица7[[#This Row],[6]],2,FALSE),"")</f>
        <v/>
      </c>
      <c r="M385" t="str">
        <f t="shared" si="6"/>
        <v/>
      </c>
      <c r="N385" t="str" cm="1">
        <f t="array" ref="N385">IF(MOD(ROW()-ROW($B$2),16)=0,INDEX($M$2:$M$1000,(ROW()-ROW($B$2))/16+1),"")</f>
        <v/>
      </c>
    </row>
    <row r="386" spans="2:14" x14ac:dyDescent="0.3">
      <c r="B386" t="s">
        <v>2177</v>
      </c>
      <c r="C386" t="s">
        <v>2549</v>
      </c>
      <c r="D386" t="s">
        <v>2550</v>
      </c>
      <c r="E386">
        <v>0</v>
      </c>
      <c r="F386" t="s">
        <v>2550</v>
      </c>
      <c r="K386" s="12" t="s">
        <v>5455</v>
      </c>
      <c r="L386" t="str">
        <f>IFERROR(VLOOKUP(K386,Таблица7[3]:Таблица7[[#This Row],[6]],2,FALSE),"")</f>
        <v/>
      </c>
      <c r="M386" t="str">
        <f t="shared" si="6"/>
        <v/>
      </c>
      <c r="N386" t="str" cm="1">
        <f t="array" ref="N386">IF(MOD(ROW()-ROW($B$2),16)=0,INDEX($M$2:$M$1000,(ROW()-ROW($B$2))/16+1),"")</f>
        <v>Фиксированное число 24 (0)</v>
      </c>
    </row>
    <row r="387" spans="2:14" x14ac:dyDescent="0.3">
      <c r="B387" t="s">
        <v>2177</v>
      </c>
      <c r="C387" t="s">
        <v>2551</v>
      </c>
      <c r="D387" t="s">
        <v>2552</v>
      </c>
      <c r="E387">
        <v>0</v>
      </c>
      <c r="F387" t="s">
        <v>2552</v>
      </c>
      <c r="K387" s="12" t="s">
        <v>5456</v>
      </c>
      <c r="L387" t="str">
        <f>IFERROR(VLOOKUP(K387,Таблица7[3]:Таблица7[[#This Row],[6]],2,FALSE),"")</f>
        <v/>
      </c>
      <c r="M387" t="str">
        <f t="shared" ref="M387:M450" si="7">IF(L387&lt;&gt;"",L387&amp;" (0)","")</f>
        <v/>
      </c>
      <c r="N387" t="str" cm="1">
        <f t="array" ref="N387">IF(MOD(ROW()-ROW($B$2),16)=0,INDEX($M$2:$M$1000,(ROW()-ROW($B$2))/16+1),"")</f>
        <v/>
      </c>
    </row>
    <row r="388" spans="2:14" x14ac:dyDescent="0.3">
      <c r="B388" t="s">
        <v>2177</v>
      </c>
      <c r="C388" t="s">
        <v>2553</v>
      </c>
      <c r="D388" t="s">
        <v>2554</v>
      </c>
      <c r="E388">
        <v>0</v>
      </c>
      <c r="F388" t="s">
        <v>2554</v>
      </c>
      <c r="K388" s="12" t="s">
        <v>5457</v>
      </c>
      <c r="L388" t="str">
        <f>IFERROR(VLOOKUP(K388,Таблица7[3]:Таблица7[[#This Row],[6]],2,FALSE),"")</f>
        <v/>
      </c>
      <c r="M388" t="str">
        <f t="shared" si="7"/>
        <v/>
      </c>
      <c r="N388" t="str" cm="1">
        <f t="array" ref="N388">IF(MOD(ROW()-ROW($B$2),16)=0,INDEX($M$2:$M$1000,(ROW()-ROW($B$2))/16+1),"")</f>
        <v/>
      </c>
    </row>
    <row r="389" spans="2:14" x14ac:dyDescent="0.3">
      <c r="B389" t="s">
        <v>2173</v>
      </c>
      <c r="C389" t="s">
        <v>2555</v>
      </c>
      <c r="D389" t="s">
        <v>627</v>
      </c>
      <c r="E389">
        <v>0</v>
      </c>
      <c r="F389" t="s">
        <v>627</v>
      </c>
      <c r="K389" s="12" t="s">
        <v>5458</v>
      </c>
      <c r="L389" t="str">
        <f>IFERROR(VLOOKUP(K389,Таблица7[3]:Таблица7[[#This Row],[6]],2,FALSE),"")</f>
        <v/>
      </c>
      <c r="M389" t="str">
        <f t="shared" si="7"/>
        <v/>
      </c>
      <c r="N389" t="str" cm="1">
        <f t="array" ref="N389">IF(MOD(ROW()-ROW($B$2),16)=0,INDEX($M$2:$M$1000,(ROW()-ROW($B$2))/16+1),"")</f>
        <v/>
      </c>
    </row>
    <row r="390" spans="2:14" x14ac:dyDescent="0.3">
      <c r="B390" t="s">
        <v>2173</v>
      </c>
      <c r="C390" t="s">
        <v>2556</v>
      </c>
      <c r="D390" t="s">
        <v>628</v>
      </c>
      <c r="E390">
        <v>0</v>
      </c>
      <c r="F390" t="s">
        <v>628</v>
      </c>
      <c r="K390" s="12" t="s">
        <v>5459</v>
      </c>
      <c r="L390" t="str">
        <f>IFERROR(VLOOKUP(K390,Таблица7[3]:Таблица7[[#This Row],[6]],2,FALSE),"")</f>
        <v/>
      </c>
      <c r="M390" t="str">
        <f t="shared" si="7"/>
        <v/>
      </c>
      <c r="N390" t="str" cm="1">
        <f t="array" ref="N390">IF(MOD(ROW()-ROW($B$2),16)=0,INDEX($M$2:$M$1000,(ROW()-ROW($B$2))/16+1),"")</f>
        <v/>
      </c>
    </row>
    <row r="391" spans="2:14" x14ac:dyDescent="0.3">
      <c r="B391" t="s">
        <v>2173</v>
      </c>
      <c r="C391" t="s">
        <v>2557</v>
      </c>
      <c r="D391" t="s">
        <v>629</v>
      </c>
      <c r="E391">
        <v>0</v>
      </c>
      <c r="F391" t="s">
        <v>629</v>
      </c>
      <c r="K391" s="12" t="s">
        <v>5460</v>
      </c>
      <c r="L391" t="str">
        <f>IFERROR(VLOOKUP(K391,Таблица7[3]:Таблица7[[#This Row],[6]],2,FALSE),"")</f>
        <v/>
      </c>
      <c r="M391" t="str">
        <f t="shared" si="7"/>
        <v/>
      </c>
      <c r="N391" t="str" cm="1">
        <f t="array" ref="N391">IF(MOD(ROW()-ROW($B$2),16)=0,INDEX($M$2:$M$1000,(ROW()-ROW($B$2))/16+1),"")</f>
        <v/>
      </c>
    </row>
    <row r="392" spans="2:14" x14ac:dyDescent="0.3">
      <c r="B392" t="s">
        <v>2173</v>
      </c>
      <c r="C392" t="s">
        <v>2558</v>
      </c>
      <c r="D392" t="s">
        <v>240</v>
      </c>
      <c r="E392">
        <v>0</v>
      </c>
      <c r="F392" t="s">
        <v>240</v>
      </c>
      <c r="K392" s="12" t="s">
        <v>5461</v>
      </c>
      <c r="L392" t="str">
        <f>IFERROR(VLOOKUP(K392,Таблица7[3]:Таблица7[[#This Row],[6]],2,FALSE),"")</f>
        <v/>
      </c>
      <c r="M392" t="str">
        <f t="shared" si="7"/>
        <v/>
      </c>
      <c r="N392" t="str" cm="1">
        <f t="array" ref="N392">IF(MOD(ROW()-ROW($B$2),16)=0,INDEX($M$2:$M$1000,(ROW()-ROW($B$2))/16+1),"")</f>
        <v/>
      </c>
    </row>
    <row r="393" spans="2:14" x14ac:dyDescent="0.3">
      <c r="B393" t="s">
        <v>2173</v>
      </c>
      <c r="C393" t="s">
        <v>2559</v>
      </c>
      <c r="D393" t="s">
        <v>409</v>
      </c>
      <c r="E393">
        <v>0</v>
      </c>
      <c r="F393" t="s">
        <v>409</v>
      </c>
      <c r="K393" s="12" t="s">
        <v>5462</v>
      </c>
      <c r="L393" t="str">
        <f>IFERROR(VLOOKUP(K393,Таблица7[3]:Таблица7[[#This Row],[6]],2,FALSE),"")</f>
        <v/>
      </c>
      <c r="M393" t="str">
        <f t="shared" si="7"/>
        <v/>
      </c>
      <c r="N393" t="str" cm="1">
        <f t="array" ref="N393">IF(MOD(ROW()-ROW($B$2),16)=0,INDEX($M$2:$M$1000,(ROW()-ROW($B$2))/16+1),"")</f>
        <v/>
      </c>
    </row>
    <row r="394" spans="2:14" x14ac:dyDescent="0.3">
      <c r="B394" t="s">
        <v>2173</v>
      </c>
      <c r="C394" t="s">
        <v>2560</v>
      </c>
      <c r="D394" t="s">
        <v>440</v>
      </c>
      <c r="E394">
        <v>0</v>
      </c>
      <c r="F394" t="s">
        <v>440</v>
      </c>
      <c r="K394" s="12" t="s">
        <v>5463</v>
      </c>
      <c r="L394" t="str">
        <f>IFERROR(VLOOKUP(K394,Таблица7[3]:Таблица7[[#This Row],[6]],2,FALSE),"")</f>
        <v/>
      </c>
      <c r="M394" t="str">
        <f t="shared" si="7"/>
        <v/>
      </c>
      <c r="N394" t="str" cm="1">
        <f t="array" ref="N394">IF(MOD(ROW()-ROW($B$2),16)=0,INDEX($M$2:$M$1000,(ROW()-ROW($B$2))/16+1),"")</f>
        <v/>
      </c>
    </row>
    <row r="395" spans="2:14" x14ac:dyDescent="0.3">
      <c r="B395" t="s">
        <v>2173</v>
      </c>
      <c r="C395" t="s">
        <v>2561</v>
      </c>
      <c r="D395" t="s">
        <v>441</v>
      </c>
      <c r="E395">
        <v>0</v>
      </c>
      <c r="F395" t="s">
        <v>441</v>
      </c>
      <c r="K395" s="12" t="s">
        <v>5464</v>
      </c>
      <c r="L395" t="str">
        <f>IFERROR(VLOOKUP(K395,Таблица7[3]:Таблица7[[#This Row],[6]],2,FALSE),"")</f>
        <v/>
      </c>
      <c r="M395" t="str">
        <f t="shared" si="7"/>
        <v/>
      </c>
      <c r="N395" t="str" cm="1">
        <f t="array" ref="N395">IF(MOD(ROW()-ROW($B$2),16)=0,INDEX($M$2:$M$1000,(ROW()-ROW($B$2))/16+1),"")</f>
        <v/>
      </c>
    </row>
    <row r="396" spans="2:14" x14ac:dyDescent="0.3">
      <c r="B396" t="s">
        <v>2173</v>
      </c>
      <c r="C396" t="s">
        <v>2562</v>
      </c>
      <c r="D396" t="s">
        <v>44</v>
      </c>
      <c r="E396">
        <v>0</v>
      </c>
      <c r="F396" t="s">
        <v>44</v>
      </c>
      <c r="K396" s="12" t="s">
        <v>5465</v>
      </c>
      <c r="L396" t="str">
        <f>IFERROR(VLOOKUP(K396,Таблица7[3]:Таблица7[[#This Row],[6]],2,FALSE),"")</f>
        <v/>
      </c>
      <c r="M396" t="str">
        <f t="shared" si="7"/>
        <v/>
      </c>
      <c r="N396" t="str" cm="1">
        <f t="array" ref="N396">IF(MOD(ROW()-ROW($B$2),16)=0,INDEX($M$2:$M$1000,(ROW()-ROW($B$2))/16+1),"")</f>
        <v/>
      </c>
    </row>
    <row r="397" spans="2:14" x14ac:dyDescent="0.3">
      <c r="B397" t="s">
        <v>2173</v>
      </c>
      <c r="C397" t="s">
        <v>2563</v>
      </c>
      <c r="D397" t="s">
        <v>44</v>
      </c>
      <c r="E397">
        <v>0</v>
      </c>
      <c r="F397" t="s">
        <v>44</v>
      </c>
      <c r="K397" s="12" t="s">
        <v>5466</v>
      </c>
      <c r="L397" t="str">
        <f>IFERROR(VLOOKUP(K397,Таблица7[3]:Таблица7[[#This Row],[6]],2,FALSE),"")</f>
        <v/>
      </c>
      <c r="M397" t="str">
        <f t="shared" si="7"/>
        <v/>
      </c>
      <c r="N397" t="str" cm="1">
        <f t="array" ref="N397">IF(MOD(ROW()-ROW($B$2),16)=0,INDEX($M$2:$M$1000,(ROW()-ROW($B$2))/16+1),"")</f>
        <v/>
      </c>
    </row>
    <row r="398" spans="2:14" x14ac:dyDescent="0.3">
      <c r="B398" t="s">
        <v>2173</v>
      </c>
      <c r="C398" t="s">
        <v>2564</v>
      </c>
      <c r="D398" t="s">
        <v>44</v>
      </c>
      <c r="E398">
        <v>0</v>
      </c>
      <c r="F398" t="s">
        <v>44</v>
      </c>
      <c r="K398" s="12" t="s">
        <v>5467</v>
      </c>
      <c r="L398" t="str">
        <f>IFERROR(VLOOKUP(K398,Таблица7[3]:Таблица7[[#This Row],[6]],2,FALSE),"")</f>
        <v/>
      </c>
      <c r="M398" t="str">
        <f t="shared" si="7"/>
        <v/>
      </c>
      <c r="N398" t="str" cm="1">
        <f t="array" ref="N398">IF(MOD(ROW()-ROW($B$2),16)=0,INDEX($M$2:$M$1000,(ROW()-ROW($B$2))/16+1),"")</f>
        <v/>
      </c>
    </row>
    <row r="399" spans="2:14" x14ac:dyDescent="0.3">
      <c r="B399" t="s">
        <v>2173</v>
      </c>
      <c r="C399" t="s">
        <v>2565</v>
      </c>
      <c r="D399" t="s">
        <v>44</v>
      </c>
      <c r="E399">
        <v>0</v>
      </c>
      <c r="F399" t="s">
        <v>44</v>
      </c>
      <c r="K399" s="12" t="s">
        <v>5468</v>
      </c>
      <c r="L399" t="str">
        <f>IFERROR(VLOOKUP(K399,Таблица7[3]:Таблица7[[#This Row],[6]],2,FALSE),"")</f>
        <v/>
      </c>
      <c r="M399" t="str">
        <f t="shared" si="7"/>
        <v/>
      </c>
      <c r="N399" t="str" cm="1">
        <f t="array" ref="N399">IF(MOD(ROW()-ROW($B$2),16)=0,INDEX($M$2:$M$1000,(ROW()-ROW($B$2))/16+1),"")</f>
        <v/>
      </c>
    </row>
    <row r="400" spans="2:14" x14ac:dyDescent="0.3">
      <c r="B400" t="s">
        <v>2173</v>
      </c>
      <c r="C400" t="s">
        <v>2566</v>
      </c>
      <c r="D400" t="s">
        <v>44</v>
      </c>
      <c r="E400">
        <v>0</v>
      </c>
      <c r="F400" t="s">
        <v>44</v>
      </c>
      <c r="K400" s="12" t="s">
        <v>5469</v>
      </c>
      <c r="L400" t="str">
        <f>IFERROR(VLOOKUP(K400,Таблица7[3]:Таблица7[[#This Row],[6]],2,FALSE),"")</f>
        <v/>
      </c>
      <c r="M400" t="str">
        <f t="shared" si="7"/>
        <v/>
      </c>
      <c r="N400" t="str" cm="1">
        <f t="array" ref="N400">IF(MOD(ROW()-ROW($B$2),16)=0,INDEX($M$2:$M$1000,(ROW()-ROW($B$2))/16+1),"")</f>
        <v/>
      </c>
    </row>
    <row r="401" spans="2:14" x14ac:dyDescent="0.3">
      <c r="B401" t="s">
        <v>2173</v>
      </c>
      <c r="C401" t="s">
        <v>2567</v>
      </c>
      <c r="D401" t="s">
        <v>2568</v>
      </c>
      <c r="E401">
        <v>0</v>
      </c>
      <c r="F401" t="s">
        <v>2568</v>
      </c>
      <c r="K401" s="12" t="s">
        <v>5470</v>
      </c>
      <c r="L401" t="str">
        <f>IFERROR(VLOOKUP(K401,Таблица7[3]:Таблица7[[#This Row],[6]],2,FALSE),"")</f>
        <v/>
      </c>
      <c r="M401" t="str">
        <f t="shared" si="7"/>
        <v/>
      </c>
      <c r="N401" t="str" cm="1">
        <f t="array" ref="N401">IF(MOD(ROW()-ROW($B$2),16)=0,INDEX($M$2:$M$1000,(ROW()-ROW($B$2))/16+1),"")</f>
        <v/>
      </c>
    </row>
    <row r="402" spans="2:14" x14ac:dyDescent="0.3">
      <c r="B402" t="s">
        <v>2177</v>
      </c>
      <c r="C402" t="s">
        <v>2569</v>
      </c>
      <c r="D402" t="s">
        <v>2570</v>
      </c>
      <c r="E402">
        <v>0</v>
      </c>
      <c r="F402" t="s">
        <v>2570</v>
      </c>
      <c r="K402" s="12" t="s">
        <v>5471</v>
      </c>
      <c r="L402" t="str">
        <f>IFERROR(VLOOKUP(K402,Таблица7[3]:Таблица7[[#This Row],[6]],2,FALSE),"")</f>
        <v/>
      </c>
      <c r="M402" t="str">
        <f t="shared" si="7"/>
        <v/>
      </c>
      <c r="N402" t="str" cm="1">
        <f t="array" ref="N402">IF(MOD(ROW()-ROW($B$2),16)=0,INDEX($M$2:$M$1000,(ROW()-ROW($B$2))/16+1),"")</f>
        <v>Фиксированное число 25 (0)</v>
      </c>
    </row>
    <row r="403" spans="2:14" x14ac:dyDescent="0.3">
      <c r="B403" t="s">
        <v>2177</v>
      </c>
      <c r="C403" t="s">
        <v>2571</v>
      </c>
      <c r="D403" t="s">
        <v>2572</v>
      </c>
      <c r="E403">
        <v>0</v>
      </c>
      <c r="F403" t="s">
        <v>2572</v>
      </c>
      <c r="K403" s="12" t="s">
        <v>5472</v>
      </c>
      <c r="L403" t="str">
        <f>IFERROR(VLOOKUP(K403,Таблица7[3]:Таблица7[[#This Row],[6]],2,FALSE),"")</f>
        <v/>
      </c>
      <c r="M403" t="str">
        <f t="shared" si="7"/>
        <v/>
      </c>
      <c r="N403" t="str" cm="1">
        <f t="array" ref="N403">IF(MOD(ROW()-ROW($B$2),16)=0,INDEX($M$2:$M$1000,(ROW()-ROW($B$2))/16+1),"")</f>
        <v/>
      </c>
    </row>
    <row r="404" spans="2:14" x14ac:dyDescent="0.3">
      <c r="B404" t="s">
        <v>2177</v>
      </c>
      <c r="C404" t="s">
        <v>2573</v>
      </c>
      <c r="D404" t="s">
        <v>2574</v>
      </c>
      <c r="E404">
        <v>0</v>
      </c>
      <c r="F404" t="s">
        <v>2574</v>
      </c>
      <c r="K404" s="12" t="s">
        <v>5473</v>
      </c>
      <c r="L404" t="str">
        <f>IFERROR(VLOOKUP(K404,Таблица7[3]:Таблица7[[#This Row],[6]],2,FALSE),"")</f>
        <v/>
      </c>
      <c r="M404" t="str">
        <f t="shared" si="7"/>
        <v/>
      </c>
      <c r="N404" t="str" cm="1">
        <f t="array" ref="N404">IF(MOD(ROW()-ROW($B$2),16)=0,INDEX($M$2:$M$1000,(ROW()-ROW($B$2))/16+1),"")</f>
        <v/>
      </c>
    </row>
    <row r="405" spans="2:14" x14ac:dyDescent="0.3">
      <c r="B405" t="s">
        <v>2177</v>
      </c>
      <c r="C405" t="s">
        <v>2575</v>
      </c>
      <c r="D405" t="s">
        <v>2576</v>
      </c>
      <c r="E405">
        <v>0</v>
      </c>
      <c r="F405" t="s">
        <v>2576</v>
      </c>
      <c r="K405" s="12" t="s">
        <v>5474</v>
      </c>
      <c r="L405" t="str">
        <f>IFERROR(VLOOKUP(K405,Таблица7[3]:Таблица7[[#This Row],[6]],2,FALSE),"")</f>
        <v/>
      </c>
      <c r="M405" t="str">
        <f t="shared" si="7"/>
        <v/>
      </c>
      <c r="N405" t="str" cm="1">
        <f t="array" ref="N405">IF(MOD(ROW()-ROW($B$2),16)=0,INDEX($M$2:$M$1000,(ROW()-ROW($B$2))/16+1),"")</f>
        <v/>
      </c>
    </row>
    <row r="406" spans="2:14" x14ac:dyDescent="0.3">
      <c r="B406" t="s">
        <v>2177</v>
      </c>
      <c r="C406" t="s">
        <v>2577</v>
      </c>
      <c r="D406" t="s">
        <v>2578</v>
      </c>
      <c r="E406">
        <v>0</v>
      </c>
      <c r="F406" t="s">
        <v>2578</v>
      </c>
      <c r="K406" s="12" t="s">
        <v>5475</v>
      </c>
      <c r="L406" t="str">
        <f>IFERROR(VLOOKUP(K406,Таблица7[3]:Таблица7[[#This Row],[6]],2,FALSE),"")</f>
        <v/>
      </c>
      <c r="M406" t="str">
        <f t="shared" si="7"/>
        <v/>
      </c>
      <c r="N406" t="str" cm="1">
        <f t="array" ref="N406">IF(MOD(ROW()-ROW($B$2),16)=0,INDEX($M$2:$M$1000,(ROW()-ROW($B$2))/16+1),"")</f>
        <v/>
      </c>
    </row>
    <row r="407" spans="2:14" x14ac:dyDescent="0.3">
      <c r="B407" t="s">
        <v>2173</v>
      </c>
      <c r="C407" t="s">
        <v>2579</v>
      </c>
      <c r="D407" t="s">
        <v>603</v>
      </c>
      <c r="E407">
        <v>0</v>
      </c>
      <c r="F407" t="s">
        <v>603</v>
      </c>
      <c r="K407" s="12" t="s">
        <v>5476</v>
      </c>
      <c r="L407" t="str">
        <f>IFERROR(VLOOKUP(K407,Таблица7[3]:Таблица7[[#This Row],[6]],2,FALSE),"")</f>
        <v/>
      </c>
      <c r="M407" t="str">
        <f t="shared" si="7"/>
        <v/>
      </c>
      <c r="N407" t="str" cm="1">
        <f t="array" ref="N407">IF(MOD(ROW()-ROW($B$2),16)=0,INDEX($M$2:$M$1000,(ROW()-ROW($B$2))/16+1),"")</f>
        <v/>
      </c>
    </row>
    <row r="408" spans="2:14" x14ac:dyDescent="0.3">
      <c r="B408" t="s">
        <v>2177</v>
      </c>
      <c r="C408" t="s">
        <v>2580</v>
      </c>
      <c r="D408" t="s">
        <v>2581</v>
      </c>
      <c r="E408">
        <v>0</v>
      </c>
      <c r="F408" t="s">
        <v>2581</v>
      </c>
      <c r="K408" s="12" t="s">
        <v>5477</v>
      </c>
      <c r="L408" t="str">
        <f>IFERROR(VLOOKUP(K408,Таблица7[3]:Таблица7[[#This Row],[6]],2,FALSE),"")</f>
        <v/>
      </c>
      <c r="M408" t="str">
        <f t="shared" si="7"/>
        <v/>
      </c>
      <c r="N408" t="str" cm="1">
        <f t="array" ref="N408">IF(MOD(ROW()-ROW($B$2),16)=0,INDEX($M$2:$M$1000,(ROW()-ROW($B$2))/16+1),"")</f>
        <v/>
      </c>
    </row>
    <row r="409" spans="2:14" x14ac:dyDescent="0.3">
      <c r="B409" t="s">
        <v>2177</v>
      </c>
      <c r="C409" t="s">
        <v>2582</v>
      </c>
      <c r="D409" t="s">
        <v>2583</v>
      </c>
      <c r="E409">
        <v>0</v>
      </c>
      <c r="F409" t="s">
        <v>2583</v>
      </c>
      <c r="K409" s="12" t="s">
        <v>5478</v>
      </c>
      <c r="L409" t="str">
        <f>IFERROR(VLOOKUP(K409,Таблица7[3]:Таблица7[[#This Row],[6]],2,FALSE),"")</f>
        <v/>
      </c>
      <c r="M409" t="str">
        <f t="shared" si="7"/>
        <v/>
      </c>
      <c r="N409" t="str" cm="1">
        <f t="array" ref="N409">IF(MOD(ROW()-ROW($B$2),16)=0,INDEX($M$2:$M$1000,(ROW()-ROW($B$2))/16+1),"")</f>
        <v/>
      </c>
    </row>
    <row r="410" spans="2:14" x14ac:dyDescent="0.3">
      <c r="B410" t="s">
        <v>2177</v>
      </c>
      <c r="C410" t="s">
        <v>2584</v>
      </c>
      <c r="D410" t="s">
        <v>2585</v>
      </c>
      <c r="E410">
        <v>0</v>
      </c>
      <c r="F410" t="s">
        <v>2585</v>
      </c>
      <c r="K410" s="12" t="s">
        <v>5479</v>
      </c>
      <c r="L410" t="str">
        <f>IFERROR(VLOOKUP(K410,Таблица7[3]:Таблица7[[#This Row],[6]],2,FALSE),"")</f>
        <v/>
      </c>
      <c r="M410" t="str">
        <f t="shared" si="7"/>
        <v/>
      </c>
      <c r="N410" t="str" cm="1">
        <f t="array" ref="N410">IF(MOD(ROW()-ROW($B$2),16)=0,INDEX($M$2:$M$1000,(ROW()-ROW($B$2))/16+1),"")</f>
        <v/>
      </c>
    </row>
    <row r="411" spans="2:14" x14ac:dyDescent="0.3">
      <c r="B411" t="s">
        <v>2177</v>
      </c>
      <c r="C411" t="s">
        <v>2586</v>
      </c>
      <c r="D411" t="s">
        <v>2587</v>
      </c>
      <c r="E411">
        <v>0</v>
      </c>
      <c r="F411" t="s">
        <v>2587</v>
      </c>
      <c r="K411" s="12" t="s">
        <v>5480</v>
      </c>
      <c r="L411" t="str">
        <f>IFERROR(VLOOKUP(K411,Таблица7[3]:Таблица7[[#This Row],[6]],2,FALSE),"")</f>
        <v/>
      </c>
      <c r="M411" t="str">
        <f t="shared" si="7"/>
        <v/>
      </c>
      <c r="N411" t="str" cm="1">
        <f t="array" ref="N411">IF(MOD(ROW()-ROW($B$2),16)=0,INDEX($M$2:$M$1000,(ROW()-ROW($B$2))/16+1),"")</f>
        <v/>
      </c>
    </row>
    <row r="412" spans="2:14" x14ac:dyDescent="0.3">
      <c r="B412" t="s">
        <v>2177</v>
      </c>
      <c r="C412" t="s">
        <v>2588</v>
      </c>
      <c r="D412" t="s">
        <v>2589</v>
      </c>
      <c r="E412">
        <v>0</v>
      </c>
      <c r="F412" t="s">
        <v>2589</v>
      </c>
      <c r="K412" s="12" t="s">
        <v>5481</v>
      </c>
      <c r="L412" t="str">
        <f>IFERROR(VLOOKUP(K412,Таблица7[3]:Таблица7[[#This Row],[6]],2,FALSE),"")</f>
        <v/>
      </c>
      <c r="M412" t="str">
        <f t="shared" si="7"/>
        <v/>
      </c>
      <c r="N412" t="str" cm="1">
        <f t="array" ref="N412">IF(MOD(ROW()-ROW($B$2),16)=0,INDEX($M$2:$M$1000,(ROW()-ROW($B$2))/16+1),"")</f>
        <v/>
      </c>
    </row>
    <row r="413" spans="2:14" x14ac:dyDescent="0.3">
      <c r="B413" t="s">
        <v>2177</v>
      </c>
      <c r="C413" t="s">
        <v>2590</v>
      </c>
      <c r="D413" t="s">
        <v>2591</v>
      </c>
      <c r="E413">
        <v>0</v>
      </c>
      <c r="F413" t="s">
        <v>2591</v>
      </c>
      <c r="K413" s="12" t="s">
        <v>5482</v>
      </c>
      <c r="L413" t="str">
        <f>IFERROR(VLOOKUP(K413,Таблица7[3]:Таблица7[[#This Row],[6]],2,FALSE),"")</f>
        <v/>
      </c>
      <c r="M413" t="str">
        <f t="shared" si="7"/>
        <v/>
      </c>
      <c r="N413" t="str" cm="1">
        <f t="array" ref="N413">IF(MOD(ROW()-ROW($B$2),16)=0,INDEX($M$2:$M$1000,(ROW()-ROW($B$2))/16+1),"")</f>
        <v/>
      </c>
    </row>
    <row r="414" spans="2:14" x14ac:dyDescent="0.3">
      <c r="B414" t="s">
        <v>2173</v>
      </c>
      <c r="C414" t="s">
        <v>2592</v>
      </c>
      <c r="D414" t="s">
        <v>605</v>
      </c>
      <c r="E414">
        <v>0</v>
      </c>
      <c r="F414" t="s">
        <v>605</v>
      </c>
      <c r="K414" s="12" t="s">
        <v>5483</v>
      </c>
      <c r="L414" t="str">
        <f>IFERROR(VLOOKUP(K414,Таблица7[3]:Таблица7[[#This Row],[6]],2,FALSE),"")</f>
        <v/>
      </c>
      <c r="M414" t="str">
        <f t="shared" si="7"/>
        <v/>
      </c>
      <c r="N414" t="str" cm="1">
        <f t="array" ref="N414">IF(MOD(ROW()-ROW($B$2),16)=0,INDEX($M$2:$M$1000,(ROW()-ROW($B$2))/16+1),"")</f>
        <v/>
      </c>
    </row>
    <row r="415" spans="2:14" x14ac:dyDescent="0.3">
      <c r="B415" t="s">
        <v>2173</v>
      </c>
      <c r="C415" t="s">
        <v>2593</v>
      </c>
      <c r="D415" t="s">
        <v>606</v>
      </c>
      <c r="E415">
        <v>0</v>
      </c>
      <c r="F415" t="s">
        <v>606</v>
      </c>
      <c r="K415" s="12" t="s">
        <v>5484</v>
      </c>
      <c r="L415" t="str">
        <f>IFERROR(VLOOKUP(K415,Таблица7[3]:Таблица7[[#This Row],[6]],2,FALSE),"")</f>
        <v/>
      </c>
      <c r="M415" t="str">
        <f t="shared" si="7"/>
        <v/>
      </c>
      <c r="N415" t="str" cm="1">
        <f t="array" ref="N415">IF(MOD(ROW()-ROW($B$2),16)=0,INDEX($M$2:$M$1000,(ROW()-ROW($B$2))/16+1),"")</f>
        <v/>
      </c>
    </row>
    <row r="416" spans="2:14" x14ac:dyDescent="0.3">
      <c r="B416" t="s">
        <v>2173</v>
      </c>
      <c r="C416" t="s">
        <v>2594</v>
      </c>
      <c r="D416" t="s">
        <v>606</v>
      </c>
      <c r="E416">
        <v>0</v>
      </c>
      <c r="F416" t="s">
        <v>606</v>
      </c>
      <c r="K416" s="12" t="s">
        <v>5485</v>
      </c>
      <c r="L416" t="str">
        <f>IFERROR(VLOOKUP(K416,Таблица7[3]:Таблица7[[#This Row],[6]],2,FALSE),"")</f>
        <v/>
      </c>
      <c r="M416" t="str">
        <f t="shared" si="7"/>
        <v/>
      </c>
      <c r="N416" t="str" cm="1">
        <f t="array" ref="N416">IF(MOD(ROW()-ROW($B$2),16)=0,INDEX($M$2:$M$1000,(ROW()-ROW($B$2))/16+1),"")</f>
        <v/>
      </c>
    </row>
    <row r="417" spans="2:14" x14ac:dyDescent="0.3">
      <c r="B417" t="s">
        <v>2173</v>
      </c>
      <c r="C417" t="s">
        <v>2595</v>
      </c>
      <c r="D417" t="s">
        <v>606</v>
      </c>
      <c r="E417">
        <v>0</v>
      </c>
      <c r="F417" t="s">
        <v>606</v>
      </c>
      <c r="K417" s="12" t="s">
        <v>5486</v>
      </c>
      <c r="L417" t="str">
        <f>IFERROR(VLOOKUP(K417,Таблица7[3]:Таблица7[[#This Row],[6]],2,FALSE),"")</f>
        <v/>
      </c>
      <c r="M417" t="str">
        <f t="shared" si="7"/>
        <v/>
      </c>
      <c r="N417" t="str" cm="1">
        <f t="array" ref="N417">IF(MOD(ROW()-ROW($B$2),16)=0,INDEX($M$2:$M$1000,(ROW()-ROW($B$2))/16+1),"")</f>
        <v/>
      </c>
    </row>
    <row r="418" spans="2:14" x14ac:dyDescent="0.3">
      <c r="B418" t="s">
        <v>2173</v>
      </c>
      <c r="C418" t="s">
        <v>2596</v>
      </c>
      <c r="D418" t="s">
        <v>604</v>
      </c>
      <c r="E418">
        <v>0</v>
      </c>
      <c r="F418" t="s">
        <v>604</v>
      </c>
      <c r="K418" s="12" t="s">
        <v>5487</v>
      </c>
      <c r="L418" t="str">
        <f>IFERROR(VLOOKUP(K418,Таблица7[3]:Таблица7[[#This Row],[6]],2,FALSE),"")</f>
        <v/>
      </c>
      <c r="M418" t="str">
        <f t="shared" si="7"/>
        <v/>
      </c>
      <c r="N418" t="str" cm="1">
        <f t="array" ref="N418">IF(MOD(ROW()-ROW($B$2),16)=0,INDEX($M$2:$M$1000,(ROW()-ROW($B$2))/16+1),"")</f>
        <v>Фиксированное число 26 (0)</v>
      </c>
    </row>
    <row r="419" spans="2:14" x14ac:dyDescent="0.3">
      <c r="B419" t="s">
        <v>2173</v>
      </c>
      <c r="C419" t="s">
        <v>2597</v>
      </c>
      <c r="D419" t="s">
        <v>598</v>
      </c>
      <c r="E419">
        <v>0</v>
      </c>
      <c r="F419" t="s">
        <v>598</v>
      </c>
      <c r="K419" s="12" t="s">
        <v>5488</v>
      </c>
      <c r="L419" t="str">
        <f>IFERROR(VLOOKUP(K419,Таблица7[3]:Таблица7[[#This Row],[6]],2,FALSE),"")</f>
        <v/>
      </c>
      <c r="M419" t="str">
        <f t="shared" si="7"/>
        <v/>
      </c>
      <c r="N419" t="str" cm="1">
        <f t="array" ref="N419">IF(MOD(ROW()-ROW($B$2),16)=0,INDEX($M$2:$M$1000,(ROW()-ROW($B$2))/16+1),"")</f>
        <v/>
      </c>
    </row>
    <row r="420" spans="2:14" x14ac:dyDescent="0.3">
      <c r="B420" t="s">
        <v>2173</v>
      </c>
      <c r="C420" t="s">
        <v>2598</v>
      </c>
      <c r="D420" t="s">
        <v>599</v>
      </c>
      <c r="E420">
        <v>0</v>
      </c>
      <c r="F420" t="s">
        <v>599</v>
      </c>
      <c r="K420" s="12" t="s">
        <v>5489</v>
      </c>
      <c r="L420" t="str">
        <f>IFERROR(VLOOKUP(K420,Таблица7[3]:Таблица7[[#This Row],[6]],2,FALSE),"")</f>
        <v/>
      </c>
      <c r="M420" t="str">
        <f t="shared" si="7"/>
        <v/>
      </c>
      <c r="N420" t="str" cm="1">
        <f t="array" ref="N420">IF(MOD(ROW()-ROW($B$2),16)=0,INDEX($M$2:$M$1000,(ROW()-ROW($B$2))/16+1),"")</f>
        <v/>
      </c>
    </row>
    <row r="421" spans="2:14" x14ac:dyDescent="0.3">
      <c r="B421" t="s">
        <v>2173</v>
      </c>
      <c r="C421" t="s">
        <v>2599</v>
      </c>
      <c r="D421" t="s">
        <v>600</v>
      </c>
      <c r="E421">
        <v>0</v>
      </c>
      <c r="F421" t="s">
        <v>600</v>
      </c>
      <c r="K421" s="12" t="s">
        <v>5490</v>
      </c>
      <c r="L421" t="str">
        <f>IFERROR(VLOOKUP(K421,Таблица7[3]:Таблица7[[#This Row],[6]],2,FALSE),"")</f>
        <v/>
      </c>
      <c r="M421" t="str">
        <f t="shared" si="7"/>
        <v/>
      </c>
      <c r="N421" t="str" cm="1">
        <f t="array" ref="N421">IF(MOD(ROW()-ROW($B$2),16)=0,INDEX($M$2:$M$1000,(ROW()-ROW($B$2))/16+1),"")</f>
        <v/>
      </c>
    </row>
    <row r="422" spans="2:14" x14ac:dyDescent="0.3">
      <c r="B422" t="s">
        <v>2173</v>
      </c>
      <c r="C422" t="s">
        <v>2600</v>
      </c>
      <c r="D422" t="s">
        <v>601</v>
      </c>
      <c r="E422">
        <v>0</v>
      </c>
      <c r="F422" t="s">
        <v>601</v>
      </c>
      <c r="K422" s="12" t="s">
        <v>5491</v>
      </c>
      <c r="L422" t="str">
        <f>IFERROR(VLOOKUP(K422,Таблица7[3]:Таблица7[[#This Row],[6]],2,FALSE),"")</f>
        <v/>
      </c>
      <c r="M422" t="str">
        <f t="shared" si="7"/>
        <v/>
      </c>
      <c r="N422" t="str" cm="1">
        <f t="array" ref="N422">IF(MOD(ROW()-ROW($B$2),16)=0,INDEX($M$2:$M$1000,(ROW()-ROW($B$2))/16+1),"")</f>
        <v/>
      </c>
    </row>
    <row r="423" spans="2:14" x14ac:dyDescent="0.3">
      <c r="B423" t="s">
        <v>2177</v>
      </c>
      <c r="C423" t="s">
        <v>2601</v>
      </c>
      <c r="D423" t="s">
        <v>2602</v>
      </c>
      <c r="E423">
        <v>0</v>
      </c>
      <c r="F423" t="s">
        <v>2602</v>
      </c>
      <c r="K423" s="12" t="s">
        <v>5492</v>
      </c>
      <c r="L423" t="str">
        <f>IFERROR(VLOOKUP(K423,Таблица7[3]:Таблица7[[#This Row],[6]],2,FALSE),"")</f>
        <v/>
      </c>
      <c r="M423" t="str">
        <f t="shared" si="7"/>
        <v/>
      </c>
      <c r="N423" t="str" cm="1">
        <f t="array" ref="N423">IF(MOD(ROW()-ROW($B$2),16)=0,INDEX($M$2:$M$1000,(ROW()-ROW($B$2))/16+1),"")</f>
        <v/>
      </c>
    </row>
    <row r="424" spans="2:14" x14ac:dyDescent="0.3">
      <c r="B424" t="s">
        <v>2177</v>
      </c>
      <c r="C424" t="s">
        <v>2603</v>
      </c>
      <c r="D424" t="s">
        <v>2604</v>
      </c>
      <c r="E424">
        <v>0</v>
      </c>
      <c r="F424" t="s">
        <v>2604</v>
      </c>
      <c r="K424" s="12" t="s">
        <v>5493</v>
      </c>
      <c r="L424" t="str">
        <f>IFERROR(VLOOKUP(K424,Таблица7[3]:Таблица7[[#This Row],[6]],2,FALSE),"")</f>
        <v/>
      </c>
      <c r="M424" t="str">
        <f t="shared" si="7"/>
        <v/>
      </c>
      <c r="N424" t="str" cm="1">
        <f t="array" ref="N424">IF(MOD(ROW()-ROW($B$2),16)=0,INDEX($M$2:$M$1000,(ROW()-ROW($B$2))/16+1),"")</f>
        <v/>
      </c>
    </row>
    <row r="425" spans="2:14" x14ac:dyDescent="0.3">
      <c r="B425" t="s">
        <v>2177</v>
      </c>
      <c r="C425" t="s">
        <v>2605</v>
      </c>
      <c r="D425" t="s">
        <v>2606</v>
      </c>
      <c r="E425">
        <v>0</v>
      </c>
      <c r="F425" t="s">
        <v>2606</v>
      </c>
      <c r="K425" s="12" t="s">
        <v>5494</v>
      </c>
      <c r="L425" t="str">
        <f>IFERROR(VLOOKUP(K425,Таблица7[3]:Таблица7[[#This Row],[6]],2,FALSE),"")</f>
        <v/>
      </c>
      <c r="M425" t="str">
        <f t="shared" si="7"/>
        <v/>
      </c>
      <c r="N425" t="str" cm="1">
        <f t="array" ref="N425">IF(MOD(ROW()-ROW($B$2),16)=0,INDEX($M$2:$M$1000,(ROW()-ROW($B$2))/16+1),"")</f>
        <v/>
      </c>
    </row>
    <row r="426" spans="2:14" x14ac:dyDescent="0.3">
      <c r="B426" t="s">
        <v>2177</v>
      </c>
      <c r="C426" t="s">
        <v>2607</v>
      </c>
      <c r="D426" t="s">
        <v>2608</v>
      </c>
      <c r="E426">
        <v>0</v>
      </c>
      <c r="F426" t="s">
        <v>2608</v>
      </c>
      <c r="K426" s="12" t="s">
        <v>5495</v>
      </c>
      <c r="L426" t="str">
        <f>IFERROR(VLOOKUP(K426,Таблица7[3]:Таблица7[[#This Row],[6]],2,FALSE),"")</f>
        <v/>
      </c>
      <c r="M426" t="str">
        <f t="shared" si="7"/>
        <v/>
      </c>
      <c r="N426" t="str" cm="1">
        <f t="array" ref="N426">IF(MOD(ROW()-ROW($B$2),16)=0,INDEX($M$2:$M$1000,(ROW()-ROW($B$2))/16+1),"")</f>
        <v/>
      </c>
    </row>
    <row r="427" spans="2:14" x14ac:dyDescent="0.3">
      <c r="B427" t="s">
        <v>2173</v>
      </c>
      <c r="C427" t="s">
        <v>2609</v>
      </c>
      <c r="D427" t="s">
        <v>607</v>
      </c>
      <c r="E427">
        <v>0</v>
      </c>
      <c r="F427" t="s">
        <v>607</v>
      </c>
      <c r="K427" s="12" t="s">
        <v>5496</v>
      </c>
      <c r="L427" t="str">
        <f>IFERROR(VLOOKUP(K427,Таблица7[3]:Таблица7[[#This Row],[6]],2,FALSE),"")</f>
        <v/>
      </c>
      <c r="M427" t="str">
        <f t="shared" si="7"/>
        <v/>
      </c>
      <c r="N427" t="str" cm="1">
        <f t="array" ref="N427">IF(MOD(ROW()-ROW($B$2),16)=0,INDEX($M$2:$M$1000,(ROW()-ROW($B$2))/16+1),"")</f>
        <v/>
      </c>
    </row>
    <row r="428" spans="2:14" x14ac:dyDescent="0.3">
      <c r="B428" t="s">
        <v>2173</v>
      </c>
      <c r="C428" t="s">
        <v>2610</v>
      </c>
      <c r="D428" t="s">
        <v>608</v>
      </c>
      <c r="E428">
        <v>0</v>
      </c>
      <c r="F428" t="s">
        <v>608</v>
      </c>
      <c r="K428" s="12" t="s">
        <v>5497</v>
      </c>
      <c r="L428" t="str">
        <f>IFERROR(VLOOKUP(K428,Таблица7[3]:Таблица7[[#This Row],[6]],2,FALSE),"")</f>
        <v/>
      </c>
      <c r="M428" t="str">
        <f t="shared" si="7"/>
        <v/>
      </c>
      <c r="N428" t="str" cm="1">
        <f t="array" ref="N428">IF(MOD(ROW()-ROW($B$2),16)=0,INDEX($M$2:$M$1000,(ROW()-ROW($B$2))/16+1),"")</f>
        <v/>
      </c>
    </row>
    <row r="429" spans="2:14" x14ac:dyDescent="0.3">
      <c r="B429" t="s">
        <v>2173</v>
      </c>
      <c r="C429" t="s">
        <v>2611</v>
      </c>
      <c r="D429" t="s">
        <v>606</v>
      </c>
      <c r="E429">
        <v>0</v>
      </c>
      <c r="F429" t="s">
        <v>606</v>
      </c>
      <c r="K429" s="12" t="s">
        <v>5498</v>
      </c>
      <c r="L429" t="str">
        <f>IFERROR(VLOOKUP(K429,Таблица7[3]:Таблица7[[#This Row],[6]],2,FALSE),"")</f>
        <v/>
      </c>
      <c r="M429" t="str">
        <f t="shared" si="7"/>
        <v/>
      </c>
      <c r="N429" t="str" cm="1">
        <f t="array" ref="N429">IF(MOD(ROW()-ROW($B$2),16)=0,INDEX($M$2:$M$1000,(ROW()-ROW($B$2))/16+1),"")</f>
        <v/>
      </c>
    </row>
    <row r="430" spans="2:14" x14ac:dyDescent="0.3">
      <c r="B430" t="s">
        <v>2173</v>
      </c>
      <c r="C430" t="s">
        <v>2612</v>
      </c>
      <c r="D430" t="s">
        <v>606</v>
      </c>
      <c r="E430">
        <v>0</v>
      </c>
      <c r="F430" t="s">
        <v>606</v>
      </c>
      <c r="K430" s="12" t="s">
        <v>5499</v>
      </c>
      <c r="L430" t="str">
        <f>IFERROR(VLOOKUP(K430,Таблица7[3]:Таблица7[[#This Row],[6]],2,FALSE),"")</f>
        <v/>
      </c>
      <c r="M430" t="str">
        <f t="shared" si="7"/>
        <v/>
      </c>
      <c r="N430" t="str" cm="1">
        <f t="array" ref="N430">IF(MOD(ROW()-ROW($B$2),16)=0,INDEX($M$2:$M$1000,(ROW()-ROW($B$2))/16+1),"")</f>
        <v/>
      </c>
    </row>
    <row r="431" spans="2:14" x14ac:dyDescent="0.3">
      <c r="B431" t="s">
        <v>2173</v>
      </c>
      <c r="C431" t="s">
        <v>2613</v>
      </c>
      <c r="D431" t="s">
        <v>606</v>
      </c>
      <c r="E431">
        <v>0</v>
      </c>
      <c r="F431" t="s">
        <v>606</v>
      </c>
      <c r="K431" s="12" t="s">
        <v>5500</v>
      </c>
      <c r="L431" t="str">
        <f>IFERROR(VLOOKUP(K431,Таблица7[3]:Таблица7[[#This Row],[6]],2,FALSE),"")</f>
        <v/>
      </c>
      <c r="M431" t="str">
        <f t="shared" si="7"/>
        <v/>
      </c>
      <c r="N431" t="str" cm="1">
        <f t="array" ref="N431">IF(MOD(ROW()-ROW($B$2),16)=0,INDEX($M$2:$M$1000,(ROW()-ROW($B$2))/16+1),"")</f>
        <v/>
      </c>
    </row>
    <row r="432" spans="2:14" x14ac:dyDescent="0.3">
      <c r="B432" t="s">
        <v>2173</v>
      </c>
      <c r="C432" t="s">
        <v>2614</v>
      </c>
      <c r="D432" t="s">
        <v>609</v>
      </c>
      <c r="E432">
        <v>0</v>
      </c>
      <c r="F432" t="s">
        <v>609</v>
      </c>
      <c r="K432" s="12" t="s">
        <v>5501</v>
      </c>
      <c r="L432" t="str">
        <f>IFERROR(VLOOKUP(K432,Таблица7[3]:Таблица7[[#This Row],[6]],2,FALSE),"")</f>
        <v/>
      </c>
      <c r="M432" t="str">
        <f t="shared" si="7"/>
        <v/>
      </c>
      <c r="N432" t="str" cm="1">
        <f t="array" ref="N432">IF(MOD(ROW()-ROW($B$2),16)=0,INDEX($M$2:$M$1000,(ROW()-ROW($B$2))/16+1),"")</f>
        <v/>
      </c>
    </row>
    <row r="433" spans="2:14" x14ac:dyDescent="0.3">
      <c r="B433" t="s">
        <v>2173</v>
      </c>
      <c r="C433" t="s">
        <v>2615</v>
      </c>
      <c r="D433" t="s">
        <v>606</v>
      </c>
      <c r="E433">
        <v>0</v>
      </c>
      <c r="F433" t="s">
        <v>606</v>
      </c>
      <c r="K433" s="12" t="s">
        <v>5502</v>
      </c>
      <c r="L433" t="str">
        <f>IFERROR(VLOOKUP(K433,Таблица7[3]:Таблица7[[#This Row],[6]],2,FALSE),"")</f>
        <v/>
      </c>
      <c r="M433" t="str">
        <f t="shared" si="7"/>
        <v/>
      </c>
      <c r="N433" t="str" cm="1">
        <f t="array" ref="N433">IF(MOD(ROW()-ROW($B$2),16)=0,INDEX($M$2:$M$1000,(ROW()-ROW($B$2))/16+1),"")</f>
        <v/>
      </c>
    </row>
    <row r="434" spans="2:14" x14ac:dyDescent="0.3">
      <c r="B434" t="s">
        <v>2173</v>
      </c>
      <c r="C434" t="s">
        <v>2616</v>
      </c>
      <c r="D434" t="s">
        <v>606</v>
      </c>
      <c r="E434">
        <v>0</v>
      </c>
      <c r="F434" t="s">
        <v>606</v>
      </c>
      <c r="K434" s="12" t="s">
        <v>5503</v>
      </c>
      <c r="L434" t="str">
        <f>IFERROR(VLOOKUP(K434,Таблица7[3]:Таблица7[[#This Row],[6]],2,FALSE),"")</f>
        <v/>
      </c>
      <c r="M434" t="str">
        <f t="shared" si="7"/>
        <v/>
      </c>
      <c r="N434" t="str" cm="1">
        <f t="array" ref="N434">IF(MOD(ROW()-ROW($B$2),16)=0,INDEX($M$2:$M$1000,(ROW()-ROW($B$2))/16+1),"")</f>
        <v>Фиксированное число 27 (0)</v>
      </c>
    </row>
    <row r="435" spans="2:14" x14ac:dyDescent="0.3">
      <c r="B435" t="s">
        <v>2173</v>
      </c>
      <c r="C435" t="s">
        <v>2617</v>
      </c>
      <c r="D435" t="s">
        <v>606</v>
      </c>
      <c r="E435">
        <v>0</v>
      </c>
      <c r="F435" t="s">
        <v>606</v>
      </c>
      <c r="K435" s="12" t="s">
        <v>5504</v>
      </c>
      <c r="L435" t="str">
        <f>IFERROR(VLOOKUP(K435,Таблица7[3]:Таблица7[[#This Row],[6]],2,FALSE),"")</f>
        <v/>
      </c>
      <c r="M435" t="str">
        <f t="shared" si="7"/>
        <v/>
      </c>
      <c r="N435" t="str" cm="1">
        <f t="array" ref="N435">IF(MOD(ROW()-ROW($B$2),16)=0,INDEX($M$2:$M$1000,(ROW()-ROW($B$2))/16+1),"")</f>
        <v/>
      </c>
    </row>
    <row r="436" spans="2:14" x14ac:dyDescent="0.3">
      <c r="B436" t="s">
        <v>2173</v>
      </c>
      <c r="C436" t="s">
        <v>2618</v>
      </c>
      <c r="D436" t="s">
        <v>610</v>
      </c>
      <c r="E436">
        <v>0</v>
      </c>
      <c r="F436" t="s">
        <v>610</v>
      </c>
      <c r="K436" s="12" t="s">
        <v>5505</v>
      </c>
      <c r="L436" t="str">
        <f>IFERROR(VLOOKUP(K436,Таблица7[3]:Таблица7[[#This Row],[6]],2,FALSE),"")</f>
        <v/>
      </c>
      <c r="M436" t="str">
        <f t="shared" si="7"/>
        <v/>
      </c>
      <c r="N436" t="str" cm="1">
        <f t="array" ref="N436">IF(MOD(ROW()-ROW($B$2),16)=0,INDEX($M$2:$M$1000,(ROW()-ROW($B$2))/16+1),"")</f>
        <v/>
      </c>
    </row>
    <row r="437" spans="2:14" x14ac:dyDescent="0.3">
      <c r="B437" t="s">
        <v>2173</v>
      </c>
      <c r="C437" t="s">
        <v>2619</v>
      </c>
      <c r="D437" t="s">
        <v>611</v>
      </c>
      <c r="E437">
        <v>0</v>
      </c>
      <c r="F437" t="s">
        <v>611</v>
      </c>
      <c r="K437" s="12" t="s">
        <v>5506</v>
      </c>
      <c r="L437" t="str">
        <f>IFERROR(VLOOKUP(K437,Таблица7[3]:Таблица7[[#This Row],[6]],2,FALSE),"")</f>
        <v/>
      </c>
      <c r="M437" t="str">
        <f t="shared" si="7"/>
        <v/>
      </c>
      <c r="N437" t="str" cm="1">
        <f t="array" ref="N437">IF(MOD(ROW()-ROW($B$2),16)=0,INDEX($M$2:$M$1000,(ROW()-ROW($B$2))/16+1),"")</f>
        <v/>
      </c>
    </row>
    <row r="438" spans="2:14" x14ac:dyDescent="0.3">
      <c r="B438" t="s">
        <v>2173</v>
      </c>
      <c r="C438" t="s">
        <v>2620</v>
      </c>
      <c r="D438" t="s">
        <v>626</v>
      </c>
      <c r="E438">
        <v>0</v>
      </c>
      <c r="F438" t="s">
        <v>626</v>
      </c>
      <c r="K438" s="12" t="s">
        <v>5507</v>
      </c>
      <c r="L438" t="str">
        <f>IFERROR(VLOOKUP(K438,Таблица7[3]:Таблица7[[#This Row],[6]],2,FALSE),"")</f>
        <v/>
      </c>
      <c r="M438" t="str">
        <f t="shared" si="7"/>
        <v/>
      </c>
      <c r="N438" t="str" cm="1">
        <f t="array" ref="N438">IF(MOD(ROW()-ROW($B$2),16)=0,INDEX($M$2:$M$1000,(ROW()-ROW($B$2))/16+1),"")</f>
        <v/>
      </c>
    </row>
    <row r="439" spans="2:14" x14ac:dyDescent="0.3">
      <c r="B439" t="s">
        <v>2173</v>
      </c>
      <c r="C439" t="s">
        <v>2621</v>
      </c>
      <c r="D439" t="s">
        <v>612</v>
      </c>
      <c r="E439">
        <v>0</v>
      </c>
      <c r="F439" t="s">
        <v>612</v>
      </c>
      <c r="K439" s="12" t="s">
        <v>5508</v>
      </c>
      <c r="L439" t="str">
        <f>IFERROR(VLOOKUP(K439,Таблица7[3]:Таблица7[[#This Row],[6]],2,FALSE),"")</f>
        <v/>
      </c>
      <c r="M439" t="str">
        <f t="shared" si="7"/>
        <v/>
      </c>
      <c r="N439" t="str" cm="1">
        <f t="array" ref="N439">IF(MOD(ROW()-ROW($B$2),16)=0,INDEX($M$2:$M$1000,(ROW()-ROW($B$2))/16+1),"")</f>
        <v/>
      </c>
    </row>
    <row r="440" spans="2:14" x14ac:dyDescent="0.3">
      <c r="B440" t="s">
        <v>2173</v>
      </c>
      <c r="C440" t="s">
        <v>2622</v>
      </c>
      <c r="D440" t="s">
        <v>613</v>
      </c>
      <c r="E440">
        <v>0</v>
      </c>
      <c r="F440" t="s">
        <v>613</v>
      </c>
      <c r="K440" s="12" t="s">
        <v>5509</v>
      </c>
      <c r="L440" t="str">
        <f>IFERROR(VLOOKUP(K440,Таблица7[3]:Таблица7[[#This Row],[6]],2,FALSE),"")</f>
        <v/>
      </c>
      <c r="M440" t="str">
        <f t="shared" si="7"/>
        <v/>
      </c>
      <c r="N440" t="str" cm="1">
        <f t="array" ref="N440">IF(MOD(ROW()-ROW($B$2),16)=0,INDEX($M$2:$M$1000,(ROW()-ROW($B$2))/16+1),"")</f>
        <v/>
      </c>
    </row>
    <row r="441" spans="2:14" x14ac:dyDescent="0.3">
      <c r="B441" t="s">
        <v>2173</v>
      </c>
      <c r="C441" t="s">
        <v>2623</v>
      </c>
      <c r="D441" t="s">
        <v>606</v>
      </c>
      <c r="E441">
        <v>0</v>
      </c>
      <c r="F441" t="s">
        <v>606</v>
      </c>
      <c r="K441" s="12" t="s">
        <v>5510</v>
      </c>
      <c r="L441" t="str">
        <f>IFERROR(VLOOKUP(K441,Таблица7[3]:Таблица7[[#This Row],[6]],2,FALSE),"")</f>
        <v/>
      </c>
      <c r="M441" t="str">
        <f t="shared" si="7"/>
        <v/>
      </c>
      <c r="N441" t="str" cm="1">
        <f t="array" ref="N441">IF(MOD(ROW()-ROW($B$2),16)=0,INDEX($M$2:$M$1000,(ROW()-ROW($B$2))/16+1),"")</f>
        <v/>
      </c>
    </row>
    <row r="442" spans="2:14" x14ac:dyDescent="0.3">
      <c r="B442" t="s">
        <v>2173</v>
      </c>
      <c r="C442" t="s">
        <v>2624</v>
      </c>
      <c r="D442" t="s">
        <v>606</v>
      </c>
      <c r="E442">
        <v>0</v>
      </c>
      <c r="F442" t="s">
        <v>606</v>
      </c>
      <c r="K442" s="12" t="s">
        <v>5511</v>
      </c>
      <c r="L442" t="str">
        <f>IFERROR(VLOOKUP(K442,Таблица7[3]:Таблица7[[#This Row],[6]],2,FALSE),"")</f>
        <v/>
      </c>
      <c r="M442" t="str">
        <f t="shared" si="7"/>
        <v/>
      </c>
      <c r="N442" t="str" cm="1">
        <f t="array" ref="N442">IF(MOD(ROW()-ROW($B$2),16)=0,INDEX($M$2:$M$1000,(ROW()-ROW($B$2))/16+1),"")</f>
        <v/>
      </c>
    </row>
    <row r="443" spans="2:14" x14ac:dyDescent="0.3">
      <c r="B443" t="s">
        <v>2173</v>
      </c>
      <c r="C443" t="s">
        <v>2625</v>
      </c>
      <c r="D443" t="s">
        <v>606</v>
      </c>
      <c r="E443">
        <v>0</v>
      </c>
      <c r="F443" t="s">
        <v>606</v>
      </c>
      <c r="K443" s="12" t="s">
        <v>5512</v>
      </c>
      <c r="L443" t="str">
        <f>IFERROR(VLOOKUP(K443,Таблица7[3]:Таблица7[[#This Row],[6]],2,FALSE),"")</f>
        <v/>
      </c>
      <c r="M443" t="str">
        <f t="shared" si="7"/>
        <v/>
      </c>
      <c r="N443" t="str" cm="1">
        <f t="array" ref="N443">IF(MOD(ROW()-ROW($B$2),16)=0,INDEX($M$2:$M$1000,(ROW()-ROW($B$2))/16+1),"")</f>
        <v/>
      </c>
    </row>
    <row r="444" spans="2:14" x14ac:dyDescent="0.3">
      <c r="B444" t="s">
        <v>2173</v>
      </c>
      <c r="C444" t="s">
        <v>2626</v>
      </c>
      <c r="D444" t="s">
        <v>614</v>
      </c>
      <c r="E444">
        <v>0</v>
      </c>
      <c r="F444" t="s">
        <v>614</v>
      </c>
      <c r="K444" s="12" t="s">
        <v>5513</v>
      </c>
      <c r="L444" t="str">
        <f>IFERROR(VLOOKUP(K444,Таблица7[3]:Таблица7[[#This Row],[6]],2,FALSE),"")</f>
        <v/>
      </c>
      <c r="M444" t="str">
        <f t="shared" si="7"/>
        <v/>
      </c>
      <c r="N444" t="str" cm="1">
        <f t="array" ref="N444">IF(MOD(ROW()-ROW($B$2),16)=0,INDEX($M$2:$M$1000,(ROW()-ROW($B$2))/16+1),"")</f>
        <v/>
      </c>
    </row>
    <row r="445" spans="2:14" x14ac:dyDescent="0.3">
      <c r="B445" t="s">
        <v>2173</v>
      </c>
      <c r="C445" t="s">
        <v>2627</v>
      </c>
      <c r="D445" t="s">
        <v>606</v>
      </c>
      <c r="E445">
        <v>0</v>
      </c>
      <c r="F445" t="s">
        <v>606</v>
      </c>
      <c r="K445" s="12" t="s">
        <v>5514</v>
      </c>
      <c r="L445" t="str">
        <f>IFERROR(VLOOKUP(K445,Таблица7[3]:Таблица7[[#This Row],[6]],2,FALSE),"")</f>
        <v/>
      </c>
      <c r="M445" t="str">
        <f t="shared" si="7"/>
        <v/>
      </c>
      <c r="N445" t="str" cm="1">
        <f t="array" ref="N445">IF(MOD(ROW()-ROW($B$2),16)=0,INDEX($M$2:$M$1000,(ROW()-ROW($B$2))/16+1),"")</f>
        <v/>
      </c>
    </row>
    <row r="446" spans="2:14" x14ac:dyDescent="0.3">
      <c r="B446" t="s">
        <v>2173</v>
      </c>
      <c r="C446" t="s">
        <v>2628</v>
      </c>
      <c r="D446" t="s">
        <v>606</v>
      </c>
      <c r="E446">
        <v>0</v>
      </c>
      <c r="F446" t="s">
        <v>606</v>
      </c>
      <c r="K446" s="12" t="s">
        <v>5515</v>
      </c>
      <c r="L446" t="str">
        <f>IFERROR(VLOOKUP(K446,Таблица7[3]:Таблица7[[#This Row],[6]],2,FALSE),"")</f>
        <v/>
      </c>
      <c r="M446" t="str">
        <f t="shared" si="7"/>
        <v/>
      </c>
      <c r="N446" t="str" cm="1">
        <f t="array" ref="N446">IF(MOD(ROW()-ROW($B$2),16)=0,INDEX($M$2:$M$1000,(ROW()-ROW($B$2))/16+1),"")</f>
        <v/>
      </c>
    </row>
    <row r="447" spans="2:14" x14ac:dyDescent="0.3">
      <c r="B447" t="s">
        <v>2173</v>
      </c>
      <c r="C447" t="s">
        <v>2629</v>
      </c>
      <c r="D447" t="s">
        <v>606</v>
      </c>
      <c r="E447">
        <v>0</v>
      </c>
      <c r="F447" t="s">
        <v>606</v>
      </c>
      <c r="K447" s="12" t="s">
        <v>5516</v>
      </c>
      <c r="L447" t="str">
        <f>IFERROR(VLOOKUP(K447,Таблица7[3]:Таблица7[[#This Row],[6]],2,FALSE),"")</f>
        <v/>
      </c>
      <c r="M447" t="str">
        <f t="shared" si="7"/>
        <v/>
      </c>
      <c r="N447" t="str" cm="1">
        <f t="array" ref="N447">IF(MOD(ROW()-ROW($B$2),16)=0,INDEX($M$2:$M$1000,(ROW()-ROW($B$2))/16+1),"")</f>
        <v/>
      </c>
    </row>
    <row r="448" spans="2:14" x14ac:dyDescent="0.3">
      <c r="B448" t="s">
        <v>2173</v>
      </c>
      <c r="C448" t="s">
        <v>2630</v>
      </c>
      <c r="D448" t="s">
        <v>615</v>
      </c>
      <c r="E448">
        <v>0</v>
      </c>
      <c r="F448" t="s">
        <v>615</v>
      </c>
      <c r="K448" s="12" t="s">
        <v>5517</v>
      </c>
      <c r="L448" t="str">
        <f>IFERROR(VLOOKUP(K448,Таблица7[3]:Таблица7[[#This Row],[6]],2,FALSE),"")</f>
        <v/>
      </c>
      <c r="M448" t="str">
        <f t="shared" si="7"/>
        <v/>
      </c>
      <c r="N448" t="str" cm="1">
        <f t="array" ref="N448">IF(MOD(ROW()-ROW($B$2),16)=0,INDEX($M$2:$M$1000,(ROW()-ROW($B$2))/16+1),"")</f>
        <v/>
      </c>
    </row>
    <row r="449" spans="2:14" x14ac:dyDescent="0.3">
      <c r="B449" t="s">
        <v>2173</v>
      </c>
      <c r="C449" t="s">
        <v>2631</v>
      </c>
      <c r="D449" t="s">
        <v>616</v>
      </c>
      <c r="E449">
        <v>0</v>
      </c>
      <c r="F449" t="s">
        <v>616</v>
      </c>
      <c r="K449" s="12" t="s">
        <v>5518</v>
      </c>
      <c r="L449" t="str">
        <f>IFERROR(VLOOKUP(K449,Таблица7[3]:Таблица7[[#This Row],[6]],2,FALSE),"")</f>
        <v/>
      </c>
      <c r="M449" t="str">
        <f t="shared" si="7"/>
        <v/>
      </c>
      <c r="N449" t="str" cm="1">
        <f t="array" ref="N449">IF(MOD(ROW()-ROW($B$2),16)=0,INDEX($M$2:$M$1000,(ROW()-ROW($B$2))/16+1),"")</f>
        <v/>
      </c>
    </row>
    <row r="450" spans="2:14" x14ac:dyDescent="0.3">
      <c r="B450" t="s">
        <v>2173</v>
      </c>
      <c r="C450" t="s">
        <v>2632</v>
      </c>
      <c r="D450" t="s">
        <v>645</v>
      </c>
      <c r="E450">
        <v>0</v>
      </c>
      <c r="F450" t="s">
        <v>645</v>
      </c>
      <c r="K450" s="12" t="s">
        <v>5519</v>
      </c>
      <c r="L450" t="str">
        <f>IFERROR(VLOOKUP(K450,Таблица7[3]:Таблица7[[#This Row],[6]],2,FALSE),"")</f>
        <v/>
      </c>
      <c r="M450" t="str">
        <f t="shared" si="7"/>
        <v/>
      </c>
      <c r="N450" t="str" cm="1">
        <f t="array" ref="N450">IF(MOD(ROW()-ROW($B$2),16)=0,INDEX($M$2:$M$1000,(ROW()-ROW($B$2))/16+1),"")</f>
        <v>Фиксированное число 28 (0)</v>
      </c>
    </row>
    <row r="451" spans="2:14" x14ac:dyDescent="0.3">
      <c r="B451" t="s">
        <v>2173</v>
      </c>
      <c r="C451" t="s">
        <v>2633</v>
      </c>
      <c r="D451" t="s">
        <v>646</v>
      </c>
      <c r="E451">
        <v>0</v>
      </c>
      <c r="F451" t="s">
        <v>646</v>
      </c>
      <c r="K451" s="12" t="s">
        <v>5520</v>
      </c>
      <c r="L451" t="str">
        <f>IFERROR(VLOOKUP(K451,Таблица7[3]:Таблица7[[#This Row],[6]],2,FALSE),"")</f>
        <v/>
      </c>
      <c r="M451" t="str">
        <f t="shared" ref="M451:M514" si="8">IF(L451&lt;&gt;"",L451&amp;" (0)","")</f>
        <v/>
      </c>
      <c r="N451" t="str" cm="1">
        <f t="array" ref="N451">IF(MOD(ROW()-ROW($B$2),16)=0,INDEX($M$2:$M$1000,(ROW()-ROW($B$2))/16+1),"")</f>
        <v/>
      </c>
    </row>
    <row r="452" spans="2:14" x14ac:dyDescent="0.3">
      <c r="B452" t="s">
        <v>2173</v>
      </c>
      <c r="C452" t="s">
        <v>2634</v>
      </c>
      <c r="D452" t="s">
        <v>647</v>
      </c>
      <c r="E452">
        <v>0</v>
      </c>
      <c r="F452" t="s">
        <v>647</v>
      </c>
      <c r="K452" s="12" t="s">
        <v>5521</v>
      </c>
      <c r="L452" t="str">
        <f>IFERROR(VLOOKUP(K452,Таблица7[3]:Таблица7[[#This Row],[6]],2,FALSE),"")</f>
        <v/>
      </c>
      <c r="M452" t="str">
        <f t="shared" si="8"/>
        <v/>
      </c>
      <c r="N452" t="str" cm="1">
        <f t="array" ref="N452">IF(MOD(ROW()-ROW($B$2),16)=0,INDEX($M$2:$M$1000,(ROW()-ROW($B$2))/16+1),"")</f>
        <v/>
      </c>
    </row>
    <row r="453" spans="2:14" x14ac:dyDescent="0.3">
      <c r="B453" t="s">
        <v>2173</v>
      </c>
      <c r="C453" t="s">
        <v>2635</v>
      </c>
      <c r="D453" t="s">
        <v>648</v>
      </c>
      <c r="E453">
        <v>0</v>
      </c>
      <c r="F453" t="s">
        <v>648</v>
      </c>
      <c r="K453" s="12" t="s">
        <v>5522</v>
      </c>
      <c r="L453" t="str">
        <f>IFERROR(VLOOKUP(K453,Таблица7[3]:Таблица7[[#This Row],[6]],2,FALSE),"")</f>
        <v/>
      </c>
      <c r="M453" t="str">
        <f t="shared" si="8"/>
        <v/>
      </c>
      <c r="N453" t="str" cm="1">
        <f t="array" ref="N453">IF(MOD(ROW()-ROW($B$2),16)=0,INDEX($M$2:$M$1000,(ROW()-ROW($B$2))/16+1),"")</f>
        <v/>
      </c>
    </row>
    <row r="454" spans="2:14" x14ac:dyDescent="0.3">
      <c r="B454" t="s">
        <v>2173</v>
      </c>
      <c r="C454" t="s">
        <v>2636</v>
      </c>
      <c r="D454" t="s">
        <v>649</v>
      </c>
      <c r="E454">
        <v>0</v>
      </c>
      <c r="F454" t="s">
        <v>649</v>
      </c>
      <c r="K454" s="12" t="s">
        <v>5523</v>
      </c>
      <c r="L454" t="str">
        <f>IFERROR(VLOOKUP(K454,Таблица7[3]:Таблица7[[#This Row],[6]],2,FALSE),"")</f>
        <v/>
      </c>
      <c r="M454" t="str">
        <f t="shared" si="8"/>
        <v/>
      </c>
      <c r="N454" t="str" cm="1">
        <f t="array" ref="N454">IF(MOD(ROW()-ROW($B$2),16)=0,INDEX($M$2:$M$1000,(ROW()-ROW($B$2))/16+1),"")</f>
        <v/>
      </c>
    </row>
    <row r="455" spans="2:14" x14ac:dyDescent="0.3">
      <c r="B455" t="s">
        <v>2173</v>
      </c>
      <c r="C455" t="s">
        <v>2637</v>
      </c>
      <c r="D455" t="s">
        <v>650</v>
      </c>
      <c r="E455">
        <v>0</v>
      </c>
      <c r="F455" t="s">
        <v>650</v>
      </c>
      <c r="K455" s="12" t="s">
        <v>5524</v>
      </c>
      <c r="L455" t="str">
        <f>IFERROR(VLOOKUP(K455,Таблица7[3]:Таблица7[[#This Row],[6]],2,FALSE),"")</f>
        <v/>
      </c>
      <c r="M455" t="str">
        <f t="shared" si="8"/>
        <v/>
      </c>
      <c r="N455" t="str" cm="1">
        <f t="array" ref="N455">IF(MOD(ROW()-ROW($B$2),16)=0,INDEX($M$2:$M$1000,(ROW()-ROW($B$2))/16+1),"")</f>
        <v/>
      </c>
    </row>
    <row r="456" spans="2:14" x14ac:dyDescent="0.3">
      <c r="B456" t="s">
        <v>2173</v>
      </c>
      <c r="C456" t="s">
        <v>2638</v>
      </c>
      <c r="D456" t="s">
        <v>651</v>
      </c>
      <c r="E456">
        <v>0</v>
      </c>
      <c r="F456" t="s">
        <v>651</v>
      </c>
      <c r="K456" s="12" t="s">
        <v>5525</v>
      </c>
      <c r="L456" t="str">
        <f>IFERROR(VLOOKUP(K456,Таблица7[3]:Таблица7[[#This Row],[6]],2,FALSE),"")</f>
        <v/>
      </c>
      <c r="M456" t="str">
        <f t="shared" si="8"/>
        <v/>
      </c>
      <c r="N456" t="str" cm="1">
        <f t="array" ref="N456">IF(MOD(ROW()-ROW($B$2),16)=0,INDEX($M$2:$M$1000,(ROW()-ROW($B$2))/16+1),"")</f>
        <v/>
      </c>
    </row>
    <row r="457" spans="2:14" x14ac:dyDescent="0.3">
      <c r="B457" t="s">
        <v>2173</v>
      </c>
      <c r="C457" t="s">
        <v>2639</v>
      </c>
      <c r="D457" t="s">
        <v>652</v>
      </c>
      <c r="E457">
        <v>0</v>
      </c>
      <c r="F457" t="s">
        <v>652</v>
      </c>
      <c r="K457" s="12" t="s">
        <v>5526</v>
      </c>
      <c r="L457" t="str">
        <f>IFERROR(VLOOKUP(K457,Таблица7[3]:Таблица7[[#This Row],[6]],2,FALSE),"")</f>
        <v/>
      </c>
      <c r="M457" t="str">
        <f t="shared" si="8"/>
        <v/>
      </c>
      <c r="N457" t="str" cm="1">
        <f t="array" ref="N457">IF(MOD(ROW()-ROW($B$2),16)=0,INDEX($M$2:$M$1000,(ROW()-ROW($B$2))/16+1),"")</f>
        <v/>
      </c>
    </row>
    <row r="458" spans="2:14" x14ac:dyDescent="0.3">
      <c r="B458" t="s">
        <v>2173</v>
      </c>
      <c r="C458" t="s">
        <v>2640</v>
      </c>
      <c r="D458" t="s">
        <v>653</v>
      </c>
      <c r="E458">
        <v>0</v>
      </c>
      <c r="F458" t="s">
        <v>653</v>
      </c>
      <c r="K458" s="12" t="s">
        <v>5527</v>
      </c>
      <c r="L458" t="str">
        <f>IFERROR(VLOOKUP(K458,Таблица7[3]:Таблица7[[#This Row],[6]],2,FALSE),"")</f>
        <v/>
      </c>
      <c r="M458" t="str">
        <f t="shared" si="8"/>
        <v/>
      </c>
      <c r="N458" t="str" cm="1">
        <f t="array" ref="N458">IF(MOD(ROW()-ROW($B$2),16)=0,INDEX($M$2:$M$1000,(ROW()-ROW($B$2))/16+1),"")</f>
        <v/>
      </c>
    </row>
    <row r="459" spans="2:14" x14ac:dyDescent="0.3">
      <c r="B459" t="s">
        <v>2173</v>
      </c>
      <c r="C459" t="s">
        <v>2641</v>
      </c>
      <c r="D459" t="s">
        <v>654</v>
      </c>
      <c r="E459">
        <v>0</v>
      </c>
      <c r="F459" t="s">
        <v>654</v>
      </c>
      <c r="K459" s="12" t="s">
        <v>5528</v>
      </c>
      <c r="L459" t="str">
        <f>IFERROR(VLOOKUP(K459,Таблица7[3]:Таблица7[[#This Row],[6]],2,FALSE),"")</f>
        <v/>
      </c>
      <c r="M459" t="str">
        <f t="shared" si="8"/>
        <v/>
      </c>
      <c r="N459" t="str" cm="1">
        <f t="array" ref="N459">IF(MOD(ROW()-ROW($B$2),16)=0,INDEX($M$2:$M$1000,(ROW()-ROW($B$2))/16+1),"")</f>
        <v/>
      </c>
    </row>
    <row r="460" spans="2:14" x14ac:dyDescent="0.3">
      <c r="B460" t="s">
        <v>2173</v>
      </c>
      <c r="C460" t="s">
        <v>2642</v>
      </c>
      <c r="D460" t="s">
        <v>655</v>
      </c>
      <c r="E460">
        <v>0</v>
      </c>
      <c r="F460" t="s">
        <v>655</v>
      </c>
      <c r="K460" s="12" t="s">
        <v>5529</v>
      </c>
      <c r="L460" t="str">
        <f>IFERROR(VLOOKUP(K460,Таблица7[3]:Таблица7[[#This Row],[6]],2,FALSE),"")</f>
        <v/>
      </c>
      <c r="M460" t="str">
        <f t="shared" si="8"/>
        <v/>
      </c>
      <c r="N460" t="str" cm="1">
        <f t="array" ref="N460">IF(MOD(ROW()-ROW($B$2),16)=0,INDEX($M$2:$M$1000,(ROW()-ROW($B$2))/16+1),"")</f>
        <v/>
      </c>
    </row>
    <row r="461" spans="2:14" x14ac:dyDescent="0.3">
      <c r="B461" t="s">
        <v>2173</v>
      </c>
      <c r="C461" t="s">
        <v>2643</v>
      </c>
      <c r="D461" t="s">
        <v>656</v>
      </c>
      <c r="E461">
        <v>0</v>
      </c>
      <c r="F461" t="s">
        <v>656</v>
      </c>
      <c r="K461" s="12" t="s">
        <v>5530</v>
      </c>
      <c r="L461" t="str">
        <f>IFERROR(VLOOKUP(K461,Таблица7[3]:Таблица7[[#This Row],[6]],2,FALSE),"")</f>
        <v/>
      </c>
      <c r="M461" t="str">
        <f t="shared" si="8"/>
        <v/>
      </c>
      <c r="N461" t="str" cm="1">
        <f t="array" ref="N461">IF(MOD(ROW()-ROW($B$2),16)=0,INDEX($M$2:$M$1000,(ROW()-ROW($B$2))/16+1),"")</f>
        <v/>
      </c>
    </row>
    <row r="462" spans="2:14" x14ac:dyDescent="0.3">
      <c r="B462" t="s">
        <v>2173</v>
      </c>
      <c r="C462" t="s">
        <v>2644</v>
      </c>
      <c r="D462" t="s">
        <v>657</v>
      </c>
      <c r="E462">
        <v>0</v>
      </c>
      <c r="F462" t="s">
        <v>657</v>
      </c>
      <c r="K462" s="12" t="s">
        <v>5531</v>
      </c>
      <c r="L462" t="str">
        <f>IFERROR(VLOOKUP(K462,Таблица7[3]:Таблица7[[#This Row],[6]],2,FALSE),"")</f>
        <v/>
      </c>
      <c r="M462" t="str">
        <f t="shared" si="8"/>
        <v/>
      </c>
      <c r="N462" t="str" cm="1">
        <f t="array" ref="N462">IF(MOD(ROW()-ROW($B$2),16)=0,INDEX($M$2:$M$1000,(ROW()-ROW($B$2))/16+1),"")</f>
        <v/>
      </c>
    </row>
    <row r="463" spans="2:14" x14ac:dyDescent="0.3">
      <c r="B463" t="s">
        <v>2173</v>
      </c>
      <c r="C463" t="s">
        <v>2645</v>
      </c>
      <c r="D463" t="s">
        <v>658</v>
      </c>
      <c r="E463">
        <v>0</v>
      </c>
      <c r="F463" t="s">
        <v>658</v>
      </c>
      <c r="K463" s="12" t="s">
        <v>5532</v>
      </c>
      <c r="L463" t="str">
        <f>IFERROR(VLOOKUP(K463,Таблица7[3]:Таблица7[[#This Row],[6]],2,FALSE),"")</f>
        <v/>
      </c>
      <c r="M463" t="str">
        <f t="shared" si="8"/>
        <v/>
      </c>
      <c r="N463" t="str" cm="1">
        <f t="array" ref="N463">IF(MOD(ROW()-ROW($B$2),16)=0,INDEX($M$2:$M$1000,(ROW()-ROW($B$2))/16+1),"")</f>
        <v/>
      </c>
    </row>
    <row r="464" spans="2:14" x14ac:dyDescent="0.3">
      <c r="B464" t="s">
        <v>2173</v>
      </c>
      <c r="C464" t="s">
        <v>2646</v>
      </c>
      <c r="D464" t="s">
        <v>659</v>
      </c>
      <c r="E464">
        <v>0</v>
      </c>
      <c r="F464" t="s">
        <v>659</v>
      </c>
      <c r="K464" s="12" t="s">
        <v>5533</v>
      </c>
      <c r="L464" t="str">
        <f>IFERROR(VLOOKUP(K464,Таблица7[3]:Таблица7[[#This Row],[6]],2,FALSE),"")</f>
        <v/>
      </c>
      <c r="M464" t="str">
        <f t="shared" si="8"/>
        <v/>
      </c>
      <c r="N464" t="str" cm="1">
        <f t="array" ref="N464">IF(MOD(ROW()-ROW($B$2),16)=0,INDEX($M$2:$M$1000,(ROW()-ROW($B$2))/16+1),"")</f>
        <v/>
      </c>
    </row>
    <row r="465" spans="2:14" x14ac:dyDescent="0.3">
      <c r="B465" t="s">
        <v>2173</v>
      </c>
      <c r="C465" t="s">
        <v>2647</v>
      </c>
      <c r="D465" t="s">
        <v>660</v>
      </c>
      <c r="E465">
        <v>0</v>
      </c>
      <c r="F465" t="s">
        <v>660</v>
      </c>
      <c r="K465" s="12" t="s">
        <v>5534</v>
      </c>
      <c r="L465" t="str">
        <f>IFERROR(VLOOKUP(K465,Таблица7[3]:Таблица7[[#This Row],[6]],2,FALSE),"")</f>
        <v/>
      </c>
      <c r="M465" t="str">
        <f t="shared" si="8"/>
        <v/>
      </c>
      <c r="N465" t="str" cm="1">
        <f t="array" ref="N465">IF(MOD(ROW()-ROW($B$2),16)=0,INDEX($M$2:$M$1000,(ROW()-ROW($B$2))/16+1),"")</f>
        <v/>
      </c>
    </row>
    <row r="466" spans="2:14" x14ac:dyDescent="0.3">
      <c r="B466" t="s">
        <v>2173</v>
      </c>
      <c r="C466" t="s">
        <v>2648</v>
      </c>
      <c r="D466" t="s">
        <v>661</v>
      </c>
      <c r="E466">
        <v>0</v>
      </c>
      <c r="F466" t="s">
        <v>661</v>
      </c>
      <c r="K466" s="12" t="s">
        <v>5535</v>
      </c>
      <c r="L466" t="str">
        <f>IFERROR(VLOOKUP(K466,Таблица7[3]:Таблица7[[#This Row],[6]],2,FALSE),"")</f>
        <v/>
      </c>
      <c r="M466" t="str">
        <f t="shared" si="8"/>
        <v/>
      </c>
      <c r="N466" t="str" cm="1">
        <f t="array" ref="N466">IF(MOD(ROW()-ROW($B$2),16)=0,INDEX($M$2:$M$1000,(ROW()-ROW($B$2))/16+1),"")</f>
        <v>Фиксированное число 29 (0)</v>
      </c>
    </row>
    <row r="467" spans="2:14" x14ac:dyDescent="0.3">
      <c r="B467" t="s">
        <v>2173</v>
      </c>
      <c r="C467" t="s">
        <v>2649</v>
      </c>
      <c r="D467" t="s">
        <v>662</v>
      </c>
      <c r="E467">
        <v>0</v>
      </c>
      <c r="F467" t="s">
        <v>662</v>
      </c>
      <c r="K467" s="12" t="s">
        <v>5536</v>
      </c>
      <c r="L467" t="str">
        <f>IFERROR(VLOOKUP(K467,Таблица7[3]:Таблица7[[#This Row],[6]],2,FALSE),"")</f>
        <v/>
      </c>
      <c r="M467" t="str">
        <f t="shared" si="8"/>
        <v/>
      </c>
      <c r="N467" t="str" cm="1">
        <f t="array" ref="N467">IF(MOD(ROW()-ROW($B$2),16)=0,INDEX($M$2:$M$1000,(ROW()-ROW($B$2))/16+1),"")</f>
        <v/>
      </c>
    </row>
    <row r="468" spans="2:14" x14ac:dyDescent="0.3">
      <c r="B468" t="s">
        <v>2173</v>
      </c>
      <c r="C468" t="s">
        <v>2650</v>
      </c>
      <c r="D468" t="s">
        <v>663</v>
      </c>
      <c r="E468">
        <v>0</v>
      </c>
      <c r="F468" t="s">
        <v>663</v>
      </c>
      <c r="K468" s="12" t="s">
        <v>5537</v>
      </c>
      <c r="L468" t="str">
        <f>IFERROR(VLOOKUP(K468,Таблица7[3]:Таблица7[[#This Row],[6]],2,FALSE),"")</f>
        <v/>
      </c>
      <c r="M468" t="str">
        <f t="shared" si="8"/>
        <v/>
      </c>
      <c r="N468" t="str" cm="1">
        <f t="array" ref="N468">IF(MOD(ROW()-ROW($B$2),16)=0,INDEX($M$2:$M$1000,(ROW()-ROW($B$2))/16+1),"")</f>
        <v/>
      </c>
    </row>
    <row r="469" spans="2:14" x14ac:dyDescent="0.3">
      <c r="B469" t="s">
        <v>2173</v>
      </c>
      <c r="C469" t="s">
        <v>2651</v>
      </c>
      <c r="D469" t="s">
        <v>664</v>
      </c>
      <c r="E469">
        <v>0</v>
      </c>
      <c r="F469" t="s">
        <v>664</v>
      </c>
      <c r="K469" s="12" t="s">
        <v>5538</v>
      </c>
      <c r="L469" t="str">
        <f>IFERROR(VLOOKUP(K469,Таблица7[3]:Таблица7[[#This Row],[6]],2,FALSE),"")</f>
        <v/>
      </c>
      <c r="M469" t="str">
        <f t="shared" si="8"/>
        <v/>
      </c>
      <c r="N469" t="str" cm="1">
        <f t="array" ref="N469">IF(MOD(ROW()-ROW($B$2),16)=0,INDEX($M$2:$M$1000,(ROW()-ROW($B$2))/16+1),"")</f>
        <v/>
      </c>
    </row>
    <row r="470" spans="2:14" x14ac:dyDescent="0.3">
      <c r="B470" t="s">
        <v>2173</v>
      </c>
      <c r="C470" t="s">
        <v>2652</v>
      </c>
      <c r="D470" t="s">
        <v>665</v>
      </c>
      <c r="E470">
        <v>0</v>
      </c>
      <c r="F470" t="s">
        <v>665</v>
      </c>
      <c r="K470" s="12" t="s">
        <v>5539</v>
      </c>
      <c r="L470" t="str">
        <f>IFERROR(VLOOKUP(K470,Таблица7[3]:Таблица7[[#This Row],[6]],2,FALSE),"")</f>
        <v/>
      </c>
      <c r="M470" t="str">
        <f t="shared" si="8"/>
        <v/>
      </c>
      <c r="N470" t="str" cm="1">
        <f t="array" ref="N470">IF(MOD(ROW()-ROW($B$2),16)=0,INDEX($M$2:$M$1000,(ROW()-ROW($B$2))/16+1),"")</f>
        <v/>
      </c>
    </row>
    <row r="471" spans="2:14" x14ac:dyDescent="0.3">
      <c r="B471" t="s">
        <v>2173</v>
      </c>
      <c r="C471" t="s">
        <v>2653</v>
      </c>
      <c r="D471" t="s">
        <v>666</v>
      </c>
      <c r="E471">
        <v>0</v>
      </c>
      <c r="F471" t="s">
        <v>666</v>
      </c>
      <c r="K471" s="12" t="s">
        <v>5540</v>
      </c>
      <c r="L471" t="str">
        <f>IFERROR(VLOOKUP(K471,Таблица7[3]:Таблица7[[#This Row],[6]],2,FALSE),"")</f>
        <v/>
      </c>
      <c r="M471" t="str">
        <f t="shared" si="8"/>
        <v/>
      </c>
      <c r="N471" t="str" cm="1">
        <f t="array" ref="N471">IF(MOD(ROW()-ROW($B$2),16)=0,INDEX($M$2:$M$1000,(ROW()-ROW($B$2))/16+1),"")</f>
        <v/>
      </c>
    </row>
    <row r="472" spans="2:14" x14ac:dyDescent="0.3">
      <c r="B472" t="s">
        <v>2173</v>
      </c>
      <c r="C472" t="s">
        <v>2654</v>
      </c>
      <c r="D472" t="s">
        <v>667</v>
      </c>
      <c r="E472">
        <v>0</v>
      </c>
      <c r="F472" t="s">
        <v>667</v>
      </c>
      <c r="K472" s="12" t="s">
        <v>5541</v>
      </c>
      <c r="L472" t="str">
        <f>IFERROR(VLOOKUP(K472,Таблица7[3]:Таблица7[[#This Row],[6]],2,FALSE),"")</f>
        <v/>
      </c>
      <c r="M472" t="str">
        <f t="shared" si="8"/>
        <v/>
      </c>
      <c r="N472" t="str" cm="1">
        <f t="array" ref="N472">IF(MOD(ROW()-ROW($B$2),16)=0,INDEX($M$2:$M$1000,(ROW()-ROW($B$2))/16+1),"")</f>
        <v/>
      </c>
    </row>
    <row r="473" spans="2:14" x14ac:dyDescent="0.3">
      <c r="B473" t="s">
        <v>2173</v>
      </c>
      <c r="C473" t="s">
        <v>2655</v>
      </c>
      <c r="D473" t="s">
        <v>668</v>
      </c>
      <c r="E473">
        <v>0</v>
      </c>
      <c r="F473" t="s">
        <v>668</v>
      </c>
      <c r="K473" s="12" t="s">
        <v>5542</v>
      </c>
      <c r="L473" t="str">
        <f>IFERROR(VLOOKUP(K473,Таблица7[3]:Таблица7[[#This Row],[6]],2,FALSE),"")</f>
        <v/>
      </c>
      <c r="M473" t="str">
        <f t="shared" si="8"/>
        <v/>
      </c>
      <c r="N473" t="str" cm="1">
        <f t="array" ref="N473">IF(MOD(ROW()-ROW($B$2),16)=0,INDEX($M$2:$M$1000,(ROW()-ROW($B$2))/16+1),"")</f>
        <v/>
      </c>
    </row>
    <row r="474" spans="2:14" x14ac:dyDescent="0.3">
      <c r="B474" t="s">
        <v>2173</v>
      </c>
      <c r="C474" t="s">
        <v>2656</v>
      </c>
      <c r="D474" t="s">
        <v>669</v>
      </c>
      <c r="E474">
        <v>0</v>
      </c>
      <c r="F474" t="s">
        <v>669</v>
      </c>
      <c r="K474" s="12" t="s">
        <v>5543</v>
      </c>
      <c r="L474" t="str">
        <f>IFERROR(VLOOKUP(K474,Таблица7[3]:Таблица7[[#This Row],[6]],2,FALSE),"")</f>
        <v/>
      </c>
      <c r="M474" t="str">
        <f t="shared" si="8"/>
        <v/>
      </c>
      <c r="N474" t="str" cm="1">
        <f t="array" ref="N474">IF(MOD(ROW()-ROW($B$2),16)=0,INDEX($M$2:$M$1000,(ROW()-ROW($B$2))/16+1),"")</f>
        <v/>
      </c>
    </row>
    <row r="475" spans="2:14" x14ac:dyDescent="0.3">
      <c r="B475" t="s">
        <v>2173</v>
      </c>
      <c r="C475" t="s">
        <v>2657</v>
      </c>
      <c r="D475" t="s">
        <v>670</v>
      </c>
      <c r="E475">
        <v>0</v>
      </c>
      <c r="F475" t="s">
        <v>670</v>
      </c>
      <c r="K475" s="12" t="s">
        <v>5544</v>
      </c>
      <c r="L475" t="str">
        <f>IFERROR(VLOOKUP(K475,Таблица7[3]:Таблица7[[#This Row],[6]],2,FALSE),"")</f>
        <v/>
      </c>
      <c r="M475" t="str">
        <f t="shared" si="8"/>
        <v/>
      </c>
      <c r="N475" t="str" cm="1">
        <f t="array" ref="N475">IF(MOD(ROW()-ROW($B$2),16)=0,INDEX($M$2:$M$1000,(ROW()-ROW($B$2))/16+1),"")</f>
        <v/>
      </c>
    </row>
    <row r="476" spans="2:14" x14ac:dyDescent="0.3">
      <c r="B476" t="s">
        <v>2173</v>
      </c>
      <c r="C476" t="s">
        <v>2658</v>
      </c>
      <c r="D476" t="s">
        <v>671</v>
      </c>
      <c r="E476">
        <v>0</v>
      </c>
      <c r="F476" t="s">
        <v>671</v>
      </c>
      <c r="K476" s="12" t="s">
        <v>5545</v>
      </c>
      <c r="L476" t="str">
        <f>IFERROR(VLOOKUP(K476,Таблица7[3]:Таблица7[[#This Row],[6]],2,FALSE),"")</f>
        <v/>
      </c>
      <c r="M476" t="str">
        <f t="shared" si="8"/>
        <v/>
      </c>
      <c r="N476" t="str" cm="1">
        <f t="array" ref="N476">IF(MOD(ROW()-ROW($B$2),16)=0,INDEX($M$2:$M$1000,(ROW()-ROW($B$2))/16+1),"")</f>
        <v/>
      </c>
    </row>
    <row r="477" spans="2:14" x14ac:dyDescent="0.3">
      <c r="B477" t="s">
        <v>2173</v>
      </c>
      <c r="C477" t="s">
        <v>2659</v>
      </c>
      <c r="D477" t="s">
        <v>672</v>
      </c>
      <c r="E477">
        <v>0</v>
      </c>
      <c r="F477" t="s">
        <v>672</v>
      </c>
      <c r="K477" s="12" t="s">
        <v>5546</v>
      </c>
      <c r="L477" t="str">
        <f>IFERROR(VLOOKUP(K477,Таблица7[3]:Таблица7[[#This Row],[6]],2,FALSE),"")</f>
        <v/>
      </c>
      <c r="M477" t="str">
        <f t="shared" si="8"/>
        <v/>
      </c>
      <c r="N477" t="str" cm="1">
        <f t="array" ref="N477">IF(MOD(ROW()-ROW($B$2),16)=0,INDEX($M$2:$M$1000,(ROW()-ROW($B$2))/16+1),"")</f>
        <v/>
      </c>
    </row>
    <row r="478" spans="2:14" x14ac:dyDescent="0.3">
      <c r="B478" t="s">
        <v>2173</v>
      </c>
      <c r="C478" t="s">
        <v>2660</v>
      </c>
      <c r="D478" t="s">
        <v>673</v>
      </c>
      <c r="E478">
        <v>0</v>
      </c>
      <c r="F478" t="s">
        <v>673</v>
      </c>
      <c r="K478" s="12" t="s">
        <v>5547</v>
      </c>
      <c r="L478" t="str">
        <f>IFERROR(VLOOKUP(K478,Таблица7[3]:Таблица7[[#This Row],[6]],2,FALSE),"")</f>
        <v/>
      </c>
      <c r="M478" t="str">
        <f t="shared" si="8"/>
        <v/>
      </c>
      <c r="N478" t="str" cm="1">
        <f t="array" ref="N478">IF(MOD(ROW()-ROW($B$2),16)=0,INDEX($M$2:$M$1000,(ROW()-ROW($B$2))/16+1),"")</f>
        <v/>
      </c>
    </row>
    <row r="479" spans="2:14" x14ac:dyDescent="0.3">
      <c r="B479" t="s">
        <v>2173</v>
      </c>
      <c r="C479" t="s">
        <v>2661</v>
      </c>
      <c r="D479" t="s">
        <v>674</v>
      </c>
      <c r="E479">
        <v>0</v>
      </c>
      <c r="F479" t="s">
        <v>674</v>
      </c>
      <c r="K479" s="12" t="s">
        <v>5548</v>
      </c>
      <c r="L479" t="str">
        <f>IFERROR(VLOOKUP(K479,Таблица7[3]:Таблица7[[#This Row],[6]],2,FALSE),"")</f>
        <v/>
      </c>
      <c r="M479" t="str">
        <f t="shared" si="8"/>
        <v/>
      </c>
      <c r="N479" t="str" cm="1">
        <f t="array" ref="N479">IF(MOD(ROW()-ROW($B$2),16)=0,INDEX($M$2:$M$1000,(ROW()-ROW($B$2))/16+1),"")</f>
        <v/>
      </c>
    </row>
    <row r="480" spans="2:14" x14ac:dyDescent="0.3">
      <c r="B480" t="s">
        <v>2173</v>
      </c>
      <c r="C480" t="s">
        <v>2662</v>
      </c>
      <c r="D480" t="s">
        <v>675</v>
      </c>
      <c r="E480">
        <v>0</v>
      </c>
      <c r="F480" t="s">
        <v>675</v>
      </c>
      <c r="K480" s="12" t="s">
        <v>5549</v>
      </c>
      <c r="L480" t="str">
        <f>IFERROR(VLOOKUP(K480,Таблица7[3]:Таблица7[[#This Row],[6]],2,FALSE),"")</f>
        <v/>
      </c>
      <c r="M480" t="str">
        <f t="shared" si="8"/>
        <v/>
      </c>
      <c r="N480" t="str" cm="1">
        <f t="array" ref="N480">IF(MOD(ROW()-ROW($B$2),16)=0,INDEX($M$2:$M$1000,(ROW()-ROW($B$2))/16+1),"")</f>
        <v/>
      </c>
    </row>
    <row r="481" spans="2:14" x14ac:dyDescent="0.3">
      <c r="B481" t="s">
        <v>2173</v>
      </c>
      <c r="C481" t="s">
        <v>2663</v>
      </c>
      <c r="D481" t="s">
        <v>676</v>
      </c>
      <c r="E481">
        <v>0</v>
      </c>
      <c r="F481" t="s">
        <v>676</v>
      </c>
      <c r="K481" s="12" t="s">
        <v>5550</v>
      </c>
      <c r="L481" t="str">
        <f>IFERROR(VLOOKUP(K481,Таблица7[3]:Таблица7[[#This Row],[6]],2,FALSE),"")</f>
        <v/>
      </c>
      <c r="M481" t="str">
        <f t="shared" si="8"/>
        <v/>
      </c>
      <c r="N481" t="str" cm="1">
        <f t="array" ref="N481">IF(MOD(ROW()-ROW($B$2),16)=0,INDEX($M$2:$M$1000,(ROW()-ROW($B$2))/16+1),"")</f>
        <v/>
      </c>
    </row>
    <row r="482" spans="2:14" x14ac:dyDescent="0.3">
      <c r="B482" t="s">
        <v>2173</v>
      </c>
      <c r="C482" t="s">
        <v>2664</v>
      </c>
      <c r="D482" t="s">
        <v>677</v>
      </c>
      <c r="E482">
        <v>0</v>
      </c>
      <c r="F482" t="s">
        <v>677</v>
      </c>
      <c r="K482" s="12" t="s">
        <v>5551</v>
      </c>
      <c r="L482" t="str">
        <f>IFERROR(VLOOKUP(K482,Таблица7[3]:Таблица7[[#This Row],[6]],2,FALSE),"")</f>
        <v/>
      </c>
      <c r="M482" t="str">
        <f t="shared" si="8"/>
        <v/>
      </c>
      <c r="N482" t="str" cm="1">
        <f t="array" ref="N482">IF(MOD(ROW()-ROW($B$2),16)=0,INDEX($M$2:$M$1000,(ROW()-ROW($B$2))/16+1),"")</f>
        <v>Фиксированное число 30 (0)</v>
      </c>
    </row>
    <row r="483" spans="2:14" x14ac:dyDescent="0.3">
      <c r="B483" t="s">
        <v>2173</v>
      </c>
      <c r="C483" t="s">
        <v>2665</v>
      </c>
      <c r="D483" t="s">
        <v>678</v>
      </c>
      <c r="E483">
        <v>0</v>
      </c>
      <c r="F483" t="s">
        <v>678</v>
      </c>
      <c r="K483" s="12" t="s">
        <v>5552</v>
      </c>
      <c r="L483" t="str">
        <f>IFERROR(VLOOKUP(K483,Таблица7[3]:Таблица7[[#This Row],[6]],2,FALSE),"")</f>
        <v/>
      </c>
      <c r="M483" t="str">
        <f t="shared" si="8"/>
        <v/>
      </c>
      <c r="N483" t="str" cm="1">
        <f t="array" ref="N483">IF(MOD(ROW()-ROW($B$2),16)=0,INDEX($M$2:$M$1000,(ROW()-ROW($B$2))/16+1),"")</f>
        <v/>
      </c>
    </row>
    <row r="484" spans="2:14" x14ac:dyDescent="0.3">
      <c r="B484" t="s">
        <v>2173</v>
      </c>
      <c r="C484" t="s">
        <v>2666</v>
      </c>
      <c r="D484" t="s">
        <v>679</v>
      </c>
      <c r="E484">
        <v>0</v>
      </c>
      <c r="F484" t="s">
        <v>679</v>
      </c>
      <c r="K484" s="12" t="s">
        <v>5553</v>
      </c>
      <c r="L484" t="str">
        <f>IFERROR(VLOOKUP(K484,Таблица7[3]:Таблица7[[#This Row],[6]],2,FALSE),"")</f>
        <v/>
      </c>
      <c r="M484" t="str">
        <f t="shared" si="8"/>
        <v/>
      </c>
      <c r="N484" t="str" cm="1">
        <f t="array" ref="N484">IF(MOD(ROW()-ROW($B$2),16)=0,INDEX($M$2:$M$1000,(ROW()-ROW($B$2))/16+1),"")</f>
        <v/>
      </c>
    </row>
    <row r="485" spans="2:14" x14ac:dyDescent="0.3">
      <c r="B485" t="s">
        <v>2173</v>
      </c>
      <c r="C485" t="s">
        <v>2667</v>
      </c>
      <c r="D485" t="s">
        <v>680</v>
      </c>
      <c r="E485">
        <v>0</v>
      </c>
      <c r="F485" t="s">
        <v>680</v>
      </c>
      <c r="K485" s="12" t="s">
        <v>5554</v>
      </c>
      <c r="L485" t="str">
        <f>IFERROR(VLOOKUP(K485,Таблица7[3]:Таблица7[[#This Row],[6]],2,FALSE),"")</f>
        <v/>
      </c>
      <c r="M485" t="str">
        <f t="shared" si="8"/>
        <v/>
      </c>
      <c r="N485" t="str" cm="1">
        <f t="array" ref="N485">IF(MOD(ROW()-ROW($B$2),16)=0,INDEX($M$2:$M$1000,(ROW()-ROW($B$2))/16+1),"")</f>
        <v/>
      </c>
    </row>
    <row r="486" spans="2:14" x14ac:dyDescent="0.3">
      <c r="B486" t="s">
        <v>2173</v>
      </c>
      <c r="C486" t="s">
        <v>2668</v>
      </c>
      <c r="D486" t="s">
        <v>681</v>
      </c>
      <c r="E486">
        <v>0</v>
      </c>
      <c r="F486" t="s">
        <v>681</v>
      </c>
      <c r="K486" s="12" t="s">
        <v>5555</v>
      </c>
      <c r="L486" t="str">
        <f>IFERROR(VLOOKUP(K486,Таблица7[3]:Таблица7[[#This Row],[6]],2,FALSE),"")</f>
        <v/>
      </c>
      <c r="M486" t="str">
        <f t="shared" si="8"/>
        <v/>
      </c>
      <c r="N486" t="str" cm="1">
        <f t="array" ref="N486">IF(MOD(ROW()-ROW($B$2),16)=0,INDEX($M$2:$M$1000,(ROW()-ROW($B$2))/16+1),"")</f>
        <v/>
      </c>
    </row>
    <row r="487" spans="2:14" x14ac:dyDescent="0.3">
      <c r="B487" t="s">
        <v>2173</v>
      </c>
      <c r="C487" t="s">
        <v>2669</v>
      </c>
      <c r="D487" t="s">
        <v>682</v>
      </c>
      <c r="E487">
        <v>0</v>
      </c>
      <c r="F487" t="s">
        <v>682</v>
      </c>
      <c r="K487" s="12" t="s">
        <v>5556</v>
      </c>
      <c r="L487" t="str">
        <f>IFERROR(VLOOKUP(K487,Таблица7[3]:Таблица7[[#This Row],[6]],2,FALSE),"")</f>
        <v/>
      </c>
      <c r="M487" t="str">
        <f t="shared" si="8"/>
        <v/>
      </c>
      <c r="N487" t="str" cm="1">
        <f t="array" ref="N487">IF(MOD(ROW()-ROW($B$2),16)=0,INDEX($M$2:$M$1000,(ROW()-ROW($B$2))/16+1),"")</f>
        <v/>
      </c>
    </row>
    <row r="488" spans="2:14" x14ac:dyDescent="0.3">
      <c r="B488" t="s">
        <v>2173</v>
      </c>
      <c r="C488" t="s">
        <v>2670</v>
      </c>
      <c r="D488" t="s">
        <v>683</v>
      </c>
      <c r="E488">
        <v>0</v>
      </c>
      <c r="F488" t="s">
        <v>683</v>
      </c>
      <c r="K488" s="12" t="s">
        <v>5557</v>
      </c>
      <c r="L488" t="str">
        <f>IFERROR(VLOOKUP(K488,Таблица7[3]:Таблица7[[#This Row],[6]],2,FALSE),"")</f>
        <v/>
      </c>
      <c r="M488" t="str">
        <f t="shared" si="8"/>
        <v/>
      </c>
      <c r="N488" t="str" cm="1">
        <f t="array" ref="N488">IF(MOD(ROW()-ROW($B$2),16)=0,INDEX($M$2:$M$1000,(ROW()-ROW($B$2))/16+1),"")</f>
        <v/>
      </c>
    </row>
    <row r="489" spans="2:14" x14ac:dyDescent="0.3">
      <c r="B489" t="s">
        <v>2173</v>
      </c>
      <c r="C489" t="s">
        <v>2671</v>
      </c>
      <c r="D489" t="s">
        <v>684</v>
      </c>
      <c r="E489">
        <v>0</v>
      </c>
      <c r="F489" t="s">
        <v>684</v>
      </c>
      <c r="K489" s="12" t="s">
        <v>5558</v>
      </c>
      <c r="L489" t="str">
        <f>IFERROR(VLOOKUP(K489,Таблица7[3]:Таблица7[[#This Row],[6]],2,FALSE),"")</f>
        <v/>
      </c>
      <c r="M489" t="str">
        <f t="shared" si="8"/>
        <v/>
      </c>
      <c r="N489" t="str" cm="1">
        <f t="array" ref="N489">IF(MOD(ROW()-ROW($B$2),16)=0,INDEX($M$2:$M$1000,(ROW()-ROW($B$2))/16+1),"")</f>
        <v/>
      </c>
    </row>
    <row r="490" spans="2:14" x14ac:dyDescent="0.3">
      <c r="B490" t="s">
        <v>2173</v>
      </c>
      <c r="C490" t="s">
        <v>2672</v>
      </c>
      <c r="D490" t="s">
        <v>685</v>
      </c>
      <c r="E490">
        <v>0</v>
      </c>
      <c r="F490" t="s">
        <v>685</v>
      </c>
      <c r="K490" s="12" t="s">
        <v>5559</v>
      </c>
      <c r="L490" t="str">
        <f>IFERROR(VLOOKUP(K490,Таблица7[3]:Таблица7[[#This Row],[6]],2,FALSE),"")</f>
        <v/>
      </c>
      <c r="M490" t="str">
        <f t="shared" si="8"/>
        <v/>
      </c>
      <c r="N490" t="str" cm="1">
        <f t="array" ref="N490">IF(MOD(ROW()-ROW($B$2),16)=0,INDEX($M$2:$M$1000,(ROW()-ROW($B$2))/16+1),"")</f>
        <v/>
      </c>
    </row>
    <row r="491" spans="2:14" x14ac:dyDescent="0.3">
      <c r="B491" t="s">
        <v>2173</v>
      </c>
      <c r="C491" t="s">
        <v>2673</v>
      </c>
      <c r="D491" t="s">
        <v>686</v>
      </c>
      <c r="E491">
        <v>0</v>
      </c>
      <c r="F491" t="s">
        <v>686</v>
      </c>
      <c r="K491" s="12" t="s">
        <v>5560</v>
      </c>
      <c r="L491" t="str">
        <f>IFERROR(VLOOKUP(K491,Таблица7[3]:Таблица7[[#This Row],[6]],2,FALSE),"")</f>
        <v/>
      </c>
      <c r="M491" t="str">
        <f t="shared" si="8"/>
        <v/>
      </c>
      <c r="N491" t="str" cm="1">
        <f t="array" ref="N491">IF(MOD(ROW()-ROW($B$2),16)=0,INDEX($M$2:$M$1000,(ROW()-ROW($B$2))/16+1),"")</f>
        <v/>
      </c>
    </row>
    <row r="492" spans="2:14" x14ac:dyDescent="0.3">
      <c r="B492" t="s">
        <v>2173</v>
      </c>
      <c r="C492" t="s">
        <v>2674</v>
      </c>
      <c r="D492" t="s">
        <v>687</v>
      </c>
      <c r="E492">
        <v>0</v>
      </c>
      <c r="F492" t="s">
        <v>687</v>
      </c>
      <c r="K492" s="12" t="s">
        <v>5561</v>
      </c>
      <c r="L492" t="str">
        <f>IFERROR(VLOOKUP(K492,Таблица7[3]:Таблица7[[#This Row],[6]],2,FALSE),"")</f>
        <v/>
      </c>
      <c r="M492" t="str">
        <f t="shared" si="8"/>
        <v/>
      </c>
      <c r="N492" t="str" cm="1">
        <f t="array" ref="N492">IF(MOD(ROW()-ROW($B$2),16)=0,INDEX($M$2:$M$1000,(ROW()-ROW($B$2))/16+1),"")</f>
        <v/>
      </c>
    </row>
    <row r="493" spans="2:14" x14ac:dyDescent="0.3">
      <c r="B493" t="s">
        <v>2173</v>
      </c>
      <c r="C493" t="s">
        <v>2675</v>
      </c>
      <c r="D493" t="s">
        <v>688</v>
      </c>
      <c r="E493">
        <v>0</v>
      </c>
      <c r="F493" t="s">
        <v>688</v>
      </c>
      <c r="K493" s="12" t="s">
        <v>5562</v>
      </c>
      <c r="L493" t="str">
        <f>IFERROR(VLOOKUP(K493,Таблица7[3]:Таблица7[[#This Row],[6]],2,FALSE),"")</f>
        <v/>
      </c>
      <c r="M493" t="str">
        <f t="shared" si="8"/>
        <v/>
      </c>
      <c r="N493" t="str" cm="1">
        <f t="array" ref="N493">IF(MOD(ROW()-ROW($B$2),16)=0,INDEX($M$2:$M$1000,(ROW()-ROW($B$2))/16+1),"")</f>
        <v/>
      </c>
    </row>
    <row r="494" spans="2:14" x14ac:dyDescent="0.3">
      <c r="B494" t="s">
        <v>2173</v>
      </c>
      <c r="C494" t="s">
        <v>2676</v>
      </c>
      <c r="D494" t="s">
        <v>689</v>
      </c>
      <c r="E494">
        <v>0</v>
      </c>
      <c r="F494" t="s">
        <v>689</v>
      </c>
      <c r="K494" s="12" t="s">
        <v>5563</v>
      </c>
      <c r="L494" t="str">
        <f>IFERROR(VLOOKUP(K494,Таблица7[3]:Таблица7[[#This Row],[6]],2,FALSE),"")</f>
        <v/>
      </c>
      <c r="M494" t="str">
        <f t="shared" si="8"/>
        <v/>
      </c>
      <c r="N494" t="str" cm="1">
        <f t="array" ref="N494">IF(MOD(ROW()-ROW($B$2),16)=0,INDEX($M$2:$M$1000,(ROW()-ROW($B$2))/16+1),"")</f>
        <v/>
      </c>
    </row>
    <row r="495" spans="2:14" x14ac:dyDescent="0.3">
      <c r="B495" t="s">
        <v>2173</v>
      </c>
      <c r="C495" t="s">
        <v>2677</v>
      </c>
      <c r="D495" t="s">
        <v>690</v>
      </c>
      <c r="E495">
        <v>0</v>
      </c>
      <c r="F495" t="s">
        <v>690</v>
      </c>
      <c r="K495" s="12" t="s">
        <v>5564</v>
      </c>
      <c r="L495" t="str">
        <f>IFERROR(VLOOKUP(K495,Таблица7[3]:Таблица7[[#This Row],[6]],2,FALSE),"")</f>
        <v/>
      </c>
      <c r="M495" t="str">
        <f t="shared" si="8"/>
        <v/>
      </c>
      <c r="N495" t="str" cm="1">
        <f t="array" ref="N495">IF(MOD(ROW()-ROW($B$2),16)=0,INDEX($M$2:$M$1000,(ROW()-ROW($B$2))/16+1),"")</f>
        <v/>
      </c>
    </row>
    <row r="496" spans="2:14" x14ac:dyDescent="0.3">
      <c r="B496" t="s">
        <v>2173</v>
      </c>
      <c r="C496" t="s">
        <v>2678</v>
      </c>
      <c r="D496" t="s">
        <v>691</v>
      </c>
      <c r="E496">
        <v>0</v>
      </c>
      <c r="F496" t="s">
        <v>691</v>
      </c>
      <c r="K496" s="12" t="s">
        <v>5565</v>
      </c>
      <c r="L496" t="str">
        <f>IFERROR(VLOOKUP(K496,Таблица7[3]:Таблица7[[#This Row],[6]],2,FALSE),"")</f>
        <v/>
      </c>
      <c r="M496" t="str">
        <f t="shared" si="8"/>
        <v/>
      </c>
      <c r="N496" t="str" cm="1">
        <f t="array" ref="N496">IF(MOD(ROW()-ROW($B$2),16)=0,INDEX($M$2:$M$1000,(ROW()-ROW($B$2))/16+1),"")</f>
        <v/>
      </c>
    </row>
    <row r="497" spans="2:14" x14ac:dyDescent="0.3">
      <c r="B497" t="s">
        <v>2173</v>
      </c>
      <c r="C497" t="s">
        <v>2679</v>
      </c>
      <c r="D497" t="s">
        <v>692</v>
      </c>
      <c r="E497">
        <v>0</v>
      </c>
      <c r="F497" t="s">
        <v>692</v>
      </c>
      <c r="K497" s="12" t="s">
        <v>5566</v>
      </c>
      <c r="L497" t="str">
        <f>IFERROR(VLOOKUP(K497,Таблица7[3]:Таблица7[[#This Row],[6]],2,FALSE),"")</f>
        <v/>
      </c>
      <c r="M497" t="str">
        <f t="shared" si="8"/>
        <v/>
      </c>
      <c r="N497" t="str" cm="1">
        <f t="array" ref="N497">IF(MOD(ROW()-ROW($B$2),16)=0,INDEX($M$2:$M$1000,(ROW()-ROW($B$2))/16+1),"")</f>
        <v/>
      </c>
    </row>
    <row r="498" spans="2:14" x14ac:dyDescent="0.3">
      <c r="B498" t="s">
        <v>2173</v>
      </c>
      <c r="C498" t="s">
        <v>2680</v>
      </c>
      <c r="D498" t="s">
        <v>693</v>
      </c>
      <c r="E498">
        <v>0</v>
      </c>
      <c r="F498" t="s">
        <v>693</v>
      </c>
      <c r="K498" s="12" t="s">
        <v>5567</v>
      </c>
      <c r="L498" t="str">
        <f>IFERROR(VLOOKUP(K498,Таблица7[3]:Таблица7[[#This Row],[6]],2,FALSE),"")</f>
        <v/>
      </c>
      <c r="M498" t="str">
        <f t="shared" si="8"/>
        <v/>
      </c>
      <c r="N498" t="str" cm="1">
        <f t="array" ref="N498">IF(MOD(ROW()-ROW($B$2),16)=0,INDEX($M$2:$M$1000,(ROW()-ROW($B$2))/16+1),"")</f>
        <v>Фиксированное число 31 (0)</v>
      </c>
    </row>
    <row r="499" spans="2:14" x14ac:dyDescent="0.3">
      <c r="B499" t="s">
        <v>2173</v>
      </c>
      <c r="C499" t="s">
        <v>2681</v>
      </c>
      <c r="D499" t="s">
        <v>694</v>
      </c>
      <c r="E499">
        <v>0</v>
      </c>
      <c r="F499" t="s">
        <v>694</v>
      </c>
      <c r="K499" s="12" t="s">
        <v>5568</v>
      </c>
      <c r="L499" t="str">
        <f>IFERROR(VLOOKUP(K499,Таблица7[3]:Таблица7[[#This Row],[6]],2,FALSE),"")</f>
        <v/>
      </c>
      <c r="M499" t="str">
        <f t="shared" si="8"/>
        <v/>
      </c>
      <c r="N499" t="str" cm="1">
        <f t="array" ref="N499">IF(MOD(ROW()-ROW($B$2),16)=0,INDEX($M$2:$M$1000,(ROW()-ROW($B$2))/16+1),"")</f>
        <v/>
      </c>
    </row>
    <row r="500" spans="2:14" x14ac:dyDescent="0.3">
      <c r="B500" t="s">
        <v>2173</v>
      </c>
      <c r="C500" t="s">
        <v>2682</v>
      </c>
      <c r="D500" t="s">
        <v>695</v>
      </c>
      <c r="E500">
        <v>0</v>
      </c>
      <c r="F500" t="s">
        <v>695</v>
      </c>
      <c r="K500" s="12" t="s">
        <v>5569</v>
      </c>
      <c r="L500" t="str">
        <f>IFERROR(VLOOKUP(K500,Таблица7[3]:Таблица7[[#This Row],[6]],2,FALSE),"")</f>
        <v/>
      </c>
      <c r="M500" t="str">
        <f t="shared" si="8"/>
        <v/>
      </c>
      <c r="N500" t="str" cm="1">
        <f t="array" ref="N500">IF(MOD(ROW()-ROW($B$2),16)=0,INDEX($M$2:$M$1000,(ROW()-ROW($B$2))/16+1),"")</f>
        <v/>
      </c>
    </row>
    <row r="501" spans="2:14" x14ac:dyDescent="0.3">
      <c r="B501" t="s">
        <v>2173</v>
      </c>
      <c r="C501" t="s">
        <v>2683</v>
      </c>
      <c r="D501" t="s">
        <v>696</v>
      </c>
      <c r="E501">
        <v>0</v>
      </c>
      <c r="F501" t="s">
        <v>696</v>
      </c>
      <c r="K501" s="12" t="s">
        <v>5570</v>
      </c>
      <c r="L501" t="str">
        <f>IFERROR(VLOOKUP(K501,Таблица7[3]:Таблица7[[#This Row],[6]],2,FALSE),"")</f>
        <v/>
      </c>
      <c r="M501" t="str">
        <f t="shared" si="8"/>
        <v/>
      </c>
      <c r="N501" t="str" cm="1">
        <f t="array" ref="N501">IF(MOD(ROW()-ROW($B$2),16)=0,INDEX($M$2:$M$1000,(ROW()-ROW($B$2))/16+1),"")</f>
        <v/>
      </c>
    </row>
    <row r="502" spans="2:14" x14ac:dyDescent="0.3">
      <c r="B502" t="s">
        <v>2173</v>
      </c>
      <c r="C502" t="s">
        <v>2684</v>
      </c>
      <c r="D502" t="s">
        <v>697</v>
      </c>
      <c r="E502">
        <v>0</v>
      </c>
      <c r="F502" t="s">
        <v>697</v>
      </c>
      <c r="K502" s="12" t="s">
        <v>5571</v>
      </c>
      <c r="L502" t="str">
        <f>IFERROR(VLOOKUP(K502,Таблица7[3]:Таблица7[[#This Row],[6]],2,FALSE),"")</f>
        <v/>
      </c>
      <c r="M502" t="str">
        <f t="shared" si="8"/>
        <v/>
      </c>
      <c r="N502" t="str" cm="1">
        <f t="array" ref="N502">IF(MOD(ROW()-ROW($B$2),16)=0,INDEX($M$2:$M$1000,(ROW()-ROW($B$2))/16+1),"")</f>
        <v/>
      </c>
    </row>
    <row r="503" spans="2:14" x14ac:dyDescent="0.3">
      <c r="B503" t="s">
        <v>2173</v>
      </c>
      <c r="C503" t="s">
        <v>2685</v>
      </c>
      <c r="D503" t="s">
        <v>698</v>
      </c>
      <c r="E503">
        <v>0</v>
      </c>
      <c r="F503" t="s">
        <v>698</v>
      </c>
      <c r="K503" s="12" t="s">
        <v>5572</v>
      </c>
      <c r="L503" t="str">
        <f>IFERROR(VLOOKUP(K503,Таблица7[3]:Таблица7[[#This Row],[6]],2,FALSE),"")</f>
        <v/>
      </c>
      <c r="M503" t="str">
        <f t="shared" si="8"/>
        <v/>
      </c>
      <c r="N503" t="str" cm="1">
        <f t="array" ref="N503">IF(MOD(ROW()-ROW($B$2),16)=0,INDEX($M$2:$M$1000,(ROW()-ROW($B$2))/16+1),"")</f>
        <v/>
      </c>
    </row>
    <row r="504" spans="2:14" x14ac:dyDescent="0.3">
      <c r="B504" t="s">
        <v>2173</v>
      </c>
      <c r="C504" t="s">
        <v>2686</v>
      </c>
      <c r="D504" t="s">
        <v>699</v>
      </c>
      <c r="E504">
        <v>0</v>
      </c>
      <c r="F504" t="s">
        <v>699</v>
      </c>
      <c r="K504" s="12" t="s">
        <v>5573</v>
      </c>
      <c r="L504" t="str">
        <f>IFERROR(VLOOKUP(K504,Таблица7[3]:Таблица7[[#This Row],[6]],2,FALSE),"")</f>
        <v/>
      </c>
      <c r="M504" t="str">
        <f t="shared" si="8"/>
        <v/>
      </c>
      <c r="N504" t="str" cm="1">
        <f t="array" ref="N504">IF(MOD(ROW()-ROW($B$2),16)=0,INDEX($M$2:$M$1000,(ROW()-ROW($B$2))/16+1),"")</f>
        <v/>
      </c>
    </row>
    <row r="505" spans="2:14" x14ac:dyDescent="0.3">
      <c r="B505" t="s">
        <v>2173</v>
      </c>
      <c r="C505" t="s">
        <v>2687</v>
      </c>
      <c r="D505" t="s">
        <v>700</v>
      </c>
      <c r="E505">
        <v>0</v>
      </c>
      <c r="F505" t="s">
        <v>700</v>
      </c>
      <c r="K505" s="12" t="s">
        <v>5574</v>
      </c>
      <c r="L505" t="str">
        <f>IFERROR(VLOOKUP(K505,Таблица7[3]:Таблица7[[#This Row],[6]],2,FALSE),"")</f>
        <v/>
      </c>
      <c r="M505" t="str">
        <f t="shared" si="8"/>
        <v/>
      </c>
      <c r="N505" t="str" cm="1">
        <f t="array" ref="N505">IF(MOD(ROW()-ROW($B$2),16)=0,INDEX($M$2:$M$1000,(ROW()-ROW($B$2))/16+1),"")</f>
        <v/>
      </c>
    </row>
    <row r="506" spans="2:14" x14ac:dyDescent="0.3">
      <c r="B506" t="s">
        <v>2173</v>
      </c>
      <c r="C506" t="s">
        <v>2688</v>
      </c>
      <c r="D506" t="s">
        <v>701</v>
      </c>
      <c r="E506">
        <v>0</v>
      </c>
      <c r="F506" t="s">
        <v>701</v>
      </c>
      <c r="K506" s="12" t="s">
        <v>5575</v>
      </c>
      <c r="L506" t="str">
        <f>IFERROR(VLOOKUP(K506,Таблица7[3]:Таблица7[[#This Row],[6]],2,FALSE),"")</f>
        <v/>
      </c>
      <c r="M506" t="str">
        <f t="shared" si="8"/>
        <v/>
      </c>
      <c r="N506" t="str" cm="1">
        <f t="array" ref="N506">IF(MOD(ROW()-ROW($B$2),16)=0,INDEX($M$2:$M$1000,(ROW()-ROW($B$2))/16+1),"")</f>
        <v/>
      </c>
    </row>
    <row r="507" spans="2:14" x14ac:dyDescent="0.3">
      <c r="B507" t="s">
        <v>2173</v>
      </c>
      <c r="C507" t="s">
        <v>2689</v>
      </c>
      <c r="D507" t="s">
        <v>702</v>
      </c>
      <c r="E507">
        <v>0</v>
      </c>
      <c r="F507" t="s">
        <v>702</v>
      </c>
      <c r="K507" s="12" t="s">
        <v>5576</v>
      </c>
      <c r="L507" t="str">
        <f>IFERROR(VLOOKUP(K507,Таблица7[3]:Таблица7[[#This Row],[6]],2,FALSE),"")</f>
        <v/>
      </c>
      <c r="M507" t="str">
        <f t="shared" si="8"/>
        <v/>
      </c>
      <c r="N507" t="str" cm="1">
        <f t="array" ref="N507">IF(MOD(ROW()-ROW($B$2),16)=0,INDEX($M$2:$M$1000,(ROW()-ROW($B$2))/16+1),"")</f>
        <v/>
      </c>
    </row>
    <row r="508" spans="2:14" x14ac:dyDescent="0.3">
      <c r="B508" t="s">
        <v>2173</v>
      </c>
      <c r="C508" t="s">
        <v>2690</v>
      </c>
      <c r="D508" t="s">
        <v>703</v>
      </c>
      <c r="E508">
        <v>0</v>
      </c>
      <c r="F508" t="s">
        <v>703</v>
      </c>
      <c r="K508" s="12" t="s">
        <v>5577</v>
      </c>
      <c r="L508" t="str">
        <f>IFERROR(VLOOKUP(K508,Таблица7[3]:Таблица7[[#This Row],[6]],2,FALSE),"")</f>
        <v/>
      </c>
      <c r="M508" t="str">
        <f t="shared" si="8"/>
        <v/>
      </c>
      <c r="N508" t="str" cm="1">
        <f t="array" ref="N508">IF(MOD(ROW()-ROW($B$2),16)=0,INDEX($M$2:$M$1000,(ROW()-ROW($B$2))/16+1),"")</f>
        <v/>
      </c>
    </row>
    <row r="509" spans="2:14" x14ac:dyDescent="0.3">
      <c r="B509" t="s">
        <v>2173</v>
      </c>
      <c r="C509" t="s">
        <v>2691</v>
      </c>
      <c r="D509" t="s">
        <v>704</v>
      </c>
      <c r="E509">
        <v>0</v>
      </c>
      <c r="F509" t="s">
        <v>704</v>
      </c>
      <c r="K509" s="12" t="s">
        <v>5578</v>
      </c>
      <c r="L509" t="str">
        <f>IFERROR(VLOOKUP(K509,Таблица7[3]:Таблица7[[#This Row],[6]],2,FALSE),"")</f>
        <v/>
      </c>
      <c r="M509" t="str">
        <f t="shared" si="8"/>
        <v/>
      </c>
      <c r="N509" t="str" cm="1">
        <f t="array" ref="N509">IF(MOD(ROW()-ROW($B$2),16)=0,INDEX($M$2:$M$1000,(ROW()-ROW($B$2))/16+1),"")</f>
        <v/>
      </c>
    </row>
    <row r="510" spans="2:14" x14ac:dyDescent="0.3">
      <c r="B510" t="s">
        <v>2173</v>
      </c>
      <c r="C510" t="s">
        <v>2692</v>
      </c>
      <c r="D510" t="s">
        <v>705</v>
      </c>
      <c r="E510">
        <v>0</v>
      </c>
      <c r="F510" t="s">
        <v>705</v>
      </c>
      <c r="K510" s="12" t="s">
        <v>5579</v>
      </c>
      <c r="L510" t="str">
        <f>IFERROR(VLOOKUP(K510,Таблица7[3]:Таблица7[[#This Row],[6]],2,FALSE),"")</f>
        <v/>
      </c>
      <c r="M510" t="str">
        <f t="shared" si="8"/>
        <v/>
      </c>
      <c r="N510" t="str" cm="1">
        <f t="array" ref="N510">IF(MOD(ROW()-ROW($B$2),16)=0,INDEX($M$2:$M$1000,(ROW()-ROW($B$2))/16+1),"")</f>
        <v/>
      </c>
    </row>
    <row r="511" spans="2:14" x14ac:dyDescent="0.3">
      <c r="B511" t="s">
        <v>2173</v>
      </c>
      <c r="C511" t="s">
        <v>2693</v>
      </c>
      <c r="D511" t="s">
        <v>706</v>
      </c>
      <c r="E511">
        <v>0</v>
      </c>
      <c r="F511" t="s">
        <v>706</v>
      </c>
      <c r="K511" s="12" t="s">
        <v>5580</v>
      </c>
      <c r="L511" t="str">
        <f>IFERROR(VLOOKUP(K511,Таблица7[3]:Таблица7[[#This Row],[6]],2,FALSE),"")</f>
        <v/>
      </c>
      <c r="M511" t="str">
        <f t="shared" si="8"/>
        <v/>
      </c>
      <c r="N511" t="str" cm="1">
        <f t="array" ref="N511">IF(MOD(ROW()-ROW($B$2),16)=0,INDEX($M$2:$M$1000,(ROW()-ROW($B$2))/16+1),"")</f>
        <v/>
      </c>
    </row>
    <row r="512" spans="2:14" x14ac:dyDescent="0.3">
      <c r="B512" t="s">
        <v>2173</v>
      </c>
      <c r="C512" t="s">
        <v>2694</v>
      </c>
      <c r="D512" t="s">
        <v>707</v>
      </c>
      <c r="E512">
        <v>0</v>
      </c>
      <c r="F512" t="s">
        <v>707</v>
      </c>
      <c r="K512" s="12" t="s">
        <v>5581</v>
      </c>
      <c r="L512" t="str">
        <f>IFERROR(VLOOKUP(K512,Таблица7[3]:Таблица7[[#This Row],[6]],2,FALSE),"")</f>
        <v/>
      </c>
      <c r="M512" t="str">
        <f t="shared" si="8"/>
        <v/>
      </c>
      <c r="N512" t="str" cm="1">
        <f t="array" ref="N512">IF(MOD(ROW()-ROW($B$2),16)=0,INDEX($M$2:$M$1000,(ROW()-ROW($B$2))/16+1),"")</f>
        <v/>
      </c>
    </row>
    <row r="513" spans="2:14" x14ac:dyDescent="0.3">
      <c r="B513" t="s">
        <v>2173</v>
      </c>
      <c r="C513" t="s">
        <v>2695</v>
      </c>
      <c r="D513" t="s">
        <v>708</v>
      </c>
      <c r="E513">
        <v>0</v>
      </c>
      <c r="F513" t="s">
        <v>708</v>
      </c>
      <c r="K513" s="12" t="s">
        <v>5582</v>
      </c>
      <c r="L513" t="str">
        <f>IFERROR(VLOOKUP(K513,Таблица7[3]:Таблица7[[#This Row],[6]],2,FALSE),"")</f>
        <v/>
      </c>
      <c r="M513" t="str">
        <f t="shared" si="8"/>
        <v/>
      </c>
      <c r="N513" t="str" cm="1">
        <f t="array" ref="N513">IF(MOD(ROW()-ROW($B$2),16)=0,INDEX($M$2:$M$1000,(ROW()-ROW($B$2))/16+1),"")</f>
        <v/>
      </c>
    </row>
    <row r="514" spans="2:14" x14ac:dyDescent="0.3">
      <c r="B514" t="s">
        <v>2173</v>
      </c>
      <c r="C514" t="s">
        <v>2696</v>
      </c>
      <c r="D514" t="s">
        <v>709</v>
      </c>
      <c r="E514">
        <v>0</v>
      </c>
      <c r="F514" t="s">
        <v>709</v>
      </c>
      <c r="K514" s="12" t="s">
        <v>5583</v>
      </c>
      <c r="L514" t="str">
        <f>IFERROR(VLOOKUP(K514,Таблица7[3]:Таблица7[[#This Row],[6]],2,FALSE),"")</f>
        <v/>
      </c>
      <c r="M514" t="str">
        <f t="shared" si="8"/>
        <v/>
      </c>
      <c r="N514" t="str" cm="1">
        <f t="array" ref="N514">IF(MOD(ROW()-ROW($B$2),16)=0,INDEX($M$2:$M$1000,(ROW()-ROW($B$2))/16+1),"")</f>
        <v>Фиксированное число 32 (0)</v>
      </c>
    </row>
    <row r="515" spans="2:14" x14ac:dyDescent="0.3">
      <c r="B515" t="s">
        <v>2173</v>
      </c>
      <c r="C515" t="s">
        <v>2697</v>
      </c>
      <c r="D515" t="s">
        <v>710</v>
      </c>
      <c r="E515">
        <v>0</v>
      </c>
      <c r="F515" t="s">
        <v>710</v>
      </c>
      <c r="K515" s="12" t="s">
        <v>5584</v>
      </c>
      <c r="L515" t="str">
        <f>IFERROR(VLOOKUP(K515,Таблица7[3]:Таблица7[[#This Row],[6]],2,FALSE),"")</f>
        <v/>
      </c>
      <c r="M515" t="str">
        <f t="shared" ref="M515:M578" si="9">IF(L515&lt;&gt;"",L515&amp;" (0)","")</f>
        <v/>
      </c>
      <c r="N515" t="str" cm="1">
        <f t="array" ref="N515">IF(MOD(ROW()-ROW($B$2),16)=0,INDEX($M$2:$M$1000,(ROW()-ROW($B$2))/16+1),"")</f>
        <v/>
      </c>
    </row>
    <row r="516" spans="2:14" x14ac:dyDescent="0.3">
      <c r="B516" t="s">
        <v>2173</v>
      </c>
      <c r="C516" t="s">
        <v>2698</v>
      </c>
      <c r="D516" t="s">
        <v>711</v>
      </c>
      <c r="E516">
        <v>0</v>
      </c>
      <c r="F516" t="s">
        <v>711</v>
      </c>
      <c r="K516" s="12" t="s">
        <v>5585</v>
      </c>
      <c r="L516" t="str">
        <f>IFERROR(VLOOKUP(K516,Таблица7[3]:Таблица7[[#This Row],[6]],2,FALSE),"")</f>
        <v/>
      </c>
      <c r="M516" t="str">
        <f t="shared" si="9"/>
        <v/>
      </c>
      <c r="N516" t="str" cm="1">
        <f t="array" ref="N516">IF(MOD(ROW()-ROW($B$2),16)=0,INDEX($M$2:$M$1000,(ROW()-ROW($B$2))/16+1),"")</f>
        <v/>
      </c>
    </row>
    <row r="517" spans="2:14" x14ac:dyDescent="0.3">
      <c r="B517" t="s">
        <v>2173</v>
      </c>
      <c r="C517" t="s">
        <v>2699</v>
      </c>
      <c r="D517" t="s">
        <v>712</v>
      </c>
      <c r="E517">
        <v>0</v>
      </c>
      <c r="F517" t="s">
        <v>712</v>
      </c>
      <c r="K517" s="12" t="s">
        <v>5586</v>
      </c>
      <c r="L517" t="str">
        <f>IFERROR(VLOOKUP(K517,Таблица7[3]:Таблица7[[#This Row],[6]],2,FALSE),"")</f>
        <v/>
      </c>
      <c r="M517" t="str">
        <f t="shared" si="9"/>
        <v/>
      </c>
      <c r="N517" t="str" cm="1">
        <f t="array" ref="N517">IF(MOD(ROW()-ROW($B$2),16)=0,INDEX($M$2:$M$1000,(ROW()-ROW($B$2))/16+1),"")</f>
        <v/>
      </c>
    </row>
    <row r="518" spans="2:14" x14ac:dyDescent="0.3">
      <c r="B518" t="s">
        <v>2173</v>
      </c>
      <c r="C518" t="s">
        <v>2700</v>
      </c>
      <c r="D518" t="s">
        <v>713</v>
      </c>
      <c r="E518">
        <v>0</v>
      </c>
      <c r="F518" t="s">
        <v>713</v>
      </c>
      <c r="K518" s="12" t="s">
        <v>5587</v>
      </c>
      <c r="L518" t="str">
        <f>IFERROR(VLOOKUP(K518,Таблица7[3]:Таблица7[[#This Row],[6]],2,FALSE),"")</f>
        <v/>
      </c>
      <c r="M518" t="str">
        <f t="shared" si="9"/>
        <v/>
      </c>
      <c r="N518" t="str" cm="1">
        <f t="array" ref="N518">IF(MOD(ROW()-ROW($B$2),16)=0,INDEX($M$2:$M$1000,(ROW()-ROW($B$2))/16+1),"")</f>
        <v/>
      </c>
    </row>
    <row r="519" spans="2:14" x14ac:dyDescent="0.3">
      <c r="B519" t="s">
        <v>2173</v>
      </c>
      <c r="C519" t="s">
        <v>2701</v>
      </c>
      <c r="D519" t="s">
        <v>714</v>
      </c>
      <c r="E519">
        <v>0</v>
      </c>
      <c r="F519" t="s">
        <v>714</v>
      </c>
      <c r="K519" s="12" t="s">
        <v>5588</v>
      </c>
      <c r="L519" t="str">
        <f>IFERROR(VLOOKUP(K519,Таблица7[3]:Таблица7[[#This Row],[6]],2,FALSE),"")</f>
        <v/>
      </c>
      <c r="M519" t="str">
        <f t="shared" si="9"/>
        <v/>
      </c>
      <c r="N519" t="str" cm="1">
        <f t="array" ref="N519">IF(MOD(ROW()-ROW($B$2),16)=0,INDEX($M$2:$M$1000,(ROW()-ROW($B$2))/16+1),"")</f>
        <v/>
      </c>
    </row>
    <row r="520" spans="2:14" x14ac:dyDescent="0.3">
      <c r="B520" t="s">
        <v>2173</v>
      </c>
      <c r="C520" t="s">
        <v>2702</v>
      </c>
      <c r="D520" t="s">
        <v>715</v>
      </c>
      <c r="E520">
        <v>0</v>
      </c>
      <c r="F520" t="s">
        <v>715</v>
      </c>
      <c r="K520" s="12" t="s">
        <v>5589</v>
      </c>
      <c r="L520" t="str">
        <f>IFERROR(VLOOKUP(K520,Таблица7[3]:Таблица7[[#This Row],[6]],2,FALSE),"")</f>
        <v/>
      </c>
      <c r="M520" t="str">
        <f t="shared" si="9"/>
        <v/>
      </c>
      <c r="N520" t="str" cm="1">
        <f t="array" ref="N520">IF(MOD(ROW()-ROW($B$2),16)=0,INDEX($M$2:$M$1000,(ROW()-ROW($B$2))/16+1),"")</f>
        <v/>
      </c>
    </row>
    <row r="521" spans="2:14" x14ac:dyDescent="0.3">
      <c r="B521" t="s">
        <v>2173</v>
      </c>
      <c r="C521" t="s">
        <v>2703</v>
      </c>
      <c r="D521" t="s">
        <v>716</v>
      </c>
      <c r="E521">
        <v>0</v>
      </c>
      <c r="F521" t="s">
        <v>716</v>
      </c>
      <c r="K521" s="12" t="s">
        <v>5590</v>
      </c>
      <c r="L521" t="str">
        <f>IFERROR(VLOOKUP(K521,Таблица7[3]:Таблица7[[#This Row],[6]],2,FALSE),"")</f>
        <v/>
      </c>
      <c r="M521" t="str">
        <f t="shared" si="9"/>
        <v/>
      </c>
      <c r="N521" t="str" cm="1">
        <f t="array" ref="N521">IF(MOD(ROW()-ROW($B$2),16)=0,INDEX($M$2:$M$1000,(ROW()-ROW($B$2))/16+1),"")</f>
        <v/>
      </c>
    </row>
    <row r="522" spans="2:14" x14ac:dyDescent="0.3">
      <c r="B522" t="s">
        <v>2173</v>
      </c>
      <c r="C522" t="s">
        <v>2704</v>
      </c>
      <c r="D522" t="s">
        <v>717</v>
      </c>
      <c r="E522">
        <v>0</v>
      </c>
      <c r="F522" t="s">
        <v>717</v>
      </c>
      <c r="K522" s="12" t="s">
        <v>5591</v>
      </c>
      <c r="L522" t="str">
        <f>IFERROR(VLOOKUP(K522,Таблица7[3]:Таблица7[[#This Row],[6]],2,FALSE),"")</f>
        <v/>
      </c>
      <c r="M522" t="str">
        <f t="shared" si="9"/>
        <v/>
      </c>
      <c r="N522" t="str" cm="1">
        <f t="array" ref="N522">IF(MOD(ROW()-ROW($B$2),16)=0,INDEX($M$2:$M$1000,(ROW()-ROW($B$2))/16+1),"")</f>
        <v/>
      </c>
    </row>
    <row r="523" spans="2:14" x14ac:dyDescent="0.3">
      <c r="B523" t="s">
        <v>2173</v>
      </c>
      <c r="C523" t="s">
        <v>2705</v>
      </c>
      <c r="D523" t="s">
        <v>718</v>
      </c>
      <c r="E523">
        <v>0</v>
      </c>
      <c r="F523" t="s">
        <v>718</v>
      </c>
      <c r="K523" s="12" t="s">
        <v>5592</v>
      </c>
      <c r="L523" t="str">
        <f>IFERROR(VLOOKUP(K523,Таблица7[3]:Таблица7[[#This Row],[6]],2,FALSE),"")</f>
        <v/>
      </c>
      <c r="M523" t="str">
        <f t="shared" si="9"/>
        <v/>
      </c>
      <c r="N523" t="str" cm="1">
        <f t="array" ref="N523">IF(MOD(ROW()-ROW($B$2),16)=0,INDEX($M$2:$M$1000,(ROW()-ROW($B$2))/16+1),"")</f>
        <v/>
      </c>
    </row>
    <row r="524" spans="2:14" x14ac:dyDescent="0.3">
      <c r="B524" t="s">
        <v>2173</v>
      </c>
      <c r="C524" t="s">
        <v>2706</v>
      </c>
      <c r="D524" t="s">
        <v>719</v>
      </c>
      <c r="E524">
        <v>0</v>
      </c>
      <c r="F524" t="s">
        <v>719</v>
      </c>
      <c r="K524" s="12" t="s">
        <v>5593</v>
      </c>
      <c r="L524" t="str">
        <f>IFERROR(VLOOKUP(K524,Таблица7[3]:Таблица7[[#This Row],[6]],2,FALSE),"")</f>
        <v/>
      </c>
      <c r="M524" t="str">
        <f t="shared" si="9"/>
        <v/>
      </c>
      <c r="N524" t="str" cm="1">
        <f t="array" ref="N524">IF(MOD(ROW()-ROW($B$2),16)=0,INDEX($M$2:$M$1000,(ROW()-ROW($B$2))/16+1),"")</f>
        <v/>
      </c>
    </row>
    <row r="525" spans="2:14" x14ac:dyDescent="0.3">
      <c r="B525" t="s">
        <v>2173</v>
      </c>
      <c r="C525" t="s">
        <v>2707</v>
      </c>
      <c r="D525" t="s">
        <v>720</v>
      </c>
      <c r="E525">
        <v>0</v>
      </c>
      <c r="F525" t="s">
        <v>720</v>
      </c>
      <c r="K525" s="12" t="s">
        <v>5594</v>
      </c>
      <c r="L525" t="str">
        <f>IFERROR(VLOOKUP(K525,Таблица7[3]:Таблица7[[#This Row],[6]],2,FALSE),"")</f>
        <v/>
      </c>
      <c r="M525" t="str">
        <f t="shared" si="9"/>
        <v/>
      </c>
      <c r="N525" t="str" cm="1">
        <f t="array" ref="N525">IF(MOD(ROW()-ROW($B$2),16)=0,INDEX($M$2:$M$1000,(ROW()-ROW($B$2))/16+1),"")</f>
        <v/>
      </c>
    </row>
    <row r="526" spans="2:14" x14ac:dyDescent="0.3">
      <c r="B526" t="s">
        <v>2173</v>
      </c>
      <c r="C526" t="s">
        <v>2708</v>
      </c>
      <c r="D526" t="s">
        <v>721</v>
      </c>
      <c r="E526">
        <v>0</v>
      </c>
      <c r="F526" t="s">
        <v>721</v>
      </c>
      <c r="K526" s="12" t="s">
        <v>5595</v>
      </c>
      <c r="L526" t="str">
        <f>IFERROR(VLOOKUP(K526,Таблица7[3]:Таблица7[[#This Row],[6]],2,FALSE),"")</f>
        <v/>
      </c>
      <c r="M526" t="str">
        <f t="shared" si="9"/>
        <v/>
      </c>
      <c r="N526" t="str" cm="1">
        <f t="array" ref="N526">IF(MOD(ROW()-ROW($B$2),16)=0,INDEX($M$2:$M$1000,(ROW()-ROW($B$2))/16+1),"")</f>
        <v/>
      </c>
    </row>
    <row r="527" spans="2:14" x14ac:dyDescent="0.3">
      <c r="B527" t="s">
        <v>2173</v>
      </c>
      <c r="C527" t="s">
        <v>2709</v>
      </c>
      <c r="D527" t="s">
        <v>722</v>
      </c>
      <c r="E527">
        <v>0</v>
      </c>
      <c r="F527" t="s">
        <v>722</v>
      </c>
      <c r="K527" s="12" t="s">
        <v>5596</v>
      </c>
      <c r="L527" t="str">
        <f>IFERROR(VLOOKUP(K527,Таблица7[3]:Таблица7[[#This Row],[6]],2,FALSE),"")</f>
        <v/>
      </c>
      <c r="M527" t="str">
        <f t="shared" si="9"/>
        <v/>
      </c>
      <c r="N527" t="str" cm="1">
        <f t="array" ref="N527">IF(MOD(ROW()-ROW($B$2),16)=0,INDEX($M$2:$M$1000,(ROW()-ROW($B$2))/16+1),"")</f>
        <v/>
      </c>
    </row>
    <row r="528" spans="2:14" x14ac:dyDescent="0.3">
      <c r="B528" t="s">
        <v>2173</v>
      </c>
      <c r="C528" t="s">
        <v>2710</v>
      </c>
      <c r="D528" t="s">
        <v>723</v>
      </c>
      <c r="E528">
        <v>0</v>
      </c>
      <c r="F528" t="s">
        <v>723</v>
      </c>
      <c r="K528" s="12" t="s">
        <v>5597</v>
      </c>
      <c r="L528" t="str">
        <f>IFERROR(VLOOKUP(K528,Таблица7[3]:Таблица7[[#This Row],[6]],2,FALSE),"")</f>
        <v/>
      </c>
      <c r="M528" t="str">
        <f t="shared" si="9"/>
        <v/>
      </c>
      <c r="N528" t="str" cm="1">
        <f t="array" ref="N528">IF(MOD(ROW()-ROW($B$2),16)=0,INDEX($M$2:$M$1000,(ROW()-ROW($B$2))/16+1),"")</f>
        <v/>
      </c>
    </row>
    <row r="529" spans="2:14" x14ac:dyDescent="0.3">
      <c r="B529" t="s">
        <v>2173</v>
      </c>
      <c r="C529" t="s">
        <v>2711</v>
      </c>
      <c r="D529" t="s">
        <v>724</v>
      </c>
      <c r="E529">
        <v>0</v>
      </c>
      <c r="F529" t="s">
        <v>724</v>
      </c>
      <c r="K529" s="12" t="s">
        <v>5598</v>
      </c>
      <c r="L529" t="str">
        <f>IFERROR(VLOOKUP(K529,Таблица7[3]:Таблица7[[#This Row],[6]],2,FALSE),"")</f>
        <v/>
      </c>
      <c r="M529" t="str">
        <f t="shared" si="9"/>
        <v/>
      </c>
      <c r="N529" t="str" cm="1">
        <f t="array" ref="N529">IF(MOD(ROW()-ROW($B$2),16)=0,INDEX($M$2:$M$1000,(ROW()-ROW($B$2))/16+1),"")</f>
        <v/>
      </c>
    </row>
    <row r="530" spans="2:14" x14ac:dyDescent="0.3">
      <c r="B530" t="s">
        <v>2173</v>
      </c>
      <c r="C530" t="s">
        <v>2712</v>
      </c>
      <c r="D530" t="s">
        <v>725</v>
      </c>
      <c r="E530">
        <v>0</v>
      </c>
      <c r="F530" t="s">
        <v>725</v>
      </c>
      <c r="K530" s="12" t="s">
        <v>5599</v>
      </c>
      <c r="L530" t="str">
        <f>IFERROR(VLOOKUP(K530,Таблица7[3]:Таблица7[[#This Row],[6]],2,FALSE),"")</f>
        <v/>
      </c>
      <c r="M530" t="str">
        <f t="shared" si="9"/>
        <v/>
      </c>
      <c r="N530" t="str" cm="1">
        <f t="array" ref="N530">IF(MOD(ROW()-ROW($B$2),16)=0,INDEX($M$2:$M$1000,(ROW()-ROW($B$2))/16+1),"")</f>
        <v>Фиксированное число 33 (0)</v>
      </c>
    </row>
    <row r="531" spans="2:14" x14ac:dyDescent="0.3">
      <c r="B531" t="s">
        <v>2173</v>
      </c>
      <c r="C531" t="s">
        <v>2713</v>
      </c>
      <c r="D531" t="s">
        <v>726</v>
      </c>
      <c r="E531">
        <v>0</v>
      </c>
      <c r="F531" t="s">
        <v>726</v>
      </c>
      <c r="K531" s="12" t="s">
        <v>5600</v>
      </c>
      <c r="L531" t="str">
        <f>IFERROR(VLOOKUP(K531,Таблица7[3]:Таблица7[[#This Row],[6]],2,FALSE),"")</f>
        <v/>
      </c>
      <c r="M531" t="str">
        <f t="shared" si="9"/>
        <v/>
      </c>
      <c r="N531" t="str" cm="1">
        <f t="array" ref="N531">IF(MOD(ROW()-ROW($B$2),16)=0,INDEX($M$2:$M$1000,(ROW()-ROW($B$2))/16+1),"")</f>
        <v/>
      </c>
    </row>
    <row r="532" spans="2:14" x14ac:dyDescent="0.3">
      <c r="B532" t="s">
        <v>2173</v>
      </c>
      <c r="C532" t="s">
        <v>2714</v>
      </c>
      <c r="D532" t="s">
        <v>727</v>
      </c>
      <c r="E532">
        <v>0</v>
      </c>
      <c r="F532" t="s">
        <v>727</v>
      </c>
      <c r="K532" s="12" t="s">
        <v>5601</v>
      </c>
      <c r="L532" t="str">
        <f>IFERROR(VLOOKUP(K532,Таблица7[3]:Таблица7[[#This Row],[6]],2,FALSE),"")</f>
        <v/>
      </c>
      <c r="M532" t="str">
        <f t="shared" si="9"/>
        <v/>
      </c>
      <c r="N532" t="str" cm="1">
        <f t="array" ref="N532">IF(MOD(ROW()-ROW($B$2),16)=0,INDEX($M$2:$M$1000,(ROW()-ROW($B$2))/16+1),"")</f>
        <v/>
      </c>
    </row>
    <row r="533" spans="2:14" x14ac:dyDescent="0.3">
      <c r="B533" t="s">
        <v>2173</v>
      </c>
      <c r="C533" t="s">
        <v>2715</v>
      </c>
      <c r="D533" t="s">
        <v>728</v>
      </c>
      <c r="E533">
        <v>0</v>
      </c>
      <c r="F533" t="s">
        <v>728</v>
      </c>
      <c r="K533" s="12" t="s">
        <v>5602</v>
      </c>
      <c r="L533" t="str">
        <f>IFERROR(VLOOKUP(K533,Таблица7[3]:Таблица7[[#This Row],[6]],2,FALSE),"")</f>
        <v/>
      </c>
      <c r="M533" t="str">
        <f t="shared" si="9"/>
        <v/>
      </c>
      <c r="N533" t="str" cm="1">
        <f t="array" ref="N533">IF(MOD(ROW()-ROW($B$2),16)=0,INDEX($M$2:$M$1000,(ROW()-ROW($B$2))/16+1),"")</f>
        <v/>
      </c>
    </row>
    <row r="534" spans="2:14" x14ac:dyDescent="0.3">
      <c r="B534" t="s">
        <v>2173</v>
      </c>
      <c r="C534" t="s">
        <v>2716</v>
      </c>
      <c r="D534" t="s">
        <v>729</v>
      </c>
      <c r="E534">
        <v>0</v>
      </c>
      <c r="F534" t="s">
        <v>729</v>
      </c>
      <c r="K534" s="12" t="s">
        <v>5603</v>
      </c>
      <c r="L534" t="str">
        <f>IFERROR(VLOOKUP(K534,Таблица7[3]:Таблица7[[#This Row],[6]],2,FALSE),"")</f>
        <v/>
      </c>
      <c r="M534" t="str">
        <f t="shared" si="9"/>
        <v/>
      </c>
      <c r="N534" t="str" cm="1">
        <f t="array" ref="N534">IF(MOD(ROW()-ROW($B$2),16)=0,INDEX($M$2:$M$1000,(ROW()-ROW($B$2))/16+1),"")</f>
        <v/>
      </c>
    </row>
    <row r="535" spans="2:14" x14ac:dyDescent="0.3">
      <c r="B535" t="s">
        <v>2173</v>
      </c>
      <c r="C535" t="s">
        <v>2717</v>
      </c>
      <c r="D535" t="s">
        <v>730</v>
      </c>
      <c r="E535">
        <v>0</v>
      </c>
      <c r="F535" t="s">
        <v>730</v>
      </c>
      <c r="K535" s="12" t="s">
        <v>5604</v>
      </c>
      <c r="L535" t="str">
        <f>IFERROR(VLOOKUP(K535,Таблица7[3]:Таблица7[[#This Row],[6]],2,FALSE),"")</f>
        <v/>
      </c>
      <c r="M535" t="str">
        <f t="shared" si="9"/>
        <v/>
      </c>
      <c r="N535" t="str" cm="1">
        <f t="array" ref="N535">IF(MOD(ROW()-ROW($B$2),16)=0,INDEX($M$2:$M$1000,(ROW()-ROW($B$2))/16+1),"")</f>
        <v/>
      </c>
    </row>
    <row r="536" spans="2:14" x14ac:dyDescent="0.3">
      <c r="B536" t="s">
        <v>2173</v>
      </c>
      <c r="C536" t="s">
        <v>2718</v>
      </c>
      <c r="D536" t="s">
        <v>731</v>
      </c>
      <c r="E536">
        <v>0</v>
      </c>
      <c r="F536" t="s">
        <v>731</v>
      </c>
      <c r="K536" s="12" t="s">
        <v>5605</v>
      </c>
      <c r="L536" t="str">
        <f>IFERROR(VLOOKUP(K536,Таблица7[3]:Таблица7[[#This Row],[6]],2,FALSE),"")</f>
        <v/>
      </c>
      <c r="M536" t="str">
        <f t="shared" si="9"/>
        <v/>
      </c>
      <c r="N536" t="str" cm="1">
        <f t="array" ref="N536">IF(MOD(ROW()-ROW($B$2),16)=0,INDEX($M$2:$M$1000,(ROW()-ROW($B$2))/16+1),"")</f>
        <v/>
      </c>
    </row>
    <row r="537" spans="2:14" x14ac:dyDescent="0.3">
      <c r="B537" t="s">
        <v>2173</v>
      </c>
      <c r="C537" t="s">
        <v>2719</v>
      </c>
      <c r="D537" t="s">
        <v>732</v>
      </c>
      <c r="E537">
        <v>0</v>
      </c>
      <c r="F537" t="s">
        <v>732</v>
      </c>
      <c r="K537" s="12" t="s">
        <v>5606</v>
      </c>
      <c r="L537" t="str">
        <f>IFERROR(VLOOKUP(K537,Таблица7[3]:Таблица7[[#This Row],[6]],2,FALSE),"")</f>
        <v/>
      </c>
      <c r="M537" t="str">
        <f t="shared" si="9"/>
        <v/>
      </c>
      <c r="N537" t="str" cm="1">
        <f t="array" ref="N537">IF(MOD(ROW()-ROW($B$2),16)=0,INDEX($M$2:$M$1000,(ROW()-ROW($B$2))/16+1),"")</f>
        <v/>
      </c>
    </row>
    <row r="538" spans="2:14" x14ac:dyDescent="0.3">
      <c r="B538" t="s">
        <v>2173</v>
      </c>
      <c r="C538" t="s">
        <v>2720</v>
      </c>
      <c r="D538" t="s">
        <v>733</v>
      </c>
      <c r="E538">
        <v>0</v>
      </c>
      <c r="F538" t="s">
        <v>733</v>
      </c>
      <c r="K538" s="12" t="s">
        <v>5607</v>
      </c>
      <c r="L538" t="str">
        <f>IFERROR(VLOOKUP(K538,Таблица7[3]:Таблица7[[#This Row],[6]],2,FALSE),"")</f>
        <v/>
      </c>
      <c r="M538" t="str">
        <f t="shared" si="9"/>
        <v/>
      </c>
      <c r="N538" t="str" cm="1">
        <f t="array" ref="N538">IF(MOD(ROW()-ROW($B$2),16)=0,INDEX($M$2:$M$1000,(ROW()-ROW($B$2))/16+1),"")</f>
        <v/>
      </c>
    </row>
    <row r="539" spans="2:14" x14ac:dyDescent="0.3">
      <c r="B539" t="s">
        <v>2173</v>
      </c>
      <c r="C539" t="s">
        <v>2721</v>
      </c>
      <c r="D539" t="s">
        <v>734</v>
      </c>
      <c r="E539">
        <v>0</v>
      </c>
      <c r="F539" t="s">
        <v>734</v>
      </c>
      <c r="K539" s="12" t="s">
        <v>5608</v>
      </c>
      <c r="L539" t="str">
        <f>IFERROR(VLOOKUP(K539,Таблица7[3]:Таблица7[[#This Row],[6]],2,FALSE),"")</f>
        <v/>
      </c>
      <c r="M539" t="str">
        <f t="shared" si="9"/>
        <v/>
      </c>
      <c r="N539" t="str" cm="1">
        <f t="array" ref="N539">IF(MOD(ROW()-ROW($B$2),16)=0,INDEX($M$2:$M$1000,(ROW()-ROW($B$2))/16+1),"")</f>
        <v/>
      </c>
    </row>
    <row r="540" spans="2:14" x14ac:dyDescent="0.3">
      <c r="B540" t="s">
        <v>2173</v>
      </c>
      <c r="C540" t="s">
        <v>2722</v>
      </c>
      <c r="D540" t="s">
        <v>735</v>
      </c>
      <c r="E540">
        <v>0</v>
      </c>
      <c r="F540" t="s">
        <v>735</v>
      </c>
      <c r="K540" s="12" t="s">
        <v>5609</v>
      </c>
      <c r="L540" t="str">
        <f>IFERROR(VLOOKUP(K540,Таблица7[3]:Таблица7[[#This Row],[6]],2,FALSE),"")</f>
        <v/>
      </c>
      <c r="M540" t="str">
        <f t="shared" si="9"/>
        <v/>
      </c>
      <c r="N540" t="str" cm="1">
        <f t="array" ref="N540">IF(MOD(ROW()-ROW($B$2),16)=0,INDEX($M$2:$M$1000,(ROW()-ROW($B$2))/16+1),"")</f>
        <v/>
      </c>
    </row>
    <row r="541" spans="2:14" x14ac:dyDescent="0.3">
      <c r="B541" t="s">
        <v>2173</v>
      </c>
      <c r="C541" t="s">
        <v>2723</v>
      </c>
      <c r="D541" t="s">
        <v>736</v>
      </c>
      <c r="E541">
        <v>0</v>
      </c>
      <c r="F541" t="s">
        <v>736</v>
      </c>
      <c r="K541" s="12" t="s">
        <v>5610</v>
      </c>
      <c r="L541" t="str">
        <f>IFERROR(VLOOKUP(K541,Таблица7[3]:Таблица7[[#This Row],[6]],2,FALSE),"")</f>
        <v/>
      </c>
      <c r="M541" t="str">
        <f t="shared" si="9"/>
        <v/>
      </c>
      <c r="N541" t="str" cm="1">
        <f t="array" ref="N541">IF(MOD(ROW()-ROW($B$2),16)=0,INDEX($M$2:$M$1000,(ROW()-ROW($B$2))/16+1),"")</f>
        <v/>
      </c>
    </row>
    <row r="542" spans="2:14" x14ac:dyDescent="0.3">
      <c r="B542" t="s">
        <v>2173</v>
      </c>
      <c r="C542" t="s">
        <v>2724</v>
      </c>
      <c r="D542" t="s">
        <v>737</v>
      </c>
      <c r="E542">
        <v>0</v>
      </c>
      <c r="F542" t="s">
        <v>737</v>
      </c>
      <c r="K542" s="12" t="s">
        <v>5611</v>
      </c>
      <c r="L542" t="str">
        <f>IFERROR(VLOOKUP(K542,Таблица7[3]:Таблица7[[#This Row],[6]],2,FALSE),"")</f>
        <v/>
      </c>
      <c r="M542" t="str">
        <f t="shared" si="9"/>
        <v/>
      </c>
      <c r="N542" t="str" cm="1">
        <f t="array" ref="N542">IF(MOD(ROW()-ROW($B$2),16)=0,INDEX($M$2:$M$1000,(ROW()-ROW($B$2))/16+1),"")</f>
        <v/>
      </c>
    </row>
    <row r="543" spans="2:14" x14ac:dyDescent="0.3">
      <c r="B543" t="s">
        <v>2173</v>
      </c>
      <c r="C543" t="s">
        <v>2725</v>
      </c>
      <c r="D543" t="s">
        <v>738</v>
      </c>
      <c r="E543">
        <v>0</v>
      </c>
      <c r="F543" t="s">
        <v>738</v>
      </c>
      <c r="K543" s="12" t="s">
        <v>5612</v>
      </c>
      <c r="L543" t="str">
        <f>IFERROR(VLOOKUP(K543,Таблица7[3]:Таблица7[[#This Row],[6]],2,FALSE),"")</f>
        <v/>
      </c>
      <c r="M543" t="str">
        <f t="shared" si="9"/>
        <v/>
      </c>
      <c r="N543" t="str" cm="1">
        <f t="array" ref="N543">IF(MOD(ROW()-ROW($B$2),16)=0,INDEX($M$2:$M$1000,(ROW()-ROW($B$2))/16+1),"")</f>
        <v/>
      </c>
    </row>
    <row r="544" spans="2:14" x14ac:dyDescent="0.3">
      <c r="B544" t="s">
        <v>2173</v>
      </c>
      <c r="C544" t="s">
        <v>2726</v>
      </c>
      <c r="D544" t="s">
        <v>739</v>
      </c>
      <c r="E544">
        <v>0</v>
      </c>
      <c r="F544" t="s">
        <v>739</v>
      </c>
      <c r="K544" s="12" t="s">
        <v>5613</v>
      </c>
      <c r="L544" t="str">
        <f>IFERROR(VLOOKUP(K544,Таблица7[3]:Таблица7[[#This Row],[6]],2,FALSE),"")</f>
        <v/>
      </c>
      <c r="M544" t="str">
        <f t="shared" si="9"/>
        <v/>
      </c>
      <c r="N544" t="str" cm="1">
        <f t="array" ref="N544">IF(MOD(ROW()-ROW($B$2),16)=0,INDEX($M$2:$M$1000,(ROW()-ROW($B$2))/16+1),"")</f>
        <v/>
      </c>
    </row>
    <row r="545" spans="2:14" x14ac:dyDescent="0.3">
      <c r="B545" t="s">
        <v>2173</v>
      </c>
      <c r="C545" t="s">
        <v>2727</v>
      </c>
      <c r="D545" t="s">
        <v>740</v>
      </c>
      <c r="E545">
        <v>0</v>
      </c>
      <c r="F545" t="s">
        <v>740</v>
      </c>
      <c r="K545" s="12" t="s">
        <v>5614</v>
      </c>
      <c r="L545" t="str">
        <f>IFERROR(VLOOKUP(K545,Таблица7[3]:Таблица7[[#This Row],[6]],2,FALSE),"")</f>
        <v/>
      </c>
      <c r="M545" t="str">
        <f t="shared" si="9"/>
        <v/>
      </c>
      <c r="N545" t="str" cm="1">
        <f t="array" ref="N545">IF(MOD(ROW()-ROW($B$2),16)=0,INDEX($M$2:$M$1000,(ROW()-ROW($B$2))/16+1),"")</f>
        <v/>
      </c>
    </row>
    <row r="546" spans="2:14" x14ac:dyDescent="0.3">
      <c r="B546" t="s">
        <v>2173</v>
      </c>
      <c r="C546" t="s">
        <v>2728</v>
      </c>
      <c r="D546" t="s">
        <v>741</v>
      </c>
      <c r="E546">
        <v>0</v>
      </c>
      <c r="F546" t="s">
        <v>741</v>
      </c>
      <c r="K546" s="12" t="s">
        <v>5615</v>
      </c>
      <c r="L546" t="str">
        <f>IFERROR(VLOOKUP(K546,Таблица7[3]:Таблица7[[#This Row],[6]],2,FALSE),"")</f>
        <v/>
      </c>
      <c r="M546" t="str">
        <f t="shared" si="9"/>
        <v/>
      </c>
      <c r="N546" t="str" cm="1">
        <f t="array" ref="N546">IF(MOD(ROW()-ROW($B$2),16)=0,INDEX($M$2:$M$1000,(ROW()-ROW($B$2))/16+1),"")</f>
        <v>Фиксированное число 34 (0)</v>
      </c>
    </row>
    <row r="547" spans="2:14" x14ac:dyDescent="0.3">
      <c r="B547" t="s">
        <v>2173</v>
      </c>
      <c r="C547" t="s">
        <v>2729</v>
      </c>
      <c r="D547" t="s">
        <v>742</v>
      </c>
      <c r="E547">
        <v>0</v>
      </c>
      <c r="F547" t="s">
        <v>742</v>
      </c>
      <c r="K547" s="12" t="s">
        <v>5616</v>
      </c>
      <c r="L547" t="str">
        <f>IFERROR(VLOOKUP(K547,Таблица7[3]:Таблица7[[#This Row],[6]],2,FALSE),"")</f>
        <v/>
      </c>
      <c r="M547" t="str">
        <f t="shared" si="9"/>
        <v/>
      </c>
      <c r="N547" t="str" cm="1">
        <f t="array" ref="N547">IF(MOD(ROW()-ROW($B$2),16)=0,INDEX($M$2:$M$1000,(ROW()-ROW($B$2))/16+1),"")</f>
        <v/>
      </c>
    </row>
    <row r="548" spans="2:14" x14ac:dyDescent="0.3">
      <c r="B548" t="s">
        <v>2173</v>
      </c>
      <c r="C548" t="s">
        <v>2730</v>
      </c>
      <c r="D548" t="s">
        <v>743</v>
      </c>
      <c r="E548">
        <v>0</v>
      </c>
      <c r="F548" t="s">
        <v>743</v>
      </c>
      <c r="K548" s="12" t="s">
        <v>5617</v>
      </c>
      <c r="L548" t="str">
        <f>IFERROR(VLOOKUP(K548,Таблица7[3]:Таблица7[[#This Row],[6]],2,FALSE),"")</f>
        <v/>
      </c>
      <c r="M548" t="str">
        <f t="shared" si="9"/>
        <v/>
      </c>
      <c r="N548" t="str" cm="1">
        <f t="array" ref="N548">IF(MOD(ROW()-ROW($B$2),16)=0,INDEX($M$2:$M$1000,(ROW()-ROW($B$2))/16+1),"")</f>
        <v/>
      </c>
    </row>
    <row r="549" spans="2:14" x14ac:dyDescent="0.3">
      <c r="B549" t="s">
        <v>2173</v>
      </c>
      <c r="C549" t="s">
        <v>2731</v>
      </c>
      <c r="D549" t="s">
        <v>744</v>
      </c>
      <c r="E549">
        <v>0</v>
      </c>
      <c r="F549" t="s">
        <v>744</v>
      </c>
      <c r="K549" s="12" t="s">
        <v>5618</v>
      </c>
      <c r="L549" t="str">
        <f>IFERROR(VLOOKUP(K549,Таблица7[3]:Таблица7[[#This Row],[6]],2,FALSE),"")</f>
        <v/>
      </c>
      <c r="M549" t="str">
        <f t="shared" si="9"/>
        <v/>
      </c>
      <c r="N549" t="str" cm="1">
        <f t="array" ref="N549">IF(MOD(ROW()-ROW($B$2),16)=0,INDEX($M$2:$M$1000,(ROW()-ROW($B$2))/16+1),"")</f>
        <v/>
      </c>
    </row>
    <row r="550" spans="2:14" x14ac:dyDescent="0.3">
      <c r="B550" t="s">
        <v>2173</v>
      </c>
      <c r="C550" t="s">
        <v>2732</v>
      </c>
      <c r="D550" t="s">
        <v>745</v>
      </c>
      <c r="E550">
        <v>0</v>
      </c>
      <c r="F550" t="s">
        <v>745</v>
      </c>
      <c r="K550" s="12" t="s">
        <v>5619</v>
      </c>
      <c r="L550" t="str">
        <f>IFERROR(VLOOKUP(K550,Таблица7[3]:Таблица7[[#This Row],[6]],2,FALSE),"")</f>
        <v/>
      </c>
      <c r="M550" t="str">
        <f t="shared" si="9"/>
        <v/>
      </c>
      <c r="N550" t="str" cm="1">
        <f t="array" ref="N550">IF(MOD(ROW()-ROW($B$2),16)=0,INDEX($M$2:$M$1000,(ROW()-ROW($B$2))/16+1),"")</f>
        <v/>
      </c>
    </row>
    <row r="551" spans="2:14" x14ac:dyDescent="0.3">
      <c r="B551" t="s">
        <v>2173</v>
      </c>
      <c r="C551" t="s">
        <v>2733</v>
      </c>
      <c r="D551" t="s">
        <v>746</v>
      </c>
      <c r="E551">
        <v>0</v>
      </c>
      <c r="F551" t="s">
        <v>746</v>
      </c>
      <c r="K551" s="12" t="s">
        <v>5620</v>
      </c>
      <c r="L551" t="str">
        <f>IFERROR(VLOOKUP(K551,Таблица7[3]:Таблица7[[#This Row],[6]],2,FALSE),"")</f>
        <v/>
      </c>
      <c r="M551" t="str">
        <f t="shared" si="9"/>
        <v/>
      </c>
      <c r="N551" t="str" cm="1">
        <f t="array" ref="N551">IF(MOD(ROW()-ROW($B$2),16)=0,INDEX($M$2:$M$1000,(ROW()-ROW($B$2))/16+1),"")</f>
        <v/>
      </c>
    </row>
    <row r="552" spans="2:14" x14ac:dyDescent="0.3">
      <c r="B552" t="s">
        <v>2173</v>
      </c>
      <c r="C552" t="s">
        <v>2734</v>
      </c>
      <c r="D552" t="s">
        <v>747</v>
      </c>
      <c r="E552">
        <v>0</v>
      </c>
      <c r="F552" t="s">
        <v>747</v>
      </c>
      <c r="K552" s="12" t="s">
        <v>5621</v>
      </c>
      <c r="L552" t="str">
        <f>IFERROR(VLOOKUP(K552,Таблица7[3]:Таблица7[[#This Row],[6]],2,FALSE),"")</f>
        <v/>
      </c>
      <c r="M552" t="str">
        <f t="shared" si="9"/>
        <v/>
      </c>
      <c r="N552" t="str" cm="1">
        <f t="array" ref="N552">IF(MOD(ROW()-ROW($B$2),16)=0,INDEX($M$2:$M$1000,(ROW()-ROW($B$2))/16+1),"")</f>
        <v/>
      </c>
    </row>
    <row r="553" spans="2:14" x14ac:dyDescent="0.3">
      <c r="B553" t="s">
        <v>2173</v>
      </c>
      <c r="C553" t="s">
        <v>2735</v>
      </c>
      <c r="D553" t="s">
        <v>748</v>
      </c>
      <c r="E553">
        <v>0</v>
      </c>
      <c r="F553" t="s">
        <v>748</v>
      </c>
      <c r="K553" s="12" t="s">
        <v>5622</v>
      </c>
      <c r="L553" t="str">
        <f>IFERROR(VLOOKUP(K553,Таблица7[3]:Таблица7[[#This Row],[6]],2,FALSE),"")</f>
        <v/>
      </c>
      <c r="M553" t="str">
        <f t="shared" si="9"/>
        <v/>
      </c>
      <c r="N553" t="str" cm="1">
        <f t="array" ref="N553">IF(MOD(ROW()-ROW($B$2),16)=0,INDEX($M$2:$M$1000,(ROW()-ROW($B$2))/16+1),"")</f>
        <v/>
      </c>
    </row>
    <row r="554" spans="2:14" x14ac:dyDescent="0.3">
      <c r="B554" t="s">
        <v>2173</v>
      </c>
      <c r="C554" t="s">
        <v>2736</v>
      </c>
      <c r="D554" t="s">
        <v>749</v>
      </c>
      <c r="E554">
        <v>0</v>
      </c>
      <c r="F554" t="s">
        <v>749</v>
      </c>
      <c r="K554" s="12" t="s">
        <v>5623</v>
      </c>
      <c r="L554" t="str">
        <f>IFERROR(VLOOKUP(K554,Таблица7[3]:Таблица7[[#This Row],[6]],2,FALSE),"")</f>
        <v/>
      </c>
      <c r="M554" t="str">
        <f t="shared" si="9"/>
        <v/>
      </c>
      <c r="N554" t="str" cm="1">
        <f t="array" ref="N554">IF(MOD(ROW()-ROW($B$2),16)=0,INDEX($M$2:$M$1000,(ROW()-ROW($B$2))/16+1),"")</f>
        <v/>
      </c>
    </row>
    <row r="555" spans="2:14" x14ac:dyDescent="0.3">
      <c r="B555" t="s">
        <v>2173</v>
      </c>
      <c r="C555" t="s">
        <v>2737</v>
      </c>
      <c r="D555" t="s">
        <v>750</v>
      </c>
      <c r="E555">
        <v>0</v>
      </c>
      <c r="F555" t="s">
        <v>750</v>
      </c>
      <c r="K555" s="12" t="s">
        <v>5624</v>
      </c>
      <c r="L555" t="str">
        <f>IFERROR(VLOOKUP(K555,Таблица7[3]:Таблица7[[#This Row],[6]],2,FALSE),"")</f>
        <v/>
      </c>
      <c r="M555" t="str">
        <f t="shared" si="9"/>
        <v/>
      </c>
      <c r="N555" t="str" cm="1">
        <f t="array" ref="N555">IF(MOD(ROW()-ROW($B$2),16)=0,INDEX($M$2:$M$1000,(ROW()-ROW($B$2))/16+1),"")</f>
        <v/>
      </c>
    </row>
    <row r="556" spans="2:14" x14ac:dyDescent="0.3">
      <c r="B556" t="s">
        <v>2173</v>
      </c>
      <c r="C556" t="s">
        <v>2738</v>
      </c>
      <c r="D556" t="s">
        <v>751</v>
      </c>
      <c r="E556">
        <v>0</v>
      </c>
      <c r="F556" t="s">
        <v>751</v>
      </c>
      <c r="K556" s="12" t="s">
        <v>5625</v>
      </c>
      <c r="L556" t="str">
        <f>IFERROR(VLOOKUP(K556,Таблица7[3]:Таблица7[[#This Row],[6]],2,FALSE),"")</f>
        <v/>
      </c>
      <c r="M556" t="str">
        <f t="shared" si="9"/>
        <v/>
      </c>
      <c r="N556" t="str" cm="1">
        <f t="array" ref="N556">IF(MOD(ROW()-ROW($B$2),16)=0,INDEX($M$2:$M$1000,(ROW()-ROW($B$2))/16+1),"")</f>
        <v/>
      </c>
    </row>
    <row r="557" spans="2:14" x14ac:dyDescent="0.3">
      <c r="B557" t="s">
        <v>2173</v>
      </c>
      <c r="C557" t="s">
        <v>2739</v>
      </c>
      <c r="D557" t="s">
        <v>752</v>
      </c>
      <c r="E557">
        <v>0</v>
      </c>
      <c r="F557" t="s">
        <v>752</v>
      </c>
      <c r="K557" s="12" t="s">
        <v>5626</v>
      </c>
      <c r="L557" t="str">
        <f>IFERROR(VLOOKUP(K557,Таблица7[3]:Таблица7[[#This Row],[6]],2,FALSE),"")</f>
        <v/>
      </c>
      <c r="M557" t="str">
        <f t="shared" si="9"/>
        <v/>
      </c>
      <c r="N557" t="str" cm="1">
        <f t="array" ref="N557">IF(MOD(ROW()-ROW($B$2),16)=0,INDEX($M$2:$M$1000,(ROW()-ROW($B$2))/16+1),"")</f>
        <v/>
      </c>
    </row>
    <row r="558" spans="2:14" x14ac:dyDescent="0.3">
      <c r="B558" t="s">
        <v>2173</v>
      </c>
      <c r="C558" t="s">
        <v>2740</v>
      </c>
      <c r="D558" t="s">
        <v>753</v>
      </c>
      <c r="E558">
        <v>0</v>
      </c>
      <c r="F558" t="s">
        <v>753</v>
      </c>
      <c r="K558" s="12" t="s">
        <v>5627</v>
      </c>
      <c r="L558" t="str">
        <f>IFERROR(VLOOKUP(K558,Таблица7[3]:Таблица7[[#This Row],[6]],2,FALSE),"")</f>
        <v/>
      </c>
      <c r="M558" t="str">
        <f t="shared" si="9"/>
        <v/>
      </c>
      <c r="N558" t="str" cm="1">
        <f t="array" ref="N558">IF(MOD(ROW()-ROW($B$2),16)=0,INDEX($M$2:$M$1000,(ROW()-ROW($B$2))/16+1),"")</f>
        <v/>
      </c>
    </row>
    <row r="559" spans="2:14" x14ac:dyDescent="0.3">
      <c r="B559" t="s">
        <v>2173</v>
      </c>
      <c r="C559" t="s">
        <v>2741</v>
      </c>
      <c r="D559" t="s">
        <v>754</v>
      </c>
      <c r="E559">
        <v>0</v>
      </c>
      <c r="F559" t="s">
        <v>754</v>
      </c>
      <c r="K559" s="12" t="s">
        <v>5628</v>
      </c>
      <c r="L559" t="str">
        <f>IFERROR(VLOOKUP(K559,Таблица7[3]:Таблица7[[#This Row],[6]],2,FALSE),"")</f>
        <v/>
      </c>
      <c r="M559" t="str">
        <f t="shared" si="9"/>
        <v/>
      </c>
      <c r="N559" t="str" cm="1">
        <f t="array" ref="N559">IF(MOD(ROW()-ROW($B$2),16)=0,INDEX($M$2:$M$1000,(ROW()-ROW($B$2))/16+1),"")</f>
        <v/>
      </c>
    </row>
    <row r="560" spans="2:14" x14ac:dyDescent="0.3">
      <c r="B560" t="s">
        <v>2173</v>
      </c>
      <c r="C560" t="s">
        <v>2742</v>
      </c>
      <c r="D560" t="s">
        <v>755</v>
      </c>
      <c r="E560">
        <v>0</v>
      </c>
      <c r="F560" t="s">
        <v>755</v>
      </c>
      <c r="K560" s="12" t="s">
        <v>5629</v>
      </c>
      <c r="L560" t="str">
        <f>IFERROR(VLOOKUP(K560,Таблица7[3]:Таблица7[[#This Row],[6]],2,FALSE),"")</f>
        <v/>
      </c>
      <c r="M560" t="str">
        <f t="shared" si="9"/>
        <v/>
      </c>
      <c r="N560" t="str" cm="1">
        <f t="array" ref="N560">IF(MOD(ROW()-ROW($B$2),16)=0,INDEX($M$2:$M$1000,(ROW()-ROW($B$2))/16+1),"")</f>
        <v/>
      </c>
    </row>
    <row r="561" spans="2:14" x14ac:dyDescent="0.3">
      <c r="B561" t="s">
        <v>2173</v>
      </c>
      <c r="C561" t="s">
        <v>2743</v>
      </c>
      <c r="D561" t="s">
        <v>756</v>
      </c>
      <c r="E561">
        <v>0</v>
      </c>
      <c r="F561" t="s">
        <v>756</v>
      </c>
      <c r="K561" s="12" t="s">
        <v>5630</v>
      </c>
      <c r="L561" t="str">
        <f>IFERROR(VLOOKUP(K561,Таблица7[3]:Таблица7[[#This Row],[6]],2,FALSE),"")</f>
        <v/>
      </c>
      <c r="M561" t="str">
        <f t="shared" si="9"/>
        <v/>
      </c>
      <c r="N561" t="str" cm="1">
        <f t="array" ref="N561">IF(MOD(ROW()-ROW($B$2),16)=0,INDEX($M$2:$M$1000,(ROW()-ROW($B$2))/16+1),"")</f>
        <v/>
      </c>
    </row>
    <row r="562" spans="2:14" x14ac:dyDescent="0.3">
      <c r="B562" t="s">
        <v>2173</v>
      </c>
      <c r="C562" t="s">
        <v>2744</v>
      </c>
      <c r="D562" t="s">
        <v>757</v>
      </c>
      <c r="E562">
        <v>0</v>
      </c>
      <c r="F562" t="s">
        <v>757</v>
      </c>
      <c r="K562" s="12" t="s">
        <v>5631</v>
      </c>
      <c r="L562" t="str">
        <f>IFERROR(VLOOKUP(K562,Таблица7[3]:Таблица7[[#This Row],[6]],2,FALSE),"")</f>
        <v/>
      </c>
      <c r="M562" t="str">
        <f t="shared" si="9"/>
        <v/>
      </c>
      <c r="N562" t="str" cm="1">
        <f t="array" ref="N562">IF(MOD(ROW()-ROW($B$2),16)=0,INDEX($M$2:$M$1000,(ROW()-ROW($B$2))/16+1),"")</f>
        <v>Фиксированное число 35 (0)</v>
      </c>
    </row>
    <row r="563" spans="2:14" x14ac:dyDescent="0.3">
      <c r="B563" t="s">
        <v>2173</v>
      </c>
      <c r="C563" t="s">
        <v>2745</v>
      </c>
      <c r="D563" t="s">
        <v>758</v>
      </c>
      <c r="E563">
        <v>0</v>
      </c>
      <c r="F563" t="s">
        <v>758</v>
      </c>
      <c r="K563" s="12" t="s">
        <v>5632</v>
      </c>
      <c r="L563" t="str">
        <f>IFERROR(VLOOKUP(K563,Таблица7[3]:Таблица7[[#This Row],[6]],2,FALSE),"")</f>
        <v/>
      </c>
      <c r="M563" t="str">
        <f t="shared" si="9"/>
        <v/>
      </c>
      <c r="N563" t="str" cm="1">
        <f t="array" ref="N563">IF(MOD(ROW()-ROW($B$2),16)=0,INDEX($M$2:$M$1000,(ROW()-ROW($B$2))/16+1),"")</f>
        <v/>
      </c>
    </row>
    <row r="564" spans="2:14" x14ac:dyDescent="0.3">
      <c r="B564" t="s">
        <v>2173</v>
      </c>
      <c r="C564" t="s">
        <v>2746</v>
      </c>
      <c r="D564" t="s">
        <v>759</v>
      </c>
      <c r="E564">
        <v>0</v>
      </c>
      <c r="F564" t="s">
        <v>759</v>
      </c>
      <c r="K564" s="12" t="s">
        <v>5633</v>
      </c>
      <c r="L564" t="str">
        <f>IFERROR(VLOOKUP(K564,Таблица7[3]:Таблица7[[#This Row],[6]],2,FALSE),"")</f>
        <v/>
      </c>
      <c r="M564" t="str">
        <f t="shared" si="9"/>
        <v/>
      </c>
      <c r="N564" t="str" cm="1">
        <f t="array" ref="N564">IF(MOD(ROW()-ROW($B$2),16)=0,INDEX($M$2:$M$1000,(ROW()-ROW($B$2))/16+1),"")</f>
        <v/>
      </c>
    </row>
    <row r="565" spans="2:14" x14ac:dyDescent="0.3">
      <c r="B565" t="s">
        <v>2173</v>
      </c>
      <c r="C565" t="s">
        <v>2747</v>
      </c>
      <c r="D565" t="s">
        <v>760</v>
      </c>
      <c r="E565">
        <v>0</v>
      </c>
      <c r="F565" t="s">
        <v>760</v>
      </c>
      <c r="K565" s="12" t="s">
        <v>5634</v>
      </c>
      <c r="L565" t="str">
        <f>IFERROR(VLOOKUP(K565,Таблица7[3]:Таблица7[[#This Row],[6]],2,FALSE),"")</f>
        <v/>
      </c>
      <c r="M565" t="str">
        <f t="shared" si="9"/>
        <v/>
      </c>
      <c r="N565" t="str" cm="1">
        <f t="array" ref="N565">IF(MOD(ROW()-ROW($B$2),16)=0,INDEX($M$2:$M$1000,(ROW()-ROW($B$2))/16+1),"")</f>
        <v/>
      </c>
    </row>
    <row r="566" spans="2:14" x14ac:dyDescent="0.3">
      <c r="B566" t="s">
        <v>2173</v>
      </c>
      <c r="C566" t="s">
        <v>2748</v>
      </c>
      <c r="D566" t="s">
        <v>761</v>
      </c>
      <c r="E566">
        <v>0</v>
      </c>
      <c r="F566" t="s">
        <v>761</v>
      </c>
      <c r="K566" s="12" t="s">
        <v>5635</v>
      </c>
      <c r="L566" t="str">
        <f>IFERROR(VLOOKUP(K566,Таблица7[3]:Таблица7[[#This Row],[6]],2,FALSE),"")</f>
        <v/>
      </c>
      <c r="M566" t="str">
        <f t="shared" si="9"/>
        <v/>
      </c>
      <c r="N566" t="str" cm="1">
        <f t="array" ref="N566">IF(MOD(ROW()-ROW($B$2),16)=0,INDEX($M$2:$M$1000,(ROW()-ROW($B$2))/16+1),"")</f>
        <v/>
      </c>
    </row>
    <row r="567" spans="2:14" x14ac:dyDescent="0.3">
      <c r="B567" t="s">
        <v>2173</v>
      </c>
      <c r="C567" t="s">
        <v>2749</v>
      </c>
      <c r="D567" t="s">
        <v>762</v>
      </c>
      <c r="E567">
        <v>0</v>
      </c>
      <c r="F567" t="s">
        <v>762</v>
      </c>
      <c r="K567" s="12" t="s">
        <v>5636</v>
      </c>
      <c r="L567" t="str">
        <f>IFERROR(VLOOKUP(K567,Таблица7[3]:Таблица7[[#This Row],[6]],2,FALSE),"")</f>
        <v/>
      </c>
      <c r="M567" t="str">
        <f t="shared" si="9"/>
        <v/>
      </c>
      <c r="N567" t="str" cm="1">
        <f t="array" ref="N567">IF(MOD(ROW()-ROW($B$2),16)=0,INDEX($M$2:$M$1000,(ROW()-ROW($B$2))/16+1),"")</f>
        <v/>
      </c>
    </row>
    <row r="568" spans="2:14" x14ac:dyDescent="0.3">
      <c r="B568" t="s">
        <v>2173</v>
      </c>
      <c r="C568" t="s">
        <v>2750</v>
      </c>
      <c r="D568" t="s">
        <v>763</v>
      </c>
      <c r="E568">
        <v>0</v>
      </c>
      <c r="F568" t="s">
        <v>763</v>
      </c>
      <c r="K568" s="12" t="s">
        <v>5637</v>
      </c>
      <c r="L568" t="str">
        <f>IFERROR(VLOOKUP(K568,Таблица7[3]:Таблица7[[#This Row],[6]],2,FALSE),"")</f>
        <v/>
      </c>
      <c r="M568" t="str">
        <f t="shared" si="9"/>
        <v/>
      </c>
      <c r="N568" t="str" cm="1">
        <f t="array" ref="N568">IF(MOD(ROW()-ROW($B$2),16)=0,INDEX($M$2:$M$1000,(ROW()-ROW($B$2))/16+1),"")</f>
        <v/>
      </c>
    </row>
    <row r="569" spans="2:14" x14ac:dyDescent="0.3">
      <c r="B569" t="s">
        <v>2173</v>
      </c>
      <c r="C569" t="s">
        <v>2751</v>
      </c>
      <c r="D569" t="s">
        <v>764</v>
      </c>
      <c r="E569">
        <v>0</v>
      </c>
      <c r="F569" t="s">
        <v>764</v>
      </c>
      <c r="K569" s="12" t="s">
        <v>5638</v>
      </c>
      <c r="L569" t="str">
        <f>IFERROR(VLOOKUP(K569,Таблица7[3]:Таблица7[[#This Row],[6]],2,FALSE),"")</f>
        <v/>
      </c>
      <c r="M569" t="str">
        <f t="shared" si="9"/>
        <v/>
      </c>
      <c r="N569" t="str" cm="1">
        <f t="array" ref="N569">IF(MOD(ROW()-ROW($B$2),16)=0,INDEX($M$2:$M$1000,(ROW()-ROW($B$2))/16+1),"")</f>
        <v/>
      </c>
    </row>
    <row r="570" spans="2:14" x14ac:dyDescent="0.3">
      <c r="B570" t="s">
        <v>2173</v>
      </c>
      <c r="C570" t="s">
        <v>2752</v>
      </c>
      <c r="D570" t="s">
        <v>765</v>
      </c>
      <c r="E570">
        <v>0</v>
      </c>
      <c r="F570" t="s">
        <v>765</v>
      </c>
      <c r="K570" s="12" t="s">
        <v>5639</v>
      </c>
      <c r="L570" t="str">
        <f>IFERROR(VLOOKUP(K570,Таблица7[3]:Таблица7[[#This Row],[6]],2,FALSE),"")</f>
        <v/>
      </c>
      <c r="M570" t="str">
        <f t="shared" si="9"/>
        <v/>
      </c>
      <c r="N570" t="str" cm="1">
        <f t="array" ref="N570">IF(MOD(ROW()-ROW($B$2),16)=0,INDEX($M$2:$M$1000,(ROW()-ROW($B$2))/16+1),"")</f>
        <v/>
      </c>
    </row>
    <row r="571" spans="2:14" x14ac:dyDescent="0.3">
      <c r="B571" t="s">
        <v>2173</v>
      </c>
      <c r="C571" t="s">
        <v>2753</v>
      </c>
      <c r="D571" t="s">
        <v>766</v>
      </c>
      <c r="E571">
        <v>0</v>
      </c>
      <c r="F571" t="s">
        <v>766</v>
      </c>
      <c r="K571" s="12" t="s">
        <v>5640</v>
      </c>
      <c r="L571" t="str">
        <f>IFERROR(VLOOKUP(K571,Таблица7[3]:Таблица7[[#This Row],[6]],2,FALSE),"")</f>
        <v/>
      </c>
      <c r="M571" t="str">
        <f t="shared" si="9"/>
        <v/>
      </c>
      <c r="N571" t="str" cm="1">
        <f t="array" ref="N571">IF(MOD(ROW()-ROW($B$2),16)=0,INDEX($M$2:$M$1000,(ROW()-ROW($B$2))/16+1),"")</f>
        <v/>
      </c>
    </row>
    <row r="572" spans="2:14" x14ac:dyDescent="0.3">
      <c r="B572" t="s">
        <v>2173</v>
      </c>
      <c r="C572" t="s">
        <v>2754</v>
      </c>
      <c r="D572" t="s">
        <v>767</v>
      </c>
      <c r="E572">
        <v>0</v>
      </c>
      <c r="F572" t="s">
        <v>767</v>
      </c>
      <c r="K572" s="12" t="s">
        <v>5641</v>
      </c>
      <c r="L572" t="str">
        <f>IFERROR(VLOOKUP(K572,Таблица7[3]:Таблица7[[#This Row],[6]],2,FALSE),"")</f>
        <v/>
      </c>
      <c r="M572" t="str">
        <f t="shared" si="9"/>
        <v/>
      </c>
      <c r="N572" t="str" cm="1">
        <f t="array" ref="N572">IF(MOD(ROW()-ROW($B$2),16)=0,INDEX($M$2:$M$1000,(ROW()-ROW($B$2))/16+1),"")</f>
        <v/>
      </c>
    </row>
    <row r="573" spans="2:14" x14ac:dyDescent="0.3">
      <c r="B573" t="s">
        <v>2173</v>
      </c>
      <c r="C573" t="s">
        <v>2755</v>
      </c>
      <c r="D573" t="s">
        <v>768</v>
      </c>
      <c r="E573">
        <v>0</v>
      </c>
      <c r="F573" t="s">
        <v>768</v>
      </c>
      <c r="K573" s="12" t="s">
        <v>5642</v>
      </c>
      <c r="L573" t="str">
        <f>IFERROR(VLOOKUP(K573,Таблица7[3]:Таблица7[[#This Row],[6]],2,FALSE),"")</f>
        <v/>
      </c>
      <c r="M573" t="str">
        <f t="shared" si="9"/>
        <v/>
      </c>
      <c r="N573" t="str" cm="1">
        <f t="array" ref="N573">IF(MOD(ROW()-ROW($B$2),16)=0,INDEX($M$2:$M$1000,(ROW()-ROW($B$2))/16+1),"")</f>
        <v/>
      </c>
    </row>
    <row r="574" spans="2:14" x14ac:dyDescent="0.3">
      <c r="B574" t="s">
        <v>2173</v>
      </c>
      <c r="C574" t="s">
        <v>2756</v>
      </c>
      <c r="D574" t="s">
        <v>769</v>
      </c>
      <c r="E574">
        <v>0</v>
      </c>
      <c r="F574" t="s">
        <v>769</v>
      </c>
      <c r="K574" s="12" t="s">
        <v>5643</v>
      </c>
      <c r="L574" t="str">
        <f>IFERROR(VLOOKUP(K574,Таблица7[3]:Таблица7[[#This Row],[6]],2,FALSE),"")</f>
        <v/>
      </c>
      <c r="M574" t="str">
        <f t="shared" si="9"/>
        <v/>
      </c>
      <c r="N574" t="str" cm="1">
        <f t="array" ref="N574">IF(MOD(ROW()-ROW($B$2),16)=0,INDEX($M$2:$M$1000,(ROW()-ROW($B$2))/16+1),"")</f>
        <v/>
      </c>
    </row>
    <row r="575" spans="2:14" x14ac:dyDescent="0.3">
      <c r="B575" t="s">
        <v>2173</v>
      </c>
      <c r="C575" t="s">
        <v>2757</v>
      </c>
      <c r="D575" t="s">
        <v>770</v>
      </c>
      <c r="E575">
        <v>0</v>
      </c>
      <c r="F575" t="s">
        <v>770</v>
      </c>
      <c r="K575" s="12" t="s">
        <v>5644</v>
      </c>
      <c r="L575" t="str">
        <f>IFERROR(VLOOKUP(K575,Таблица7[3]:Таблица7[[#This Row],[6]],2,FALSE),"")</f>
        <v/>
      </c>
      <c r="M575" t="str">
        <f t="shared" si="9"/>
        <v/>
      </c>
      <c r="N575" t="str" cm="1">
        <f t="array" ref="N575">IF(MOD(ROW()-ROW($B$2),16)=0,INDEX($M$2:$M$1000,(ROW()-ROW($B$2))/16+1),"")</f>
        <v/>
      </c>
    </row>
    <row r="576" spans="2:14" x14ac:dyDescent="0.3">
      <c r="B576" t="s">
        <v>2173</v>
      </c>
      <c r="C576" t="s">
        <v>2758</v>
      </c>
      <c r="D576" t="s">
        <v>771</v>
      </c>
      <c r="E576">
        <v>0</v>
      </c>
      <c r="F576" t="s">
        <v>771</v>
      </c>
      <c r="K576" s="12" t="s">
        <v>5645</v>
      </c>
      <c r="L576" t="str">
        <f>IFERROR(VLOOKUP(K576,Таблица7[3]:Таблица7[[#This Row],[6]],2,FALSE),"")</f>
        <v/>
      </c>
      <c r="M576" t="str">
        <f t="shared" si="9"/>
        <v/>
      </c>
      <c r="N576" t="str" cm="1">
        <f t="array" ref="N576">IF(MOD(ROW()-ROW($B$2),16)=0,INDEX($M$2:$M$1000,(ROW()-ROW($B$2))/16+1),"")</f>
        <v/>
      </c>
    </row>
    <row r="577" spans="2:14" x14ac:dyDescent="0.3">
      <c r="B577" t="s">
        <v>2173</v>
      </c>
      <c r="C577" t="s">
        <v>2759</v>
      </c>
      <c r="D577" t="s">
        <v>772</v>
      </c>
      <c r="E577">
        <v>0</v>
      </c>
      <c r="F577" t="s">
        <v>772</v>
      </c>
      <c r="K577" s="12" t="s">
        <v>5646</v>
      </c>
      <c r="L577" t="str">
        <f>IFERROR(VLOOKUP(K577,Таблица7[3]:Таблица7[[#This Row],[6]],2,FALSE),"")</f>
        <v/>
      </c>
      <c r="M577" t="str">
        <f t="shared" si="9"/>
        <v/>
      </c>
      <c r="N577" t="str" cm="1">
        <f t="array" ref="N577">IF(MOD(ROW()-ROW($B$2),16)=0,INDEX($M$2:$M$1000,(ROW()-ROW($B$2))/16+1),"")</f>
        <v/>
      </c>
    </row>
    <row r="578" spans="2:14" x14ac:dyDescent="0.3">
      <c r="B578" t="s">
        <v>2173</v>
      </c>
      <c r="C578" t="s">
        <v>2760</v>
      </c>
      <c r="D578" t="s">
        <v>773</v>
      </c>
      <c r="E578">
        <v>0</v>
      </c>
      <c r="F578" t="s">
        <v>773</v>
      </c>
      <c r="K578" s="12" t="s">
        <v>5647</v>
      </c>
      <c r="L578" t="str">
        <f>IFERROR(VLOOKUP(K578,Таблица7[3]:Таблица7[[#This Row],[6]],2,FALSE),"")</f>
        <v/>
      </c>
      <c r="M578" t="str">
        <f t="shared" si="9"/>
        <v/>
      </c>
      <c r="N578" t="str" cm="1">
        <f t="array" ref="N578">IF(MOD(ROW()-ROW($B$2),16)=0,INDEX($M$2:$M$1000,(ROW()-ROW($B$2))/16+1),"")</f>
        <v>Фиксированное число 36 (0)</v>
      </c>
    </row>
    <row r="579" spans="2:14" x14ac:dyDescent="0.3">
      <c r="B579" t="s">
        <v>2173</v>
      </c>
      <c r="C579" t="s">
        <v>2761</v>
      </c>
      <c r="D579" t="s">
        <v>774</v>
      </c>
      <c r="E579">
        <v>0</v>
      </c>
      <c r="F579" t="s">
        <v>774</v>
      </c>
      <c r="K579" s="12" t="s">
        <v>5648</v>
      </c>
      <c r="L579" t="str">
        <f>IFERROR(VLOOKUP(K579,Таблица7[3]:Таблица7[[#This Row],[6]],2,FALSE),"")</f>
        <v/>
      </c>
      <c r="M579" t="str">
        <f t="shared" ref="M579:M642" si="10">IF(L579&lt;&gt;"",L579&amp;" (0)","")</f>
        <v/>
      </c>
      <c r="N579" t="str" cm="1">
        <f t="array" ref="N579">IF(MOD(ROW()-ROW($B$2),16)=0,INDEX($M$2:$M$1000,(ROW()-ROW($B$2))/16+1),"")</f>
        <v/>
      </c>
    </row>
    <row r="580" spans="2:14" x14ac:dyDescent="0.3">
      <c r="B580" t="s">
        <v>2173</v>
      </c>
      <c r="C580" t="s">
        <v>2762</v>
      </c>
      <c r="D580" t="s">
        <v>775</v>
      </c>
      <c r="E580">
        <v>0</v>
      </c>
      <c r="F580" t="s">
        <v>775</v>
      </c>
      <c r="K580" s="12" t="s">
        <v>5649</v>
      </c>
      <c r="L580" t="str">
        <f>IFERROR(VLOOKUP(K580,Таблица7[3]:Таблица7[[#This Row],[6]],2,FALSE),"")</f>
        <v/>
      </c>
      <c r="M580" t="str">
        <f t="shared" si="10"/>
        <v/>
      </c>
      <c r="N580" t="str" cm="1">
        <f t="array" ref="N580">IF(MOD(ROW()-ROW($B$2),16)=0,INDEX($M$2:$M$1000,(ROW()-ROW($B$2))/16+1),"")</f>
        <v/>
      </c>
    </row>
    <row r="581" spans="2:14" x14ac:dyDescent="0.3">
      <c r="B581" t="s">
        <v>2173</v>
      </c>
      <c r="C581" t="s">
        <v>2763</v>
      </c>
      <c r="D581" t="s">
        <v>776</v>
      </c>
      <c r="E581">
        <v>0</v>
      </c>
      <c r="F581" t="s">
        <v>776</v>
      </c>
      <c r="K581" s="12" t="s">
        <v>5650</v>
      </c>
      <c r="L581" t="str">
        <f>IFERROR(VLOOKUP(K581,Таблица7[3]:Таблица7[[#This Row],[6]],2,FALSE),"")</f>
        <v/>
      </c>
      <c r="M581" t="str">
        <f t="shared" si="10"/>
        <v/>
      </c>
      <c r="N581" t="str" cm="1">
        <f t="array" ref="N581">IF(MOD(ROW()-ROW($B$2),16)=0,INDEX($M$2:$M$1000,(ROW()-ROW($B$2))/16+1),"")</f>
        <v/>
      </c>
    </row>
    <row r="582" spans="2:14" x14ac:dyDescent="0.3">
      <c r="B582" t="s">
        <v>2173</v>
      </c>
      <c r="C582" t="s">
        <v>2764</v>
      </c>
      <c r="D582" t="s">
        <v>777</v>
      </c>
      <c r="E582">
        <v>0</v>
      </c>
      <c r="F582" t="s">
        <v>777</v>
      </c>
      <c r="K582" s="12" t="s">
        <v>5651</v>
      </c>
      <c r="L582" t="str">
        <f>IFERROR(VLOOKUP(K582,Таблица7[3]:Таблица7[[#This Row],[6]],2,FALSE),"")</f>
        <v/>
      </c>
      <c r="M582" t="str">
        <f t="shared" si="10"/>
        <v/>
      </c>
      <c r="N582" t="str" cm="1">
        <f t="array" ref="N582">IF(MOD(ROW()-ROW($B$2),16)=0,INDEX($M$2:$M$1000,(ROW()-ROW($B$2))/16+1),"")</f>
        <v/>
      </c>
    </row>
    <row r="583" spans="2:14" x14ac:dyDescent="0.3">
      <c r="B583" t="s">
        <v>2173</v>
      </c>
      <c r="C583" t="s">
        <v>2765</v>
      </c>
      <c r="D583" t="s">
        <v>778</v>
      </c>
      <c r="E583">
        <v>0</v>
      </c>
      <c r="F583" t="s">
        <v>778</v>
      </c>
      <c r="K583" s="12" t="s">
        <v>5652</v>
      </c>
      <c r="L583" t="str">
        <f>IFERROR(VLOOKUP(K583,Таблица7[3]:Таблица7[[#This Row],[6]],2,FALSE),"")</f>
        <v/>
      </c>
      <c r="M583" t="str">
        <f t="shared" si="10"/>
        <v/>
      </c>
      <c r="N583" t="str" cm="1">
        <f t="array" ref="N583">IF(MOD(ROW()-ROW($B$2),16)=0,INDEX($M$2:$M$1000,(ROW()-ROW($B$2))/16+1),"")</f>
        <v/>
      </c>
    </row>
    <row r="584" spans="2:14" x14ac:dyDescent="0.3">
      <c r="B584" t="s">
        <v>2173</v>
      </c>
      <c r="C584" t="s">
        <v>2766</v>
      </c>
      <c r="D584" t="s">
        <v>779</v>
      </c>
      <c r="E584">
        <v>0</v>
      </c>
      <c r="F584" t="s">
        <v>779</v>
      </c>
      <c r="K584" s="12" t="s">
        <v>5653</v>
      </c>
      <c r="L584" t="str">
        <f>IFERROR(VLOOKUP(K584,Таблица7[3]:Таблица7[[#This Row],[6]],2,FALSE),"")</f>
        <v/>
      </c>
      <c r="M584" t="str">
        <f t="shared" si="10"/>
        <v/>
      </c>
      <c r="N584" t="str" cm="1">
        <f t="array" ref="N584">IF(MOD(ROW()-ROW($B$2),16)=0,INDEX($M$2:$M$1000,(ROW()-ROW($B$2))/16+1),"")</f>
        <v/>
      </c>
    </row>
    <row r="585" spans="2:14" x14ac:dyDescent="0.3">
      <c r="B585" t="s">
        <v>2173</v>
      </c>
      <c r="C585" t="s">
        <v>2767</v>
      </c>
      <c r="D585" t="s">
        <v>780</v>
      </c>
      <c r="E585">
        <v>0</v>
      </c>
      <c r="F585" t="s">
        <v>780</v>
      </c>
      <c r="K585" s="12" t="s">
        <v>5654</v>
      </c>
      <c r="L585" t="str">
        <f>IFERROR(VLOOKUP(K585,Таблица7[3]:Таблица7[[#This Row],[6]],2,FALSE),"")</f>
        <v/>
      </c>
      <c r="M585" t="str">
        <f t="shared" si="10"/>
        <v/>
      </c>
      <c r="N585" t="str" cm="1">
        <f t="array" ref="N585">IF(MOD(ROW()-ROW($B$2),16)=0,INDEX($M$2:$M$1000,(ROW()-ROW($B$2))/16+1),"")</f>
        <v/>
      </c>
    </row>
    <row r="586" spans="2:14" x14ac:dyDescent="0.3">
      <c r="B586" t="s">
        <v>2173</v>
      </c>
      <c r="C586" t="s">
        <v>2768</v>
      </c>
      <c r="D586" t="s">
        <v>781</v>
      </c>
      <c r="E586">
        <v>0</v>
      </c>
      <c r="F586" t="s">
        <v>781</v>
      </c>
      <c r="K586" s="12" t="s">
        <v>5655</v>
      </c>
      <c r="L586" t="str">
        <f>IFERROR(VLOOKUP(K586,Таблица7[3]:Таблица7[[#This Row],[6]],2,FALSE),"")</f>
        <v/>
      </c>
      <c r="M586" t="str">
        <f t="shared" si="10"/>
        <v/>
      </c>
      <c r="N586" t="str" cm="1">
        <f t="array" ref="N586">IF(MOD(ROW()-ROW($B$2),16)=0,INDEX($M$2:$M$1000,(ROW()-ROW($B$2))/16+1),"")</f>
        <v/>
      </c>
    </row>
    <row r="587" spans="2:14" x14ac:dyDescent="0.3">
      <c r="B587" t="s">
        <v>2173</v>
      </c>
      <c r="C587" t="s">
        <v>2769</v>
      </c>
      <c r="D587" t="s">
        <v>782</v>
      </c>
      <c r="E587">
        <v>0</v>
      </c>
      <c r="F587" t="s">
        <v>782</v>
      </c>
      <c r="K587" s="12" t="s">
        <v>5656</v>
      </c>
      <c r="L587" t="str">
        <f>IFERROR(VLOOKUP(K587,Таблица7[3]:Таблица7[[#This Row],[6]],2,FALSE),"")</f>
        <v/>
      </c>
      <c r="M587" t="str">
        <f t="shared" si="10"/>
        <v/>
      </c>
      <c r="N587" t="str" cm="1">
        <f t="array" ref="N587">IF(MOD(ROW()-ROW($B$2),16)=0,INDEX($M$2:$M$1000,(ROW()-ROW($B$2))/16+1),"")</f>
        <v/>
      </c>
    </row>
    <row r="588" spans="2:14" x14ac:dyDescent="0.3">
      <c r="B588" t="s">
        <v>2173</v>
      </c>
      <c r="C588" t="s">
        <v>2770</v>
      </c>
      <c r="D588" t="s">
        <v>783</v>
      </c>
      <c r="E588">
        <v>0</v>
      </c>
      <c r="F588" t="s">
        <v>783</v>
      </c>
      <c r="K588" s="12" t="s">
        <v>5657</v>
      </c>
      <c r="L588" t="str">
        <f>IFERROR(VLOOKUP(K588,Таблица7[3]:Таблица7[[#This Row],[6]],2,FALSE),"")</f>
        <v/>
      </c>
      <c r="M588" t="str">
        <f t="shared" si="10"/>
        <v/>
      </c>
      <c r="N588" t="str" cm="1">
        <f t="array" ref="N588">IF(MOD(ROW()-ROW($B$2),16)=0,INDEX($M$2:$M$1000,(ROW()-ROW($B$2))/16+1),"")</f>
        <v/>
      </c>
    </row>
    <row r="589" spans="2:14" x14ac:dyDescent="0.3">
      <c r="B589" t="s">
        <v>2173</v>
      </c>
      <c r="C589" t="s">
        <v>2771</v>
      </c>
      <c r="D589" t="s">
        <v>784</v>
      </c>
      <c r="E589">
        <v>0</v>
      </c>
      <c r="F589" t="s">
        <v>784</v>
      </c>
      <c r="K589" s="12" t="s">
        <v>5658</v>
      </c>
      <c r="L589" t="str">
        <f>IFERROR(VLOOKUP(K589,Таблица7[3]:Таблица7[[#This Row],[6]],2,FALSE),"")</f>
        <v/>
      </c>
      <c r="M589" t="str">
        <f t="shared" si="10"/>
        <v/>
      </c>
      <c r="N589" t="str" cm="1">
        <f t="array" ref="N589">IF(MOD(ROW()-ROW($B$2),16)=0,INDEX($M$2:$M$1000,(ROW()-ROW($B$2))/16+1),"")</f>
        <v/>
      </c>
    </row>
    <row r="590" spans="2:14" x14ac:dyDescent="0.3">
      <c r="B590" t="s">
        <v>2173</v>
      </c>
      <c r="C590" t="s">
        <v>2772</v>
      </c>
      <c r="D590" t="s">
        <v>785</v>
      </c>
      <c r="E590">
        <v>0</v>
      </c>
      <c r="F590" t="s">
        <v>785</v>
      </c>
      <c r="K590" s="12" t="s">
        <v>5659</v>
      </c>
      <c r="L590" t="str">
        <f>IFERROR(VLOOKUP(K590,Таблица7[3]:Таблица7[[#This Row],[6]],2,FALSE),"")</f>
        <v/>
      </c>
      <c r="M590" t="str">
        <f t="shared" si="10"/>
        <v/>
      </c>
      <c r="N590" t="str" cm="1">
        <f t="array" ref="N590">IF(MOD(ROW()-ROW($B$2),16)=0,INDEX($M$2:$M$1000,(ROW()-ROW($B$2))/16+1),"")</f>
        <v/>
      </c>
    </row>
    <row r="591" spans="2:14" x14ac:dyDescent="0.3">
      <c r="B591" t="s">
        <v>2173</v>
      </c>
      <c r="C591" t="s">
        <v>2773</v>
      </c>
      <c r="D591" t="s">
        <v>786</v>
      </c>
      <c r="E591">
        <v>0</v>
      </c>
      <c r="F591" t="s">
        <v>786</v>
      </c>
      <c r="K591" s="12" t="s">
        <v>5660</v>
      </c>
      <c r="L591" t="str">
        <f>IFERROR(VLOOKUP(K591,Таблица7[3]:Таблица7[[#This Row],[6]],2,FALSE),"")</f>
        <v/>
      </c>
      <c r="M591" t="str">
        <f t="shared" si="10"/>
        <v/>
      </c>
      <c r="N591" t="str" cm="1">
        <f t="array" ref="N591">IF(MOD(ROW()-ROW($B$2),16)=0,INDEX($M$2:$M$1000,(ROW()-ROW($B$2))/16+1),"")</f>
        <v/>
      </c>
    </row>
    <row r="592" spans="2:14" x14ac:dyDescent="0.3">
      <c r="B592" t="s">
        <v>2173</v>
      </c>
      <c r="C592" t="s">
        <v>2774</v>
      </c>
      <c r="D592" t="s">
        <v>787</v>
      </c>
      <c r="E592">
        <v>0</v>
      </c>
      <c r="F592" t="s">
        <v>787</v>
      </c>
      <c r="K592" s="12" t="s">
        <v>5661</v>
      </c>
      <c r="L592" t="str">
        <f>IFERROR(VLOOKUP(K592,Таблица7[3]:Таблица7[[#This Row],[6]],2,FALSE),"")</f>
        <v/>
      </c>
      <c r="M592" t="str">
        <f t="shared" si="10"/>
        <v/>
      </c>
      <c r="N592" t="str" cm="1">
        <f t="array" ref="N592">IF(MOD(ROW()-ROW($B$2),16)=0,INDEX($M$2:$M$1000,(ROW()-ROW($B$2))/16+1),"")</f>
        <v/>
      </c>
    </row>
    <row r="593" spans="2:14" x14ac:dyDescent="0.3">
      <c r="B593" t="s">
        <v>2173</v>
      </c>
      <c r="C593" t="s">
        <v>2775</v>
      </c>
      <c r="D593" t="s">
        <v>788</v>
      </c>
      <c r="E593">
        <v>0</v>
      </c>
      <c r="F593" t="s">
        <v>788</v>
      </c>
      <c r="K593" s="12" t="s">
        <v>5662</v>
      </c>
      <c r="L593" t="str">
        <f>IFERROR(VLOOKUP(K593,Таблица7[3]:Таблица7[[#This Row],[6]],2,FALSE),"")</f>
        <v/>
      </c>
      <c r="M593" t="str">
        <f t="shared" si="10"/>
        <v/>
      </c>
      <c r="N593" t="str" cm="1">
        <f t="array" ref="N593">IF(MOD(ROW()-ROW($B$2),16)=0,INDEX($M$2:$M$1000,(ROW()-ROW($B$2))/16+1),"")</f>
        <v/>
      </c>
    </row>
    <row r="594" spans="2:14" x14ac:dyDescent="0.3">
      <c r="B594" t="s">
        <v>2173</v>
      </c>
      <c r="C594" t="s">
        <v>2776</v>
      </c>
      <c r="D594" t="s">
        <v>789</v>
      </c>
      <c r="E594">
        <v>0</v>
      </c>
      <c r="F594" t="s">
        <v>789</v>
      </c>
      <c r="K594" s="12" t="s">
        <v>5663</v>
      </c>
      <c r="L594" t="str">
        <f>IFERROR(VLOOKUP(K594,Таблица7[3]:Таблица7[[#This Row],[6]],2,FALSE),"")</f>
        <v/>
      </c>
      <c r="M594" t="str">
        <f t="shared" si="10"/>
        <v/>
      </c>
      <c r="N594" t="str" cm="1">
        <f t="array" ref="N594">IF(MOD(ROW()-ROW($B$2),16)=0,INDEX($M$2:$M$1000,(ROW()-ROW($B$2))/16+1),"")</f>
        <v>Фиксированное число 37 (0)</v>
      </c>
    </row>
    <row r="595" spans="2:14" x14ac:dyDescent="0.3">
      <c r="B595" t="s">
        <v>2173</v>
      </c>
      <c r="C595" t="s">
        <v>2777</v>
      </c>
      <c r="D595" t="s">
        <v>790</v>
      </c>
      <c r="E595">
        <v>0</v>
      </c>
      <c r="F595" t="s">
        <v>790</v>
      </c>
      <c r="K595" s="12" t="s">
        <v>5664</v>
      </c>
      <c r="L595" t="str">
        <f>IFERROR(VLOOKUP(K595,Таблица7[3]:Таблица7[[#This Row],[6]],2,FALSE),"")</f>
        <v/>
      </c>
      <c r="M595" t="str">
        <f t="shared" si="10"/>
        <v/>
      </c>
      <c r="N595" t="str" cm="1">
        <f t="array" ref="N595">IF(MOD(ROW()-ROW($B$2),16)=0,INDEX($M$2:$M$1000,(ROW()-ROW($B$2))/16+1),"")</f>
        <v/>
      </c>
    </row>
    <row r="596" spans="2:14" x14ac:dyDescent="0.3">
      <c r="B596" t="s">
        <v>2173</v>
      </c>
      <c r="C596" t="s">
        <v>2778</v>
      </c>
      <c r="D596" t="s">
        <v>791</v>
      </c>
      <c r="E596">
        <v>0</v>
      </c>
      <c r="F596" t="s">
        <v>791</v>
      </c>
      <c r="K596" s="12" t="s">
        <v>5665</v>
      </c>
      <c r="L596" t="str">
        <f>IFERROR(VLOOKUP(K596,Таблица7[3]:Таблица7[[#This Row],[6]],2,FALSE),"")</f>
        <v/>
      </c>
      <c r="M596" t="str">
        <f t="shared" si="10"/>
        <v/>
      </c>
      <c r="N596" t="str" cm="1">
        <f t="array" ref="N596">IF(MOD(ROW()-ROW($B$2),16)=0,INDEX($M$2:$M$1000,(ROW()-ROW($B$2))/16+1),"")</f>
        <v/>
      </c>
    </row>
    <row r="597" spans="2:14" x14ac:dyDescent="0.3">
      <c r="B597" t="s">
        <v>2173</v>
      </c>
      <c r="C597" t="s">
        <v>2779</v>
      </c>
      <c r="D597" t="s">
        <v>792</v>
      </c>
      <c r="E597">
        <v>0</v>
      </c>
      <c r="F597" t="s">
        <v>792</v>
      </c>
      <c r="K597" s="12" t="s">
        <v>5666</v>
      </c>
      <c r="L597" t="str">
        <f>IFERROR(VLOOKUP(K597,Таблица7[3]:Таблица7[[#This Row],[6]],2,FALSE),"")</f>
        <v/>
      </c>
      <c r="M597" t="str">
        <f t="shared" si="10"/>
        <v/>
      </c>
      <c r="N597" t="str" cm="1">
        <f t="array" ref="N597">IF(MOD(ROW()-ROW($B$2),16)=0,INDEX($M$2:$M$1000,(ROW()-ROW($B$2))/16+1),"")</f>
        <v/>
      </c>
    </row>
    <row r="598" spans="2:14" x14ac:dyDescent="0.3">
      <c r="B598" t="s">
        <v>2173</v>
      </c>
      <c r="C598" t="s">
        <v>2780</v>
      </c>
      <c r="D598" t="s">
        <v>793</v>
      </c>
      <c r="E598">
        <v>0</v>
      </c>
      <c r="F598" t="s">
        <v>793</v>
      </c>
      <c r="K598" s="12" t="s">
        <v>5667</v>
      </c>
      <c r="L598" t="str">
        <f>IFERROR(VLOOKUP(K598,Таблица7[3]:Таблица7[[#This Row],[6]],2,FALSE),"")</f>
        <v/>
      </c>
      <c r="M598" t="str">
        <f t="shared" si="10"/>
        <v/>
      </c>
      <c r="N598" t="str" cm="1">
        <f t="array" ref="N598">IF(MOD(ROW()-ROW($B$2),16)=0,INDEX($M$2:$M$1000,(ROW()-ROW($B$2))/16+1),"")</f>
        <v/>
      </c>
    </row>
    <row r="599" spans="2:14" x14ac:dyDescent="0.3">
      <c r="B599" t="s">
        <v>2173</v>
      </c>
      <c r="C599" t="s">
        <v>2781</v>
      </c>
      <c r="D599" t="s">
        <v>794</v>
      </c>
      <c r="E599">
        <v>0</v>
      </c>
      <c r="F599" t="s">
        <v>794</v>
      </c>
      <c r="K599" s="12" t="s">
        <v>5668</v>
      </c>
      <c r="L599" t="str">
        <f>IFERROR(VLOOKUP(K599,Таблица7[3]:Таблица7[[#This Row],[6]],2,FALSE),"")</f>
        <v/>
      </c>
      <c r="M599" t="str">
        <f t="shared" si="10"/>
        <v/>
      </c>
      <c r="N599" t="str" cm="1">
        <f t="array" ref="N599">IF(MOD(ROW()-ROW($B$2),16)=0,INDEX($M$2:$M$1000,(ROW()-ROW($B$2))/16+1),"")</f>
        <v/>
      </c>
    </row>
    <row r="600" spans="2:14" x14ac:dyDescent="0.3">
      <c r="B600" t="s">
        <v>2173</v>
      </c>
      <c r="C600" t="s">
        <v>2782</v>
      </c>
      <c r="D600" t="s">
        <v>795</v>
      </c>
      <c r="E600">
        <v>0</v>
      </c>
      <c r="F600" t="s">
        <v>795</v>
      </c>
      <c r="K600" s="12" t="s">
        <v>5669</v>
      </c>
      <c r="L600" t="str">
        <f>IFERROR(VLOOKUP(K600,Таблица7[3]:Таблица7[[#This Row],[6]],2,FALSE),"")</f>
        <v/>
      </c>
      <c r="M600" t="str">
        <f t="shared" si="10"/>
        <v/>
      </c>
      <c r="N600" t="str" cm="1">
        <f t="array" ref="N600">IF(MOD(ROW()-ROW($B$2),16)=0,INDEX($M$2:$M$1000,(ROW()-ROW($B$2))/16+1),"")</f>
        <v/>
      </c>
    </row>
    <row r="601" spans="2:14" x14ac:dyDescent="0.3">
      <c r="B601" t="s">
        <v>2173</v>
      </c>
      <c r="C601" t="s">
        <v>2783</v>
      </c>
      <c r="D601" t="s">
        <v>796</v>
      </c>
      <c r="E601">
        <v>0</v>
      </c>
      <c r="F601" t="s">
        <v>796</v>
      </c>
      <c r="K601" s="12" t="s">
        <v>5670</v>
      </c>
      <c r="L601" t="str">
        <f>IFERROR(VLOOKUP(K601,Таблица7[3]:Таблица7[[#This Row],[6]],2,FALSE),"")</f>
        <v/>
      </c>
      <c r="M601" t="str">
        <f t="shared" si="10"/>
        <v/>
      </c>
      <c r="N601" t="str" cm="1">
        <f t="array" ref="N601">IF(MOD(ROW()-ROW($B$2),16)=0,INDEX($M$2:$M$1000,(ROW()-ROW($B$2))/16+1),"")</f>
        <v/>
      </c>
    </row>
    <row r="602" spans="2:14" x14ac:dyDescent="0.3">
      <c r="B602" t="s">
        <v>2173</v>
      </c>
      <c r="C602" t="s">
        <v>2784</v>
      </c>
      <c r="D602" t="s">
        <v>797</v>
      </c>
      <c r="E602">
        <v>0</v>
      </c>
      <c r="F602" t="s">
        <v>797</v>
      </c>
      <c r="K602" s="12" t="s">
        <v>5671</v>
      </c>
      <c r="L602" t="str">
        <f>IFERROR(VLOOKUP(K602,Таблица7[3]:Таблица7[[#This Row],[6]],2,FALSE),"")</f>
        <v/>
      </c>
      <c r="M602" t="str">
        <f t="shared" si="10"/>
        <v/>
      </c>
      <c r="N602" t="str" cm="1">
        <f t="array" ref="N602">IF(MOD(ROW()-ROW($B$2),16)=0,INDEX($M$2:$M$1000,(ROW()-ROW($B$2))/16+1),"")</f>
        <v/>
      </c>
    </row>
    <row r="603" spans="2:14" x14ac:dyDescent="0.3">
      <c r="B603" t="s">
        <v>2173</v>
      </c>
      <c r="C603" t="s">
        <v>2785</v>
      </c>
      <c r="D603" t="s">
        <v>798</v>
      </c>
      <c r="E603">
        <v>0</v>
      </c>
      <c r="F603" t="s">
        <v>798</v>
      </c>
      <c r="K603" s="12" t="s">
        <v>5672</v>
      </c>
      <c r="L603" t="str">
        <f>IFERROR(VLOOKUP(K603,Таблица7[3]:Таблица7[[#This Row],[6]],2,FALSE),"")</f>
        <v/>
      </c>
      <c r="M603" t="str">
        <f t="shared" si="10"/>
        <v/>
      </c>
      <c r="N603" t="str" cm="1">
        <f t="array" ref="N603">IF(MOD(ROW()-ROW($B$2),16)=0,INDEX($M$2:$M$1000,(ROW()-ROW($B$2))/16+1),"")</f>
        <v/>
      </c>
    </row>
    <row r="604" spans="2:14" x14ac:dyDescent="0.3">
      <c r="B604" t="s">
        <v>2173</v>
      </c>
      <c r="C604" t="s">
        <v>2786</v>
      </c>
      <c r="D604" t="s">
        <v>799</v>
      </c>
      <c r="E604">
        <v>0</v>
      </c>
      <c r="F604" t="s">
        <v>799</v>
      </c>
      <c r="K604" s="12" t="s">
        <v>5673</v>
      </c>
      <c r="L604" t="str">
        <f>IFERROR(VLOOKUP(K604,Таблица7[3]:Таблица7[[#This Row],[6]],2,FALSE),"")</f>
        <v/>
      </c>
      <c r="M604" t="str">
        <f t="shared" si="10"/>
        <v/>
      </c>
      <c r="N604" t="str" cm="1">
        <f t="array" ref="N604">IF(MOD(ROW()-ROW($B$2),16)=0,INDEX($M$2:$M$1000,(ROW()-ROW($B$2))/16+1),"")</f>
        <v/>
      </c>
    </row>
    <row r="605" spans="2:14" x14ac:dyDescent="0.3">
      <c r="B605" t="s">
        <v>2173</v>
      </c>
      <c r="C605" t="s">
        <v>2787</v>
      </c>
      <c r="D605" t="s">
        <v>800</v>
      </c>
      <c r="E605">
        <v>0</v>
      </c>
      <c r="F605" t="s">
        <v>800</v>
      </c>
      <c r="K605" s="12" t="s">
        <v>5674</v>
      </c>
      <c r="L605" t="str">
        <f>IFERROR(VLOOKUP(K605,Таблица7[3]:Таблица7[[#This Row],[6]],2,FALSE),"")</f>
        <v/>
      </c>
      <c r="M605" t="str">
        <f t="shared" si="10"/>
        <v/>
      </c>
      <c r="N605" t="str" cm="1">
        <f t="array" ref="N605">IF(MOD(ROW()-ROW($B$2),16)=0,INDEX($M$2:$M$1000,(ROW()-ROW($B$2))/16+1),"")</f>
        <v/>
      </c>
    </row>
    <row r="606" spans="2:14" x14ac:dyDescent="0.3">
      <c r="B606" t="s">
        <v>2173</v>
      </c>
      <c r="C606" t="s">
        <v>2788</v>
      </c>
      <c r="D606" t="s">
        <v>801</v>
      </c>
      <c r="E606">
        <v>0</v>
      </c>
      <c r="F606" t="s">
        <v>801</v>
      </c>
      <c r="K606" s="12" t="s">
        <v>5675</v>
      </c>
      <c r="L606" t="str">
        <f>IFERROR(VLOOKUP(K606,Таблица7[3]:Таблица7[[#This Row],[6]],2,FALSE),"")</f>
        <v/>
      </c>
      <c r="M606" t="str">
        <f t="shared" si="10"/>
        <v/>
      </c>
      <c r="N606" t="str" cm="1">
        <f t="array" ref="N606">IF(MOD(ROW()-ROW($B$2),16)=0,INDEX($M$2:$M$1000,(ROW()-ROW($B$2))/16+1),"")</f>
        <v/>
      </c>
    </row>
    <row r="607" spans="2:14" x14ac:dyDescent="0.3">
      <c r="B607" t="s">
        <v>2173</v>
      </c>
      <c r="C607" t="s">
        <v>2789</v>
      </c>
      <c r="D607" t="s">
        <v>802</v>
      </c>
      <c r="E607">
        <v>0</v>
      </c>
      <c r="F607" t="s">
        <v>802</v>
      </c>
      <c r="K607" s="12" t="s">
        <v>5676</v>
      </c>
      <c r="L607" t="str">
        <f>IFERROR(VLOOKUP(K607,Таблица7[3]:Таблица7[[#This Row],[6]],2,FALSE),"")</f>
        <v/>
      </c>
      <c r="M607" t="str">
        <f t="shared" si="10"/>
        <v/>
      </c>
      <c r="N607" t="str" cm="1">
        <f t="array" ref="N607">IF(MOD(ROW()-ROW($B$2),16)=0,INDEX($M$2:$M$1000,(ROW()-ROW($B$2))/16+1),"")</f>
        <v/>
      </c>
    </row>
    <row r="608" spans="2:14" x14ac:dyDescent="0.3">
      <c r="B608" t="s">
        <v>2173</v>
      </c>
      <c r="C608" t="s">
        <v>2790</v>
      </c>
      <c r="D608" t="s">
        <v>803</v>
      </c>
      <c r="E608">
        <v>0</v>
      </c>
      <c r="F608" t="s">
        <v>803</v>
      </c>
      <c r="K608" s="12" t="s">
        <v>5677</v>
      </c>
      <c r="L608" t="str">
        <f>IFERROR(VLOOKUP(K608,Таблица7[3]:Таблица7[[#This Row],[6]],2,FALSE),"")</f>
        <v/>
      </c>
      <c r="M608" t="str">
        <f t="shared" si="10"/>
        <v/>
      </c>
      <c r="N608" t="str" cm="1">
        <f t="array" ref="N608">IF(MOD(ROW()-ROW($B$2),16)=0,INDEX($M$2:$M$1000,(ROW()-ROW($B$2))/16+1),"")</f>
        <v/>
      </c>
    </row>
    <row r="609" spans="2:14" x14ac:dyDescent="0.3">
      <c r="B609" t="s">
        <v>2173</v>
      </c>
      <c r="C609" t="s">
        <v>2791</v>
      </c>
      <c r="D609" t="s">
        <v>804</v>
      </c>
      <c r="E609">
        <v>0</v>
      </c>
      <c r="F609" t="s">
        <v>804</v>
      </c>
      <c r="K609" s="12" t="s">
        <v>5678</v>
      </c>
      <c r="L609" t="str">
        <f>IFERROR(VLOOKUP(K609,Таблица7[3]:Таблица7[[#This Row],[6]],2,FALSE),"")</f>
        <v/>
      </c>
      <c r="M609" t="str">
        <f t="shared" si="10"/>
        <v/>
      </c>
      <c r="N609" t="str" cm="1">
        <f t="array" ref="N609">IF(MOD(ROW()-ROW($B$2),16)=0,INDEX($M$2:$M$1000,(ROW()-ROW($B$2))/16+1),"")</f>
        <v/>
      </c>
    </row>
    <row r="610" spans="2:14" x14ac:dyDescent="0.3">
      <c r="B610" t="s">
        <v>2173</v>
      </c>
      <c r="C610" t="s">
        <v>2792</v>
      </c>
      <c r="D610" t="s">
        <v>805</v>
      </c>
      <c r="E610">
        <v>0</v>
      </c>
      <c r="F610" t="s">
        <v>805</v>
      </c>
      <c r="K610" s="12" t="s">
        <v>5679</v>
      </c>
      <c r="L610" t="str">
        <f>IFERROR(VLOOKUP(K610,Таблица7[3]:Таблица7[[#This Row],[6]],2,FALSE),"")</f>
        <v/>
      </c>
      <c r="M610" t="str">
        <f t="shared" si="10"/>
        <v/>
      </c>
      <c r="N610" t="str" cm="1">
        <f t="array" ref="N610">IF(MOD(ROW()-ROW($B$2),16)=0,INDEX($M$2:$M$1000,(ROW()-ROW($B$2))/16+1),"")</f>
        <v>Фиксированное число 38 (0)</v>
      </c>
    </row>
    <row r="611" spans="2:14" x14ac:dyDescent="0.3">
      <c r="B611" t="s">
        <v>2173</v>
      </c>
      <c r="C611" t="s">
        <v>2793</v>
      </c>
      <c r="D611" t="s">
        <v>806</v>
      </c>
      <c r="E611">
        <v>0</v>
      </c>
      <c r="F611" t="s">
        <v>806</v>
      </c>
      <c r="K611" s="12" t="s">
        <v>5680</v>
      </c>
      <c r="L611" t="str">
        <f>IFERROR(VLOOKUP(K611,Таблица7[3]:Таблица7[[#This Row],[6]],2,FALSE),"")</f>
        <v/>
      </c>
      <c r="M611" t="str">
        <f t="shared" si="10"/>
        <v/>
      </c>
      <c r="N611" t="str" cm="1">
        <f t="array" ref="N611">IF(MOD(ROW()-ROW($B$2),16)=0,INDEX($M$2:$M$1000,(ROW()-ROW($B$2))/16+1),"")</f>
        <v/>
      </c>
    </row>
    <row r="612" spans="2:14" x14ac:dyDescent="0.3">
      <c r="B612" t="s">
        <v>2173</v>
      </c>
      <c r="C612" t="s">
        <v>2794</v>
      </c>
      <c r="D612" t="s">
        <v>807</v>
      </c>
      <c r="E612">
        <v>0</v>
      </c>
      <c r="F612" t="s">
        <v>807</v>
      </c>
      <c r="K612" s="12" t="s">
        <v>5681</v>
      </c>
      <c r="L612" t="str">
        <f>IFERROR(VLOOKUP(K612,Таблица7[3]:Таблица7[[#This Row],[6]],2,FALSE),"")</f>
        <v/>
      </c>
      <c r="M612" t="str">
        <f t="shared" si="10"/>
        <v/>
      </c>
      <c r="N612" t="str" cm="1">
        <f t="array" ref="N612">IF(MOD(ROW()-ROW($B$2),16)=0,INDEX($M$2:$M$1000,(ROW()-ROW($B$2))/16+1),"")</f>
        <v/>
      </c>
    </row>
    <row r="613" spans="2:14" x14ac:dyDescent="0.3">
      <c r="B613" t="s">
        <v>2173</v>
      </c>
      <c r="C613" t="s">
        <v>2795</v>
      </c>
      <c r="D613" t="s">
        <v>808</v>
      </c>
      <c r="E613">
        <v>0</v>
      </c>
      <c r="F613" t="s">
        <v>808</v>
      </c>
      <c r="K613" s="12" t="s">
        <v>5682</v>
      </c>
      <c r="L613" t="str">
        <f>IFERROR(VLOOKUP(K613,Таблица7[3]:Таблица7[[#This Row],[6]],2,FALSE),"")</f>
        <v/>
      </c>
      <c r="M613" t="str">
        <f t="shared" si="10"/>
        <v/>
      </c>
      <c r="N613" t="str" cm="1">
        <f t="array" ref="N613">IF(MOD(ROW()-ROW($B$2),16)=0,INDEX($M$2:$M$1000,(ROW()-ROW($B$2))/16+1),"")</f>
        <v/>
      </c>
    </row>
    <row r="614" spans="2:14" x14ac:dyDescent="0.3">
      <c r="B614" t="s">
        <v>2173</v>
      </c>
      <c r="C614" t="s">
        <v>2796</v>
      </c>
      <c r="D614" t="s">
        <v>809</v>
      </c>
      <c r="E614">
        <v>0</v>
      </c>
      <c r="F614" t="s">
        <v>809</v>
      </c>
      <c r="K614" s="12" t="s">
        <v>5683</v>
      </c>
      <c r="L614" t="str">
        <f>IFERROR(VLOOKUP(K614,Таблица7[3]:Таблица7[[#This Row],[6]],2,FALSE),"")</f>
        <v/>
      </c>
      <c r="M614" t="str">
        <f t="shared" si="10"/>
        <v/>
      </c>
      <c r="N614" t="str" cm="1">
        <f t="array" ref="N614">IF(MOD(ROW()-ROW($B$2),16)=0,INDEX($M$2:$M$1000,(ROW()-ROW($B$2))/16+1),"")</f>
        <v/>
      </c>
    </row>
    <row r="615" spans="2:14" x14ac:dyDescent="0.3">
      <c r="B615" t="s">
        <v>2173</v>
      </c>
      <c r="C615" t="s">
        <v>2797</v>
      </c>
      <c r="D615" t="s">
        <v>810</v>
      </c>
      <c r="E615">
        <v>0</v>
      </c>
      <c r="F615" t="s">
        <v>810</v>
      </c>
      <c r="K615" s="12" t="s">
        <v>5684</v>
      </c>
      <c r="L615" t="str">
        <f>IFERROR(VLOOKUP(K615,Таблица7[3]:Таблица7[[#This Row],[6]],2,FALSE),"")</f>
        <v/>
      </c>
      <c r="M615" t="str">
        <f t="shared" si="10"/>
        <v/>
      </c>
      <c r="N615" t="str" cm="1">
        <f t="array" ref="N615">IF(MOD(ROW()-ROW($B$2),16)=0,INDEX($M$2:$M$1000,(ROW()-ROW($B$2))/16+1),"")</f>
        <v/>
      </c>
    </row>
    <row r="616" spans="2:14" x14ac:dyDescent="0.3">
      <c r="B616" t="s">
        <v>2173</v>
      </c>
      <c r="C616" t="s">
        <v>2798</v>
      </c>
      <c r="D616" t="s">
        <v>811</v>
      </c>
      <c r="E616">
        <v>0</v>
      </c>
      <c r="F616" t="s">
        <v>811</v>
      </c>
      <c r="K616" s="12" t="s">
        <v>5685</v>
      </c>
      <c r="L616" t="str">
        <f>IFERROR(VLOOKUP(K616,Таблица7[3]:Таблица7[[#This Row],[6]],2,FALSE),"")</f>
        <v/>
      </c>
      <c r="M616" t="str">
        <f t="shared" si="10"/>
        <v/>
      </c>
      <c r="N616" t="str" cm="1">
        <f t="array" ref="N616">IF(MOD(ROW()-ROW($B$2),16)=0,INDEX($M$2:$M$1000,(ROW()-ROW($B$2))/16+1),"")</f>
        <v/>
      </c>
    </row>
    <row r="617" spans="2:14" x14ac:dyDescent="0.3">
      <c r="B617" t="s">
        <v>2173</v>
      </c>
      <c r="C617" t="s">
        <v>2799</v>
      </c>
      <c r="D617" t="s">
        <v>812</v>
      </c>
      <c r="E617">
        <v>0</v>
      </c>
      <c r="F617" t="s">
        <v>812</v>
      </c>
      <c r="K617" s="12" t="s">
        <v>5686</v>
      </c>
      <c r="L617" t="str">
        <f>IFERROR(VLOOKUP(K617,Таблица7[3]:Таблица7[[#This Row],[6]],2,FALSE),"")</f>
        <v/>
      </c>
      <c r="M617" t="str">
        <f t="shared" si="10"/>
        <v/>
      </c>
      <c r="N617" t="str" cm="1">
        <f t="array" ref="N617">IF(MOD(ROW()-ROW($B$2),16)=0,INDEX($M$2:$M$1000,(ROW()-ROW($B$2))/16+1),"")</f>
        <v/>
      </c>
    </row>
    <row r="618" spans="2:14" x14ac:dyDescent="0.3">
      <c r="B618" t="s">
        <v>2173</v>
      </c>
      <c r="C618" t="s">
        <v>2800</v>
      </c>
      <c r="D618" t="s">
        <v>813</v>
      </c>
      <c r="E618">
        <v>0</v>
      </c>
      <c r="F618" t="s">
        <v>813</v>
      </c>
      <c r="K618" s="12" t="s">
        <v>5687</v>
      </c>
      <c r="L618" t="str">
        <f>IFERROR(VLOOKUP(K618,Таблица7[3]:Таблица7[[#This Row],[6]],2,FALSE),"")</f>
        <v/>
      </c>
      <c r="M618" t="str">
        <f t="shared" si="10"/>
        <v/>
      </c>
      <c r="N618" t="str" cm="1">
        <f t="array" ref="N618">IF(MOD(ROW()-ROW($B$2),16)=0,INDEX($M$2:$M$1000,(ROW()-ROW($B$2))/16+1),"")</f>
        <v/>
      </c>
    </row>
    <row r="619" spans="2:14" x14ac:dyDescent="0.3">
      <c r="B619" t="s">
        <v>2173</v>
      </c>
      <c r="C619" t="s">
        <v>2801</v>
      </c>
      <c r="D619" t="s">
        <v>814</v>
      </c>
      <c r="E619">
        <v>0</v>
      </c>
      <c r="F619" t="s">
        <v>814</v>
      </c>
      <c r="K619" s="12" t="s">
        <v>5688</v>
      </c>
      <c r="L619" t="str">
        <f>IFERROR(VLOOKUP(K619,Таблица7[3]:Таблица7[[#This Row],[6]],2,FALSE),"")</f>
        <v/>
      </c>
      <c r="M619" t="str">
        <f t="shared" si="10"/>
        <v/>
      </c>
      <c r="N619" t="str" cm="1">
        <f t="array" ref="N619">IF(MOD(ROW()-ROW($B$2),16)=0,INDEX($M$2:$M$1000,(ROW()-ROW($B$2))/16+1),"")</f>
        <v/>
      </c>
    </row>
    <row r="620" spans="2:14" x14ac:dyDescent="0.3">
      <c r="B620" t="s">
        <v>2173</v>
      </c>
      <c r="C620" t="s">
        <v>2802</v>
      </c>
      <c r="D620" t="s">
        <v>815</v>
      </c>
      <c r="E620">
        <v>0</v>
      </c>
      <c r="F620" t="s">
        <v>815</v>
      </c>
      <c r="K620" s="12" t="s">
        <v>5689</v>
      </c>
      <c r="L620" t="str">
        <f>IFERROR(VLOOKUP(K620,Таблица7[3]:Таблица7[[#This Row],[6]],2,FALSE),"")</f>
        <v/>
      </c>
      <c r="M620" t="str">
        <f t="shared" si="10"/>
        <v/>
      </c>
      <c r="N620" t="str" cm="1">
        <f t="array" ref="N620">IF(MOD(ROW()-ROW($B$2),16)=0,INDEX($M$2:$M$1000,(ROW()-ROW($B$2))/16+1),"")</f>
        <v/>
      </c>
    </row>
    <row r="621" spans="2:14" x14ac:dyDescent="0.3">
      <c r="B621" t="s">
        <v>2173</v>
      </c>
      <c r="C621" t="s">
        <v>2803</v>
      </c>
      <c r="D621" t="s">
        <v>816</v>
      </c>
      <c r="E621">
        <v>0</v>
      </c>
      <c r="F621" t="s">
        <v>816</v>
      </c>
      <c r="K621" s="12" t="s">
        <v>5690</v>
      </c>
      <c r="L621" t="str">
        <f>IFERROR(VLOOKUP(K621,Таблица7[3]:Таблица7[[#This Row],[6]],2,FALSE),"")</f>
        <v/>
      </c>
      <c r="M621" t="str">
        <f t="shared" si="10"/>
        <v/>
      </c>
      <c r="N621" t="str" cm="1">
        <f t="array" ref="N621">IF(MOD(ROW()-ROW($B$2),16)=0,INDEX($M$2:$M$1000,(ROW()-ROW($B$2))/16+1),"")</f>
        <v/>
      </c>
    </row>
    <row r="622" spans="2:14" x14ac:dyDescent="0.3">
      <c r="B622" t="s">
        <v>2173</v>
      </c>
      <c r="C622" t="s">
        <v>2804</v>
      </c>
      <c r="D622" t="s">
        <v>817</v>
      </c>
      <c r="E622">
        <v>0</v>
      </c>
      <c r="F622" t="s">
        <v>817</v>
      </c>
      <c r="K622" s="12" t="s">
        <v>5691</v>
      </c>
      <c r="L622" t="str">
        <f>IFERROR(VLOOKUP(K622,Таблица7[3]:Таблица7[[#This Row],[6]],2,FALSE),"")</f>
        <v/>
      </c>
      <c r="M622" t="str">
        <f t="shared" si="10"/>
        <v/>
      </c>
      <c r="N622" t="str" cm="1">
        <f t="array" ref="N622">IF(MOD(ROW()-ROW($B$2),16)=0,INDEX($M$2:$M$1000,(ROW()-ROW($B$2))/16+1),"")</f>
        <v/>
      </c>
    </row>
    <row r="623" spans="2:14" x14ac:dyDescent="0.3">
      <c r="B623" t="s">
        <v>2173</v>
      </c>
      <c r="C623" t="s">
        <v>2805</v>
      </c>
      <c r="D623" t="s">
        <v>818</v>
      </c>
      <c r="E623">
        <v>0</v>
      </c>
      <c r="F623" t="s">
        <v>818</v>
      </c>
      <c r="K623" s="12" t="s">
        <v>5692</v>
      </c>
      <c r="L623" t="str">
        <f>IFERROR(VLOOKUP(K623,Таблица7[3]:Таблица7[[#This Row],[6]],2,FALSE),"")</f>
        <v/>
      </c>
      <c r="M623" t="str">
        <f t="shared" si="10"/>
        <v/>
      </c>
      <c r="N623" t="str" cm="1">
        <f t="array" ref="N623">IF(MOD(ROW()-ROW($B$2),16)=0,INDEX($M$2:$M$1000,(ROW()-ROW($B$2))/16+1),"")</f>
        <v/>
      </c>
    </row>
    <row r="624" spans="2:14" x14ac:dyDescent="0.3">
      <c r="B624" t="s">
        <v>2173</v>
      </c>
      <c r="C624" t="s">
        <v>2806</v>
      </c>
      <c r="D624" t="s">
        <v>819</v>
      </c>
      <c r="E624">
        <v>0</v>
      </c>
      <c r="F624" t="s">
        <v>819</v>
      </c>
      <c r="K624" s="12" t="s">
        <v>5693</v>
      </c>
      <c r="L624" t="str">
        <f>IFERROR(VLOOKUP(K624,Таблица7[3]:Таблица7[[#This Row],[6]],2,FALSE),"")</f>
        <v/>
      </c>
      <c r="M624" t="str">
        <f t="shared" si="10"/>
        <v/>
      </c>
      <c r="N624" t="str" cm="1">
        <f t="array" ref="N624">IF(MOD(ROW()-ROW($B$2),16)=0,INDEX($M$2:$M$1000,(ROW()-ROW($B$2))/16+1),"")</f>
        <v/>
      </c>
    </row>
    <row r="625" spans="2:14" x14ac:dyDescent="0.3">
      <c r="B625" t="s">
        <v>2173</v>
      </c>
      <c r="C625" t="s">
        <v>2807</v>
      </c>
      <c r="D625" t="s">
        <v>820</v>
      </c>
      <c r="E625">
        <v>0</v>
      </c>
      <c r="F625" t="s">
        <v>820</v>
      </c>
      <c r="K625" s="12" t="s">
        <v>5694</v>
      </c>
      <c r="L625" t="str">
        <f>IFERROR(VLOOKUP(K625,Таблица7[3]:Таблица7[[#This Row],[6]],2,FALSE),"")</f>
        <v/>
      </c>
      <c r="M625" t="str">
        <f t="shared" si="10"/>
        <v/>
      </c>
      <c r="N625" t="str" cm="1">
        <f t="array" ref="N625">IF(MOD(ROW()-ROW($B$2),16)=0,INDEX($M$2:$M$1000,(ROW()-ROW($B$2))/16+1),"")</f>
        <v/>
      </c>
    </row>
    <row r="626" spans="2:14" x14ac:dyDescent="0.3">
      <c r="B626" t="s">
        <v>2173</v>
      </c>
      <c r="C626" t="s">
        <v>2808</v>
      </c>
      <c r="D626" t="s">
        <v>821</v>
      </c>
      <c r="E626">
        <v>0</v>
      </c>
      <c r="F626" t="s">
        <v>821</v>
      </c>
      <c r="K626" s="12" t="s">
        <v>5695</v>
      </c>
      <c r="L626" t="str">
        <f>IFERROR(VLOOKUP(K626,Таблица7[3]:Таблица7[[#This Row],[6]],2,FALSE),"")</f>
        <v/>
      </c>
      <c r="M626" t="str">
        <f t="shared" si="10"/>
        <v/>
      </c>
      <c r="N626" t="str" cm="1">
        <f t="array" ref="N626">IF(MOD(ROW()-ROW($B$2),16)=0,INDEX($M$2:$M$1000,(ROW()-ROW($B$2))/16+1),"")</f>
        <v>Фиксированное число 39 (0)</v>
      </c>
    </row>
    <row r="627" spans="2:14" x14ac:dyDescent="0.3">
      <c r="B627" t="s">
        <v>2173</v>
      </c>
      <c r="C627" t="s">
        <v>2809</v>
      </c>
      <c r="D627" t="s">
        <v>822</v>
      </c>
      <c r="E627">
        <v>0</v>
      </c>
      <c r="F627" t="s">
        <v>822</v>
      </c>
      <c r="K627" s="12" t="s">
        <v>5696</v>
      </c>
      <c r="L627" t="str">
        <f>IFERROR(VLOOKUP(K627,Таблица7[3]:Таблица7[[#This Row],[6]],2,FALSE),"")</f>
        <v/>
      </c>
      <c r="M627" t="str">
        <f t="shared" si="10"/>
        <v/>
      </c>
      <c r="N627" t="str" cm="1">
        <f t="array" ref="N627">IF(MOD(ROW()-ROW($B$2),16)=0,INDEX($M$2:$M$1000,(ROW()-ROW($B$2))/16+1),"")</f>
        <v/>
      </c>
    </row>
    <row r="628" spans="2:14" x14ac:dyDescent="0.3">
      <c r="B628" t="s">
        <v>2173</v>
      </c>
      <c r="C628" t="s">
        <v>2810</v>
      </c>
      <c r="D628" t="s">
        <v>823</v>
      </c>
      <c r="E628">
        <v>0</v>
      </c>
      <c r="F628" t="s">
        <v>823</v>
      </c>
      <c r="K628" s="12" t="s">
        <v>5697</v>
      </c>
      <c r="L628" t="str">
        <f>IFERROR(VLOOKUP(K628,Таблица7[3]:Таблица7[[#This Row],[6]],2,FALSE),"")</f>
        <v/>
      </c>
      <c r="M628" t="str">
        <f t="shared" si="10"/>
        <v/>
      </c>
      <c r="N628" t="str" cm="1">
        <f t="array" ref="N628">IF(MOD(ROW()-ROW($B$2),16)=0,INDEX($M$2:$M$1000,(ROW()-ROW($B$2))/16+1),"")</f>
        <v/>
      </c>
    </row>
    <row r="629" spans="2:14" x14ac:dyDescent="0.3">
      <c r="B629" t="s">
        <v>2173</v>
      </c>
      <c r="C629" t="s">
        <v>2811</v>
      </c>
      <c r="D629" t="s">
        <v>824</v>
      </c>
      <c r="E629">
        <v>0</v>
      </c>
      <c r="F629" t="s">
        <v>824</v>
      </c>
      <c r="K629" s="12" t="s">
        <v>5698</v>
      </c>
      <c r="L629" t="str">
        <f>IFERROR(VLOOKUP(K629,Таблица7[3]:Таблица7[[#This Row],[6]],2,FALSE),"")</f>
        <v/>
      </c>
      <c r="M629" t="str">
        <f t="shared" si="10"/>
        <v/>
      </c>
      <c r="N629" t="str" cm="1">
        <f t="array" ref="N629">IF(MOD(ROW()-ROW($B$2),16)=0,INDEX($M$2:$M$1000,(ROW()-ROW($B$2))/16+1),"")</f>
        <v/>
      </c>
    </row>
    <row r="630" spans="2:14" x14ac:dyDescent="0.3">
      <c r="B630" t="s">
        <v>2173</v>
      </c>
      <c r="C630" t="s">
        <v>2812</v>
      </c>
      <c r="D630" t="s">
        <v>825</v>
      </c>
      <c r="E630">
        <v>0</v>
      </c>
      <c r="F630" t="s">
        <v>825</v>
      </c>
      <c r="K630" s="12" t="s">
        <v>5699</v>
      </c>
      <c r="L630" t="str">
        <f>IFERROR(VLOOKUP(K630,Таблица7[3]:Таблица7[[#This Row],[6]],2,FALSE),"")</f>
        <v/>
      </c>
      <c r="M630" t="str">
        <f t="shared" si="10"/>
        <v/>
      </c>
      <c r="N630" t="str" cm="1">
        <f t="array" ref="N630">IF(MOD(ROW()-ROW($B$2),16)=0,INDEX($M$2:$M$1000,(ROW()-ROW($B$2))/16+1),"")</f>
        <v/>
      </c>
    </row>
    <row r="631" spans="2:14" x14ac:dyDescent="0.3">
      <c r="B631" t="s">
        <v>2173</v>
      </c>
      <c r="C631" t="s">
        <v>2813</v>
      </c>
      <c r="D631" t="s">
        <v>826</v>
      </c>
      <c r="E631">
        <v>0</v>
      </c>
      <c r="F631" t="s">
        <v>826</v>
      </c>
      <c r="K631" s="12" t="s">
        <v>5700</v>
      </c>
      <c r="L631" t="str">
        <f>IFERROR(VLOOKUP(K631,Таблица7[3]:Таблица7[[#This Row],[6]],2,FALSE),"")</f>
        <v/>
      </c>
      <c r="M631" t="str">
        <f t="shared" si="10"/>
        <v/>
      </c>
      <c r="N631" t="str" cm="1">
        <f t="array" ref="N631">IF(MOD(ROW()-ROW($B$2),16)=0,INDEX($M$2:$M$1000,(ROW()-ROW($B$2))/16+1),"")</f>
        <v/>
      </c>
    </row>
    <row r="632" spans="2:14" x14ac:dyDescent="0.3">
      <c r="B632" t="s">
        <v>2173</v>
      </c>
      <c r="C632" t="s">
        <v>2814</v>
      </c>
      <c r="D632" t="s">
        <v>827</v>
      </c>
      <c r="E632">
        <v>0</v>
      </c>
      <c r="F632" t="s">
        <v>827</v>
      </c>
      <c r="K632" s="12" t="s">
        <v>5701</v>
      </c>
      <c r="L632" t="str">
        <f>IFERROR(VLOOKUP(K632,Таблица7[3]:Таблица7[[#This Row],[6]],2,FALSE),"")</f>
        <v/>
      </c>
      <c r="M632" t="str">
        <f t="shared" si="10"/>
        <v/>
      </c>
      <c r="N632" t="str" cm="1">
        <f t="array" ref="N632">IF(MOD(ROW()-ROW($B$2),16)=0,INDEX($M$2:$M$1000,(ROW()-ROW($B$2))/16+1),"")</f>
        <v/>
      </c>
    </row>
    <row r="633" spans="2:14" x14ac:dyDescent="0.3">
      <c r="B633" t="s">
        <v>2173</v>
      </c>
      <c r="C633" t="s">
        <v>2815</v>
      </c>
      <c r="D633" t="s">
        <v>828</v>
      </c>
      <c r="E633">
        <v>0</v>
      </c>
      <c r="F633" t="s">
        <v>828</v>
      </c>
      <c r="K633" s="12" t="s">
        <v>5702</v>
      </c>
      <c r="L633" t="str">
        <f>IFERROR(VLOOKUP(K633,Таблица7[3]:Таблица7[[#This Row],[6]],2,FALSE),"")</f>
        <v/>
      </c>
      <c r="M633" t="str">
        <f t="shared" si="10"/>
        <v/>
      </c>
      <c r="N633" t="str" cm="1">
        <f t="array" ref="N633">IF(MOD(ROW()-ROW($B$2),16)=0,INDEX($M$2:$M$1000,(ROW()-ROW($B$2))/16+1),"")</f>
        <v/>
      </c>
    </row>
    <row r="634" spans="2:14" x14ac:dyDescent="0.3">
      <c r="B634" t="s">
        <v>2173</v>
      </c>
      <c r="C634" t="s">
        <v>2816</v>
      </c>
      <c r="D634" t="s">
        <v>829</v>
      </c>
      <c r="E634">
        <v>0</v>
      </c>
      <c r="F634" t="s">
        <v>829</v>
      </c>
      <c r="K634" s="12" t="s">
        <v>5703</v>
      </c>
      <c r="L634" t="str">
        <f>IFERROR(VLOOKUP(K634,Таблица7[3]:Таблица7[[#This Row],[6]],2,FALSE),"")</f>
        <v/>
      </c>
      <c r="M634" t="str">
        <f t="shared" si="10"/>
        <v/>
      </c>
      <c r="N634" t="str" cm="1">
        <f t="array" ref="N634">IF(MOD(ROW()-ROW($B$2),16)=0,INDEX($M$2:$M$1000,(ROW()-ROW($B$2))/16+1),"")</f>
        <v/>
      </c>
    </row>
    <row r="635" spans="2:14" x14ac:dyDescent="0.3">
      <c r="B635" t="s">
        <v>2173</v>
      </c>
      <c r="C635" t="s">
        <v>2817</v>
      </c>
      <c r="D635" t="s">
        <v>830</v>
      </c>
      <c r="E635">
        <v>0</v>
      </c>
      <c r="F635" t="s">
        <v>830</v>
      </c>
      <c r="K635" s="12" t="s">
        <v>5704</v>
      </c>
      <c r="L635" t="str">
        <f>IFERROR(VLOOKUP(K635,Таблица7[3]:Таблица7[[#This Row],[6]],2,FALSE),"")</f>
        <v/>
      </c>
      <c r="M635" t="str">
        <f t="shared" si="10"/>
        <v/>
      </c>
      <c r="N635" t="str" cm="1">
        <f t="array" ref="N635">IF(MOD(ROW()-ROW($B$2),16)=0,INDEX($M$2:$M$1000,(ROW()-ROW($B$2))/16+1),"")</f>
        <v/>
      </c>
    </row>
    <row r="636" spans="2:14" x14ac:dyDescent="0.3">
      <c r="B636" t="s">
        <v>2173</v>
      </c>
      <c r="C636" t="s">
        <v>2818</v>
      </c>
      <c r="D636" t="s">
        <v>831</v>
      </c>
      <c r="E636">
        <v>0</v>
      </c>
      <c r="F636" t="s">
        <v>831</v>
      </c>
      <c r="K636" s="12" t="s">
        <v>5705</v>
      </c>
      <c r="L636" t="str">
        <f>IFERROR(VLOOKUP(K636,Таблица7[3]:Таблица7[[#This Row],[6]],2,FALSE),"")</f>
        <v/>
      </c>
      <c r="M636" t="str">
        <f t="shared" si="10"/>
        <v/>
      </c>
      <c r="N636" t="str" cm="1">
        <f t="array" ref="N636">IF(MOD(ROW()-ROW($B$2),16)=0,INDEX($M$2:$M$1000,(ROW()-ROW($B$2))/16+1),"")</f>
        <v/>
      </c>
    </row>
    <row r="637" spans="2:14" x14ac:dyDescent="0.3">
      <c r="B637" t="s">
        <v>2173</v>
      </c>
      <c r="C637" t="s">
        <v>2819</v>
      </c>
      <c r="D637" t="s">
        <v>832</v>
      </c>
      <c r="E637">
        <v>0</v>
      </c>
      <c r="F637" t="s">
        <v>832</v>
      </c>
      <c r="K637" s="12" t="s">
        <v>5706</v>
      </c>
      <c r="L637" t="str">
        <f>IFERROR(VLOOKUP(K637,Таблица7[3]:Таблица7[[#This Row],[6]],2,FALSE),"")</f>
        <v/>
      </c>
      <c r="M637" t="str">
        <f t="shared" si="10"/>
        <v/>
      </c>
      <c r="N637" t="str" cm="1">
        <f t="array" ref="N637">IF(MOD(ROW()-ROW($B$2),16)=0,INDEX($M$2:$M$1000,(ROW()-ROW($B$2))/16+1),"")</f>
        <v/>
      </c>
    </row>
    <row r="638" spans="2:14" x14ac:dyDescent="0.3">
      <c r="B638" t="s">
        <v>2173</v>
      </c>
      <c r="C638" t="s">
        <v>2820</v>
      </c>
      <c r="D638" t="s">
        <v>833</v>
      </c>
      <c r="E638">
        <v>0</v>
      </c>
      <c r="F638" t="s">
        <v>833</v>
      </c>
      <c r="K638" s="12" t="s">
        <v>5707</v>
      </c>
      <c r="L638" t="str">
        <f>IFERROR(VLOOKUP(K638,Таблица7[3]:Таблица7[[#This Row],[6]],2,FALSE),"")</f>
        <v/>
      </c>
      <c r="M638" t="str">
        <f t="shared" si="10"/>
        <v/>
      </c>
      <c r="N638" t="str" cm="1">
        <f t="array" ref="N638">IF(MOD(ROW()-ROW($B$2),16)=0,INDEX($M$2:$M$1000,(ROW()-ROW($B$2))/16+1),"")</f>
        <v/>
      </c>
    </row>
    <row r="639" spans="2:14" x14ac:dyDescent="0.3">
      <c r="B639" t="s">
        <v>2173</v>
      </c>
      <c r="C639" t="s">
        <v>2821</v>
      </c>
      <c r="D639" t="s">
        <v>834</v>
      </c>
      <c r="E639">
        <v>0</v>
      </c>
      <c r="F639" t="s">
        <v>834</v>
      </c>
      <c r="K639" s="12" t="s">
        <v>5708</v>
      </c>
      <c r="L639" t="str">
        <f>IFERROR(VLOOKUP(K639,Таблица7[3]:Таблица7[[#This Row],[6]],2,FALSE),"")</f>
        <v/>
      </c>
      <c r="M639" t="str">
        <f t="shared" si="10"/>
        <v/>
      </c>
      <c r="N639" t="str" cm="1">
        <f t="array" ref="N639">IF(MOD(ROW()-ROW($B$2),16)=0,INDEX($M$2:$M$1000,(ROW()-ROW($B$2))/16+1),"")</f>
        <v/>
      </c>
    </row>
    <row r="640" spans="2:14" x14ac:dyDescent="0.3">
      <c r="B640" t="s">
        <v>2173</v>
      </c>
      <c r="C640" t="s">
        <v>2822</v>
      </c>
      <c r="D640" t="s">
        <v>835</v>
      </c>
      <c r="E640">
        <v>0</v>
      </c>
      <c r="F640" t="s">
        <v>835</v>
      </c>
      <c r="K640" s="12" t="s">
        <v>5709</v>
      </c>
      <c r="L640" t="str">
        <f>IFERROR(VLOOKUP(K640,Таблица7[3]:Таблица7[[#This Row],[6]],2,FALSE),"")</f>
        <v/>
      </c>
      <c r="M640" t="str">
        <f t="shared" si="10"/>
        <v/>
      </c>
      <c r="N640" t="str" cm="1">
        <f t="array" ref="N640">IF(MOD(ROW()-ROW($B$2),16)=0,INDEX($M$2:$M$1000,(ROW()-ROW($B$2))/16+1),"")</f>
        <v/>
      </c>
    </row>
    <row r="641" spans="2:14" x14ac:dyDescent="0.3">
      <c r="B641" t="s">
        <v>2173</v>
      </c>
      <c r="C641" t="s">
        <v>2823</v>
      </c>
      <c r="D641" t="s">
        <v>836</v>
      </c>
      <c r="E641">
        <v>0</v>
      </c>
      <c r="F641" t="s">
        <v>836</v>
      </c>
      <c r="K641" s="12" t="s">
        <v>5710</v>
      </c>
      <c r="L641" t="str">
        <f>IFERROR(VLOOKUP(K641,Таблица7[3]:Таблица7[[#This Row],[6]],2,FALSE),"")</f>
        <v/>
      </c>
      <c r="M641" t="str">
        <f t="shared" si="10"/>
        <v/>
      </c>
      <c r="N641" t="str" cm="1">
        <f t="array" ref="N641">IF(MOD(ROW()-ROW($B$2),16)=0,INDEX($M$2:$M$1000,(ROW()-ROW($B$2))/16+1),"")</f>
        <v/>
      </c>
    </row>
    <row r="642" spans="2:14" x14ac:dyDescent="0.3">
      <c r="B642" t="s">
        <v>2173</v>
      </c>
      <c r="C642" t="s">
        <v>2824</v>
      </c>
      <c r="D642" t="s">
        <v>837</v>
      </c>
      <c r="E642">
        <v>0</v>
      </c>
      <c r="F642" t="s">
        <v>837</v>
      </c>
      <c r="K642" s="12" t="s">
        <v>5711</v>
      </c>
      <c r="L642" t="str">
        <f>IFERROR(VLOOKUP(K642,Таблица7[3]:Таблица7[[#This Row],[6]],2,FALSE),"")</f>
        <v/>
      </c>
      <c r="M642" t="str">
        <f t="shared" si="10"/>
        <v/>
      </c>
      <c r="N642" t="str" cm="1">
        <f t="array" ref="N642">IF(MOD(ROW()-ROW($B$2),16)=0,INDEX($M$2:$M$1000,(ROW()-ROW($B$2))/16+1),"")</f>
        <v>Фиксированное число 40 (0)</v>
      </c>
    </row>
    <row r="643" spans="2:14" x14ac:dyDescent="0.3">
      <c r="B643" t="s">
        <v>2173</v>
      </c>
      <c r="C643" t="s">
        <v>2825</v>
      </c>
      <c r="D643" t="s">
        <v>838</v>
      </c>
      <c r="E643">
        <v>0</v>
      </c>
      <c r="F643" t="s">
        <v>838</v>
      </c>
      <c r="K643" s="12" t="s">
        <v>5712</v>
      </c>
      <c r="L643" t="str">
        <f>IFERROR(VLOOKUP(K643,Таблица7[3]:Таблица7[[#This Row],[6]],2,FALSE),"")</f>
        <v/>
      </c>
      <c r="M643" t="str">
        <f t="shared" ref="M643:M706" si="11">IF(L643&lt;&gt;"",L643&amp;" (0)","")</f>
        <v/>
      </c>
      <c r="N643" t="str" cm="1">
        <f t="array" ref="N643">IF(MOD(ROW()-ROW($B$2),16)=0,INDEX($M$2:$M$1000,(ROW()-ROW($B$2))/16+1),"")</f>
        <v/>
      </c>
    </row>
    <row r="644" spans="2:14" x14ac:dyDescent="0.3">
      <c r="B644" t="s">
        <v>2173</v>
      </c>
      <c r="C644" t="s">
        <v>2826</v>
      </c>
      <c r="D644" t="s">
        <v>839</v>
      </c>
      <c r="E644">
        <v>0</v>
      </c>
      <c r="F644" t="s">
        <v>839</v>
      </c>
      <c r="K644" s="12" t="s">
        <v>5713</v>
      </c>
      <c r="L644" t="str">
        <f>IFERROR(VLOOKUP(K644,Таблица7[3]:Таблица7[[#This Row],[6]],2,FALSE),"")</f>
        <v/>
      </c>
      <c r="M644" t="str">
        <f t="shared" si="11"/>
        <v/>
      </c>
      <c r="N644" t="str" cm="1">
        <f t="array" ref="N644">IF(MOD(ROW()-ROW($B$2),16)=0,INDEX($M$2:$M$1000,(ROW()-ROW($B$2))/16+1),"")</f>
        <v/>
      </c>
    </row>
    <row r="645" spans="2:14" x14ac:dyDescent="0.3">
      <c r="B645" t="s">
        <v>2173</v>
      </c>
      <c r="C645" t="s">
        <v>2827</v>
      </c>
      <c r="D645" t="s">
        <v>840</v>
      </c>
      <c r="E645">
        <v>0</v>
      </c>
      <c r="F645" t="s">
        <v>840</v>
      </c>
      <c r="K645" s="12" t="s">
        <v>5714</v>
      </c>
      <c r="L645" t="str">
        <f>IFERROR(VLOOKUP(K645,Таблица7[3]:Таблица7[[#This Row],[6]],2,FALSE),"")</f>
        <v/>
      </c>
      <c r="M645" t="str">
        <f t="shared" si="11"/>
        <v/>
      </c>
      <c r="N645" t="str" cm="1">
        <f t="array" ref="N645">IF(MOD(ROW()-ROW($B$2),16)=0,INDEX($M$2:$M$1000,(ROW()-ROW($B$2))/16+1),"")</f>
        <v/>
      </c>
    </row>
    <row r="646" spans="2:14" x14ac:dyDescent="0.3">
      <c r="B646" t="s">
        <v>2173</v>
      </c>
      <c r="C646" t="s">
        <v>2828</v>
      </c>
      <c r="D646" t="s">
        <v>841</v>
      </c>
      <c r="E646">
        <v>0</v>
      </c>
      <c r="F646" t="s">
        <v>841</v>
      </c>
      <c r="K646" s="12" t="s">
        <v>5715</v>
      </c>
      <c r="L646" t="str">
        <f>IFERROR(VLOOKUP(K646,Таблица7[3]:Таблица7[[#This Row],[6]],2,FALSE),"")</f>
        <v/>
      </c>
      <c r="M646" t="str">
        <f t="shared" si="11"/>
        <v/>
      </c>
      <c r="N646" t="str" cm="1">
        <f t="array" ref="N646">IF(MOD(ROW()-ROW($B$2),16)=0,INDEX($M$2:$M$1000,(ROW()-ROW($B$2))/16+1),"")</f>
        <v/>
      </c>
    </row>
    <row r="647" spans="2:14" x14ac:dyDescent="0.3">
      <c r="B647" t="s">
        <v>2173</v>
      </c>
      <c r="C647" t="s">
        <v>2829</v>
      </c>
      <c r="D647" t="s">
        <v>842</v>
      </c>
      <c r="E647">
        <v>0</v>
      </c>
      <c r="F647" t="s">
        <v>842</v>
      </c>
      <c r="K647" s="12" t="s">
        <v>5716</v>
      </c>
      <c r="L647" t="str">
        <f>IFERROR(VLOOKUP(K647,Таблица7[3]:Таблица7[[#This Row],[6]],2,FALSE),"")</f>
        <v/>
      </c>
      <c r="M647" t="str">
        <f t="shared" si="11"/>
        <v/>
      </c>
      <c r="N647" t="str" cm="1">
        <f t="array" ref="N647">IF(MOD(ROW()-ROW($B$2),16)=0,INDEX($M$2:$M$1000,(ROW()-ROW($B$2))/16+1),"")</f>
        <v/>
      </c>
    </row>
    <row r="648" spans="2:14" x14ac:dyDescent="0.3">
      <c r="B648" t="s">
        <v>2173</v>
      </c>
      <c r="C648" t="s">
        <v>2830</v>
      </c>
      <c r="D648" t="s">
        <v>843</v>
      </c>
      <c r="E648">
        <v>0</v>
      </c>
      <c r="F648" t="s">
        <v>843</v>
      </c>
      <c r="K648" s="12" t="s">
        <v>5717</v>
      </c>
      <c r="L648" t="str">
        <f>IFERROR(VLOOKUP(K648,Таблица7[3]:Таблица7[[#This Row],[6]],2,FALSE),"")</f>
        <v/>
      </c>
      <c r="M648" t="str">
        <f t="shared" si="11"/>
        <v/>
      </c>
      <c r="N648" t="str" cm="1">
        <f t="array" ref="N648">IF(MOD(ROW()-ROW($B$2),16)=0,INDEX($M$2:$M$1000,(ROW()-ROW($B$2))/16+1),"")</f>
        <v/>
      </c>
    </row>
    <row r="649" spans="2:14" x14ac:dyDescent="0.3">
      <c r="B649" t="s">
        <v>2173</v>
      </c>
      <c r="C649" t="s">
        <v>2831</v>
      </c>
      <c r="D649" t="s">
        <v>844</v>
      </c>
      <c r="E649">
        <v>0</v>
      </c>
      <c r="F649" t="s">
        <v>844</v>
      </c>
      <c r="K649" s="12" t="s">
        <v>5718</v>
      </c>
      <c r="L649" t="str">
        <f>IFERROR(VLOOKUP(K649,Таблица7[3]:Таблица7[[#This Row],[6]],2,FALSE),"")</f>
        <v/>
      </c>
      <c r="M649" t="str">
        <f t="shared" si="11"/>
        <v/>
      </c>
      <c r="N649" t="str" cm="1">
        <f t="array" ref="N649">IF(MOD(ROW()-ROW($B$2),16)=0,INDEX($M$2:$M$1000,(ROW()-ROW($B$2))/16+1),"")</f>
        <v/>
      </c>
    </row>
    <row r="650" spans="2:14" x14ac:dyDescent="0.3">
      <c r="B650" t="s">
        <v>2173</v>
      </c>
      <c r="C650" t="s">
        <v>2832</v>
      </c>
      <c r="D650" t="s">
        <v>845</v>
      </c>
      <c r="E650">
        <v>0</v>
      </c>
      <c r="F650" t="s">
        <v>845</v>
      </c>
      <c r="K650" s="12" t="s">
        <v>5719</v>
      </c>
      <c r="L650" t="str">
        <f>IFERROR(VLOOKUP(K650,Таблица7[3]:Таблица7[[#This Row],[6]],2,FALSE),"")</f>
        <v/>
      </c>
      <c r="M650" t="str">
        <f t="shared" si="11"/>
        <v/>
      </c>
      <c r="N650" t="str" cm="1">
        <f t="array" ref="N650">IF(MOD(ROW()-ROW($B$2),16)=0,INDEX($M$2:$M$1000,(ROW()-ROW($B$2))/16+1),"")</f>
        <v/>
      </c>
    </row>
    <row r="651" spans="2:14" x14ac:dyDescent="0.3">
      <c r="B651" t="s">
        <v>2173</v>
      </c>
      <c r="C651" t="s">
        <v>2833</v>
      </c>
      <c r="D651" t="s">
        <v>846</v>
      </c>
      <c r="E651">
        <v>0</v>
      </c>
      <c r="F651" t="s">
        <v>846</v>
      </c>
      <c r="K651" s="12" t="s">
        <v>5720</v>
      </c>
      <c r="L651" t="str">
        <f>IFERROR(VLOOKUP(K651,Таблица7[3]:Таблица7[[#This Row],[6]],2,FALSE),"")</f>
        <v/>
      </c>
      <c r="M651" t="str">
        <f t="shared" si="11"/>
        <v/>
      </c>
      <c r="N651" t="str" cm="1">
        <f t="array" ref="N651">IF(MOD(ROW()-ROW($B$2),16)=0,INDEX($M$2:$M$1000,(ROW()-ROW($B$2))/16+1),"")</f>
        <v/>
      </c>
    </row>
    <row r="652" spans="2:14" x14ac:dyDescent="0.3">
      <c r="B652" t="s">
        <v>2173</v>
      </c>
      <c r="C652" t="s">
        <v>2834</v>
      </c>
      <c r="D652" t="s">
        <v>847</v>
      </c>
      <c r="E652">
        <v>0</v>
      </c>
      <c r="F652" t="s">
        <v>847</v>
      </c>
      <c r="K652" s="12" t="s">
        <v>5721</v>
      </c>
      <c r="L652" t="str">
        <f>IFERROR(VLOOKUP(K652,Таблица7[3]:Таблица7[[#This Row],[6]],2,FALSE),"")</f>
        <v/>
      </c>
      <c r="M652" t="str">
        <f t="shared" si="11"/>
        <v/>
      </c>
      <c r="N652" t="str" cm="1">
        <f t="array" ref="N652">IF(MOD(ROW()-ROW($B$2),16)=0,INDEX($M$2:$M$1000,(ROW()-ROW($B$2))/16+1),"")</f>
        <v/>
      </c>
    </row>
    <row r="653" spans="2:14" x14ac:dyDescent="0.3">
      <c r="B653" t="s">
        <v>2173</v>
      </c>
      <c r="C653" t="s">
        <v>2835</v>
      </c>
      <c r="D653" t="s">
        <v>848</v>
      </c>
      <c r="E653">
        <v>0</v>
      </c>
      <c r="F653" t="s">
        <v>848</v>
      </c>
      <c r="K653" s="12" t="s">
        <v>5722</v>
      </c>
      <c r="L653" t="str">
        <f>IFERROR(VLOOKUP(K653,Таблица7[3]:Таблица7[[#This Row],[6]],2,FALSE),"")</f>
        <v/>
      </c>
      <c r="M653" t="str">
        <f t="shared" si="11"/>
        <v/>
      </c>
      <c r="N653" t="str" cm="1">
        <f t="array" ref="N653">IF(MOD(ROW()-ROW($B$2),16)=0,INDEX($M$2:$M$1000,(ROW()-ROW($B$2))/16+1),"")</f>
        <v/>
      </c>
    </row>
    <row r="654" spans="2:14" x14ac:dyDescent="0.3">
      <c r="B654" t="s">
        <v>2173</v>
      </c>
      <c r="C654" t="s">
        <v>2836</v>
      </c>
      <c r="D654" t="s">
        <v>849</v>
      </c>
      <c r="E654">
        <v>0</v>
      </c>
      <c r="F654" t="s">
        <v>849</v>
      </c>
      <c r="K654" s="12" t="s">
        <v>5723</v>
      </c>
      <c r="L654" t="str">
        <f>IFERROR(VLOOKUP(K654,Таблица7[3]:Таблица7[[#This Row],[6]],2,FALSE),"")</f>
        <v/>
      </c>
      <c r="M654" t="str">
        <f t="shared" si="11"/>
        <v/>
      </c>
      <c r="N654" t="str" cm="1">
        <f t="array" ref="N654">IF(MOD(ROW()-ROW($B$2),16)=0,INDEX($M$2:$M$1000,(ROW()-ROW($B$2))/16+1),"")</f>
        <v/>
      </c>
    </row>
    <row r="655" spans="2:14" x14ac:dyDescent="0.3">
      <c r="B655" t="s">
        <v>2173</v>
      </c>
      <c r="C655" t="s">
        <v>2837</v>
      </c>
      <c r="D655" t="s">
        <v>850</v>
      </c>
      <c r="E655">
        <v>0</v>
      </c>
      <c r="F655" t="s">
        <v>850</v>
      </c>
      <c r="K655" s="12" t="s">
        <v>5724</v>
      </c>
      <c r="L655" t="str">
        <f>IFERROR(VLOOKUP(K655,Таблица7[3]:Таблица7[[#This Row],[6]],2,FALSE),"")</f>
        <v/>
      </c>
      <c r="M655" t="str">
        <f t="shared" si="11"/>
        <v/>
      </c>
      <c r="N655" t="str" cm="1">
        <f t="array" ref="N655">IF(MOD(ROW()-ROW($B$2),16)=0,INDEX($M$2:$M$1000,(ROW()-ROW($B$2))/16+1),"")</f>
        <v/>
      </c>
    </row>
    <row r="656" spans="2:14" x14ac:dyDescent="0.3">
      <c r="B656" t="s">
        <v>2173</v>
      </c>
      <c r="C656" t="s">
        <v>2838</v>
      </c>
      <c r="D656" t="s">
        <v>851</v>
      </c>
      <c r="E656">
        <v>0</v>
      </c>
      <c r="F656" t="s">
        <v>851</v>
      </c>
      <c r="K656" s="12" t="s">
        <v>5725</v>
      </c>
      <c r="L656" t="str">
        <f>IFERROR(VLOOKUP(K656,Таблица7[3]:Таблица7[[#This Row],[6]],2,FALSE),"")</f>
        <v/>
      </c>
      <c r="M656" t="str">
        <f t="shared" si="11"/>
        <v/>
      </c>
      <c r="N656" t="str" cm="1">
        <f t="array" ref="N656">IF(MOD(ROW()-ROW($B$2),16)=0,INDEX($M$2:$M$1000,(ROW()-ROW($B$2))/16+1),"")</f>
        <v/>
      </c>
    </row>
    <row r="657" spans="2:14" x14ac:dyDescent="0.3">
      <c r="B657" t="s">
        <v>2173</v>
      </c>
      <c r="C657" t="s">
        <v>2839</v>
      </c>
      <c r="D657" t="s">
        <v>852</v>
      </c>
      <c r="E657">
        <v>0</v>
      </c>
      <c r="F657" t="s">
        <v>852</v>
      </c>
      <c r="K657" s="12" t="s">
        <v>5726</v>
      </c>
      <c r="L657" t="str">
        <f>IFERROR(VLOOKUP(K657,Таблица7[3]:Таблица7[[#This Row],[6]],2,FALSE),"")</f>
        <v/>
      </c>
      <c r="M657" t="str">
        <f t="shared" si="11"/>
        <v/>
      </c>
      <c r="N657" t="str" cm="1">
        <f t="array" ref="N657">IF(MOD(ROW()-ROW($B$2),16)=0,INDEX($M$2:$M$1000,(ROW()-ROW($B$2))/16+1),"")</f>
        <v/>
      </c>
    </row>
    <row r="658" spans="2:14" x14ac:dyDescent="0.3">
      <c r="B658" t="s">
        <v>2173</v>
      </c>
      <c r="C658" t="s">
        <v>2840</v>
      </c>
      <c r="D658" t="s">
        <v>853</v>
      </c>
      <c r="E658">
        <v>0</v>
      </c>
      <c r="F658" t="s">
        <v>853</v>
      </c>
      <c r="K658" s="12" t="s">
        <v>5727</v>
      </c>
      <c r="L658" t="str">
        <f>IFERROR(VLOOKUP(K658,Таблица7[3]:Таблица7[[#This Row],[6]],2,FALSE),"")</f>
        <v/>
      </c>
      <c r="M658" t="str">
        <f t="shared" si="11"/>
        <v/>
      </c>
      <c r="N658" t="str" cm="1">
        <f t="array" ref="N658">IF(MOD(ROW()-ROW($B$2),16)=0,INDEX($M$2:$M$1000,(ROW()-ROW($B$2))/16+1),"")</f>
        <v>Фиксированное число 41 (0)</v>
      </c>
    </row>
    <row r="659" spans="2:14" x14ac:dyDescent="0.3">
      <c r="B659" t="s">
        <v>2173</v>
      </c>
      <c r="C659" t="s">
        <v>2841</v>
      </c>
      <c r="D659" t="s">
        <v>854</v>
      </c>
      <c r="E659">
        <v>0</v>
      </c>
      <c r="F659" t="s">
        <v>854</v>
      </c>
      <c r="K659" s="12" t="s">
        <v>5728</v>
      </c>
      <c r="L659" t="str">
        <f>IFERROR(VLOOKUP(K659,Таблица7[3]:Таблица7[[#This Row],[6]],2,FALSE),"")</f>
        <v/>
      </c>
      <c r="M659" t="str">
        <f t="shared" si="11"/>
        <v/>
      </c>
      <c r="N659" t="str" cm="1">
        <f t="array" ref="N659">IF(MOD(ROW()-ROW($B$2),16)=0,INDEX($M$2:$M$1000,(ROW()-ROW($B$2))/16+1),"")</f>
        <v/>
      </c>
    </row>
    <row r="660" spans="2:14" x14ac:dyDescent="0.3">
      <c r="B660" t="s">
        <v>2173</v>
      </c>
      <c r="C660" t="s">
        <v>2842</v>
      </c>
      <c r="D660" t="s">
        <v>855</v>
      </c>
      <c r="E660">
        <v>0</v>
      </c>
      <c r="F660" t="s">
        <v>855</v>
      </c>
      <c r="K660" s="12" t="s">
        <v>5729</v>
      </c>
      <c r="L660" t="str">
        <f>IFERROR(VLOOKUP(K660,Таблица7[3]:Таблица7[[#This Row],[6]],2,FALSE),"")</f>
        <v/>
      </c>
      <c r="M660" t="str">
        <f t="shared" si="11"/>
        <v/>
      </c>
      <c r="N660" t="str" cm="1">
        <f t="array" ref="N660">IF(MOD(ROW()-ROW($B$2),16)=0,INDEX($M$2:$M$1000,(ROW()-ROW($B$2))/16+1),"")</f>
        <v/>
      </c>
    </row>
    <row r="661" spans="2:14" x14ac:dyDescent="0.3">
      <c r="B661" t="s">
        <v>2173</v>
      </c>
      <c r="C661" t="s">
        <v>2843</v>
      </c>
      <c r="D661" t="s">
        <v>856</v>
      </c>
      <c r="E661">
        <v>0</v>
      </c>
      <c r="F661" t="s">
        <v>856</v>
      </c>
      <c r="K661" s="12" t="s">
        <v>5730</v>
      </c>
      <c r="L661" t="str">
        <f>IFERROR(VLOOKUP(K661,Таблица7[3]:Таблица7[[#This Row],[6]],2,FALSE),"")</f>
        <v/>
      </c>
      <c r="M661" t="str">
        <f t="shared" si="11"/>
        <v/>
      </c>
      <c r="N661" t="str" cm="1">
        <f t="array" ref="N661">IF(MOD(ROW()-ROW($B$2),16)=0,INDEX($M$2:$M$1000,(ROW()-ROW($B$2))/16+1),"")</f>
        <v/>
      </c>
    </row>
    <row r="662" spans="2:14" x14ac:dyDescent="0.3">
      <c r="B662" t="s">
        <v>2173</v>
      </c>
      <c r="C662" t="s">
        <v>2844</v>
      </c>
      <c r="D662" t="s">
        <v>857</v>
      </c>
      <c r="E662">
        <v>0</v>
      </c>
      <c r="F662" t="s">
        <v>857</v>
      </c>
      <c r="K662" s="12" t="s">
        <v>5731</v>
      </c>
      <c r="L662" t="str">
        <f>IFERROR(VLOOKUP(K662,Таблица7[3]:Таблица7[[#This Row],[6]],2,FALSE),"")</f>
        <v/>
      </c>
      <c r="M662" t="str">
        <f t="shared" si="11"/>
        <v/>
      </c>
      <c r="N662" t="str" cm="1">
        <f t="array" ref="N662">IF(MOD(ROW()-ROW($B$2),16)=0,INDEX($M$2:$M$1000,(ROW()-ROW($B$2))/16+1),"")</f>
        <v/>
      </c>
    </row>
    <row r="663" spans="2:14" x14ac:dyDescent="0.3">
      <c r="B663" t="s">
        <v>2173</v>
      </c>
      <c r="C663" t="s">
        <v>2845</v>
      </c>
      <c r="D663" t="s">
        <v>858</v>
      </c>
      <c r="E663">
        <v>0</v>
      </c>
      <c r="F663" t="s">
        <v>858</v>
      </c>
      <c r="K663" s="12" t="s">
        <v>5732</v>
      </c>
      <c r="L663" t="str">
        <f>IFERROR(VLOOKUP(K663,Таблица7[3]:Таблица7[[#This Row],[6]],2,FALSE),"")</f>
        <v/>
      </c>
      <c r="M663" t="str">
        <f t="shared" si="11"/>
        <v/>
      </c>
      <c r="N663" t="str" cm="1">
        <f t="array" ref="N663">IF(MOD(ROW()-ROW($B$2),16)=0,INDEX($M$2:$M$1000,(ROW()-ROW($B$2))/16+1),"")</f>
        <v/>
      </c>
    </row>
    <row r="664" spans="2:14" x14ac:dyDescent="0.3">
      <c r="B664" t="s">
        <v>2173</v>
      </c>
      <c r="C664" t="s">
        <v>2846</v>
      </c>
      <c r="D664" t="s">
        <v>859</v>
      </c>
      <c r="E664">
        <v>0</v>
      </c>
      <c r="F664" t="s">
        <v>859</v>
      </c>
      <c r="K664" s="12" t="s">
        <v>5733</v>
      </c>
      <c r="L664" t="str">
        <f>IFERROR(VLOOKUP(K664,Таблица7[3]:Таблица7[[#This Row],[6]],2,FALSE),"")</f>
        <v/>
      </c>
      <c r="M664" t="str">
        <f t="shared" si="11"/>
        <v/>
      </c>
      <c r="N664" t="str" cm="1">
        <f t="array" ref="N664">IF(MOD(ROW()-ROW($B$2),16)=0,INDEX($M$2:$M$1000,(ROW()-ROW($B$2))/16+1),"")</f>
        <v/>
      </c>
    </row>
    <row r="665" spans="2:14" x14ac:dyDescent="0.3">
      <c r="B665" t="s">
        <v>2173</v>
      </c>
      <c r="C665" t="s">
        <v>2847</v>
      </c>
      <c r="D665" t="s">
        <v>860</v>
      </c>
      <c r="E665">
        <v>0</v>
      </c>
      <c r="F665" t="s">
        <v>860</v>
      </c>
      <c r="K665" s="12" t="s">
        <v>5734</v>
      </c>
      <c r="L665" t="str">
        <f>IFERROR(VLOOKUP(K665,Таблица7[3]:Таблица7[[#This Row],[6]],2,FALSE),"")</f>
        <v/>
      </c>
      <c r="M665" t="str">
        <f t="shared" si="11"/>
        <v/>
      </c>
      <c r="N665" t="str" cm="1">
        <f t="array" ref="N665">IF(MOD(ROW()-ROW($B$2),16)=0,INDEX($M$2:$M$1000,(ROW()-ROW($B$2))/16+1),"")</f>
        <v/>
      </c>
    </row>
    <row r="666" spans="2:14" x14ac:dyDescent="0.3">
      <c r="B666" t="s">
        <v>2173</v>
      </c>
      <c r="C666" t="s">
        <v>2848</v>
      </c>
      <c r="D666" t="s">
        <v>861</v>
      </c>
      <c r="E666">
        <v>0</v>
      </c>
      <c r="F666" t="s">
        <v>861</v>
      </c>
      <c r="K666" s="12" t="s">
        <v>5735</v>
      </c>
      <c r="L666" t="str">
        <f>IFERROR(VLOOKUP(K666,Таблица7[3]:Таблица7[[#This Row],[6]],2,FALSE),"")</f>
        <v/>
      </c>
      <c r="M666" t="str">
        <f t="shared" si="11"/>
        <v/>
      </c>
      <c r="N666" t="str" cm="1">
        <f t="array" ref="N666">IF(MOD(ROW()-ROW($B$2),16)=0,INDEX($M$2:$M$1000,(ROW()-ROW($B$2))/16+1),"")</f>
        <v/>
      </c>
    </row>
    <row r="667" spans="2:14" x14ac:dyDescent="0.3">
      <c r="B667" t="s">
        <v>2173</v>
      </c>
      <c r="C667" t="s">
        <v>2849</v>
      </c>
      <c r="D667" t="s">
        <v>862</v>
      </c>
      <c r="E667">
        <v>0</v>
      </c>
      <c r="F667" t="s">
        <v>862</v>
      </c>
      <c r="K667" s="12" t="s">
        <v>5736</v>
      </c>
      <c r="L667" t="str">
        <f>IFERROR(VLOOKUP(K667,Таблица7[3]:Таблица7[[#This Row],[6]],2,FALSE),"")</f>
        <v/>
      </c>
      <c r="M667" t="str">
        <f t="shared" si="11"/>
        <v/>
      </c>
      <c r="N667" t="str" cm="1">
        <f t="array" ref="N667">IF(MOD(ROW()-ROW($B$2),16)=0,INDEX($M$2:$M$1000,(ROW()-ROW($B$2))/16+1),"")</f>
        <v/>
      </c>
    </row>
    <row r="668" spans="2:14" x14ac:dyDescent="0.3">
      <c r="B668" t="s">
        <v>2173</v>
      </c>
      <c r="C668" t="s">
        <v>2850</v>
      </c>
      <c r="D668" t="s">
        <v>863</v>
      </c>
      <c r="E668">
        <v>0</v>
      </c>
      <c r="F668" t="s">
        <v>863</v>
      </c>
      <c r="K668" s="12" t="s">
        <v>5737</v>
      </c>
      <c r="L668" t="str">
        <f>IFERROR(VLOOKUP(K668,Таблица7[3]:Таблица7[[#This Row],[6]],2,FALSE),"")</f>
        <v/>
      </c>
      <c r="M668" t="str">
        <f t="shared" si="11"/>
        <v/>
      </c>
      <c r="N668" t="str" cm="1">
        <f t="array" ref="N668">IF(MOD(ROW()-ROW($B$2),16)=0,INDEX($M$2:$M$1000,(ROW()-ROW($B$2))/16+1),"")</f>
        <v/>
      </c>
    </row>
    <row r="669" spans="2:14" x14ac:dyDescent="0.3">
      <c r="B669" t="s">
        <v>2173</v>
      </c>
      <c r="C669" t="s">
        <v>2851</v>
      </c>
      <c r="D669" t="s">
        <v>864</v>
      </c>
      <c r="E669">
        <v>0</v>
      </c>
      <c r="F669" t="s">
        <v>864</v>
      </c>
      <c r="K669" s="12" t="s">
        <v>5738</v>
      </c>
      <c r="L669" t="str">
        <f>IFERROR(VLOOKUP(K669,Таблица7[3]:Таблица7[[#This Row],[6]],2,FALSE),"")</f>
        <v/>
      </c>
      <c r="M669" t="str">
        <f t="shared" si="11"/>
        <v/>
      </c>
      <c r="N669" t="str" cm="1">
        <f t="array" ref="N669">IF(MOD(ROW()-ROW($B$2),16)=0,INDEX($M$2:$M$1000,(ROW()-ROW($B$2))/16+1),"")</f>
        <v/>
      </c>
    </row>
    <row r="670" spans="2:14" x14ac:dyDescent="0.3">
      <c r="B670" t="s">
        <v>2173</v>
      </c>
      <c r="C670" t="s">
        <v>2852</v>
      </c>
      <c r="D670" t="s">
        <v>865</v>
      </c>
      <c r="E670">
        <v>0</v>
      </c>
      <c r="F670" t="s">
        <v>865</v>
      </c>
      <c r="K670" s="12" t="s">
        <v>5739</v>
      </c>
      <c r="L670" t="str">
        <f>IFERROR(VLOOKUP(K670,Таблица7[3]:Таблица7[[#This Row],[6]],2,FALSE),"")</f>
        <v/>
      </c>
      <c r="M670" t="str">
        <f t="shared" si="11"/>
        <v/>
      </c>
      <c r="N670" t="str" cm="1">
        <f t="array" ref="N670">IF(MOD(ROW()-ROW($B$2),16)=0,INDEX($M$2:$M$1000,(ROW()-ROW($B$2))/16+1),"")</f>
        <v/>
      </c>
    </row>
    <row r="671" spans="2:14" x14ac:dyDescent="0.3">
      <c r="B671" t="s">
        <v>2173</v>
      </c>
      <c r="C671" t="s">
        <v>2853</v>
      </c>
      <c r="D671" t="s">
        <v>866</v>
      </c>
      <c r="E671">
        <v>0</v>
      </c>
      <c r="F671" t="s">
        <v>866</v>
      </c>
      <c r="K671" s="12" t="s">
        <v>5740</v>
      </c>
      <c r="L671" t="str">
        <f>IFERROR(VLOOKUP(K671,Таблица7[3]:Таблица7[[#This Row],[6]],2,FALSE),"")</f>
        <v/>
      </c>
      <c r="M671" t="str">
        <f t="shared" si="11"/>
        <v/>
      </c>
      <c r="N671" t="str" cm="1">
        <f t="array" ref="N671">IF(MOD(ROW()-ROW($B$2),16)=0,INDEX($M$2:$M$1000,(ROW()-ROW($B$2))/16+1),"")</f>
        <v/>
      </c>
    </row>
    <row r="672" spans="2:14" x14ac:dyDescent="0.3">
      <c r="B672" t="s">
        <v>2173</v>
      </c>
      <c r="C672" t="s">
        <v>2854</v>
      </c>
      <c r="D672" t="s">
        <v>867</v>
      </c>
      <c r="E672">
        <v>0</v>
      </c>
      <c r="F672" t="s">
        <v>867</v>
      </c>
      <c r="K672" s="12" t="s">
        <v>5741</v>
      </c>
      <c r="L672" t="str">
        <f>IFERROR(VLOOKUP(K672,Таблица7[3]:Таблица7[[#This Row],[6]],2,FALSE),"")</f>
        <v/>
      </c>
      <c r="M672" t="str">
        <f t="shared" si="11"/>
        <v/>
      </c>
      <c r="N672" t="str" cm="1">
        <f t="array" ref="N672">IF(MOD(ROW()-ROW($B$2),16)=0,INDEX($M$2:$M$1000,(ROW()-ROW($B$2))/16+1),"")</f>
        <v/>
      </c>
    </row>
    <row r="673" spans="2:14" x14ac:dyDescent="0.3">
      <c r="B673" t="s">
        <v>2173</v>
      </c>
      <c r="C673" t="s">
        <v>2855</v>
      </c>
      <c r="D673" t="s">
        <v>868</v>
      </c>
      <c r="E673">
        <v>0</v>
      </c>
      <c r="F673" t="s">
        <v>868</v>
      </c>
      <c r="K673" s="12" t="s">
        <v>5742</v>
      </c>
      <c r="L673" t="str">
        <f>IFERROR(VLOOKUP(K673,Таблица7[3]:Таблица7[[#This Row],[6]],2,FALSE),"")</f>
        <v/>
      </c>
      <c r="M673" t="str">
        <f t="shared" si="11"/>
        <v/>
      </c>
      <c r="N673" t="str" cm="1">
        <f t="array" ref="N673">IF(MOD(ROW()-ROW($B$2),16)=0,INDEX($M$2:$M$1000,(ROW()-ROW($B$2))/16+1),"")</f>
        <v/>
      </c>
    </row>
    <row r="674" spans="2:14" x14ac:dyDescent="0.3">
      <c r="B674" t="s">
        <v>2173</v>
      </c>
      <c r="C674" t="s">
        <v>2856</v>
      </c>
      <c r="D674" t="s">
        <v>869</v>
      </c>
      <c r="E674">
        <v>0</v>
      </c>
      <c r="F674" t="s">
        <v>869</v>
      </c>
      <c r="K674" s="12" t="s">
        <v>5743</v>
      </c>
      <c r="L674" t="str">
        <f>IFERROR(VLOOKUP(K674,Таблица7[3]:Таблица7[[#This Row],[6]],2,FALSE),"")</f>
        <v/>
      </c>
      <c r="M674" t="str">
        <f t="shared" si="11"/>
        <v/>
      </c>
      <c r="N674" t="str" cm="1">
        <f t="array" ref="N674">IF(MOD(ROW()-ROW($B$2),16)=0,INDEX($M$2:$M$1000,(ROW()-ROW($B$2))/16+1),"")</f>
        <v>Фиксированное число 42 (0)</v>
      </c>
    </row>
    <row r="675" spans="2:14" x14ac:dyDescent="0.3">
      <c r="B675" t="s">
        <v>2173</v>
      </c>
      <c r="C675" t="s">
        <v>2857</v>
      </c>
      <c r="D675" t="s">
        <v>870</v>
      </c>
      <c r="E675">
        <v>0</v>
      </c>
      <c r="F675" t="s">
        <v>870</v>
      </c>
      <c r="K675" s="12" t="s">
        <v>5744</v>
      </c>
      <c r="L675" t="str">
        <f>IFERROR(VLOOKUP(K675,Таблица7[3]:Таблица7[[#This Row],[6]],2,FALSE),"")</f>
        <v/>
      </c>
      <c r="M675" t="str">
        <f t="shared" si="11"/>
        <v/>
      </c>
      <c r="N675" t="str" cm="1">
        <f t="array" ref="N675">IF(MOD(ROW()-ROW($B$2),16)=0,INDEX($M$2:$M$1000,(ROW()-ROW($B$2))/16+1),"")</f>
        <v/>
      </c>
    </row>
    <row r="676" spans="2:14" x14ac:dyDescent="0.3">
      <c r="B676" t="s">
        <v>2173</v>
      </c>
      <c r="C676" t="s">
        <v>2858</v>
      </c>
      <c r="D676" t="s">
        <v>871</v>
      </c>
      <c r="E676">
        <v>0</v>
      </c>
      <c r="F676" t="s">
        <v>871</v>
      </c>
      <c r="K676" s="12" t="s">
        <v>5745</v>
      </c>
      <c r="L676" t="str">
        <f>IFERROR(VLOOKUP(K676,Таблица7[3]:Таблица7[[#This Row],[6]],2,FALSE),"")</f>
        <v/>
      </c>
      <c r="M676" t="str">
        <f t="shared" si="11"/>
        <v/>
      </c>
      <c r="N676" t="str" cm="1">
        <f t="array" ref="N676">IF(MOD(ROW()-ROW($B$2),16)=0,INDEX($M$2:$M$1000,(ROW()-ROW($B$2))/16+1),"")</f>
        <v/>
      </c>
    </row>
    <row r="677" spans="2:14" x14ac:dyDescent="0.3">
      <c r="B677" t="s">
        <v>2173</v>
      </c>
      <c r="C677" t="s">
        <v>2859</v>
      </c>
      <c r="D677" t="s">
        <v>872</v>
      </c>
      <c r="E677">
        <v>0</v>
      </c>
      <c r="F677" t="s">
        <v>872</v>
      </c>
      <c r="K677" s="12" t="s">
        <v>5746</v>
      </c>
      <c r="L677" t="str">
        <f>IFERROR(VLOOKUP(K677,Таблица7[3]:Таблица7[[#This Row],[6]],2,FALSE),"")</f>
        <v/>
      </c>
      <c r="M677" t="str">
        <f t="shared" si="11"/>
        <v/>
      </c>
      <c r="N677" t="str" cm="1">
        <f t="array" ref="N677">IF(MOD(ROW()-ROW($B$2),16)=0,INDEX($M$2:$M$1000,(ROW()-ROW($B$2))/16+1),"")</f>
        <v/>
      </c>
    </row>
    <row r="678" spans="2:14" x14ac:dyDescent="0.3">
      <c r="B678" t="s">
        <v>2173</v>
      </c>
      <c r="C678" t="s">
        <v>2860</v>
      </c>
      <c r="D678" t="s">
        <v>873</v>
      </c>
      <c r="E678">
        <v>0</v>
      </c>
      <c r="F678" t="s">
        <v>873</v>
      </c>
      <c r="K678" s="12" t="s">
        <v>5747</v>
      </c>
      <c r="L678" t="str">
        <f>IFERROR(VLOOKUP(K678,Таблица7[3]:Таблица7[[#This Row],[6]],2,FALSE),"")</f>
        <v/>
      </c>
      <c r="M678" t="str">
        <f t="shared" si="11"/>
        <v/>
      </c>
      <c r="N678" t="str" cm="1">
        <f t="array" ref="N678">IF(MOD(ROW()-ROW($B$2),16)=0,INDEX($M$2:$M$1000,(ROW()-ROW($B$2))/16+1),"")</f>
        <v/>
      </c>
    </row>
    <row r="679" spans="2:14" x14ac:dyDescent="0.3">
      <c r="B679" t="s">
        <v>2173</v>
      </c>
      <c r="C679" t="s">
        <v>2861</v>
      </c>
      <c r="D679" t="s">
        <v>874</v>
      </c>
      <c r="E679">
        <v>0</v>
      </c>
      <c r="F679" t="s">
        <v>874</v>
      </c>
      <c r="K679" s="12" t="s">
        <v>5748</v>
      </c>
      <c r="L679" t="str">
        <f>IFERROR(VLOOKUP(K679,Таблица7[3]:Таблица7[[#This Row],[6]],2,FALSE),"")</f>
        <v/>
      </c>
      <c r="M679" t="str">
        <f t="shared" si="11"/>
        <v/>
      </c>
      <c r="N679" t="str" cm="1">
        <f t="array" ref="N679">IF(MOD(ROW()-ROW($B$2),16)=0,INDEX($M$2:$M$1000,(ROW()-ROW($B$2))/16+1),"")</f>
        <v/>
      </c>
    </row>
    <row r="680" spans="2:14" x14ac:dyDescent="0.3">
      <c r="B680" t="s">
        <v>2173</v>
      </c>
      <c r="C680" t="s">
        <v>2862</v>
      </c>
      <c r="D680" t="s">
        <v>875</v>
      </c>
      <c r="E680">
        <v>0</v>
      </c>
      <c r="F680" t="s">
        <v>875</v>
      </c>
      <c r="K680" s="12" t="s">
        <v>5749</v>
      </c>
      <c r="L680" t="str">
        <f>IFERROR(VLOOKUP(K680,Таблица7[3]:Таблица7[[#This Row],[6]],2,FALSE),"")</f>
        <v/>
      </c>
      <c r="M680" t="str">
        <f t="shared" si="11"/>
        <v/>
      </c>
      <c r="N680" t="str" cm="1">
        <f t="array" ref="N680">IF(MOD(ROW()-ROW($B$2),16)=0,INDEX($M$2:$M$1000,(ROW()-ROW($B$2))/16+1),"")</f>
        <v/>
      </c>
    </row>
    <row r="681" spans="2:14" x14ac:dyDescent="0.3">
      <c r="B681" t="s">
        <v>2173</v>
      </c>
      <c r="C681" t="s">
        <v>2863</v>
      </c>
      <c r="D681" t="s">
        <v>876</v>
      </c>
      <c r="E681">
        <v>0</v>
      </c>
      <c r="F681" t="s">
        <v>876</v>
      </c>
      <c r="K681" s="12" t="s">
        <v>5750</v>
      </c>
      <c r="L681" t="str">
        <f>IFERROR(VLOOKUP(K681,Таблица7[3]:Таблица7[[#This Row],[6]],2,FALSE),"")</f>
        <v/>
      </c>
      <c r="M681" t="str">
        <f t="shared" si="11"/>
        <v/>
      </c>
      <c r="N681" t="str" cm="1">
        <f t="array" ref="N681">IF(MOD(ROW()-ROW($B$2),16)=0,INDEX($M$2:$M$1000,(ROW()-ROW($B$2))/16+1),"")</f>
        <v/>
      </c>
    </row>
    <row r="682" spans="2:14" x14ac:dyDescent="0.3">
      <c r="B682" t="s">
        <v>2173</v>
      </c>
      <c r="C682" t="s">
        <v>2864</v>
      </c>
      <c r="D682" t="s">
        <v>877</v>
      </c>
      <c r="E682">
        <v>0</v>
      </c>
      <c r="F682" t="s">
        <v>877</v>
      </c>
      <c r="K682" s="12" t="s">
        <v>5751</v>
      </c>
      <c r="L682" t="str">
        <f>IFERROR(VLOOKUP(K682,Таблица7[3]:Таблица7[[#This Row],[6]],2,FALSE),"")</f>
        <v/>
      </c>
      <c r="M682" t="str">
        <f t="shared" si="11"/>
        <v/>
      </c>
      <c r="N682" t="str" cm="1">
        <f t="array" ref="N682">IF(MOD(ROW()-ROW($B$2),16)=0,INDEX($M$2:$M$1000,(ROW()-ROW($B$2))/16+1),"")</f>
        <v/>
      </c>
    </row>
    <row r="683" spans="2:14" x14ac:dyDescent="0.3">
      <c r="B683" t="s">
        <v>2173</v>
      </c>
      <c r="C683" t="s">
        <v>2865</v>
      </c>
      <c r="D683" t="s">
        <v>878</v>
      </c>
      <c r="E683">
        <v>0</v>
      </c>
      <c r="F683" t="s">
        <v>878</v>
      </c>
      <c r="K683" s="12" t="s">
        <v>5752</v>
      </c>
      <c r="L683" t="str">
        <f>IFERROR(VLOOKUP(K683,Таблица7[3]:Таблица7[[#This Row],[6]],2,FALSE),"")</f>
        <v/>
      </c>
      <c r="M683" t="str">
        <f t="shared" si="11"/>
        <v/>
      </c>
      <c r="N683" t="str" cm="1">
        <f t="array" ref="N683">IF(MOD(ROW()-ROW($B$2),16)=0,INDEX($M$2:$M$1000,(ROW()-ROW($B$2))/16+1),"")</f>
        <v/>
      </c>
    </row>
    <row r="684" spans="2:14" x14ac:dyDescent="0.3">
      <c r="B684" t="s">
        <v>2173</v>
      </c>
      <c r="C684" t="s">
        <v>2866</v>
      </c>
      <c r="D684" t="s">
        <v>879</v>
      </c>
      <c r="E684">
        <v>0</v>
      </c>
      <c r="F684" t="s">
        <v>879</v>
      </c>
      <c r="K684" s="12" t="s">
        <v>5753</v>
      </c>
      <c r="L684" t="str">
        <f>IFERROR(VLOOKUP(K684,Таблица7[3]:Таблица7[[#This Row],[6]],2,FALSE),"")</f>
        <v/>
      </c>
      <c r="M684" t="str">
        <f t="shared" si="11"/>
        <v/>
      </c>
      <c r="N684" t="str" cm="1">
        <f t="array" ref="N684">IF(MOD(ROW()-ROW($B$2),16)=0,INDEX($M$2:$M$1000,(ROW()-ROW($B$2))/16+1),"")</f>
        <v/>
      </c>
    </row>
    <row r="685" spans="2:14" x14ac:dyDescent="0.3">
      <c r="B685" t="s">
        <v>2173</v>
      </c>
      <c r="C685" t="s">
        <v>2867</v>
      </c>
      <c r="D685" t="s">
        <v>880</v>
      </c>
      <c r="E685">
        <v>0</v>
      </c>
      <c r="F685" t="s">
        <v>880</v>
      </c>
      <c r="K685" s="12" t="s">
        <v>5754</v>
      </c>
      <c r="L685" t="str">
        <f>IFERROR(VLOOKUP(K685,Таблица7[3]:Таблица7[[#This Row],[6]],2,FALSE),"")</f>
        <v/>
      </c>
      <c r="M685" t="str">
        <f t="shared" si="11"/>
        <v/>
      </c>
      <c r="N685" t="str" cm="1">
        <f t="array" ref="N685">IF(MOD(ROW()-ROW($B$2),16)=0,INDEX($M$2:$M$1000,(ROW()-ROW($B$2))/16+1),"")</f>
        <v/>
      </c>
    </row>
    <row r="686" spans="2:14" x14ac:dyDescent="0.3">
      <c r="B686" t="s">
        <v>2173</v>
      </c>
      <c r="C686" t="s">
        <v>2868</v>
      </c>
      <c r="D686" t="s">
        <v>881</v>
      </c>
      <c r="E686">
        <v>0</v>
      </c>
      <c r="F686" t="s">
        <v>881</v>
      </c>
      <c r="K686" s="12" t="s">
        <v>5755</v>
      </c>
      <c r="L686" t="str">
        <f>IFERROR(VLOOKUP(K686,Таблица7[3]:Таблица7[[#This Row],[6]],2,FALSE),"")</f>
        <v/>
      </c>
      <c r="M686" t="str">
        <f t="shared" si="11"/>
        <v/>
      </c>
      <c r="N686" t="str" cm="1">
        <f t="array" ref="N686">IF(MOD(ROW()-ROW($B$2),16)=0,INDEX($M$2:$M$1000,(ROW()-ROW($B$2))/16+1),"")</f>
        <v/>
      </c>
    </row>
    <row r="687" spans="2:14" x14ac:dyDescent="0.3">
      <c r="B687" t="s">
        <v>2173</v>
      </c>
      <c r="C687" t="s">
        <v>2869</v>
      </c>
      <c r="D687" t="s">
        <v>882</v>
      </c>
      <c r="E687">
        <v>0</v>
      </c>
      <c r="F687" t="s">
        <v>882</v>
      </c>
      <c r="K687" s="12" t="s">
        <v>5756</v>
      </c>
      <c r="L687" t="str">
        <f>IFERROR(VLOOKUP(K687,Таблица7[3]:Таблица7[[#This Row],[6]],2,FALSE),"")</f>
        <v/>
      </c>
      <c r="M687" t="str">
        <f t="shared" si="11"/>
        <v/>
      </c>
      <c r="N687" t="str" cm="1">
        <f t="array" ref="N687">IF(MOD(ROW()-ROW($B$2),16)=0,INDEX($M$2:$M$1000,(ROW()-ROW($B$2))/16+1),"")</f>
        <v/>
      </c>
    </row>
    <row r="688" spans="2:14" x14ac:dyDescent="0.3">
      <c r="B688" t="s">
        <v>2173</v>
      </c>
      <c r="C688" t="s">
        <v>2870</v>
      </c>
      <c r="D688" t="s">
        <v>883</v>
      </c>
      <c r="E688">
        <v>0</v>
      </c>
      <c r="F688" t="s">
        <v>883</v>
      </c>
      <c r="K688" s="12" t="s">
        <v>5757</v>
      </c>
      <c r="L688" t="str">
        <f>IFERROR(VLOOKUP(K688,Таблица7[3]:Таблица7[[#This Row],[6]],2,FALSE),"")</f>
        <v/>
      </c>
      <c r="M688" t="str">
        <f t="shared" si="11"/>
        <v/>
      </c>
      <c r="N688" t="str" cm="1">
        <f t="array" ref="N688">IF(MOD(ROW()-ROW($B$2),16)=0,INDEX($M$2:$M$1000,(ROW()-ROW($B$2))/16+1),"")</f>
        <v/>
      </c>
    </row>
    <row r="689" spans="2:14" x14ac:dyDescent="0.3">
      <c r="B689" t="s">
        <v>2173</v>
      </c>
      <c r="C689" t="s">
        <v>2871</v>
      </c>
      <c r="D689" t="s">
        <v>884</v>
      </c>
      <c r="E689">
        <v>0</v>
      </c>
      <c r="F689" t="s">
        <v>884</v>
      </c>
      <c r="K689" s="12" t="s">
        <v>5758</v>
      </c>
      <c r="L689" t="str">
        <f>IFERROR(VLOOKUP(K689,Таблица7[3]:Таблица7[[#This Row],[6]],2,FALSE),"")</f>
        <v/>
      </c>
      <c r="M689" t="str">
        <f t="shared" si="11"/>
        <v/>
      </c>
      <c r="N689" t="str" cm="1">
        <f t="array" ref="N689">IF(MOD(ROW()-ROW($B$2),16)=0,INDEX($M$2:$M$1000,(ROW()-ROW($B$2))/16+1),"")</f>
        <v/>
      </c>
    </row>
    <row r="690" spans="2:14" x14ac:dyDescent="0.3">
      <c r="B690" t="s">
        <v>2173</v>
      </c>
      <c r="C690" t="s">
        <v>2872</v>
      </c>
      <c r="D690" t="s">
        <v>885</v>
      </c>
      <c r="E690">
        <v>0</v>
      </c>
      <c r="F690" t="s">
        <v>885</v>
      </c>
      <c r="K690" s="12" t="s">
        <v>5759</v>
      </c>
      <c r="L690" t="str">
        <f>IFERROR(VLOOKUP(K690,Таблица7[3]:Таблица7[[#This Row],[6]],2,FALSE),"")</f>
        <v/>
      </c>
      <c r="M690" t="str">
        <f t="shared" si="11"/>
        <v/>
      </c>
      <c r="N690" t="str" cm="1">
        <f t="array" ref="N690">IF(MOD(ROW()-ROW($B$2),16)=0,INDEX($M$2:$M$1000,(ROW()-ROW($B$2))/16+1),"")</f>
        <v>Фиксированное число 43 (0)</v>
      </c>
    </row>
    <row r="691" spans="2:14" x14ac:dyDescent="0.3">
      <c r="B691" t="s">
        <v>2173</v>
      </c>
      <c r="C691" t="s">
        <v>2873</v>
      </c>
      <c r="D691" t="s">
        <v>886</v>
      </c>
      <c r="E691">
        <v>0</v>
      </c>
      <c r="F691" t="s">
        <v>886</v>
      </c>
      <c r="K691" s="12" t="s">
        <v>5760</v>
      </c>
      <c r="L691" t="str">
        <f>IFERROR(VLOOKUP(K691,Таблица7[3]:Таблица7[[#This Row],[6]],2,FALSE),"")</f>
        <v/>
      </c>
      <c r="M691" t="str">
        <f t="shared" si="11"/>
        <v/>
      </c>
      <c r="N691" t="str" cm="1">
        <f t="array" ref="N691">IF(MOD(ROW()-ROW($B$2),16)=0,INDEX($M$2:$M$1000,(ROW()-ROW($B$2))/16+1),"")</f>
        <v/>
      </c>
    </row>
    <row r="692" spans="2:14" x14ac:dyDescent="0.3">
      <c r="B692" t="s">
        <v>2173</v>
      </c>
      <c r="C692" t="s">
        <v>2874</v>
      </c>
      <c r="D692" t="s">
        <v>887</v>
      </c>
      <c r="E692">
        <v>0</v>
      </c>
      <c r="F692" t="s">
        <v>887</v>
      </c>
      <c r="K692" s="12" t="s">
        <v>5761</v>
      </c>
      <c r="L692" t="str">
        <f>IFERROR(VLOOKUP(K692,Таблица7[3]:Таблица7[[#This Row],[6]],2,FALSE),"")</f>
        <v/>
      </c>
      <c r="M692" t="str">
        <f t="shared" si="11"/>
        <v/>
      </c>
      <c r="N692" t="str" cm="1">
        <f t="array" ref="N692">IF(MOD(ROW()-ROW($B$2),16)=0,INDEX($M$2:$M$1000,(ROW()-ROW($B$2))/16+1),"")</f>
        <v/>
      </c>
    </row>
    <row r="693" spans="2:14" x14ac:dyDescent="0.3">
      <c r="B693" t="s">
        <v>2173</v>
      </c>
      <c r="C693" t="s">
        <v>2875</v>
      </c>
      <c r="D693" t="s">
        <v>888</v>
      </c>
      <c r="E693">
        <v>0</v>
      </c>
      <c r="F693" t="s">
        <v>888</v>
      </c>
      <c r="K693" s="12" t="s">
        <v>5762</v>
      </c>
      <c r="L693" t="str">
        <f>IFERROR(VLOOKUP(K693,Таблица7[3]:Таблица7[[#This Row],[6]],2,FALSE),"")</f>
        <v/>
      </c>
      <c r="M693" t="str">
        <f t="shared" si="11"/>
        <v/>
      </c>
      <c r="N693" t="str" cm="1">
        <f t="array" ref="N693">IF(MOD(ROW()-ROW($B$2),16)=0,INDEX($M$2:$M$1000,(ROW()-ROW($B$2))/16+1),"")</f>
        <v/>
      </c>
    </row>
    <row r="694" spans="2:14" x14ac:dyDescent="0.3">
      <c r="B694" t="s">
        <v>2173</v>
      </c>
      <c r="C694" t="s">
        <v>2876</v>
      </c>
      <c r="D694" t="s">
        <v>889</v>
      </c>
      <c r="E694">
        <v>0</v>
      </c>
      <c r="F694" t="s">
        <v>889</v>
      </c>
      <c r="K694" s="12" t="s">
        <v>5763</v>
      </c>
      <c r="L694" t="str">
        <f>IFERROR(VLOOKUP(K694,Таблица7[3]:Таблица7[[#This Row],[6]],2,FALSE),"")</f>
        <v/>
      </c>
      <c r="M694" t="str">
        <f t="shared" si="11"/>
        <v/>
      </c>
      <c r="N694" t="str" cm="1">
        <f t="array" ref="N694">IF(MOD(ROW()-ROW($B$2),16)=0,INDEX($M$2:$M$1000,(ROW()-ROW($B$2))/16+1),"")</f>
        <v/>
      </c>
    </row>
    <row r="695" spans="2:14" x14ac:dyDescent="0.3">
      <c r="B695" t="s">
        <v>2173</v>
      </c>
      <c r="C695" t="s">
        <v>2877</v>
      </c>
      <c r="D695" t="s">
        <v>890</v>
      </c>
      <c r="E695">
        <v>0</v>
      </c>
      <c r="F695" t="s">
        <v>890</v>
      </c>
      <c r="K695" s="12" t="s">
        <v>5764</v>
      </c>
      <c r="L695" t="str">
        <f>IFERROR(VLOOKUP(K695,Таблица7[3]:Таблица7[[#This Row],[6]],2,FALSE),"")</f>
        <v/>
      </c>
      <c r="M695" t="str">
        <f t="shared" si="11"/>
        <v/>
      </c>
      <c r="N695" t="str" cm="1">
        <f t="array" ref="N695">IF(MOD(ROW()-ROW($B$2),16)=0,INDEX($M$2:$M$1000,(ROW()-ROW($B$2))/16+1),"")</f>
        <v/>
      </c>
    </row>
    <row r="696" spans="2:14" x14ac:dyDescent="0.3">
      <c r="B696" t="s">
        <v>2173</v>
      </c>
      <c r="C696" t="s">
        <v>2878</v>
      </c>
      <c r="D696" t="s">
        <v>891</v>
      </c>
      <c r="E696">
        <v>0</v>
      </c>
      <c r="F696" t="s">
        <v>891</v>
      </c>
      <c r="K696" s="12" t="s">
        <v>5765</v>
      </c>
      <c r="L696" t="str">
        <f>IFERROR(VLOOKUP(K696,Таблица7[3]:Таблица7[[#This Row],[6]],2,FALSE),"")</f>
        <v/>
      </c>
      <c r="M696" t="str">
        <f t="shared" si="11"/>
        <v/>
      </c>
      <c r="N696" t="str" cm="1">
        <f t="array" ref="N696">IF(MOD(ROW()-ROW($B$2),16)=0,INDEX($M$2:$M$1000,(ROW()-ROW($B$2))/16+1),"")</f>
        <v/>
      </c>
    </row>
    <row r="697" spans="2:14" x14ac:dyDescent="0.3">
      <c r="B697" t="s">
        <v>2173</v>
      </c>
      <c r="C697" t="s">
        <v>2879</v>
      </c>
      <c r="D697" t="s">
        <v>892</v>
      </c>
      <c r="E697">
        <v>0</v>
      </c>
      <c r="F697" t="s">
        <v>892</v>
      </c>
      <c r="K697" s="12" t="s">
        <v>5766</v>
      </c>
      <c r="L697" t="str">
        <f>IFERROR(VLOOKUP(K697,Таблица7[3]:Таблица7[[#This Row],[6]],2,FALSE),"")</f>
        <v/>
      </c>
      <c r="M697" t="str">
        <f t="shared" si="11"/>
        <v/>
      </c>
      <c r="N697" t="str" cm="1">
        <f t="array" ref="N697">IF(MOD(ROW()-ROW($B$2),16)=0,INDEX($M$2:$M$1000,(ROW()-ROW($B$2))/16+1),"")</f>
        <v/>
      </c>
    </row>
    <row r="698" spans="2:14" x14ac:dyDescent="0.3">
      <c r="B698" t="s">
        <v>2173</v>
      </c>
      <c r="C698" t="s">
        <v>2880</v>
      </c>
      <c r="D698" t="s">
        <v>893</v>
      </c>
      <c r="E698">
        <v>0</v>
      </c>
      <c r="F698" t="s">
        <v>893</v>
      </c>
      <c r="K698" s="12" t="s">
        <v>5767</v>
      </c>
      <c r="L698" t="str">
        <f>IFERROR(VLOOKUP(K698,Таблица7[3]:Таблица7[[#This Row],[6]],2,FALSE),"")</f>
        <v/>
      </c>
      <c r="M698" t="str">
        <f t="shared" si="11"/>
        <v/>
      </c>
      <c r="N698" t="str" cm="1">
        <f t="array" ref="N698">IF(MOD(ROW()-ROW($B$2),16)=0,INDEX($M$2:$M$1000,(ROW()-ROW($B$2))/16+1),"")</f>
        <v/>
      </c>
    </row>
    <row r="699" spans="2:14" x14ac:dyDescent="0.3">
      <c r="B699" t="s">
        <v>2173</v>
      </c>
      <c r="C699" t="s">
        <v>2881</v>
      </c>
      <c r="D699" t="s">
        <v>894</v>
      </c>
      <c r="E699">
        <v>0</v>
      </c>
      <c r="F699" t="s">
        <v>894</v>
      </c>
      <c r="K699" s="12" t="s">
        <v>5768</v>
      </c>
      <c r="L699" t="str">
        <f>IFERROR(VLOOKUP(K699,Таблица7[3]:Таблица7[[#This Row],[6]],2,FALSE),"")</f>
        <v/>
      </c>
      <c r="M699" t="str">
        <f t="shared" si="11"/>
        <v/>
      </c>
      <c r="N699" t="str" cm="1">
        <f t="array" ref="N699">IF(MOD(ROW()-ROW($B$2),16)=0,INDEX($M$2:$M$1000,(ROW()-ROW($B$2))/16+1),"")</f>
        <v/>
      </c>
    </row>
    <row r="700" spans="2:14" x14ac:dyDescent="0.3">
      <c r="B700" t="s">
        <v>2173</v>
      </c>
      <c r="C700" t="s">
        <v>2882</v>
      </c>
      <c r="D700" t="s">
        <v>895</v>
      </c>
      <c r="E700">
        <v>0</v>
      </c>
      <c r="F700" t="s">
        <v>895</v>
      </c>
      <c r="K700" s="12" t="s">
        <v>5769</v>
      </c>
      <c r="L700" t="str">
        <f>IFERROR(VLOOKUP(K700,Таблица7[3]:Таблица7[[#This Row],[6]],2,FALSE),"")</f>
        <v/>
      </c>
      <c r="M700" t="str">
        <f t="shared" si="11"/>
        <v/>
      </c>
      <c r="N700" t="str" cm="1">
        <f t="array" ref="N700">IF(MOD(ROW()-ROW($B$2),16)=0,INDEX($M$2:$M$1000,(ROW()-ROW($B$2))/16+1),"")</f>
        <v/>
      </c>
    </row>
    <row r="701" spans="2:14" x14ac:dyDescent="0.3">
      <c r="B701" t="s">
        <v>2173</v>
      </c>
      <c r="C701" t="s">
        <v>2883</v>
      </c>
      <c r="D701" t="s">
        <v>896</v>
      </c>
      <c r="E701">
        <v>0</v>
      </c>
      <c r="F701" t="s">
        <v>896</v>
      </c>
      <c r="K701" s="12" t="s">
        <v>5770</v>
      </c>
      <c r="L701" t="str">
        <f>IFERROR(VLOOKUP(K701,Таблица7[3]:Таблица7[[#This Row],[6]],2,FALSE),"")</f>
        <v/>
      </c>
      <c r="M701" t="str">
        <f t="shared" si="11"/>
        <v/>
      </c>
      <c r="N701" t="str" cm="1">
        <f t="array" ref="N701">IF(MOD(ROW()-ROW($B$2),16)=0,INDEX($M$2:$M$1000,(ROW()-ROW($B$2))/16+1),"")</f>
        <v/>
      </c>
    </row>
    <row r="702" spans="2:14" x14ac:dyDescent="0.3">
      <c r="B702" t="s">
        <v>2173</v>
      </c>
      <c r="C702" t="s">
        <v>2884</v>
      </c>
      <c r="D702" t="s">
        <v>897</v>
      </c>
      <c r="E702">
        <v>0</v>
      </c>
      <c r="F702" t="s">
        <v>897</v>
      </c>
      <c r="K702" s="12" t="s">
        <v>5771</v>
      </c>
      <c r="L702" t="str">
        <f>IFERROR(VLOOKUP(K702,Таблица7[3]:Таблица7[[#This Row],[6]],2,FALSE),"")</f>
        <v/>
      </c>
      <c r="M702" t="str">
        <f t="shared" si="11"/>
        <v/>
      </c>
      <c r="N702" t="str" cm="1">
        <f t="array" ref="N702">IF(MOD(ROW()-ROW($B$2),16)=0,INDEX($M$2:$M$1000,(ROW()-ROW($B$2))/16+1),"")</f>
        <v/>
      </c>
    </row>
    <row r="703" spans="2:14" x14ac:dyDescent="0.3">
      <c r="B703" t="s">
        <v>2173</v>
      </c>
      <c r="C703" t="s">
        <v>2885</v>
      </c>
      <c r="D703" t="s">
        <v>898</v>
      </c>
      <c r="E703">
        <v>0</v>
      </c>
      <c r="F703" t="s">
        <v>898</v>
      </c>
      <c r="K703" s="12" t="s">
        <v>5772</v>
      </c>
      <c r="L703" t="str">
        <f>IFERROR(VLOOKUP(K703,Таблица7[3]:Таблица7[[#This Row],[6]],2,FALSE),"")</f>
        <v/>
      </c>
      <c r="M703" t="str">
        <f t="shared" si="11"/>
        <v/>
      </c>
      <c r="N703" t="str" cm="1">
        <f t="array" ref="N703">IF(MOD(ROW()-ROW($B$2),16)=0,INDEX($M$2:$M$1000,(ROW()-ROW($B$2))/16+1),"")</f>
        <v/>
      </c>
    </row>
    <row r="704" spans="2:14" x14ac:dyDescent="0.3">
      <c r="B704" t="s">
        <v>2173</v>
      </c>
      <c r="C704" t="s">
        <v>2886</v>
      </c>
      <c r="D704" t="s">
        <v>899</v>
      </c>
      <c r="E704">
        <v>0</v>
      </c>
      <c r="F704" t="s">
        <v>899</v>
      </c>
      <c r="K704" s="12" t="s">
        <v>5773</v>
      </c>
      <c r="L704" t="str">
        <f>IFERROR(VLOOKUP(K704,Таблица7[3]:Таблица7[[#This Row],[6]],2,FALSE),"")</f>
        <v/>
      </c>
      <c r="M704" t="str">
        <f t="shared" si="11"/>
        <v/>
      </c>
      <c r="N704" t="str" cm="1">
        <f t="array" ref="N704">IF(MOD(ROW()-ROW($B$2),16)=0,INDEX($M$2:$M$1000,(ROW()-ROW($B$2))/16+1),"")</f>
        <v/>
      </c>
    </row>
    <row r="705" spans="2:14" x14ac:dyDescent="0.3">
      <c r="B705" t="s">
        <v>2173</v>
      </c>
      <c r="C705" t="s">
        <v>2887</v>
      </c>
      <c r="D705" t="s">
        <v>900</v>
      </c>
      <c r="E705">
        <v>0</v>
      </c>
      <c r="F705" t="s">
        <v>900</v>
      </c>
      <c r="K705" s="12" t="s">
        <v>5774</v>
      </c>
      <c r="L705" t="str">
        <f>IFERROR(VLOOKUP(K705,Таблица7[3]:Таблица7[[#This Row],[6]],2,FALSE),"")</f>
        <v/>
      </c>
      <c r="M705" t="str">
        <f t="shared" si="11"/>
        <v/>
      </c>
      <c r="N705" t="str" cm="1">
        <f t="array" ref="N705">IF(MOD(ROW()-ROW($B$2),16)=0,INDEX($M$2:$M$1000,(ROW()-ROW($B$2))/16+1),"")</f>
        <v/>
      </c>
    </row>
    <row r="706" spans="2:14" x14ac:dyDescent="0.3">
      <c r="B706" t="s">
        <v>2173</v>
      </c>
      <c r="C706" t="s">
        <v>2888</v>
      </c>
      <c r="D706" t="s">
        <v>901</v>
      </c>
      <c r="E706">
        <v>0</v>
      </c>
      <c r="F706" t="s">
        <v>901</v>
      </c>
      <c r="K706" s="12" t="s">
        <v>5775</v>
      </c>
      <c r="L706" t="str">
        <f>IFERROR(VLOOKUP(K706,Таблица7[3]:Таблица7[[#This Row],[6]],2,FALSE),"")</f>
        <v/>
      </c>
      <c r="M706" t="str">
        <f t="shared" si="11"/>
        <v/>
      </c>
      <c r="N706" t="str" cm="1">
        <f t="array" ref="N706">IF(MOD(ROW()-ROW($B$2),16)=0,INDEX($M$2:$M$1000,(ROW()-ROW($B$2))/16+1),"")</f>
        <v>Фиксированное число 44 (0)</v>
      </c>
    </row>
    <row r="707" spans="2:14" x14ac:dyDescent="0.3">
      <c r="B707" t="s">
        <v>2173</v>
      </c>
      <c r="C707" t="s">
        <v>2889</v>
      </c>
      <c r="D707" t="s">
        <v>902</v>
      </c>
      <c r="E707">
        <v>0</v>
      </c>
      <c r="F707" t="s">
        <v>902</v>
      </c>
      <c r="K707" s="12" t="s">
        <v>5776</v>
      </c>
      <c r="L707" t="str">
        <f>IFERROR(VLOOKUP(K707,Таблица7[3]:Таблица7[[#This Row],[6]],2,FALSE),"")</f>
        <v/>
      </c>
      <c r="M707" t="str">
        <f t="shared" ref="M707:M748" si="12">IF(L707&lt;&gt;"",L707&amp;" (0)","")</f>
        <v/>
      </c>
      <c r="N707" t="str" cm="1">
        <f t="array" ref="N707">IF(MOD(ROW()-ROW($B$2),16)=0,INDEX($M$2:$M$1000,(ROW()-ROW($B$2))/16+1),"")</f>
        <v/>
      </c>
    </row>
    <row r="708" spans="2:14" x14ac:dyDescent="0.3">
      <c r="B708" t="s">
        <v>2173</v>
      </c>
      <c r="C708" t="s">
        <v>2890</v>
      </c>
      <c r="D708" t="s">
        <v>903</v>
      </c>
      <c r="E708">
        <v>0</v>
      </c>
      <c r="F708" t="s">
        <v>903</v>
      </c>
      <c r="K708" s="12" t="s">
        <v>5777</v>
      </c>
      <c r="L708" t="str">
        <f>IFERROR(VLOOKUP(K708,Таблица7[3]:Таблица7[[#This Row],[6]],2,FALSE),"")</f>
        <v/>
      </c>
      <c r="M708" t="str">
        <f t="shared" si="12"/>
        <v/>
      </c>
      <c r="N708" t="str" cm="1">
        <f t="array" ref="N708">IF(MOD(ROW()-ROW($B$2),16)=0,INDEX($M$2:$M$1000,(ROW()-ROW($B$2))/16+1),"")</f>
        <v/>
      </c>
    </row>
    <row r="709" spans="2:14" x14ac:dyDescent="0.3">
      <c r="B709" t="s">
        <v>2173</v>
      </c>
      <c r="C709" t="s">
        <v>2891</v>
      </c>
      <c r="D709" t="s">
        <v>904</v>
      </c>
      <c r="E709">
        <v>0</v>
      </c>
      <c r="F709" t="s">
        <v>904</v>
      </c>
      <c r="K709" s="12" t="s">
        <v>5778</v>
      </c>
      <c r="L709" t="str">
        <f>IFERROR(VLOOKUP(K709,Таблица7[3]:Таблица7[[#This Row],[6]],2,FALSE),"")</f>
        <v/>
      </c>
      <c r="M709" t="str">
        <f t="shared" si="12"/>
        <v/>
      </c>
      <c r="N709" t="str" cm="1">
        <f t="array" ref="N709">IF(MOD(ROW()-ROW($B$2),16)=0,INDEX($M$2:$M$1000,(ROW()-ROW($B$2))/16+1),"")</f>
        <v/>
      </c>
    </row>
    <row r="710" spans="2:14" x14ac:dyDescent="0.3">
      <c r="B710" t="s">
        <v>2173</v>
      </c>
      <c r="C710" t="s">
        <v>2892</v>
      </c>
      <c r="D710" t="s">
        <v>905</v>
      </c>
      <c r="E710">
        <v>0</v>
      </c>
      <c r="F710" t="s">
        <v>905</v>
      </c>
      <c r="K710" s="12" t="s">
        <v>5779</v>
      </c>
      <c r="L710" t="str">
        <f>IFERROR(VLOOKUP(K710,Таблица7[3]:Таблица7[[#This Row],[6]],2,FALSE),"")</f>
        <v/>
      </c>
      <c r="M710" t="str">
        <f t="shared" si="12"/>
        <v/>
      </c>
      <c r="N710" t="str" cm="1">
        <f t="array" ref="N710">IF(MOD(ROW()-ROW($B$2),16)=0,INDEX($M$2:$M$1000,(ROW()-ROW($B$2))/16+1),"")</f>
        <v/>
      </c>
    </row>
    <row r="711" spans="2:14" x14ac:dyDescent="0.3">
      <c r="B711" t="s">
        <v>2173</v>
      </c>
      <c r="C711" t="s">
        <v>2893</v>
      </c>
      <c r="D711" t="s">
        <v>906</v>
      </c>
      <c r="E711">
        <v>0</v>
      </c>
      <c r="F711" t="s">
        <v>906</v>
      </c>
      <c r="K711" s="12" t="s">
        <v>5780</v>
      </c>
      <c r="L711" t="str">
        <f>IFERROR(VLOOKUP(K711,Таблица7[3]:Таблица7[[#This Row],[6]],2,FALSE),"")</f>
        <v/>
      </c>
      <c r="M711" t="str">
        <f t="shared" si="12"/>
        <v/>
      </c>
      <c r="N711" t="str" cm="1">
        <f t="array" ref="N711">IF(MOD(ROW()-ROW($B$2),16)=0,INDEX($M$2:$M$1000,(ROW()-ROW($B$2))/16+1),"")</f>
        <v/>
      </c>
    </row>
    <row r="712" spans="2:14" x14ac:dyDescent="0.3">
      <c r="B712" t="s">
        <v>2173</v>
      </c>
      <c r="C712" t="s">
        <v>2894</v>
      </c>
      <c r="D712" t="s">
        <v>907</v>
      </c>
      <c r="E712">
        <v>0</v>
      </c>
      <c r="F712" t="s">
        <v>907</v>
      </c>
      <c r="K712" s="12" t="s">
        <v>5781</v>
      </c>
      <c r="L712" t="str">
        <f>IFERROR(VLOOKUP(K712,Таблица7[3]:Таблица7[[#This Row],[6]],2,FALSE),"")</f>
        <v/>
      </c>
      <c r="M712" t="str">
        <f t="shared" si="12"/>
        <v/>
      </c>
      <c r="N712" t="str" cm="1">
        <f t="array" ref="N712">IF(MOD(ROW()-ROW($B$2),16)=0,INDEX($M$2:$M$1000,(ROW()-ROW($B$2))/16+1),"")</f>
        <v/>
      </c>
    </row>
    <row r="713" spans="2:14" x14ac:dyDescent="0.3">
      <c r="B713" t="s">
        <v>2173</v>
      </c>
      <c r="C713" t="s">
        <v>2895</v>
      </c>
      <c r="D713" t="s">
        <v>908</v>
      </c>
      <c r="E713">
        <v>0</v>
      </c>
      <c r="F713" t="s">
        <v>908</v>
      </c>
      <c r="K713" s="12" t="s">
        <v>5782</v>
      </c>
      <c r="L713" t="str">
        <f>IFERROR(VLOOKUP(K713,Таблица7[3]:Таблица7[[#This Row],[6]],2,FALSE),"")</f>
        <v/>
      </c>
      <c r="M713" t="str">
        <f t="shared" si="12"/>
        <v/>
      </c>
      <c r="N713" t="str" cm="1">
        <f t="array" ref="N713">IF(MOD(ROW()-ROW($B$2),16)=0,INDEX($M$2:$M$1000,(ROW()-ROW($B$2))/16+1),"")</f>
        <v/>
      </c>
    </row>
    <row r="714" spans="2:14" x14ac:dyDescent="0.3">
      <c r="B714" t="s">
        <v>2173</v>
      </c>
      <c r="C714" t="s">
        <v>2896</v>
      </c>
      <c r="D714" t="s">
        <v>909</v>
      </c>
      <c r="E714">
        <v>0</v>
      </c>
      <c r="F714" t="s">
        <v>909</v>
      </c>
      <c r="K714" s="12" t="s">
        <v>5783</v>
      </c>
      <c r="L714" t="str">
        <f>IFERROR(VLOOKUP(K714,Таблица7[3]:Таблица7[[#This Row],[6]],2,FALSE),"")</f>
        <v/>
      </c>
      <c r="M714" t="str">
        <f t="shared" si="12"/>
        <v/>
      </c>
      <c r="N714" t="str" cm="1">
        <f t="array" ref="N714">IF(MOD(ROW()-ROW($B$2),16)=0,INDEX($M$2:$M$1000,(ROW()-ROW($B$2))/16+1),"")</f>
        <v/>
      </c>
    </row>
    <row r="715" spans="2:14" x14ac:dyDescent="0.3">
      <c r="B715" t="s">
        <v>2173</v>
      </c>
      <c r="C715" t="s">
        <v>2897</v>
      </c>
      <c r="D715" t="s">
        <v>910</v>
      </c>
      <c r="E715">
        <v>0</v>
      </c>
      <c r="F715" t="s">
        <v>910</v>
      </c>
      <c r="K715" s="12" t="s">
        <v>5784</v>
      </c>
      <c r="L715" t="str">
        <f>IFERROR(VLOOKUP(K715,Таблица7[3]:Таблица7[[#This Row],[6]],2,FALSE),"")</f>
        <v/>
      </c>
      <c r="M715" t="str">
        <f t="shared" si="12"/>
        <v/>
      </c>
      <c r="N715" t="str" cm="1">
        <f t="array" ref="N715">IF(MOD(ROW()-ROW($B$2),16)=0,INDEX($M$2:$M$1000,(ROW()-ROW($B$2))/16+1),"")</f>
        <v/>
      </c>
    </row>
    <row r="716" spans="2:14" x14ac:dyDescent="0.3">
      <c r="B716" t="s">
        <v>2173</v>
      </c>
      <c r="C716" t="s">
        <v>2898</v>
      </c>
      <c r="D716" t="s">
        <v>911</v>
      </c>
      <c r="E716">
        <v>0</v>
      </c>
      <c r="F716" t="s">
        <v>911</v>
      </c>
      <c r="K716" s="12" t="s">
        <v>5785</v>
      </c>
      <c r="L716" t="str">
        <f>IFERROR(VLOOKUP(K716,Таблица7[3]:Таблица7[[#This Row],[6]],2,FALSE),"")</f>
        <v/>
      </c>
      <c r="M716" t="str">
        <f t="shared" si="12"/>
        <v/>
      </c>
      <c r="N716" t="str" cm="1">
        <f t="array" ref="N716">IF(MOD(ROW()-ROW($B$2),16)=0,INDEX($M$2:$M$1000,(ROW()-ROW($B$2))/16+1),"")</f>
        <v/>
      </c>
    </row>
    <row r="717" spans="2:14" x14ac:dyDescent="0.3">
      <c r="B717" t="s">
        <v>2173</v>
      </c>
      <c r="C717" t="s">
        <v>2899</v>
      </c>
      <c r="D717" t="s">
        <v>912</v>
      </c>
      <c r="E717">
        <v>0</v>
      </c>
      <c r="F717" t="s">
        <v>912</v>
      </c>
      <c r="K717" s="12" t="s">
        <v>5786</v>
      </c>
      <c r="L717" t="str">
        <f>IFERROR(VLOOKUP(K717,Таблица7[3]:Таблица7[[#This Row],[6]],2,FALSE),"")</f>
        <v/>
      </c>
      <c r="M717" t="str">
        <f t="shared" si="12"/>
        <v/>
      </c>
      <c r="N717" t="str" cm="1">
        <f t="array" ref="N717">IF(MOD(ROW()-ROW($B$2),16)=0,INDEX($M$2:$M$1000,(ROW()-ROW($B$2))/16+1),"")</f>
        <v/>
      </c>
    </row>
    <row r="718" spans="2:14" x14ac:dyDescent="0.3">
      <c r="B718" t="s">
        <v>2173</v>
      </c>
      <c r="C718" t="s">
        <v>2900</v>
      </c>
      <c r="D718" t="s">
        <v>913</v>
      </c>
      <c r="E718">
        <v>0</v>
      </c>
      <c r="F718" t="s">
        <v>913</v>
      </c>
      <c r="K718" s="12" t="s">
        <v>5787</v>
      </c>
      <c r="L718" t="str">
        <f>IFERROR(VLOOKUP(K718,Таблица7[3]:Таблица7[[#This Row],[6]],2,FALSE),"")</f>
        <v/>
      </c>
      <c r="M718" t="str">
        <f t="shared" si="12"/>
        <v/>
      </c>
      <c r="N718" t="str" cm="1">
        <f t="array" ref="N718">IF(MOD(ROW()-ROW($B$2),16)=0,INDEX($M$2:$M$1000,(ROW()-ROW($B$2))/16+1),"")</f>
        <v/>
      </c>
    </row>
    <row r="719" spans="2:14" x14ac:dyDescent="0.3">
      <c r="B719" t="s">
        <v>2173</v>
      </c>
      <c r="C719" t="s">
        <v>2901</v>
      </c>
      <c r="D719" t="s">
        <v>914</v>
      </c>
      <c r="E719">
        <v>0</v>
      </c>
      <c r="F719" t="s">
        <v>914</v>
      </c>
      <c r="K719" s="12" t="s">
        <v>5788</v>
      </c>
      <c r="L719" t="str">
        <f>IFERROR(VLOOKUP(K719,Таблица7[3]:Таблица7[[#This Row],[6]],2,FALSE),"")</f>
        <v/>
      </c>
      <c r="M719" t="str">
        <f t="shared" si="12"/>
        <v/>
      </c>
      <c r="N719" t="str" cm="1">
        <f t="array" ref="N719">IF(MOD(ROW()-ROW($B$2),16)=0,INDEX($M$2:$M$1000,(ROW()-ROW($B$2))/16+1),"")</f>
        <v/>
      </c>
    </row>
    <row r="720" spans="2:14" x14ac:dyDescent="0.3">
      <c r="B720" t="s">
        <v>2173</v>
      </c>
      <c r="C720" t="s">
        <v>2902</v>
      </c>
      <c r="D720" t="s">
        <v>915</v>
      </c>
      <c r="E720">
        <v>0</v>
      </c>
      <c r="F720" t="s">
        <v>915</v>
      </c>
      <c r="K720" s="12" t="s">
        <v>5789</v>
      </c>
      <c r="L720" t="str">
        <f>IFERROR(VLOOKUP(K720,Таблица7[3]:Таблица7[[#This Row],[6]],2,FALSE),"")</f>
        <v/>
      </c>
      <c r="M720" t="str">
        <f t="shared" si="12"/>
        <v/>
      </c>
      <c r="N720" t="str" cm="1">
        <f t="array" ref="N720">IF(MOD(ROW()-ROW($B$2),16)=0,INDEX($M$2:$M$1000,(ROW()-ROW($B$2))/16+1),"")</f>
        <v/>
      </c>
    </row>
    <row r="721" spans="2:14" x14ac:dyDescent="0.3">
      <c r="B721" t="s">
        <v>2173</v>
      </c>
      <c r="C721" t="s">
        <v>2903</v>
      </c>
      <c r="D721" t="s">
        <v>916</v>
      </c>
      <c r="E721">
        <v>0</v>
      </c>
      <c r="F721" t="s">
        <v>916</v>
      </c>
      <c r="K721" s="12" t="s">
        <v>5790</v>
      </c>
      <c r="L721" t="str">
        <f>IFERROR(VLOOKUP(K721,Таблица7[3]:Таблица7[[#This Row],[6]],2,FALSE),"")</f>
        <v/>
      </c>
      <c r="M721" t="str">
        <f t="shared" si="12"/>
        <v/>
      </c>
      <c r="N721" t="str" cm="1">
        <f t="array" ref="N721">IF(MOD(ROW()-ROW($B$2),16)=0,INDEX($M$2:$M$1000,(ROW()-ROW($B$2))/16+1),"")</f>
        <v/>
      </c>
    </row>
    <row r="722" spans="2:14" x14ac:dyDescent="0.3">
      <c r="B722" t="s">
        <v>2173</v>
      </c>
      <c r="C722" t="s">
        <v>2904</v>
      </c>
      <c r="D722" t="s">
        <v>917</v>
      </c>
      <c r="E722">
        <v>0</v>
      </c>
      <c r="F722" t="s">
        <v>917</v>
      </c>
      <c r="K722" s="12" t="s">
        <v>5791</v>
      </c>
      <c r="L722" t="str">
        <f>IFERROR(VLOOKUP(K722,Таблица7[3]:Таблица7[[#This Row],[6]],2,FALSE),"")</f>
        <v/>
      </c>
      <c r="M722" t="str">
        <f t="shared" si="12"/>
        <v/>
      </c>
      <c r="N722" t="str" cm="1">
        <f t="array" ref="N722">IF(MOD(ROW()-ROW($B$2),16)=0,INDEX($M$2:$M$1000,(ROW()-ROW($B$2))/16+1),"")</f>
        <v>Фиксированное число 45 (0)</v>
      </c>
    </row>
    <row r="723" spans="2:14" x14ac:dyDescent="0.3">
      <c r="B723" t="s">
        <v>2173</v>
      </c>
      <c r="C723" t="s">
        <v>2905</v>
      </c>
      <c r="D723" t="s">
        <v>918</v>
      </c>
      <c r="E723">
        <v>0</v>
      </c>
      <c r="F723" t="s">
        <v>918</v>
      </c>
      <c r="K723" s="12" t="s">
        <v>5792</v>
      </c>
      <c r="L723" t="str">
        <f>IFERROR(VLOOKUP(K723,Таблица7[3]:Таблица7[[#This Row],[6]],2,FALSE),"")</f>
        <v/>
      </c>
      <c r="M723" t="str">
        <f t="shared" si="12"/>
        <v/>
      </c>
      <c r="N723" t="str" cm="1">
        <f t="array" ref="N723">IF(MOD(ROW()-ROW($B$2),16)=0,INDEX($M$2:$M$1000,(ROW()-ROW($B$2))/16+1),"")</f>
        <v/>
      </c>
    </row>
    <row r="724" spans="2:14" x14ac:dyDescent="0.3">
      <c r="B724" t="s">
        <v>2173</v>
      </c>
      <c r="C724" t="s">
        <v>2906</v>
      </c>
      <c r="D724" t="s">
        <v>919</v>
      </c>
      <c r="E724">
        <v>0</v>
      </c>
      <c r="F724" t="s">
        <v>919</v>
      </c>
      <c r="K724" s="12" t="s">
        <v>5793</v>
      </c>
      <c r="L724" t="str">
        <f>IFERROR(VLOOKUP(K724,Таблица7[3]:Таблица7[[#This Row],[6]],2,FALSE),"")</f>
        <v/>
      </c>
      <c r="M724" t="str">
        <f t="shared" si="12"/>
        <v/>
      </c>
      <c r="N724" t="str" cm="1">
        <f t="array" ref="N724">IF(MOD(ROW()-ROW($B$2),16)=0,INDEX($M$2:$M$1000,(ROW()-ROW($B$2))/16+1),"")</f>
        <v/>
      </c>
    </row>
    <row r="725" spans="2:14" x14ac:dyDescent="0.3">
      <c r="B725" t="s">
        <v>2173</v>
      </c>
      <c r="C725" t="s">
        <v>2907</v>
      </c>
      <c r="D725" t="s">
        <v>920</v>
      </c>
      <c r="E725">
        <v>0</v>
      </c>
      <c r="F725" t="s">
        <v>920</v>
      </c>
      <c r="K725" s="12" t="s">
        <v>5794</v>
      </c>
      <c r="L725" t="str">
        <f>IFERROR(VLOOKUP(K725,Таблица7[3]:Таблица7[[#This Row],[6]],2,FALSE),"")</f>
        <v/>
      </c>
      <c r="M725" t="str">
        <f t="shared" si="12"/>
        <v/>
      </c>
      <c r="N725" t="str" cm="1">
        <f t="array" ref="N725">IF(MOD(ROW()-ROW($B$2),16)=0,INDEX($M$2:$M$1000,(ROW()-ROW($B$2))/16+1),"")</f>
        <v/>
      </c>
    </row>
    <row r="726" spans="2:14" x14ac:dyDescent="0.3">
      <c r="B726" t="s">
        <v>2173</v>
      </c>
      <c r="C726" t="s">
        <v>2908</v>
      </c>
      <c r="D726" t="s">
        <v>921</v>
      </c>
      <c r="E726">
        <v>0</v>
      </c>
      <c r="F726" t="s">
        <v>921</v>
      </c>
      <c r="K726" s="12" t="s">
        <v>5795</v>
      </c>
      <c r="L726" t="str">
        <f>IFERROR(VLOOKUP(K726,Таблица7[3]:Таблица7[[#This Row],[6]],2,FALSE),"")</f>
        <v/>
      </c>
      <c r="M726" t="str">
        <f t="shared" si="12"/>
        <v/>
      </c>
      <c r="N726" t="str" cm="1">
        <f t="array" ref="N726">IF(MOD(ROW()-ROW($B$2),16)=0,INDEX($M$2:$M$1000,(ROW()-ROW($B$2))/16+1),"")</f>
        <v/>
      </c>
    </row>
    <row r="727" spans="2:14" x14ac:dyDescent="0.3">
      <c r="B727" t="s">
        <v>2173</v>
      </c>
      <c r="C727" t="s">
        <v>2909</v>
      </c>
      <c r="D727" t="s">
        <v>922</v>
      </c>
      <c r="E727">
        <v>0</v>
      </c>
      <c r="F727" t="s">
        <v>922</v>
      </c>
      <c r="K727" s="12" t="s">
        <v>5796</v>
      </c>
      <c r="L727" t="str">
        <f>IFERROR(VLOOKUP(K727,Таблица7[3]:Таблица7[[#This Row],[6]],2,FALSE),"")</f>
        <v/>
      </c>
      <c r="M727" t="str">
        <f t="shared" si="12"/>
        <v/>
      </c>
      <c r="N727" t="str" cm="1">
        <f t="array" ref="N727">IF(MOD(ROW()-ROW($B$2),16)=0,INDEX($M$2:$M$1000,(ROW()-ROW($B$2))/16+1),"")</f>
        <v/>
      </c>
    </row>
    <row r="728" spans="2:14" x14ac:dyDescent="0.3">
      <c r="B728" t="s">
        <v>2173</v>
      </c>
      <c r="C728" t="s">
        <v>2910</v>
      </c>
      <c r="D728" t="s">
        <v>923</v>
      </c>
      <c r="E728">
        <v>0</v>
      </c>
      <c r="F728" t="s">
        <v>923</v>
      </c>
      <c r="K728" s="12" t="s">
        <v>5797</v>
      </c>
      <c r="L728" t="str">
        <f>IFERROR(VLOOKUP(K728,Таблица7[3]:Таблица7[[#This Row],[6]],2,FALSE),"")</f>
        <v/>
      </c>
      <c r="M728" t="str">
        <f t="shared" si="12"/>
        <v/>
      </c>
      <c r="N728" t="str" cm="1">
        <f t="array" ref="N728">IF(MOD(ROW()-ROW($B$2),16)=0,INDEX($M$2:$M$1000,(ROW()-ROW($B$2))/16+1),"")</f>
        <v/>
      </c>
    </row>
    <row r="729" spans="2:14" x14ac:dyDescent="0.3">
      <c r="B729" t="s">
        <v>2173</v>
      </c>
      <c r="C729" t="s">
        <v>2911</v>
      </c>
      <c r="D729" t="s">
        <v>924</v>
      </c>
      <c r="E729">
        <v>0</v>
      </c>
      <c r="F729" t="s">
        <v>924</v>
      </c>
      <c r="K729" s="12" t="s">
        <v>5798</v>
      </c>
      <c r="L729" t="str">
        <f>IFERROR(VLOOKUP(K729,Таблица7[3]:Таблица7[[#This Row],[6]],2,FALSE),"")</f>
        <v/>
      </c>
      <c r="M729" t="str">
        <f t="shared" si="12"/>
        <v/>
      </c>
      <c r="N729" t="str" cm="1">
        <f t="array" ref="N729">IF(MOD(ROW()-ROW($B$2),16)=0,INDEX($M$2:$M$1000,(ROW()-ROW($B$2))/16+1),"")</f>
        <v/>
      </c>
    </row>
    <row r="730" spans="2:14" x14ac:dyDescent="0.3">
      <c r="B730" t="s">
        <v>2173</v>
      </c>
      <c r="C730" t="s">
        <v>2912</v>
      </c>
      <c r="D730" t="s">
        <v>925</v>
      </c>
      <c r="E730">
        <v>0</v>
      </c>
      <c r="F730" t="s">
        <v>925</v>
      </c>
      <c r="K730" s="12" t="s">
        <v>5799</v>
      </c>
      <c r="L730" t="str">
        <f>IFERROR(VLOOKUP(K730,Таблица7[3]:Таблица7[[#This Row],[6]],2,FALSE),"")</f>
        <v/>
      </c>
      <c r="M730" t="str">
        <f t="shared" si="12"/>
        <v/>
      </c>
      <c r="N730" t="str" cm="1">
        <f t="array" ref="N730">IF(MOD(ROW()-ROW($B$2),16)=0,INDEX($M$2:$M$1000,(ROW()-ROW($B$2))/16+1),"")</f>
        <v/>
      </c>
    </row>
    <row r="731" spans="2:14" x14ac:dyDescent="0.3">
      <c r="B731" t="s">
        <v>2173</v>
      </c>
      <c r="C731" t="s">
        <v>2913</v>
      </c>
      <c r="D731" t="s">
        <v>926</v>
      </c>
      <c r="E731">
        <v>0</v>
      </c>
      <c r="F731" t="s">
        <v>926</v>
      </c>
      <c r="K731" s="12" t="s">
        <v>5800</v>
      </c>
      <c r="L731" t="str">
        <f>IFERROR(VLOOKUP(K731,Таблица7[3]:Таблица7[[#This Row],[6]],2,FALSE),"")</f>
        <v/>
      </c>
      <c r="M731" t="str">
        <f t="shared" si="12"/>
        <v/>
      </c>
      <c r="N731" t="str" cm="1">
        <f t="array" ref="N731">IF(MOD(ROW()-ROW($B$2),16)=0,INDEX($M$2:$M$1000,(ROW()-ROW($B$2))/16+1),"")</f>
        <v/>
      </c>
    </row>
    <row r="732" spans="2:14" x14ac:dyDescent="0.3">
      <c r="B732" t="s">
        <v>2173</v>
      </c>
      <c r="C732" t="s">
        <v>2914</v>
      </c>
      <c r="D732" t="s">
        <v>927</v>
      </c>
      <c r="E732">
        <v>0</v>
      </c>
      <c r="F732" t="s">
        <v>927</v>
      </c>
      <c r="K732" s="12" t="s">
        <v>5801</v>
      </c>
      <c r="L732" t="str">
        <f>IFERROR(VLOOKUP(K732,Таблица7[3]:Таблица7[[#This Row],[6]],2,FALSE),"")</f>
        <v/>
      </c>
      <c r="M732" t="str">
        <f t="shared" si="12"/>
        <v/>
      </c>
      <c r="N732" t="str" cm="1">
        <f t="array" ref="N732">IF(MOD(ROW()-ROW($B$2),16)=0,INDEX($M$2:$M$1000,(ROW()-ROW($B$2))/16+1),"")</f>
        <v/>
      </c>
    </row>
    <row r="733" spans="2:14" x14ac:dyDescent="0.3">
      <c r="B733" t="s">
        <v>2173</v>
      </c>
      <c r="C733" t="s">
        <v>2915</v>
      </c>
      <c r="D733" t="s">
        <v>928</v>
      </c>
      <c r="E733">
        <v>0</v>
      </c>
      <c r="F733" t="s">
        <v>928</v>
      </c>
      <c r="K733" s="12" t="s">
        <v>5802</v>
      </c>
      <c r="L733" t="str">
        <f>IFERROR(VLOOKUP(K733,Таблица7[3]:Таблица7[[#This Row],[6]],2,FALSE),"")</f>
        <v/>
      </c>
      <c r="M733" t="str">
        <f t="shared" si="12"/>
        <v/>
      </c>
      <c r="N733" t="str" cm="1">
        <f t="array" ref="N733">IF(MOD(ROW()-ROW($B$2),16)=0,INDEX($M$2:$M$1000,(ROW()-ROW($B$2))/16+1),"")</f>
        <v/>
      </c>
    </row>
    <row r="734" spans="2:14" x14ac:dyDescent="0.3">
      <c r="B734" t="s">
        <v>2173</v>
      </c>
      <c r="C734" t="s">
        <v>2916</v>
      </c>
      <c r="D734" t="s">
        <v>929</v>
      </c>
      <c r="E734">
        <v>0</v>
      </c>
      <c r="F734" t="s">
        <v>929</v>
      </c>
      <c r="K734" s="12" t="s">
        <v>5803</v>
      </c>
      <c r="L734" t="str">
        <f>IFERROR(VLOOKUP(K734,Таблица7[3]:Таблица7[[#This Row],[6]],2,FALSE),"")</f>
        <v/>
      </c>
      <c r="M734" t="str">
        <f t="shared" si="12"/>
        <v/>
      </c>
      <c r="N734" t="str" cm="1">
        <f t="array" ref="N734">IF(MOD(ROW()-ROW($B$2),16)=0,INDEX($M$2:$M$1000,(ROW()-ROW($B$2))/16+1),"")</f>
        <v/>
      </c>
    </row>
    <row r="735" spans="2:14" x14ac:dyDescent="0.3">
      <c r="B735" t="s">
        <v>2173</v>
      </c>
      <c r="C735" t="s">
        <v>2917</v>
      </c>
      <c r="D735" t="s">
        <v>930</v>
      </c>
      <c r="E735">
        <v>0</v>
      </c>
      <c r="F735" t="s">
        <v>930</v>
      </c>
      <c r="K735" s="12" t="s">
        <v>5804</v>
      </c>
      <c r="L735" t="str">
        <f>IFERROR(VLOOKUP(K735,Таблица7[3]:Таблица7[[#This Row],[6]],2,FALSE),"")</f>
        <v/>
      </c>
      <c r="M735" t="str">
        <f t="shared" si="12"/>
        <v/>
      </c>
      <c r="N735" t="str" cm="1">
        <f t="array" ref="N735">IF(MOD(ROW()-ROW($B$2),16)=0,INDEX($M$2:$M$1000,(ROW()-ROW($B$2))/16+1),"")</f>
        <v/>
      </c>
    </row>
    <row r="736" spans="2:14" x14ac:dyDescent="0.3">
      <c r="B736" t="s">
        <v>2173</v>
      </c>
      <c r="C736" t="s">
        <v>2918</v>
      </c>
      <c r="D736" t="s">
        <v>931</v>
      </c>
      <c r="E736">
        <v>0</v>
      </c>
      <c r="F736" t="s">
        <v>931</v>
      </c>
      <c r="K736" s="12" t="s">
        <v>5805</v>
      </c>
      <c r="L736" t="str">
        <f>IFERROR(VLOOKUP(K736,Таблица7[3]:Таблица7[[#This Row],[6]],2,FALSE),"")</f>
        <v/>
      </c>
      <c r="M736" t="str">
        <f t="shared" si="12"/>
        <v/>
      </c>
      <c r="N736" t="str" cm="1">
        <f t="array" ref="N736">IF(MOD(ROW()-ROW($B$2),16)=0,INDEX($M$2:$M$1000,(ROW()-ROW($B$2))/16+1),"")</f>
        <v/>
      </c>
    </row>
    <row r="737" spans="2:14" x14ac:dyDescent="0.3">
      <c r="B737" t="s">
        <v>2173</v>
      </c>
      <c r="C737" t="s">
        <v>2919</v>
      </c>
      <c r="D737" t="s">
        <v>932</v>
      </c>
      <c r="E737">
        <v>0</v>
      </c>
      <c r="F737" t="s">
        <v>932</v>
      </c>
      <c r="K737" s="12" t="s">
        <v>5806</v>
      </c>
      <c r="L737" t="str">
        <f>IFERROR(VLOOKUP(K737,Таблица7[3]:Таблица7[[#This Row],[6]],2,FALSE),"")</f>
        <v/>
      </c>
      <c r="M737" t="str">
        <f t="shared" si="12"/>
        <v/>
      </c>
      <c r="N737" t="str" cm="1">
        <f t="array" ref="N737">IF(MOD(ROW()-ROW($B$2),16)=0,INDEX($M$2:$M$1000,(ROW()-ROW($B$2))/16+1),"")</f>
        <v/>
      </c>
    </row>
    <row r="738" spans="2:14" x14ac:dyDescent="0.3">
      <c r="B738" t="s">
        <v>2173</v>
      </c>
      <c r="C738" t="s">
        <v>2920</v>
      </c>
      <c r="D738" t="s">
        <v>933</v>
      </c>
      <c r="E738">
        <v>0</v>
      </c>
      <c r="F738" t="s">
        <v>933</v>
      </c>
      <c r="K738" s="12" t="s">
        <v>5807</v>
      </c>
      <c r="L738" t="str">
        <f>IFERROR(VLOOKUP(K738,Таблица7[3]:Таблица7[[#This Row],[6]],2,FALSE),"")</f>
        <v/>
      </c>
      <c r="M738" t="str">
        <f t="shared" si="12"/>
        <v/>
      </c>
      <c r="N738" t="str" cm="1">
        <f t="array" ref="N738">IF(MOD(ROW()-ROW($B$2),16)=0,INDEX($M$2:$M$1000,(ROW()-ROW($B$2))/16+1),"")</f>
        <v>Фиксированное число 46 (0)</v>
      </c>
    </row>
    <row r="739" spans="2:14" x14ac:dyDescent="0.3">
      <c r="B739" t="s">
        <v>2173</v>
      </c>
      <c r="C739" t="s">
        <v>2921</v>
      </c>
      <c r="D739" t="s">
        <v>934</v>
      </c>
      <c r="E739">
        <v>0</v>
      </c>
      <c r="F739" t="s">
        <v>934</v>
      </c>
      <c r="K739" s="12" t="s">
        <v>5808</v>
      </c>
      <c r="L739" t="str">
        <f>IFERROR(VLOOKUP(K739,Таблица7[3]:Таблица7[[#This Row],[6]],2,FALSE),"")</f>
        <v/>
      </c>
      <c r="M739" t="str">
        <f t="shared" si="12"/>
        <v/>
      </c>
      <c r="N739" t="str" cm="1">
        <f t="array" ref="N739">IF(MOD(ROW()-ROW($B$2),16)=0,INDEX($M$2:$M$1000,(ROW()-ROW($B$2))/16+1),"")</f>
        <v/>
      </c>
    </row>
    <row r="740" spans="2:14" x14ac:dyDescent="0.3">
      <c r="B740" t="s">
        <v>2173</v>
      </c>
      <c r="C740" t="s">
        <v>2922</v>
      </c>
      <c r="D740" t="s">
        <v>935</v>
      </c>
      <c r="E740">
        <v>0</v>
      </c>
      <c r="F740" t="s">
        <v>935</v>
      </c>
      <c r="K740" s="12" t="s">
        <v>5809</v>
      </c>
      <c r="L740" t="str">
        <f>IFERROR(VLOOKUP(K740,Таблица7[3]:Таблица7[[#This Row],[6]],2,FALSE),"")</f>
        <v/>
      </c>
      <c r="M740" t="str">
        <f t="shared" si="12"/>
        <v/>
      </c>
      <c r="N740" t="str" cm="1">
        <f t="array" ref="N740">IF(MOD(ROW()-ROW($B$2),16)=0,INDEX($M$2:$M$1000,(ROW()-ROW($B$2))/16+1),"")</f>
        <v/>
      </c>
    </row>
    <row r="741" spans="2:14" x14ac:dyDescent="0.3">
      <c r="B741" t="s">
        <v>2173</v>
      </c>
      <c r="C741" t="s">
        <v>2923</v>
      </c>
      <c r="D741" t="s">
        <v>936</v>
      </c>
      <c r="E741">
        <v>0</v>
      </c>
      <c r="F741" t="s">
        <v>936</v>
      </c>
      <c r="K741" s="12" t="s">
        <v>5810</v>
      </c>
      <c r="L741" t="str">
        <f>IFERROR(VLOOKUP(K741,Таблица7[3]:Таблица7[[#This Row],[6]],2,FALSE),"")</f>
        <v/>
      </c>
      <c r="M741" t="str">
        <f t="shared" si="12"/>
        <v/>
      </c>
      <c r="N741" t="str" cm="1">
        <f t="array" ref="N741">IF(MOD(ROW()-ROW($B$2),16)=0,INDEX($M$2:$M$1000,(ROW()-ROW($B$2))/16+1),"")</f>
        <v/>
      </c>
    </row>
    <row r="742" spans="2:14" x14ac:dyDescent="0.3">
      <c r="B742" t="s">
        <v>2173</v>
      </c>
      <c r="C742" t="s">
        <v>2924</v>
      </c>
      <c r="D742" t="s">
        <v>937</v>
      </c>
      <c r="E742">
        <v>0</v>
      </c>
      <c r="F742" t="s">
        <v>937</v>
      </c>
      <c r="K742" s="12" t="s">
        <v>5811</v>
      </c>
      <c r="L742" t="str">
        <f>IFERROR(VLOOKUP(K742,Таблица7[3]:Таблица7[[#This Row],[6]],2,FALSE),"")</f>
        <v/>
      </c>
      <c r="M742" t="str">
        <f t="shared" si="12"/>
        <v/>
      </c>
      <c r="N742" t="str" cm="1">
        <f t="array" ref="N742">IF(MOD(ROW()-ROW($B$2),16)=0,INDEX($M$2:$M$1000,(ROW()-ROW($B$2))/16+1),"")</f>
        <v/>
      </c>
    </row>
    <row r="743" spans="2:14" x14ac:dyDescent="0.3">
      <c r="B743" t="s">
        <v>2173</v>
      </c>
      <c r="C743" t="s">
        <v>2925</v>
      </c>
      <c r="D743" t="s">
        <v>938</v>
      </c>
      <c r="E743">
        <v>0</v>
      </c>
      <c r="F743" t="s">
        <v>938</v>
      </c>
      <c r="K743" s="12" t="s">
        <v>5812</v>
      </c>
      <c r="L743" t="str">
        <f>IFERROR(VLOOKUP(K743,Таблица7[3]:Таблица7[[#This Row],[6]],2,FALSE),"")</f>
        <v/>
      </c>
      <c r="M743" t="str">
        <f t="shared" si="12"/>
        <v/>
      </c>
      <c r="N743" t="str" cm="1">
        <f t="array" ref="N743">IF(MOD(ROW()-ROW($B$2),16)=0,INDEX($M$2:$M$1000,(ROW()-ROW($B$2))/16+1),"")</f>
        <v/>
      </c>
    </row>
    <row r="744" spans="2:14" x14ac:dyDescent="0.3">
      <c r="B744" t="s">
        <v>2173</v>
      </c>
      <c r="C744" t="s">
        <v>2926</v>
      </c>
      <c r="D744" t="s">
        <v>939</v>
      </c>
      <c r="E744">
        <v>0</v>
      </c>
      <c r="F744" t="s">
        <v>939</v>
      </c>
      <c r="K744" s="12" t="s">
        <v>5813</v>
      </c>
      <c r="L744" t="str">
        <f>IFERROR(VLOOKUP(K744,Таблица7[3]:Таблица7[[#This Row],[6]],2,FALSE),"")</f>
        <v/>
      </c>
      <c r="M744" t="str">
        <f t="shared" si="12"/>
        <v/>
      </c>
      <c r="N744" t="str" cm="1">
        <f t="array" ref="N744">IF(MOD(ROW()-ROW($B$2),16)=0,INDEX($M$2:$M$1000,(ROW()-ROW($B$2))/16+1),"")</f>
        <v/>
      </c>
    </row>
    <row r="745" spans="2:14" x14ac:dyDescent="0.3">
      <c r="B745" t="s">
        <v>2173</v>
      </c>
      <c r="C745" t="s">
        <v>2927</v>
      </c>
      <c r="D745" t="s">
        <v>940</v>
      </c>
      <c r="E745">
        <v>0</v>
      </c>
      <c r="F745" t="s">
        <v>940</v>
      </c>
      <c r="K745" s="12" t="s">
        <v>5814</v>
      </c>
      <c r="L745" t="str">
        <f>IFERROR(VLOOKUP(K745,Таблица7[3]:Таблица7[[#This Row],[6]],2,FALSE),"")</f>
        <v/>
      </c>
      <c r="M745" t="str">
        <f t="shared" si="12"/>
        <v/>
      </c>
      <c r="N745" t="str" cm="1">
        <f t="array" ref="N745">IF(MOD(ROW()-ROW($B$2),16)=0,INDEX($M$2:$M$1000,(ROW()-ROW($B$2))/16+1),"")</f>
        <v/>
      </c>
    </row>
    <row r="746" spans="2:14" x14ac:dyDescent="0.3">
      <c r="B746" t="s">
        <v>2173</v>
      </c>
      <c r="C746" t="s">
        <v>2928</v>
      </c>
      <c r="D746" t="s">
        <v>941</v>
      </c>
      <c r="E746">
        <v>0</v>
      </c>
      <c r="F746" t="s">
        <v>941</v>
      </c>
      <c r="K746" s="12" t="s">
        <v>5815</v>
      </c>
      <c r="L746" t="str">
        <f>IFERROR(VLOOKUP(K746,Таблица7[3]:Таблица7[[#This Row],[6]],2,FALSE),"")</f>
        <v/>
      </c>
      <c r="M746" t="str">
        <f t="shared" si="12"/>
        <v/>
      </c>
      <c r="N746" t="str" cm="1">
        <f t="array" ref="N746">IF(MOD(ROW()-ROW($B$2),16)=0,INDEX($M$2:$M$1000,(ROW()-ROW($B$2))/16+1),"")</f>
        <v/>
      </c>
    </row>
    <row r="747" spans="2:14" x14ac:dyDescent="0.3">
      <c r="B747" t="s">
        <v>2173</v>
      </c>
      <c r="C747" t="s">
        <v>2929</v>
      </c>
      <c r="D747" t="s">
        <v>942</v>
      </c>
      <c r="E747">
        <v>0</v>
      </c>
      <c r="F747" t="s">
        <v>942</v>
      </c>
      <c r="K747" s="12" t="s">
        <v>5816</v>
      </c>
      <c r="L747" t="str">
        <f>IFERROR(VLOOKUP(K747,Таблица7[3]:Таблица7[[#This Row],[6]],2,FALSE),"")</f>
        <v/>
      </c>
      <c r="M747" t="str">
        <f t="shared" si="12"/>
        <v/>
      </c>
      <c r="N747" t="str" cm="1">
        <f t="array" ref="N747">IF(MOD(ROW()-ROW($B$2),16)=0,INDEX($M$2:$M$1000,(ROW()-ROW($B$2))/16+1),"")</f>
        <v/>
      </c>
    </row>
    <row r="748" spans="2:14" x14ac:dyDescent="0.3">
      <c r="B748" t="s">
        <v>2173</v>
      </c>
      <c r="C748" t="s">
        <v>2930</v>
      </c>
      <c r="D748" t="s">
        <v>943</v>
      </c>
      <c r="E748">
        <v>0</v>
      </c>
      <c r="F748" t="s">
        <v>943</v>
      </c>
      <c r="K748" s="12" t="s">
        <v>5817</v>
      </c>
      <c r="L748" t="str">
        <f>IFERROR(VLOOKUP(K748,Таблица7[3]:Таблица7[[#This Row],[6]],2,FALSE),"")</f>
        <v/>
      </c>
      <c r="M748" t="str">
        <f t="shared" si="12"/>
        <v/>
      </c>
      <c r="N748" t="str" cm="1">
        <f t="array" ref="N748">IF(MOD(ROW()-ROW($B$2),16)=0,INDEX($M$2:$M$1000,(ROW()-ROW($B$2))/16+1),"")</f>
        <v/>
      </c>
    </row>
    <row r="749" spans="2:14" x14ac:dyDescent="0.3">
      <c r="B749" t="s">
        <v>2173</v>
      </c>
      <c r="C749" t="s">
        <v>2931</v>
      </c>
      <c r="D749" t="s">
        <v>944</v>
      </c>
      <c r="E749">
        <v>0</v>
      </c>
      <c r="F749" t="s">
        <v>944</v>
      </c>
      <c r="K749" s="12" t="s">
        <v>5818</v>
      </c>
      <c r="N749" t="str" cm="1">
        <f t="array" ref="N749">IF(MOD(ROW()-ROW($B$2),16)=0,INDEX($M$2:$M$1000,(ROW()-ROW($B$2))/16+1),"")</f>
        <v/>
      </c>
    </row>
    <row r="750" spans="2:14" x14ac:dyDescent="0.3">
      <c r="B750" t="s">
        <v>2173</v>
      </c>
      <c r="C750" t="s">
        <v>2932</v>
      </c>
      <c r="D750" t="s">
        <v>945</v>
      </c>
      <c r="E750">
        <v>0</v>
      </c>
      <c r="F750" t="s">
        <v>945</v>
      </c>
      <c r="K750" s="12" t="s">
        <v>5819</v>
      </c>
      <c r="N750" t="str" cm="1">
        <f t="array" ref="N750">IF(MOD(ROW()-ROW($B$2),16)=0,INDEX($M$2:$M$1000,(ROW()-ROW($B$2))/16+1),"")</f>
        <v/>
      </c>
    </row>
    <row r="751" spans="2:14" x14ac:dyDescent="0.3">
      <c r="B751" t="s">
        <v>2173</v>
      </c>
      <c r="C751" t="s">
        <v>2933</v>
      </c>
      <c r="D751" t="s">
        <v>946</v>
      </c>
      <c r="E751">
        <v>0</v>
      </c>
      <c r="F751" t="s">
        <v>946</v>
      </c>
      <c r="K751" s="12" t="s">
        <v>5820</v>
      </c>
      <c r="N751" t="str" cm="1">
        <f t="array" ref="N751">IF(MOD(ROW()-ROW($B$2),16)=0,INDEX($M$2:$M$1000,(ROW()-ROW($B$2))/16+1),"")</f>
        <v/>
      </c>
    </row>
    <row r="752" spans="2:14" x14ac:dyDescent="0.3">
      <c r="B752" t="s">
        <v>2173</v>
      </c>
      <c r="C752" t="s">
        <v>2934</v>
      </c>
      <c r="D752" t="s">
        <v>947</v>
      </c>
      <c r="E752">
        <v>0</v>
      </c>
      <c r="F752" t="s">
        <v>947</v>
      </c>
      <c r="K752" s="12" t="s">
        <v>5821</v>
      </c>
      <c r="N752" t="str" cm="1">
        <f t="array" ref="N752">IF(MOD(ROW()-ROW($B$2),16)=0,INDEX($M$2:$M$1000,(ROW()-ROW($B$2))/16+1),"")</f>
        <v/>
      </c>
    </row>
    <row r="753" spans="2:14" x14ac:dyDescent="0.3">
      <c r="B753" t="s">
        <v>2173</v>
      </c>
      <c r="C753" t="s">
        <v>2935</v>
      </c>
      <c r="D753" t="s">
        <v>948</v>
      </c>
      <c r="E753">
        <v>0</v>
      </c>
      <c r="F753" t="s">
        <v>948</v>
      </c>
      <c r="K753" s="12" t="s">
        <v>5822</v>
      </c>
      <c r="N753" t="str" cm="1">
        <f t="array" ref="N753">IF(MOD(ROW()-ROW($B$2),16)=0,INDEX($M$2:$M$1000,(ROW()-ROW($B$2))/16+1),"")</f>
        <v/>
      </c>
    </row>
    <row r="754" spans="2:14" x14ac:dyDescent="0.3">
      <c r="B754" t="s">
        <v>2173</v>
      </c>
      <c r="C754" t="s">
        <v>2936</v>
      </c>
      <c r="D754" t="s">
        <v>949</v>
      </c>
      <c r="E754">
        <v>0</v>
      </c>
      <c r="F754" t="s">
        <v>949</v>
      </c>
      <c r="K754" s="12" t="s">
        <v>5823</v>
      </c>
      <c r="N754" t="str" cm="1">
        <f t="array" ref="N754">IF(MOD(ROW()-ROW($B$2),16)=0,INDEX($M$2:$M$1000,(ROW()-ROW($B$2))/16+1),"")</f>
        <v>Фиксированное число 47 (0)</v>
      </c>
    </row>
    <row r="755" spans="2:14" x14ac:dyDescent="0.3">
      <c r="B755" t="s">
        <v>2173</v>
      </c>
      <c r="C755" t="s">
        <v>2937</v>
      </c>
      <c r="D755" t="s">
        <v>950</v>
      </c>
      <c r="E755">
        <v>0</v>
      </c>
      <c r="F755" t="s">
        <v>950</v>
      </c>
      <c r="K755" s="12" t="s">
        <v>5824</v>
      </c>
      <c r="N755" t="str" cm="1">
        <f t="array" ref="N755">IF(MOD(ROW()-ROW($B$2),16)=0,INDEX($M$2:$M$1000,(ROW()-ROW($B$2))/16+1),"")</f>
        <v/>
      </c>
    </row>
    <row r="756" spans="2:14" x14ac:dyDescent="0.3">
      <c r="B756" t="s">
        <v>2173</v>
      </c>
      <c r="C756" t="s">
        <v>2938</v>
      </c>
      <c r="D756" t="s">
        <v>951</v>
      </c>
      <c r="E756">
        <v>0</v>
      </c>
      <c r="F756" t="s">
        <v>951</v>
      </c>
      <c r="K756" s="12" t="s">
        <v>5825</v>
      </c>
      <c r="N756" t="str" cm="1">
        <f t="array" ref="N756">IF(MOD(ROW()-ROW($B$2),16)=0,INDEX($M$2:$M$1000,(ROW()-ROW($B$2))/16+1),"")</f>
        <v/>
      </c>
    </row>
    <row r="757" spans="2:14" x14ac:dyDescent="0.3">
      <c r="B757" t="s">
        <v>2173</v>
      </c>
      <c r="C757" t="s">
        <v>2939</v>
      </c>
      <c r="D757" t="s">
        <v>952</v>
      </c>
      <c r="E757">
        <v>0</v>
      </c>
      <c r="F757" t="s">
        <v>952</v>
      </c>
      <c r="K757" s="12" t="s">
        <v>5826</v>
      </c>
      <c r="N757" t="str" cm="1">
        <f t="array" ref="N757">IF(MOD(ROW()-ROW($B$2),16)=0,INDEX($M$2:$M$1000,(ROW()-ROW($B$2))/16+1),"")</f>
        <v/>
      </c>
    </row>
    <row r="758" spans="2:14" x14ac:dyDescent="0.3">
      <c r="B758" t="s">
        <v>2173</v>
      </c>
      <c r="C758" t="s">
        <v>2940</v>
      </c>
      <c r="D758" t="s">
        <v>953</v>
      </c>
      <c r="E758">
        <v>0</v>
      </c>
      <c r="F758" t="s">
        <v>953</v>
      </c>
      <c r="K758" s="12" t="s">
        <v>5827</v>
      </c>
      <c r="N758" t="str" cm="1">
        <f t="array" ref="N758">IF(MOD(ROW()-ROW($B$2),16)=0,INDEX($M$2:$M$1000,(ROW()-ROW($B$2))/16+1),"")</f>
        <v/>
      </c>
    </row>
    <row r="759" spans="2:14" x14ac:dyDescent="0.3">
      <c r="B759" t="s">
        <v>2173</v>
      </c>
      <c r="C759" t="s">
        <v>2941</v>
      </c>
      <c r="D759" t="s">
        <v>954</v>
      </c>
      <c r="E759">
        <v>0</v>
      </c>
      <c r="F759" t="s">
        <v>954</v>
      </c>
      <c r="K759" s="12" t="s">
        <v>5828</v>
      </c>
      <c r="N759" t="str" cm="1">
        <f t="array" ref="N759">IF(MOD(ROW()-ROW($B$2),16)=0,INDEX($M$2:$M$1000,(ROW()-ROW($B$2))/16+1),"")</f>
        <v/>
      </c>
    </row>
    <row r="760" spans="2:14" x14ac:dyDescent="0.3">
      <c r="B760" t="s">
        <v>2173</v>
      </c>
      <c r="C760" t="s">
        <v>2942</v>
      </c>
      <c r="D760" t="s">
        <v>955</v>
      </c>
      <c r="E760">
        <v>0</v>
      </c>
      <c r="F760" t="s">
        <v>955</v>
      </c>
      <c r="K760" s="12" t="s">
        <v>5829</v>
      </c>
      <c r="N760" t="str" cm="1">
        <f t="array" ref="N760">IF(MOD(ROW()-ROW($B$2),16)=0,INDEX($M$2:$M$1000,(ROW()-ROW($B$2))/16+1),"")</f>
        <v/>
      </c>
    </row>
    <row r="761" spans="2:14" x14ac:dyDescent="0.3">
      <c r="B761" t="s">
        <v>2173</v>
      </c>
      <c r="C761" t="s">
        <v>2943</v>
      </c>
      <c r="D761" t="s">
        <v>956</v>
      </c>
      <c r="E761">
        <v>0</v>
      </c>
      <c r="F761" t="s">
        <v>956</v>
      </c>
      <c r="K761" s="12" t="s">
        <v>5830</v>
      </c>
      <c r="N761" t="str" cm="1">
        <f t="array" ref="N761">IF(MOD(ROW()-ROW($B$2),16)=0,INDEX($M$2:$M$1000,(ROW()-ROW($B$2))/16+1),"")</f>
        <v/>
      </c>
    </row>
    <row r="762" spans="2:14" x14ac:dyDescent="0.3">
      <c r="B762" t="s">
        <v>2173</v>
      </c>
      <c r="C762" t="s">
        <v>2944</v>
      </c>
      <c r="D762" t="s">
        <v>957</v>
      </c>
      <c r="E762">
        <v>0</v>
      </c>
      <c r="F762" t="s">
        <v>957</v>
      </c>
      <c r="K762" s="12" t="s">
        <v>5831</v>
      </c>
      <c r="N762" t="str" cm="1">
        <f t="array" ref="N762">IF(MOD(ROW()-ROW($B$2),16)=0,INDEX($M$2:$M$1000,(ROW()-ROW($B$2))/16+1),"")</f>
        <v/>
      </c>
    </row>
    <row r="763" spans="2:14" x14ac:dyDescent="0.3">
      <c r="B763" t="s">
        <v>2173</v>
      </c>
      <c r="C763" t="s">
        <v>2945</v>
      </c>
      <c r="D763" t="s">
        <v>958</v>
      </c>
      <c r="E763">
        <v>0</v>
      </c>
      <c r="F763" t="s">
        <v>958</v>
      </c>
      <c r="K763" s="12" t="s">
        <v>5832</v>
      </c>
      <c r="N763" t="str" cm="1">
        <f t="array" ref="N763">IF(MOD(ROW()-ROW($B$2),16)=0,INDEX($M$2:$M$1000,(ROW()-ROW($B$2))/16+1),"")</f>
        <v/>
      </c>
    </row>
    <row r="764" spans="2:14" x14ac:dyDescent="0.3">
      <c r="B764" t="s">
        <v>2173</v>
      </c>
      <c r="C764" t="s">
        <v>2946</v>
      </c>
      <c r="D764" t="s">
        <v>959</v>
      </c>
      <c r="E764">
        <v>0</v>
      </c>
      <c r="F764" t="s">
        <v>959</v>
      </c>
      <c r="K764" s="12" t="s">
        <v>5833</v>
      </c>
      <c r="N764" t="str" cm="1">
        <f t="array" ref="N764">IF(MOD(ROW()-ROW($B$2),16)=0,INDEX($M$2:$M$1000,(ROW()-ROW($B$2))/16+1),"")</f>
        <v/>
      </c>
    </row>
    <row r="765" spans="2:14" x14ac:dyDescent="0.3">
      <c r="B765" t="s">
        <v>2173</v>
      </c>
      <c r="C765" t="s">
        <v>2947</v>
      </c>
      <c r="D765" t="s">
        <v>960</v>
      </c>
      <c r="E765">
        <v>0</v>
      </c>
      <c r="F765" t="s">
        <v>960</v>
      </c>
      <c r="K765" s="12" t="s">
        <v>5834</v>
      </c>
      <c r="N765" t="str" cm="1">
        <f t="array" ref="N765">IF(MOD(ROW()-ROW($B$2),16)=0,INDEX($M$2:$M$1000,(ROW()-ROW($B$2))/16+1),"")</f>
        <v/>
      </c>
    </row>
    <row r="766" spans="2:14" x14ac:dyDescent="0.3">
      <c r="B766" t="s">
        <v>2173</v>
      </c>
      <c r="C766" t="s">
        <v>2948</v>
      </c>
      <c r="D766" t="s">
        <v>961</v>
      </c>
      <c r="E766">
        <v>0</v>
      </c>
      <c r="F766" t="s">
        <v>961</v>
      </c>
      <c r="K766" s="12" t="s">
        <v>5835</v>
      </c>
      <c r="N766" t="str" cm="1">
        <f t="array" ref="N766">IF(MOD(ROW()-ROW($B$2),16)=0,INDEX($M$2:$M$1000,(ROW()-ROW($B$2))/16+1),"")</f>
        <v/>
      </c>
    </row>
    <row r="767" spans="2:14" x14ac:dyDescent="0.3">
      <c r="B767" t="s">
        <v>2173</v>
      </c>
      <c r="C767" t="s">
        <v>2949</v>
      </c>
      <c r="D767" t="s">
        <v>962</v>
      </c>
      <c r="E767">
        <v>0</v>
      </c>
      <c r="F767" t="s">
        <v>962</v>
      </c>
      <c r="K767" s="12" t="s">
        <v>5836</v>
      </c>
      <c r="N767" t="str" cm="1">
        <f t="array" ref="N767">IF(MOD(ROW()-ROW($B$2),16)=0,INDEX($M$2:$M$1000,(ROW()-ROW($B$2))/16+1),"")</f>
        <v/>
      </c>
    </row>
    <row r="768" spans="2:14" x14ac:dyDescent="0.3">
      <c r="B768" t="s">
        <v>2173</v>
      </c>
      <c r="C768" t="s">
        <v>2950</v>
      </c>
      <c r="D768" t="s">
        <v>963</v>
      </c>
      <c r="E768">
        <v>0</v>
      </c>
      <c r="F768" t="s">
        <v>963</v>
      </c>
      <c r="K768" s="12" t="s">
        <v>5837</v>
      </c>
      <c r="N768" t="str" cm="1">
        <f t="array" ref="N768">IF(MOD(ROW()-ROW($B$2),16)=0,INDEX($M$2:$M$1000,(ROW()-ROW($B$2))/16+1),"")</f>
        <v/>
      </c>
    </row>
    <row r="769" spans="2:14" x14ac:dyDescent="0.3">
      <c r="B769" t="s">
        <v>2173</v>
      </c>
      <c r="C769" t="s">
        <v>2951</v>
      </c>
      <c r="D769" t="s">
        <v>964</v>
      </c>
      <c r="E769">
        <v>0</v>
      </c>
      <c r="F769" t="s">
        <v>964</v>
      </c>
      <c r="K769" s="12" t="s">
        <v>5838</v>
      </c>
      <c r="N769" t="str" cm="1">
        <f t="array" ref="N769">IF(MOD(ROW()-ROW($B$2),16)=0,INDEX($M$2:$M$1000,(ROW()-ROW($B$2))/16+1),"")</f>
        <v/>
      </c>
    </row>
    <row r="770" spans="2:14" x14ac:dyDescent="0.3">
      <c r="B770" t="s">
        <v>2173</v>
      </c>
      <c r="C770" t="s">
        <v>2952</v>
      </c>
      <c r="D770" t="s">
        <v>965</v>
      </c>
      <c r="E770">
        <v>0</v>
      </c>
      <c r="F770" t="s">
        <v>965</v>
      </c>
      <c r="K770" s="12" t="s">
        <v>5839</v>
      </c>
      <c r="N770" t="str" cm="1">
        <f t="array" ref="N770">IF(MOD(ROW()-ROW($B$2),16)=0,INDEX($M$2:$M$1000,(ROW()-ROW($B$2))/16+1),"")</f>
        <v>Фиксированное число 48 (0)</v>
      </c>
    </row>
    <row r="771" spans="2:14" x14ac:dyDescent="0.3">
      <c r="B771" t="s">
        <v>2173</v>
      </c>
      <c r="C771" t="s">
        <v>2953</v>
      </c>
      <c r="D771" t="s">
        <v>966</v>
      </c>
      <c r="E771">
        <v>0</v>
      </c>
      <c r="F771" t="s">
        <v>966</v>
      </c>
      <c r="K771" s="12" t="s">
        <v>5840</v>
      </c>
      <c r="N771" t="str" cm="1">
        <f t="array" ref="N771">IF(MOD(ROW()-ROW($B$2),16)=0,INDEX($M$2:$M$1000,(ROW()-ROW($B$2))/16+1),"")</f>
        <v/>
      </c>
    </row>
    <row r="772" spans="2:14" x14ac:dyDescent="0.3">
      <c r="B772" t="s">
        <v>2173</v>
      </c>
      <c r="C772" t="s">
        <v>2954</v>
      </c>
      <c r="D772" t="s">
        <v>967</v>
      </c>
      <c r="E772">
        <v>0</v>
      </c>
      <c r="F772" t="s">
        <v>967</v>
      </c>
      <c r="K772" s="12" t="s">
        <v>5841</v>
      </c>
      <c r="N772" t="str" cm="1">
        <f t="array" ref="N772">IF(MOD(ROW()-ROW($B$2),16)=0,INDEX($M$2:$M$1000,(ROW()-ROW($B$2))/16+1),"")</f>
        <v/>
      </c>
    </row>
    <row r="773" spans="2:14" x14ac:dyDescent="0.3">
      <c r="B773" t="s">
        <v>2173</v>
      </c>
      <c r="C773" t="s">
        <v>2955</v>
      </c>
      <c r="D773" t="s">
        <v>968</v>
      </c>
      <c r="E773">
        <v>0</v>
      </c>
      <c r="F773" t="s">
        <v>968</v>
      </c>
      <c r="K773" s="12" t="s">
        <v>5842</v>
      </c>
      <c r="N773" t="str" cm="1">
        <f t="array" ref="N773">IF(MOD(ROW()-ROW($B$2),16)=0,INDEX($M$2:$M$1000,(ROW()-ROW($B$2))/16+1),"")</f>
        <v/>
      </c>
    </row>
    <row r="774" spans="2:14" x14ac:dyDescent="0.3">
      <c r="B774" t="s">
        <v>2173</v>
      </c>
      <c r="C774" t="s">
        <v>2956</v>
      </c>
      <c r="D774" t="s">
        <v>969</v>
      </c>
      <c r="E774">
        <v>0</v>
      </c>
      <c r="F774" t="s">
        <v>969</v>
      </c>
      <c r="K774" s="12" t="s">
        <v>5843</v>
      </c>
      <c r="N774" t="str" cm="1">
        <f t="array" ref="N774">IF(MOD(ROW()-ROW($B$2),16)=0,INDEX($M$2:$M$1000,(ROW()-ROW($B$2))/16+1),"")</f>
        <v/>
      </c>
    </row>
    <row r="775" spans="2:14" x14ac:dyDescent="0.3">
      <c r="B775" t="s">
        <v>2173</v>
      </c>
      <c r="C775" t="s">
        <v>2957</v>
      </c>
      <c r="D775" t="s">
        <v>970</v>
      </c>
      <c r="E775">
        <v>0</v>
      </c>
      <c r="F775" t="s">
        <v>970</v>
      </c>
      <c r="K775" s="12" t="s">
        <v>5844</v>
      </c>
      <c r="N775" t="str" cm="1">
        <f t="array" ref="N775">IF(MOD(ROW()-ROW($B$2),16)=0,INDEX($M$2:$M$1000,(ROW()-ROW($B$2))/16+1),"")</f>
        <v/>
      </c>
    </row>
    <row r="776" spans="2:14" x14ac:dyDescent="0.3">
      <c r="B776" t="s">
        <v>2173</v>
      </c>
      <c r="C776" t="s">
        <v>2958</v>
      </c>
      <c r="D776" t="s">
        <v>971</v>
      </c>
      <c r="E776">
        <v>0</v>
      </c>
      <c r="F776" t="s">
        <v>971</v>
      </c>
      <c r="K776" s="12" t="s">
        <v>5845</v>
      </c>
      <c r="N776" t="str" cm="1">
        <f t="array" ref="N776">IF(MOD(ROW()-ROW($B$2),16)=0,INDEX($M$2:$M$1000,(ROW()-ROW($B$2))/16+1),"")</f>
        <v/>
      </c>
    </row>
    <row r="777" spans="2:14" x14ac:dyDescent="0.3">
      <c r="B777" t="s">
        <v>2173</v>
      </c>
      <c r="C777" t="s">
        <v>2959</v>
      </c>
      <c r="D777" t="s">
        <v>972</v>
      </c>
      <c r="E777">
        <v>0</v>
      </c>
      <c r="F777" t="s">
        <v>972</v>
      </c>
      <c r="K777" s="12" t="s">
        <v>5846</v>
      </c>
      <c r="N777" t="str" cm="1">
        <f t="array" ref="N777">IF(MOD(ROW()-ROW($B$2),16)=0,INDEX($M$2:$M$1000,(ROW()-ROW($B$2))/16+1),"")</f>
        <v/>
      </c>
    </row>
    <row r="778" spans="2:14" x14ac:dyDescent="0.3">
      <c r="B778" t="s">
        <v>2173</v>
      </c>
      <c r="C778" t="s">
        <v>2960</v>
      </c>
      <c r="D778" t="s">
        <v>973</v>
      </c>
      <c r="E778">
        <v>0</v>
      </c>
      <c r="F778" t="s">
        <v>973</v>
      </c>
      <c r="K778" s="12" t="s">
        <v>5847</v>
      </c>
      <c r="N778" t="str" cm="1">
        <f t="array" ref="N778">IF(MOD(ROW()-ROW($B$2),16)=0,INDEX($M$2:$M$1000,(ROW()-ROW($B$2))/16+1),"")</f>
        <v/>
      </c>
    </row>
    <row r="779" spans="2:14" x14ac:dyDescent="0.3">
      <c r="B779" t="s">
        <v>2173</v>
      </c>
      <c r="C779" t="s">
        <v>2961</v>
      </c>
      <c r="D779" t="s">
        <v>974</v>
      </c>
      <c r="E779">
        <v>0</v>
      </c>
      <c r="F779" t="s">
        <v>974</v>
      </c>
      <c r="K779" s="12" t="s">
        <v>5848</v>
      </c>
      <c r="N779" t="str" cm="1">
        <f t="array" ref="N779">IF(MOD(ROW()-ROW($B$2),16)=0,INDEX($M$2:$M$1000,(ROW()-ROW($B$2))/16+1),"")</f>
        <v/>
      </c>
    </row>
    <row r="780" spans="2:14" x14ac:dyDescent="0.3">
      <c r="B780" t="s">
        <v>2173</v>
      </c>
      <c r="C780" t="s">
        <v>2962</v>
      </c>
      <c r="D780" t="s">
        <v>975</v>
      </c>
      <c r="E780">
        <v>0</v>
      </c>
      <c r="F780" t="s">
        <v>975</v>
      </c>
      <c r="K780" s="12" t="s">
        <v>5849</v>
      </c>
      <c r="N780" t="str" cm="1">
        <f t="array" ref="N780">IF(MOD(ROW()-ROW($B$2),16)=0,INDEX($M$2:$M$1000,(ROW()-ROW($B$2))/16+1),"")</f>
        <v/>
      </c>
    </row>
    <row r="781" spans="2:14" x14ac:dyDescent="0.3">
      <c r="B781" t="s">
        <v>2173</v>
      </c>
      <c r="C781" t="s">
        <v>2963</v>
      </c>
      <c r="D781" t="s">
        <v>976</v>
      </c>
      <c r="E781">
        <v>0</v>
      </c>
      <c r="F781" t="s">
        <v>976</v>
      </c>
      <c r="K781" s="12" t="s">
        <v>5850</v>
      </c>
      <c r="N781" t="str" cm="1">
        <f t="array" ref="N781">IF(MOD(ROW()-ROW($B$2),16)=0,INDEX($M$2:$M$1000,(ROW()-ROW($B$2))/16+1),"")</f>
        <v/>
      </c>
    </row>
    <row r="782" spans="2:14" x14ac:dyDescent="0.3">
      <c r="B782" t="s">
        <v>2173</v>
      </c>
      <c r="C782" t="s">
        <v>2964</v>
      </c>
      <c r="D782" t="s">
        <v>977</v>
      </c>
      <c r="E782">
        <v>0</v>
      </c>
      <c r="F782" t="s">
        <v>977</v>
      </c>
      <c r="K782" s="12" t="s">
        <v>5851</v>
      </c>
      <c r="N782" t="str" cm="1">
        <f t="array" ref="N782">IF(MOD(ROW()-ROW($B$2),16)=0,INDEX($M$2:$M$1000,(ROW()-ROW($B$2))/16+1),"")</f>
        <v/>
      </c>
    </row>
    <row r="783" spans="2:14" x14ac:dyDescent="0.3">
      <c r="B783" t="s">
        <v>2173</v>
      </c>
      <c r="C783" t="s">
        <v>2965</v>
      </c>
      <c r="D783" t="s">
        <v>978</v>
      </c>
      <c r="E783">
        <v>0</v>
      </c>
      <c r="F783" t="s">
        <v>978</v>
      </c>
      <c r="K783" s="12" t="s">
        <v>5852</v>
      </c>
      <c r="N783" t="str" cm="1">
        <f t="array" ref="N783">IF(MOD(ROW()-ROW($B$2),16)=0,INDEX($M$2:$M$1000,(ROW()-ROW($B$2))/16+1),"")</f>
        <v/>
      </c>
    </row>
    <row r="784" spans="2:14" x14ac:dyDescent="0.3">
      <c r="B784" t="s">
        <v>2173</v>
      </c>
      <c r="C784" t="s">
        <v>2966</v>
      </c>
      <c r="D784" t="s">
        <v>979</v>
      </c>
      <c r="E784">
        <v>0</v>
      </c>
      <c r="F784" t="s">
        <v>979</v>
      </c>
      <c r="K784" s="12" t="s">
        <v>5853</v>
      </c>
      <c r="N784" t="str" cm="1">
        <f t="array" ref="N784">IF(MOD(ROW()-ROW($B$2),16)=0,INDEX($M$2:$M$1000,(ROW()-ROW($B$2))/16+1),"")</f>
        <v/>
      </c>
    </row>
    <row r="785" spans="2:14" x14ac:dyDescent="0.3">
      <c r="B785" t="s">
        <v>2173</v>
      </c>
      <c r="C785" t="s">
        <v>2967</v>
      </c>
      <c r="D785" t="s">
        <v>980</v>
      </c>
      <c r="E785">
        <v>0</v>
      </c>
      <c r="F785" t="s">
        <v>980</v>
      </c>
      <c r="K785" s="12" t="s">
        <v>5854</v>
      </c>
      <c r="N785" t="str" cm="1">
        <f t="array" ref="N785">IF(MOD(ROW()-ROW($B$2),16)=0,INDEX($M$2:$M$1000,(ROW()-ROW($B$2))/16+1),"")</f>
        <v/>
      </c>
    </row>
    <row r="786" spans="2:14" x14ac:dyDescent="0.3">
      <c r="B786" t="s">
        <v>2173</v>
      </c>
      <c r="C786" t="s">
        <v>2968</v>
      </c>
      <c r="D786" t="s">
        <v>981</v>
      </c>
      <c r="E786">
        <v>0</v>
      </c>
      <c r="F786" t="s">
        <v>981</v>
      </c>
      <c r="K786" s="12" t="s">
        <v>5855</v>
      </c>
      <c r="N786" t="str" cm="1">
        <f t="array" ref="N786">IF(MOD(ROW()-ROW($B$2),16)=0,INDEX($M$2:$M$1000,(ROW()-ROW($B$2))/16+1),"")</f>
        <v>Фиксированное число 49 (0)</v>
      </c>
    </row>
    <row r="787" spans="2:14" x14ac:dyDescent="0.3">
      <c r="B787" t="s">
        <v>2173</v>
      </c>
      <c r="C787" t="s">
        <v>2969</v>
      </c>
      <c r="D787" t="s">
        <v>982</v>
      </c>
      <c r="E787">
        <v>0</v>
      </c>
      <c r="F787" t="s">
        <v>982</v>
      </c>
      <c r="K787" s="12" t="s">
        <v>5856</v>
      </c>
      <c r="N787" t="str" cm="1">
        <f t="array" ref="N787">IF(MOD(ROW()-ROW($B$2),16)=0,INDEX($M$2:$M$1000,(ROW()-ROW($B$2))/16+1),"")</f>
        <v/>
      </c>
    </row>
    <row r="788" spans="2:14" x14ac:dyDescent="0.3">
      <c r="B788" t="s">
        <v>2173</v>
      </c>
      <c r="C788" t="s">
        <v>2970</v>
      </c>
      <c r="D788" t="s">
        <v>983</v>
      </c>
      <c r="E788">
        <v>0</v>
      </c>
      <c r="F788" t="s">
        <v>983</v>
      </c>
      <c r="K788" s="12" t="s">
        <v>5857</v>
      </c>
      <c r="N788" t="str" cm="1">
        <f t="array" ref="N788">IF(MOD(ROW()-ROW($B$2),16)=0,INDEX($M$2:$M$1000,(ROW()-ROW($B$2))/16+1),"")</f>
        <v/>
      </c>
    </row>
    <row r="789" spans="2:14" x14ac:dyDescent="0.3">
      <c r="B789" t="s">
        <v>2173</v>
      </c>
      <c r="C789" t="s">
        <v>2971</v>
      </c>
      <c r="D789" t="s">
        <v>984</v>
      </c>
      <c r="E789">
        <v>0</v>
      </c>
      <c r="F789" t="s">
        <v>984</v>
      </c>
      <c r="K789" s="12" t="s">
        <v>5858</v>
      </c>
      <c r="N789" t="str" cm="1">
        <f t="array" ref="N789">IF(MOD(ROW()-ROW($B$2),16)=0,INDEX($M$2:$M$1000,(ROW()-ROW($B$2))/16+1),"")</f>
        <v/>
      </c>
    </row>
    <row r="790" spans="2:14" x14ac:dyDescent="0.3">
      <c r="B790" t="s">
        <v>2173</v>
      </c>
      <c r="C790" t="s">
        <v>2972</v>
      </c>
      <c r="D790" t="s">
        <v>985</v>
      </c>
      <c r="E790">
        <v>0</v>
      </c>
      <c r="F790" t="s">
        <v>985</v>
      </c>
      <c r="K790" s="12" t="s">
        <v>5859</v>
      </c>
      <c r="N790" t="str" cm="1">
        <f t="array" ref="N790">IF(MOD(ROW()-ROW($B$2),16)=0,INDEX($M$2:$M$1000,(ROW()-ROW($B$2))/16+1),"")</f>
        <v/>
      </c>
    </row>
    <row r="791" spans="2:14" x14ac:dyDescent="0.3">
      <c r="B791" t="s">
        <v>2173</v>
      </c>
      <c r="C791" t="s">
        <v>2973</v>
      </c>
      <c r="D791" t="s">
        <v>986</v>
      </c>
      <c r="E791">
        <v>0</v>
      </c>
      <c r="F791" t="s">
        <v>986</v>
      </c>
      <c r="K791" s="12" t="s">
        <v>5860</v>
      </c>
      <c r="N791" t="str" cm="1">
        <f t="array" ref="N791">IF(MOD(ROW()-ROW($B$2),16)=0,INDEX($M$2:$M$1000,(ROW()-ROW($B$2))/16+1),"")</f>
        <v/>
      </c>
    </row>
    <row r="792" spans="2:14" x14ac:dyDescent="0.3">
      <c r="B792" t="s">
        <v>2173</v>
      </c>
      <c r="C792" t="s">
        <v>2974</v>
      </c>
      <c r="D792" t="s">
        <v>987</v>
      </c>
      <c r="E792">
        <v>0</v>
      </c>
      <c r="F792" t="s">
        <v>987</v>
      </c>
      <c r="K792" s="12" t="s">
        <v>5861</v>
      </c>
      <c r="N792" t="str" cm="1">
        <f t="array" ref="N792">IF(MOD(ROW()-ROW($B$2),16)=0,INDEX($M$2:$M$1000,(ROW()-ROW($B$2))/16+1),"")</f>
        <v/>
      </c>
    </row>
    <row r="793" spans="2:14" x14ac:dyDescent="0.3">
      <c r="B793" t="s">
        <v>2173</v>
      </c>
      <c r="C793" t="s">
        <v>2975</v>
      </c>
      <c r="D793" t="s">
        <v>988</v>
      </c>
      <c r="E793">
        <v>0</v>
      </c>
      <c r="F793" t="s">
        <v>988</v>
      </c>
      <c r="K793" s="12" t="s">
        <v>5862</v>
      </c>
      <c r="N793" t="str" cm="1">
        <f t="array" ref="N793">IF(MOD(ROW()-ROW($B$2),16)=0,INDEX($M$2:$M$1000,(ROW()-ROW($B$2))/16+1),"")</f>
        <v/>
      </c>
    </row>
    <row r="794" spans="2:14" x14ac:dyDescent="0.3">
      <c r="B794" t="s">
        <v>2173</v>
      </c>
      <c r="C794" t="s">
        <v>2976</v>
      </c>
      <c r="D794" t="s">
        <v>989</v>
      </c>
      <c r="E794">
        <v>0</v>
      </c>
      <c r="F794" t="s">
        <v>989</v>
      </c>
      <c r="K794" s="12" t="s">
        <v>5863</v>
      </c>
      <c r="N794" t="str" cm="1">
        <f t="array" ref="N794">IF(MOD(ROW()-ROW($B$2),16)=0,INDEX($M$2:$M$1000,(ROW()-ROW($B$2))/16+1),"")</f>
        <v/>
      </c>
    </row>
    <row r="795" spans="2:14" x14ac:dyDescent="0.3">
      <c r="B795" t="s">
        <v>2173</v>
      </c>
      <c r="C795" t="s">
        <v>2977</v>
      </c>
      <c r="D795" t="s">
        <v>990</v>
      </c>
      <c r="E795">
        <v>0</v>
      </c>
      <c r="F795" t="s">
        <v>990</v>
      </c>
      <c r="K795" s="12" t="s">
        <v>5864</v>
      </c>
      <c r="N795" t="str" cm="1">
        <f t="array" ref="N795">IF(MOD(ROW()-ROW($B$2),16)=0,INDEX($M$2:$M$1000,(ROW()-ROW($B$2))/16+1),"")</f>
        <v/>
      </c>
    </row>
    <row r="796" spans="2:14" x14ac:dyDescent="0.3">
      <c r="B796" t="s">
        <v>2173</v>
      </c>
      <c r="C796" t="s">
        <v>2978</v>
      </c>
      <c r="D796" t="s">
        <v>991</v>
      </c>
      <c r="E796">
        <v>0</v>
      </c>
      <c r="F796" t="s">
        <v>991</v>
      </c>
      <c r="K796" s="12" t="s">
        <v>5865</v>
      </c>
      <c r="N796" t="str" cm="1">
        <f t="array" ref="N796">IF(MOD(ROW()-ROW($B$2),16)=0,INDEX($M$2:$M$1000,(ROW()-ROW($B$2))/16+1),"")</f>
        <v/>
      </c>
    </row>
    <row r="797" spans="2:14" x14ac:dyDescent="0.3">
      <c r="B797" t="s">
        <v>2173</v>
      </c>
      <c r="C797" t="s">
        <v>2979</v>
      </c>
      <c r="D797" t="s">
        <v>992</v>
      </c>
      <c r="E797">
        <v>0</v>
      </c>
      <c r="F797" t="s">
        <v>992</v>
      </c>
      <c r="K797" s="12" t="s">
        <v>5866</v>
      </c>
      <c r="N797" t="str" cm="1">
        <f t="array" ref="N797">IF(MOD(ROW()-ROW($B$2),16)=0,INDEX($M$2:$M$1000,(ROW()-ROW($B$2))/16+1),"")</f>
        <v/>
      </c>
    </row>
    <row r="798" spans="2:14" x14ac:dyDescent="0.3">
      <c r="B798" t="s">
        <v>2173</v>
      </c>
      <c r="C798" t="s">
        <v>2980</v>
      </c>
      <c r="D798" t="s">
        <v>993</v>
      </c>
      <c r="E798">
        <v>0</v>
      </c>
      <c r="F798" t="s">
        <v>993</v>
      </c>
      <c r="K798" s="12" t="s">
        <v>5867</v>
      </c>
      <c r="N798" t="str" cm="1">
        <f t="array" ref="N798">IF(MOD(ROW()-ROW($B$2),16)=0,INDEX($M$2:$M$1000,(ROW()-ROW($B$2))/16+1),"")</f>
        <v/>
      </c>
    </row>
    <row r="799" spans="2:14" x14ac:dyDescent="0.3">
      <c r="B799" t="s">
        <v>2173</v>
      </c>
      <c r="C799" t="s">
        <v>2981</v>
      </c>
      <c r="D799" t="s">
        <v>994</v>
      </c>
      <c r="E799">
        <v>0</v>
      </c>
      <c r="F799" t="s">
        <v>994</v>
      </c>
      <c r="K799" s="12" t="s">
        <v>5868</v>
      </c>
      <c r="N799" t="str" cm="1">
        <f t="array" ref="N799">IF(MOD(ROW()-ROW($B$2),16)=0,INDEX($M$2:$M$1000,(ROW()-ROW($B$2))/16+1),"")</f>
        <v/>
      </c>
    </row>
    <row r="800" spans="2:14" x14ac:dyDescent="0.3">
      <c r="B800" t="s">
        <v>2173</v>
      </c>
      <c r="C800" t="s">
        <v>2982</v>
      </c>
      <c r="D800" t="s">
        <v>995</v>
      </c>
      <c r="E800">
        <v>0</v>
      </c>
      <c r="F800" t="s">
        <v>995</v>
      </c>
      <c r="K800" s="12" t="s">
        <v>5869</v>
      </c>
      <c r="N800" t="str" cm="1">
        <f t="array" ref="N800">IF(MOD(ROW()-ROW($B$2),16)=0,INDEX($M$2:$M$1000,(ROW()-ROW($B$2))/16+1),"")</f>
        <v/>
      </c>
    </row>
    <row r="801" spans="2:14" x14ac:dyDescent="0.3">
      <c r="B801" t="s">
        <v>2173</v>
      </c>
      <c r="C801" t="s">
        <v>2983</v>
      </c>
      <c r="D801" t="s">
        <v>996</v>
      </c>
      <c r="E801">
        <v>0</v>
      </c>
      <c r="F801" t="s">
        <v>996</v>
      </c>
      <c r="K801" s="12" t="s">
        <v>5870</v>
      </c>
      <c r="N801" t="str" cm="1">
        <f t="array" ref="N801">IF(MOD(ROW()-ROW($B$2),16)=0,INDEX($M$2:$M$1000,(ROW()-ROW($B$2))/16+1),"")</f>
        <v/>
      </c>
    </row>
    <row r="802" spans="2:14" x14ac:dyDescent="0.3">
      <c r="B802" t="s">
        <v>2173</v>
      </c>
      <c r="C802" t="s">
        <v>2984</v>
      </c>
      <c r="D802" t="s">
        <v>997</v>
      </c>
      <c r="E802">
        <v>0</v>
      </c>
      <c r="F802" t="s">
        <v>997</v>
      </c>
      <c r="K802" s="12" t="s">
        <v>5871</v>
      </c>
      <c r="N802" t="str" cm="1">
        <f t="array" ref="N802">IF(MOD(ROW()-ROW($B$2),16)=0,INDEX($M$2:$M$1000,(ROW()-ROW($B$2))/16+1),"")</f>
        <v>Фиксированное число 50 (0)</v>
      </c>
    </row>
    <row r="803" spans="2:14" x14ac:dyDescent="0.3">
      <c r="B803" t="s">
        <v>2173</v>
      </c>
      <c r="C803" t="s">
        <v>2985</v>
      </c>
      <c r="D803" t="s">
        <v>998</v>
      </c>
      <c r="E803">
        <v>0</v>
      </c>
      <c r="F803" t="s">
        <v>998</v>
      </c>
      <c r="K803" s="12" t="s">
        <v>5872</v>
      </c>
      <c r="N803" t="str" cm="1">
        <f t="array" ref="N803">IF(MOD(ROW()-ROW($B$2),16)=0,INDEX($M$2:$M$1000,(ROW()-ROW($B$2))/16+1),"")</f>
        <v/>
      </c>
    </row>
    <row r="804" spans="2:14" x14ac:dyDescent="0.3">
      <c r="B804" t="s">
        <v>2173</v>
      </c>
      <c r="C804" t="s">
        <v>2986</v>
      </c>
      <c r="D804" t="s">
        <v>999</v>
      </c>
      <c r="E804">
        <v>0</v>
      </c>
      <c r="F804" t="s">
        <v>999</v>
      </c>
      <c r="K804" s="12" t="s">
        <v>5873</v>
      </c>
      <c r="N804" t="str" cm="1">
        <f t="array" ref="N804">IF(MOD(ROW()-ROW($B$2),16)=0,INDEX($M$2:$M$1000,(ROW()-ROW($B$2))/16+1),"")</f>
        <v/>
      </c>
    </row>
    <row r="805" spans="2:14" x14ac:dyDescent="0.3">
      <c r="B805" t="s">
        <v>2173</v>
      </c>
      <c r="C805" t="s">
        <v>2987</v>
      </c>
      <c r="D805" t="s">
        <v>1000</v>
      </c>
      <c r="E805">
        <v>0</v>
      </c>
      <c r="F805" t="s">
        <v>1000</v>
      </c>
      <c r="K805" s="12" t="s">
        <v>5874</v>
      </c>
      <c r="N805" t="str" cm="1">
        <f t="array" ref="N805">IF(MOD(ROW()-ROW($B$2),16)=0,INDEX($M$2:$M$1000,(ROW()-ROW($B$2))/16+1),"")</f>
        <v/>
      </c>
    </row>
    <row r="806" spans="2:14" x14ac:dyDescent="0.3">
      <c r="B806" t="s">
        <v>2173</v>
      </c>
      <c r="C806" t="s">
        <v>2988</v>
      </c>
      <c r="D806" t="s">
        <v>1001</v>
      </c>
      <c r="E806">
        <v>0</v>
      </c>
      <c r="F806" t="s">
        <v>1001</v>
      </c>
      <c r="K806" s="12" t="s">
        <v>5875</v>
      </c>
      <c r="N806" t="str" cm="1">
        <f t="array" ref="N806">IF(MOD(ROW()-ROW($B$2),16)=0,INDEX($M$2:$M$1000,(ROW()-ROW($B$2))/16+1),"")</f>
        <v/>
      </c>
    </row>
    <row r="807" spans="2:14" x14ac:dyDescent="0.3">
      <c r="B807" t="s">
        <v>2173</v>
      </c>
      <c r="C807" t="s">
        <v>2989</v>
      </c>
      <c r="D807" t="s">
        <v>1002</v>
      </c>
      <c r="E807">
        <v>0</v>
      </c>
      <c r="F807" t="s">
        <v>1002</v>
      </c>
      <c r="K807" s="12" t="s">
        <v>5876</v>
      </c>
      <c r="N807" t="str" cm="1">
        <f t="array" ref="N807">IF(MOD(ROW()-ROW($B$2),16)=0,INDEX($M$2:$M$1000,(ROW()-ROW($B$2))/16+1),"")</f>
        <v/>
      </c>
    </row>
    <row r="808" spans="2:14" x14ac:dyDescent="0.3">
      <c r="B808" t="s">
        <v>2173</v>
      </c>
      <c r="C808" t="s">
        <v>2990</v>
      </c>
      <c r="D808" t="s">
        <v>1003</v>
      </c>
      <c r="E808">
        <v>0</v>
      </c>
      <c r="F808" t="s">
        <v>1003</v>
      </c>
      <c r="K808" s="12" t="s">
        <v>5877</v>
      </c>
      <c r="N808" t="str" cm="1">
        <f t="array" ref="N808">IF(MOD(ROW()-ROW($B$2),16)=0,INDEX($M$2:$M$1000,(ROW()-ROW($B$2))/16+1),"")</f>
        <v/>
      </c>
    </row>
    <row r="809" spans="2:14" x14ac:dyDescent="0.3">
      <c r="B809" t="s">
        <v>2173</v>
      </c>
      <c r="C809" t="s">
        <v>2991</v>
      </c>
      <c r="D809" t="s">
        <v>1004</v>
      </c>
      <c r="E809">
        <v>0</v>
      </c>
      <c r="F809" t="s">
        <v>1004</v>
      </c>
      <c r="K809" s="12" t="s">
        <v>5878</v>
      </c>
      <c r="N809" t="str" cm="1">
        <f t="array" ref="N809">IF(MOD(ROW()-ROW($B$2),16)=0,INDEX($M$2:$M$1000,(ROW()-ROW($B$2))/16+1),"")</f>
        <v/>
      </c>
    </row>
    <row r="810" spans="2:14" x14ac:dyDescent="0.3">
      <c r="B810" t="s">
        <v>2173</v>
      </c>
      <c r="C810" t="s">
        <v>2992</v>
      </c>
      <c r="D810" t="s">
        <v>1005</v>
      </c>
      <c r="E810">
        <v>0</v>
      </c>
      <c r="F810" t="s">
        <v>1005</v>
      </c>
      <c r="K810" s="12" t="s">
        <v>5879</v>
      </c>
      <c r="N810" t="str" cm="1">
        <f t="array" ref="N810">IF(MOD(ROW()-ROW($B$2),16)=0,INDEX($M$2:$M$1000,(ROW()-ROW($B$2))/16+1),"")</f>
        <v/>
      </c>
    </row>
    <row r="811" spans="2:14" x14ac:dyDescent="0.3">
      <c r="B811" t="s">
        <v>2173</v>
      </c>
      <c r="C811" t="s">
        <v>2993</v>
      </c>
      <c r="D811" t="s">
        <v>1006</v>
      </c>
      <c r="E811">
        <v>0</v>
      </c>
      <c r="F811" t="s">
        <v>1006</v>
      </c>
      <c r="K811" s="12" t="s">
        <v>5880</v>
      </c>
      <c r="N811" t="str" cm="1">
        <f t="array" ref="N811">IF(MOD(ROW()-ROW($B$2),16)=0,INDEX($M$2:$M$1000,(ROW()-ROW($B$2))/16+1),"")</f>
        <v/>
      </c>
    </row>
    <row r="812" spans="2:14" x14ac:dyDescent="0.3">
      <c r="B812" t="s">
        <v>2173</v>
      </c>
      <c r="C812" t="s">
        <v>2994</v>
      </c>
      <c r="D812" t="s">
        <v>1007</v>
      </c>
      <c r="E812">
        <v>0</v>
      </c>
      <c r="F812" t="s">
        <v>1007</v>
      </c>
      <c r="K812" s="12" t="s">
        <v>5881</v>
      </c>
      <c r="N812" t="str" cm="1">
        <f t="array" ref="N812">IF(MOD(ROW()-ROW($B$2),16)=0,INDEX($M$2:$M$1000,(ROW()-ROW($B$2))/16+1),"")</f>
        <v/>
      </c>
    </row>
    <row r="813" spans="2:14" x14ac:dyDescent="0.3">
      <c r="B813" t="s">
        <v>2173</v>
      </c>
      <c r="C813" t="s">
        <v>2995</v>
      </c>
      <c r="D813" t="s">
        <v>1008</v>
      </c>
      <c r="E813">
        <v>0</v>
      </c>
      <c r="F813" t="s">
        <v>1008</v>
      </c>
      <c r="K813" s="12" t="s">
        <v>5882</v>
      </c>
      <c r="N813" t="str" cm="1">
        <f t="array" ref="N813">IF(MOD(ROW()-ROW($B$2),16)=0,INDEX($M$2:$M$1000,(ROW()-ROW($B$2))/16+1),"")</f>
        <v/>
      </c>
    </row>
    <row r="814" spans="2:14" x14ac:dyDescent="0.3">
      <c r="B814" t="s">
        <v>2173</v>
      </c>
      <c r="C814" t="s">
        <v>2996</v>
      </c>
      <c r="D814" t="s">
        <v>1009</v>
      </c>
      <c r="E814">
        <v>0</v>
      </c>
      <c r="F814" t="s">
        <v>1009</v>
      </c>
      <c r="K814" s="12" t="s">
        <v>5883</v>
      </c>
      <c r="N814" t="str" cm="1">
        <f t="array" ref="N814">IF(MOD(ROW()-ROW($B$2),16)=0,INDEX($M$2:$M$1000,(ROW()-ROW($B$2))/16+1),"")</f>
        <v/>
      </c>
    </row>
    <row r="815" spans="2:14" x14ac:dyDescent="0.3">
      <c r="B815" t="s">
        <v>2173</v>
      </c>
      <c r="C815" t="s">
        <v>2997</v>
      </c>
      <c r="D815" t="s">
        <v>1010</v>
      </c>
      <c r="E815">
        <v>0</v>
      </c>
      <c r="F815" t="s">
        <v>1010</v>
      </c>
      <c r="K815" s="12" t="s">
        <v>5884</v>
      </c>
      <c r="N815" t="str" cm="1">
        <f t="array" ref="N815">IF(MOD(ROW()-ROW($B$2),16)=0,INDEX($M$2:$M$1000,(ROW()-ROW($B$2))/16+1),"")</f>
        <v/>
      </c>
    </row>
    <row r="816" spans="2:14" x14ac:dyDescent="0.3">
      <c r="B816" t="s">
        <v>2173</v>
      </c>
      <c r="C816" t="s">
        <v>2998</v>
      </c>
      <c r="D816" t="s">
        <v>1011</v>
      </c>
      <c r="E816">
        <v>0</v>
      </c>
      <c r="F816" t="s">
        <v>1011</v>
      </c>
      <c r="K816" s="12" t="s">
        <v>5885</v>
      </c>
      <c r="N816" t="str" cm="1">
        <f t="array" ref="N816">IF(MOD(ROW()-ROW($B$2),16)=0,INDEX($M$2:$M$1000,(ROW()-ROW($B$2))/16+1),"")</f>
        <v/>
      </c>
    </row>
    <row r="817" spans="2:14" x14ac:dyDescent="0.3">
      <c r="B817" t="s">
        <v>2173</v>
      </c>
      <c r="C817" t="s">
        <v>2999</v>
      </c>
      <c r="D817" t="s">
        <v>1012</v>
      </c>
      <c r="E817">
        <v>0</v>
      </c>
      <c r="F817" t="s">
        <v>1012</v>
      </c>
      <c r="K817" s="12" t="s">
        <v>5886</v>
      </c>
      <c r="N817" t="str" cm="1">
        <f t="array" ref="N817">IF(MOD(ROW()-ROW($B$2),16)=0,INDEX($M$2:$M$1000,(ROW()-ROW($B$2))/16+1),"")</f>
        <v/>
      </c>
    </row>
    <row r="818" spans="2:14" x14ac:dyDescent="0.3">
      <c r="B818" t="s">
        <v>2173</v>
      </c>
      <c r="C818" t="s">
        <v>3000</v>
      </c>
      <c r="D818" t="s">
        <v>1013</v>
      </c>
      <c r="E818">
        <v>0</v>
      </c>
      <c r="F818" t="s">
        <v>1013</v>
      </c>
      <c r="K818" s="12" t="s">
        <v>5887</v>
      </c>
      <c r="N818" t="str" cm="1">
        <f t="array" ref="N818">IF(MOD(ROW()-ROW($B$2),16)=0,INDEX($M$2:$M$1000,(ROW()-ROW($B$2))/16+1),"")</f>
        <v>Фиксированное число 51 (0)</v>
      </c>
    </row>
    <row r="819" spans="2:14" x14ac:dyDescent="0.3">
      <c r="B819" t="s">
        <v>2173</v>
      </c>
      <c r="C819" t="s">
        <v>3001</v>
      </c>
      <c r="D819" t="s">
        <v>1014</v>
      </c>
      <c r="E819">
        <v>0</v>
      </c>
      <c r="F819" t="s">
        <v>1014</v>
      </c>
      <c r="K819" s="12" t="s">
        <v>5888</v>
      </c>
      <c r="N819" t="str" cm="1">
        <f t="array" ref="N819">IF(MOD(ROW()-ROW($B$2),16)=0,INDEX($M$2:$M$1000,(ROW()-ROW($B$2))/16+1),"")</f>
        <v/>
      </c>
    </row>
    <row r="820" spans="2:14" x14ac:dyDescent="0.3">
      <c r="B820" t="s">
        <v>2173</v>
      </c>
      <c r="C820" t="s">
        <v>3002</v>
      </c>
      <c r="D820" t="s">
        <v>1015</v>
      </c>
      <c r="E820">
        <v>0</v>
      </c>
      <c r="F820" t="s">
        <v>1015</v>
      </c>
      <c r="K820" s="12" t="s">
        <v>5889</v>
      </c>
      <c r="N820" t="str" cm="1">
        <f t="array" ref="N820">IF(MOD(ROW()-ROW($B$2),16)=0,INDEX($M$2:$M$1000,(ROW()-ROW($B$2))/16+1),"")</f>
        <v/>
      </c>
    </row>
    <row r="821" spans="2:14" x14ac:dyDescent="0.3">
      <c r="B821" t="s">
        <v>2173</v>
      </c>
      <c r="C821" t="s">
        <v>3003</v>
      </c>
      <c r="D821" t="s">
        <v>1016</v>
      </c>
      <c r="E821">
        <v>0</v>
      </c>
      <c r="F821" t="s">
        <v>1016</v>
      </c>
      <c r="K821" s="12" t="s">
        <v>5890</v>
      </c>
      <c r="N821" t="str" cm="1">
        <f t="array" ref="N821">IF(MOD(ROW()-ROW($B$2),16)=0,INDEX($M$2:$M$1000,(ROW()-ROW($B$2))/16+1),"")</f>
        <v/>
      </c>
    </row>
    <row r="822" spans="2:14" x14ac:dyDescent="0.3">
      <c r="B822" t="s">
        <v>2173</v>
      </c>
      <c r="C822" t="s">
        <v>3004</v>
      </c>
      <c r="D822" t="s">
        <v>1017</v>
      </c>
      <c r="E822">
        <v>0</v>
      </c>
      <c r="F822" t="s">
        <v>1017</v>
      </c>
      <c r="K822" s="12" t="s">
        <v>5891</v>
      </c>
      <c r="N822" t="str" cm="1">
        <f t="array" ref="N822">IF(MOD(ROW()-ROW($B$2),16)=0,INDEX($M$2:$M$1000,(ROW()-ROW($B$2))/16+1),"")</f>
        <v/>
      </c>
    </row>
    <row r="823" spans="2:14" x14ac:dyDescent="0.3">
      <c r="B823" t="s">
        <v>2173</v>
      </c>
      <c r="C823" t="s">
        <v>3005</v>
      </c>
      <c r="D823" t="s">
        <v>1018</v>
      </c>
      <c r="E823">
        <v>0</v>
      </c>
      <c r="F823" t="s">
        <v>1018</v>
      </c>
      <c r="K823" s="12" t="s">
        <v>5892</v>
      </c>
      <c r="N823" t="str" cm="1">
        <f t="array" ref="N823">IF(MOD(ROW()-ROW($B$2),16)=0,INDEX($M$2:$M$1000,(ROW()-ROW($B$2))/16+1),"")</f>
        <v/>
      </c>
    </row>
    <row r="824" spans="2:14" x14ac:dyDescent="0.3">
      <c r="B824" t="s">
        <v>2173</v>
      </c>
      <c r="C824" t="s">
        <v>3006</v>
      </c>
      <c r="D824" t="s">
        <v>1019</v>
      </c>
      <c r="E824">
        <v>0</v>
      </c>
      <c r="F824" t="s">
        <v>1019</v>
      </c>
      <c r="K824" s="12" t="s">
        <v>5893</v>
      </c>
      <c r="N824" t="str" cm="1">
        <f t="array" ref="N824">IF(MOD(ROW()-ROW($B$2),16)=0,INDEX($M$2:$M$1000,(ROW()-ROW($B$2))/16+1),"")</f>
        <v/>
      </c>
    </row>
    <row r="825" spans="2:14" x14ac:dyDescent="0.3">
      <c r="B825" t="s">
        <v>2173</v>
      </c>
      <c r="C825" t="s">
        <v>3007</v>
      </c>
      <c r="D825" t="s">
        <v>1020</v>
      </c>
      <c r="E825">
        <v>0</v>
      </c>
      <c r="F825" t="s">
        <v>1020</v>
      </c>
      <c r="K825" s="12" t="s">
        <v>5894</v>
      </c>
      <c r="N825" t="str" cm="1">
        <f t="array" ref="N825">IF(MOD(ROW()-ROW($B$2),16)=0,INDEX($M$2:$M$1000,(ROW()-ROW($B$2))/16+1),"")</f>
        <v/>
      </c>
    </row>
    <row r="826" spans="2:14" x14ac:dyDescent="0.3">
      <c r="B826" t="s">
        <v>2173</v>
      </c>
      <c r="C826" t="s">
        <v>3008</v>
      </c>
      <c r="D826" t="s">
        <v>1021</v>
      </c>
      <c r="E826">
        <v>0</v>
      </c>
      <c r="F826" t="s">
        <v>1021</v>
      </c>
      <c r="K826" s="12" t="s">
        <v>5895</v>
      </c>
      <c r="N826" t="str" cm="1">
        <f t="array" ref="N826">IF(MOD(ROW()-ROW($B$2),16)=0,INDEX($M$2:$M$1000,(ROW()-ROW($B$2))/16+1),"")</f>
        <v/>
      </c>
    </row>
    <row r="827" spans="2:14" x14ac:dyDescent="0.3">
      <c r="B827" t="s">
        <v>2173</v>
      </c>
      <c r="C827" t="s">
        <v>3009</v>
      </c>
      <c r="D827" t="s">
        <v>1022</v>
      </c>
      <c r="E827">
        <v>0</v>
      </c>
      <c r="F827" t="s">
        <v>1022</v>
      </c>
      <c r="K827" s="12" t="s">
        <v>5896</v>
      </c>
      <c r="N827" t="str" cm="1">
        <f t="array" ref="N827">IF(MOD(ROW()-ROW($B$2),16)=0,INDEX($M$2:$M$1000,(ROW()-ROW($B$2))/16+1),"")</f>
        <v/>
      </c>
    </row>
    <row r="828" spans="2:14" x14ac:dyDescent="0.3">
      <c r="B828" t="s">
        <v>2173</v>
      </c>
      <c r="C828" t="s">
        <v>3010</v>
      </c>
      <c r="D828" t="s">
        <v>1023</v>
      </c>
      <c r="E828">
        <v>0</v>
      </c>
      <c r="F828" t="s">
        <v>1023</v>
      </c>
      <c r="K828" s="12" t="s">
        <v>5897</v>
      </c>
      <c r="N828" t="str" cm="1">
        <f t="array" ref="N828">IF(MOD(ROW()-ROW($B$2),16)=0,INDEX($M$2:$M$1000,(ROW()-ROW($B$2))/16+1),"")</f>
        <v/>
      </c>
    </row>
    <row r="829" spans="2:14" x14ac:dyDescent="0.3">
      <c r="B829" t="s">
        <v>2173</v>
      </c>
      <c r="C829" t="s">
        <v>3011</v>
      </c>
      <c r="D829" t="s">
        <v>1024</v>
      </c>
      <c r="E829">
        <v>0</v>
      </c>
      <c r="F829" t="s">
        <v>1024</v>
      </c>
      <c r="K829" s="12" t="s">
        <v>5898</v>
      </c>
      <c r="N829" t="str" cm="1">
        <f t="array" ref="N829">IF(MOD(ROW()-ROW($B$2),16)=0,INDEX($M$2:$M$1000,(ROW()-ROW($B$2))/16+1),"")</f>
        <v/>
      </c>
    </row>
    <row r="830" spans="2:14" x14ac:dyDescent="0.3">
      <c r="B830" t="s">
        <v>2173</v>
      </c>
      <c r="C830" t="s">
        <v>3012</v>
      </c>
      <c r="D830" t="s">
        <v>1025</v>
      </c>
      <c r="E830">
        <v>0</v>
      </c>
      <c r="F830" t="s">
        <v>1025</v>
      </c>
      <c r="K830" s="12" t="s">
        <v>5899</v>
      </c>
      <c r="N830" t="str" cm="1">
        <f t="array" ref="N830">IF(MOD(ROW()-ROW($B$2),16)=0,INDEX($M$2:$M$1000,(ROW()-ROW($B$2))/16+1),"")</f>
        <v/>
      </c>
    </row>
    <row r="831" spans="2:14" x14ac:dyDescent="0.3">
      <c r="B831" t="s">
        <v>2173</v>
      </c>
      <c r="C831" t="s">
        <v>3013</v>
      </c>
      <c r="D831" t="s">
        <v>1026</v>
      </c>
      <c r="E831">
        <v>0</v>
      </c>
      <c r="F831" t="s">
        <v>1026</v>
      </c>
      <c r="K831" s="12" t="s">
        <v>5900</v>
      </c>
      <c r="N831" t="str" cm="1">
        <f t="array" ref="N831">IF(MOD(ROW()-ROW($B$2),16)=0,INDEX($M$2:$M$1000,(ROW()-ROW($B$2))/16+1),"")</f>
        <v/>
      </c>
    </row>
    <row r="832" spans="2:14" x14ac:dyDescent="0.3">
      <c r="B832" t="s">
        <v>2173</v>
      </c>
      <c r="C832" t="s">
        <v>3014</v>
      </c>
      <c r="D832" t="s">
        <v>1027</v>
      </c>
      <c r="E832">
        <v>0</v>
      </c>
      <c r="F832" t="s">
        <v>1027</v>
      </c>
      <c r="K832" s="12" t="s">
        <v>5901</v>
      </c>
      <c r="N832" t="str" cm="1">
        <f t="array" ref="N832">IF(MOD(ROW()-ROW($B$2),16)=0,INDEX($M$2:$M$1000,(ROW()-ROW($B$2))/16+1),"")</f>
        <v/>
      </c>
    </row>
    <row r="833" spans="2:14" x14ac:dyDescent="0.3">
      <c r="B833" t="s">
        <v>2173</v>
      </c>
      <c r="C833" t="s">
        <v>3015</v>
      </c>
      <c r="D833" t="s">
        <v>1028</v>
      </c>
      <c r="E833">
        <v>0</v>
      </c>
      <c r="F833" t="s">
        <v>1028</v>
      </c>
      <c r="K833" s="12" t="s">
        <v>5902</v>
      </c>
      <c r="N833" t="str" cm="1">
        <f t="array" ref="N833">IF(MOD(ROW()-ROW($B$2),16)=0,INDEX($M$2:$M$1000,(ROW()-ROW($B$2))/16+1),"")</f>
        <v/>
      </c>
    </row>
    <row r="834" spans="2:14" x14ac:dyDescent="0.3">
      <c r="B834" t="s">
        <v>2173</v>
      </c>
      <c r="C834" t="s">
        <v>3016</v>
      </c>
      <c r="D834" t="s">
        <v>1029</v>
      </c>
      <c r="E834">
        <v>0</v>
      </c>
      <c r="F834" t="s">
        <v>1029</v>
      </c>
      <c r="K834" s="12" t="s">
        <v>5903</v>
      </c>
      <c r="N834" t="str" cm="1">
        <f t="array" ref="N834">IF(MOD(ROW()-ROW($B$2),16)=0,INDEX($M$2:$M$1000,(ROW()-ROW($B$2))/16+1),"")</f>
        <v>Фиксированное число 52 (0)</v>
      </c>
    </row>
    <row r="835" spans="2:14" x14ac:dyDescent="0.3">
      <c r="B835" t="s">
        <v>2173</v>
      </c>
      <c r="C835" t="s">
        <v>3017</v>
      </c>
      <c r="D835" t="s">
        <v>1030</v>
      </c>
      <c r="E835">
        <v>0</v>
      </c>
      <c r="F835" t="s">
        <v>1030</v>
      </c>
      <c r="K835" s="12" t="s">
        <v>5904</v>
      </c>
      <c r="N835" t="str" cm="1">
        <f t="array" ref="N835">IF(MOD(ROW()-ROW($B$2),16)=0,INDEX($M$2:$M$1000,(ROW()-ROW($B$2))/16+1),"")</f>
        <v/>
      </c>
    </row>
    <row r="836" spans="2:14" x14ac:dyDescent="0.3">
      <c r="B836" t="s">
        <v>2173</v>
      </c>
      <c r="C836" t="s">
        <v>3018</v>
      </c>
      <c r="D836" t="s">
        <v>1031</v>
      </c>
      <c r="E836">
        <v>0</v>
      </c>
      <c r="F836" t="s">
        <v>1031</v>
      </c>
      <c r="K836" s="12" t="s">
        <v>5905</v>
      </c>
      <c r="N836" t="str" cm="1">
        <f t="array" ref="N836">IF(MOD(ROW()-ROW($B$2),16)=0,INDEX($M$2:$M$1000,(ROW()-ROW($B$2))/16+1),"")</f>
        <v/>
      </c>
    </row>
    <row r="837" spans="2:14" x14ac:dyDescent="0.3">
      <c r="B837" t="s">
        <v>2173</v>
      </c>
      <c r="C837" t="s">
        <v>3019</v>
      </c>
      <c r="D837" t="s">
        <v>1032</v>
      </c>
      <c r="E837">
        <v>0</v>
      </c>
      <c r="F837" t="s">
        <v>1032</v>
      </c>
      <c r="K837" s="12" t="s">
        <v>5906</v>
      </c>
      <c r="N837" t="str" cm="1">
        <f t="array" ref="N837">IF(MOD(ROW()-ROW($B$2),16)=0,INDEX($M$2:$M$1000,(ROW()-ROW($B$2))/16+1),"")</f>
        <v/>
      </c>
    </row>
    <row r="838" spans="2:14" x14ac:dyDescent="0.3">
      <c r="B838" t="s">
        <v>2173</v>
      </c>
      <c r="C838" t="s">
        <v>3020</v>
      </c>
      <c r="D838" t="s">
        <v>1033</v>
      </c>
      <c r="E838">
        <v>0</v>
      </c>
      <c r="F838" t="s">
        <v>1033</v>
      </c>
      <c r="K838" s="12" t="s">
        <v>5907</v>
      </c>
      <c r="N838" t="str" cm="1">
        <f t="array" ref="N838">IF(MOD(ROW()-ROW($B$2),16)=0,INDEX($M$2:$M$1000,(ROW()-ROW($B$2))/16+1),"")</f>
        <v/>
      </c>
    </row>
    <row r="839" spans="2:14" x14ac:dyDescent="0.3">
      <c r="B839" t="s">
        <v>2173</v>
      </c>
      <c r="C839" t="s">
        <v>3021</v>
      </c>
      <c r="D839" t="s">
        <v>1034</v>
      </c>
      <c r="E839">
        <v>0</v>
      </c>
      <c r="F839" t="s">
        <v>1034</v>
      </c>
      <c r="K839" s="12" t="s">
        <v>5908</v>
      </c>
      <c r="N839" t="str" cm="1">
        <f t="array" ref="N839">IF(MOD(ROW()-ROW($B$2),16)=0,INDEX($M$2:$M$1000,(ROW()-ROW($B$2))/16+1),"")</f>
        <v/>
      </c>
    </row>
    <row r="840" spans="2:14" x14ac:dyDescent="0.3">
      <c r="B840" t="s">
        <v>2173</v>
      </c>
      <c r="C840" t="s">
        <v>3022</v>
      </c>
      <c r="D840" t="s">
        <v>1035</v>
      </c>
      <c r="E840">
        <v>0</v>
      </c>
      <c r="F840" t="s">
        <v>1035</v>
      </c>
      <c r="K840" s="12" t="s">
        <v>5909</v>
      </c>
      <c r="N840" t="str" cm="1">
        <f t="array" ref="N840">IF(MOD(ROW()-ROW($B$2),16)=0,INDEX($M$2:$M$1000,(ROW()-ROW($B$2))/16+1),"")</f>
        <v/>
      </c>
    </row>
    <row r="841" spans="2:14" x14ac:dyDescent="0.3">
      <c r="B841" t="s">
        <v>2173</v>
      </c>
      <c r="C841" t="s">
        <v>3023</v>
      </c>
      <c r="D841" t="s">
        <v>1036</v>
      </c>
      <c r="E841">
        <v>0</v>
      </c>
      <c r="F841" t="s">
        <v>1036</v>
      </c>
      <c r="K841" s="12" t="s">
        <v>5910</v>
      </c>
      <c r="N841" t="str" cm="1">
        <f t="array" ref="N841">IF(MOD(ROW()-ROW($B$2),16)=0,INDEX($M$2:$M$1000,(ROW()-ROW($B$2))/16+1),"")</f>
        <v/>
      </c>
    </row>
    <row r="842" spans="2:14" x14ac:dyDescent="0.3">
      <c r="B842" t="s">
        <v>2173</v>
      </c>
      <c r="C842" t="s">
        <v>3024</v>
      </c>
      <c r="D842" t="s">
        <v>1037</v>
      </c>
      <c r="E842">
        <v>0</v>
      </c>
      <c r="F842" t="s">
        <v>1037</v>
      </c>
      <c r="K842" s="12" t="s">
        <v>5911</v>
      </c>
      <c r="N842" t="str" cm="1">
        <f t="array" ref="N842">IF(MOD(ROW()-ROW($B$2),16)=0,INDEX($M$2:$M$1000,(ROW()-ROW($B$2))/16+1),"")</f>
        <v/>
      </c>
    </row>
    <row r="843" spans="2:14" x14ac:dyDescent="0.3">
      <c r="B843" t="s">
        <v>2173</v>
      </c>
      <c r="C843" t="s">
        <v>3025</v>
      </c>
      <c r="D843" t="s">
        <v>1038</v>
      </c>
      <c r="E843">
        <v>0</v>
      </c>
      <c r="F843" t="s">
        <v>1038</v>
      </c>
      <c r="K843" s="12" t="s">
        <v>5912</v>
      </c>
      <c r="N843" t="str" cm="1">
        <f t="array" ref="N843">IF(MOD(ROW()-ROW($B$2),16)=0,INDEX($M$2:$M$1000,(ROW()-ROW($B$2))/16+1),"")</f>
        <v/>
      </c>
    </row>
    <row r="844" spans="2:14" x14ac:dyDescent="0.3">
      <c r="B844" t="s">
        <v>2173</v>
      </c>
      <c r="C844" t="s">
        <v>3026</v>
      </c>
      <c r="D844" t="s">
        <v>1039</v>
      </c>
      <c r="E844">
        <v>0</v>
      </c>
      <c r="F844" t="s">
        <v>1039</v>
      </c>
      <c r="N844" t="str" cm="1">
        <f t="array" ref="N844">IF(MOD(ROW()-ROW($B$2),16)=0,INDEX($M$2:$M$1000,(ROW()-ROW($B$2))/16+1),"")</f>
        <v/>
      </c>
    </row>
    <row r="845" spans="2:14" x14ac:dyDescent="0.3">
      <c r="B845" t="s">
        <v>2173</v>
      </c>
      <c r="C845" t="s">
        <v>3027</v>
      </c>
      <c r="D845" t="s">
        <v>1040</v>
      </c>
      <c r="E845">
        <v>0</v>
      </c>
      <c r="F845" t="s">
        <v>1040</v>
      </c>
      <c r="N845" t="str" cm="1">
        <f t="array" ref="N845">IF(MOD(ROW()-ROW($B$2),16)=0,INDEX($M$2:$M$1000,(ROW()-ROW($B$2))/16+1),"")</f>
        <v/>
      </c>
    </row>
    <row r="846" spans="2:14" x14ac:dyDescent="0.3">
      <c r="B846" t="s">
        <v>2173</v>
      </c>
      <c r="C846" t="s">
        <v>3028</v>
      </c>
      <c r="D846" t="s">
        <v>1041</v>
      </c>
      <c r="E846">
        <v>0</v>
      </c>
      <c r="F846" t="s">
        <v>1041</v>
      </c>
      <c r="N846" t="str" cm="1">
        <f t="array" ref="N846">IF(MOD(ROW()-ROW($B$2),16)=0,INDEX($M$2:$M$1000,(ROW()-ROW($B$2))/16+1),"")</f>
        <v/>
      </c>
    </row>
    <row r="847" spans="2:14" x14ac:dyDescent="0.3">
      <c r="B847" t="s">
        <v>2173</v>
      </c>
      <c r="C847" t="s">
        <v>3029</v>
      </c>
      <c r="D847" t="s">
        <v>1042</v>
      </c>
      <c r="E847">
        <v>0</v>
      </c>
      <c r="F847" t="s">
        <v>1042</v>
      </c>
      <c r="N847" t="str" cm="1">
        <f t="array" ref="N847">IF(MOD(ROW()-ROW($B$2),16)=0,INDEX($M$2:$M$1000,(ROW()-ROW($B$2))/16+1),"")</f>
        <v/>
      </c>
    </row>
    <row r="848" spans="2:14" x14ac:dyDescent="0.3">
      <c r="B848" t="s">
        <v>2173</v>
      </c>
      <c r="C848" t="s">
        <v>3030</v>
      </c>
      <c r="D848" t="s">
        <v>1043</v>
      </c>
      <c r="E848">
        <v>0</v>
      </c>
      <c r="F848" t="s">
        <v>1043</v>
      </c>
      <c r="N848" t="str" cm="1">
        <f t="array" ref="N848">IF(MOD(ROW()-ROW($B$2),16)=0,INDEX($M$2:$M$1000,(ROW()-ROW($B$2))/16+1),"")</f>
        <v/>
      </c>
    </row>
    <row r="849" spans="2:14" x14ac:dyDescent="0.3">
      <c r="B849" t="s">
        <v>2173</v>
      </c>
      <c r="C849" t="s">
        <v>3031</v>
      </c>
      <c r="D849" t="s">
        <v>1044</v>
      </c>
      <c r="E849">
        <v>0</v>
      </c>
      <c r="F849" t="s">
        <v>1044</v>
      </c>
      <c r="N849" t="str" cm="1">
        <f t="array" ref="N849">IF(MOD(ROW()-ROW($B$2),16)=0,INDEX($M$2:$M$1000,(ROW()-ROW($B$2))/16+1),"")</f>
        <v/>
      </c>
    </row>
    <row r="850" spans="2:14" x14ac:dyDescent="0.3">
      <c r="B850" t="s">
        <v>2173</v>
      </c>
      <c r="C850" t="s">
        <v>3032</v>
      </c>
      <c r="D850" t="s">
        <v>1045</v>
      </c>
      <c r="E850">
        <v>0</v>
      </c>
      <c r="F850" t="s">
        <v>1045</v>
      </c>
      <c r="N850" t="str" cm="1">
        <f t="array" ref="N850">IF(MOD(ROW()-ROW($B$2),16)=0,INDEX($M$2:$M$1000,(ROW()-ROW($B$2))/16+1),"")</f>
        <v>Фиксированное число 53 (0)</v>
      </c>
    </row>
    <row r="851" spans="2:14" x14ac:dyDescent="0.3">
      <c r="B851" t="s">
        <v>2173</v>
      </c>
      <c r="C851" t="s">
        <v>3033</v>
      </c>
      <c r="D851" t="s">
        <v>1046</v>
      </c>
      <c r="E851">
        <v>0</v>
      </c>
      <c r="F851" t="s">
        <v>1046</v>
      </c>
      <c r="N851" t="str" cm="1">
        <f t="array" ref="N851">IF(MOD(ROW()-ROW($B$2),16)=0,INDEX($M$2:$M$1000,(ROW()-ROW($B$2))/16+1),"")</f>
        <v/>
      </c>
    </row>
    <row r="852" spans="2:14" x14ac:dyDescent="0.3">
      <c r="B852" t="s">
        <v>2173</v>
      </c>
      <c r="C852" t="s">
        <v>3034</v>
      </c>
      <c r="D852" t="s">
        <v>1047</v>
      </c>
      <c r="E852">
        <v>0</v>
      </c>
      <c r="F852" t="s">
        <v>1047</v>
      </c>
      <c r="N852" t="str" cm="1">
        <f t="array" ref="N852">IF(MOD(ROW()-ROW($B$2),16)=0,INDEX($M$2:$M$1000,(ROW()-ROW($B$2))/16+1),"")</f>
        <v/>
      </c>
    </row>
    <row r="853" spans="2:14" x14ac:dyDescent="0.3">
      <c r="B853" t="s">
        <v>2173</v>
      </c>
      <c r="C853" t="s">
        <v>3035</v>
      </c>
      <c r="D853" t="s">
        <v>1048</v>
      </c>
      <c r="E853">
        <v>0</v>
      </c>
      <c r="F853" t="s">
        <v>1048</v>
      </c>
      <c r="N853" t="str" cm="1">
        <f t="array" ref="N853">IF(MOD(ROW()-ROW($B$2),16)=0,INDEX($M$2:$M$1000,(ROW()-ROW($B$2))/16+1),"")</f>
        <v/>
      </c>
    </row>
    <row r="854" spans="2:14" x14ac:dyDescent="0.3">
      <c r="B854" t="s">
        <v>2173</v>
      </c>
      <c r="C854" t="s">
        <v>3036</v>
      </c>
      <c r="D854" t="s">
        <v>1049</v>
      </c>
      <c r="E854">
        <v>0</v>
      </c>
      <c r="F854" t="s">
        <v>1049</v>
      </c>
      <c r="N854" t="str" cm="1">
        <f t="array" ref="N854">IF(MOD(ROW()-ROW($B$2),16)=0,INDEX($M$2:$M$1000,(ROW()-ROW($B$2))/16+1),"")</f>
        <v/>
      </c>
    </row>
    <row r="855" spans="2:14" x14ac:dyDescent="0.3">
      <c r="B855" t="s">
        <v>2173</v>
      </c>
      <c r="C855" t="s">
        <v>3037</v>
      </c>
      <c r="D855" t="s">
        <v>1050</v>
      </c>
      <c r="E855">
        <v>0</v>
      </c>
      <c r="F855" t="s">
        <v>1050</v>
      </c>
      <c r="N855" t="str" cm="1">
        <f t="array" ref="N855">IF(MOD(ROW()-ROW($B$2),16)=0,INDEX($M$2:$M$1000,(ROW()-ROW($B$2))/16+1),"")</f>
        <v/>
      </c>
    </row>
    <row r="856" spans="2:14" x14ac:dyDescent="0.3">
      <c r="B856" t="s">
        <v>2173</v>
      </c>
      <c r="C856" t="s">
        <v>3038</v>
      </c>
      <c r="D856" t="s">
        <v>1051</v>
      </c>
      <c r="E856">
        <v>0</v>
      </c>
      <c r="F856" t="s">
        <v>1051</v>
      </c>
      <c r="N856" t="str" cm="1">
        <f t="array" ref="N856">IF(MOD(ROW()-ROW($B$2),16)=0,INDEX($M$2:$M$1000,(ROW()-ROW($B$2))/16+1),"")</f>
        <v/>
      </c>
    </row>
    <row r="857" spans="2:14" x14ac:dyDescent="0.3">
      <c r="B857" t="s">
        <v>2173</v>
      </c>
      <c r="C857" t="s">
        <v>3039</v>
      </c>
      <c r="D857" t="s">
        <v>1052</v>
      </c>
      <c r="E857">
        <v>0</v>
      </c>
      <c r="F857" t="s">
        <v>1052</v>
      </c>
      <c r="N857" t="str" cm="1">
        <f t="array" ref="N857">IF(MOD(ROW()-ROW($B$2),16)=0,INDEX($M$2:$M$1000,(ROW()-ROW($B$2))/16+1),"")</f>
        <v/>
      </c>
    </row>
    <row r="858" spans="2:14" x14ac:dyDescent="0.3">
      <c r="B858" t="s">
        <v>2173</v>
      </c>
      <c r="C858" t="s">
        <v>3040</v>
      </c>
      <c r="D858" t="s">
        <v>1053</v>
      </c>
      <c r="E858">
        <v>0</v>
      </c>
      <c r="F858" t="s">
        <v>1053</v>
      </c>
      <c r="N858" t="str" cm="1">
        <f t="array" ref="N858">IF(MOD(ROW()-ROW($B$2),16)=0,INDEX($M$2:$M$1000,(ROW()-ROW($B$2))/16+1),"")</f>
        <v/>
      </c>
    </row>
    <row r="859" spans="2:14" x14ac:dyDescent="0.3">
      <c r="B859" t="s">
        <v>2173</v>
      </c>
      <c r="C859" t="s">
        <v>3041</v>
      </c>
      <c r="D859" t="s">
        <v>1054</v>
      </c>
      <c r="E859">
        <v>0</v>
      </c>
      <c r="F859" t="s">
        <v>1054</v>
      </c>
      <c r="N859" t="str" cm="1">
        <f t="array" ref="N859">IF(MOD(ROW()-ROW($B$2),16)=0,INDEX($M$2:$M$1000,(ROW()-ROW($B$2))/16+1),"")</f>
        <v/>
      </c>
    </row>
    <row r="860" spans="2:14" x14ac:dyDescent="0.3">
      <c r="B860" t="s">
        <v>2173</v>
      </c>
      <c r="C860" t="s">
        <v>3042</v>
      </c>
      <c r="D860" t="s">
        <v>1055</v>
      </c>
      <c r="E860">
        <v>0</v>
      </c>
      <c r="F860" t="s">
        <v>1055</v>
      </c>
      <c r="N860" t="str" cm="1">
        <f t="array" ref="N860">IF(MOD(ROW()-ROW($B$2),16)=0,INDEX($M$2:$M$1000,(ROW()-ROW($B$2))/16+1),"")</f>
        <v/>
      </c>
    </row>
    <row r="861" spans="2:14" x14ac:dyDescent="0.3">
      <c r="B861" t="s">
        <v>2173</v>
      </c>
      <c r="C861" t="s">
        <v>3043</v>
      </c>
      <c r="D861" t="s">
        <v>1056</v>
      </c>
      <c r="E861">
        <v>0</v>
      </c>
      <c r="F861" t="s">
        <v>1056</v>
      </c>
      <c r="N861" t="str" cm="1">
        <f t="array" ref="N861">IF(MOD(ROW()-ROW($B$2),16)=0,INDEX($M$2:$M$1000,(ROW()-ROW($B$2))/16+1),"")</f>
        <v/>
      </c>
    </row>
    <row r="862" spans="2:14" x14ac:dyDescent="0.3">
      <c r="B862" t="s">
        <v>2173</v>
      </c>
      <c r="C862" t="s">
        <v>3044</v>
      </c>
      <c r="D862" t="s">
        <v>1057</v>
      </c>
      <c r="E862">
        <v>0</v>
      </c>
      <c r="F862" t="s">
        <v>1057</v>
      </c>
      <c r="N862" t="str" cm="1">
        <f t="array" ref="N862">IF(MOD(ROW()-ROW($B$2),16)=0,INDEX($M$2:$M$1000,(ROW()-ROW($B$2))/16+1),"")</f>
        <v/>
      </c>
    </row>
    <row r="863" spans="2:14" x14ac:dyDescent="0.3">
      <c r="B863" t="s">
        <v>2173</v>
      </c>
      <c r="C863" t="s">
        <v>3045</v>
      </c>
      <c r="D863" t="s">
        <v>1058</v>
      </c>
      <c r="E863">
        <v>0</v>
      </c>
      <c r="F863" t="s">
        <v>1058</v>
      </c>
      <c r="N863" t="str" cm="1">
        <f t="array" ref="N863">IF(MOD(ROW()-ROW($B$2),16)=0,INDEX($M$2:$M$1000,(ROW()-ROW($B$2))/16+1),"")</f>
        <v/>
      </c>
    </row>
    <row r="864" spans="2:14" x14ac:dyDescent="0.3">
      <c r="B864" t="s">
        <v>2173</v>
      </c>
      <c r="C864" t="s">
        <v>3046</v>
      </c>
      <c r="D864" t="s">
        <v>1059</v>
      </c>
      <c r="E864">
        <v>0</v>
      </c>
      <c r="F864" t="s">
        <v>1059</v>
      </c>
      <c r="N864" t="str" cm="1">
        <f t="array" ref="N864">IF(MOD(ROW()-ROW($B$2),16)=0,INDEX($M$2:$M$1000,(ROW()-ROW($B$2))/16+1),"")</f>
        <v/>
      </c>
    </row>
    <row r="865" spans="2:14" x14ac:dyDescent="0.3">
      <c r="B865" t="s">
        <v>2173</v>
      </c>
      <c r="C865" t="s">
        <v>3047</v>
      </c>
      <c r="D865" t="s">
        <v>1060</v>
      </c>
      <c r="E865">
        <v>0</v>
      </c>
      <c r="F865" t="s">
        <v>1060</v>
      </c>
      <c r="N865" t="str" cm="1">
        <f t="array" ref="N865">IF(MOD(ROW()-ROW($B$2),16)=0,INDEX($M$2:$M$1000,(ROW()-ROW($B$2))/16+1),"")</f>
        <v/>
      </c>
    </row>
    <row r="866" spans="2:14" x14ac:dyDescent="0.3">
      <c r="B866" t="s">
        <v>2173</v>
      </c>
      <c r="C866" t="s">
        <v>3048</v>
      </c>
      <c r="D866" t="s">
        <v>1061</v>
      </c>
      <c r="E866">
        <v>0</v>
      </c>
      <c r="F866" t="s">
        <v>1061</v>
      </c>
      <c r="N866" t="str" cm="1">
        <f t="array" ref="N866">IF(MOD(ROW()-ROW($B$2),16)=0,INDEX($M$2:$M$1000,(ROW()-ROW($B$2))/16+1),"")</f>
        <v>Фиксированное число 54 (0)</v>
      </c>
    </row>
    <row r="867" spans="2:14" x14ac:dyDescent="0.3">
      <c r="B867" t="s">
        <v>2173</v>
      </c>
      <c r="C867" t="s">
        <v>3049</v>
      </c>
      <c r="D867" t="s">
        <v>1062</v>
      </c>
      <c r="E867">
        <v>0</v>
      </c>
      <c r="F867" t="s">
        <v>1062</v>
      </c>
      <c r="N867" t="str" cm="1">
        <f t="array" ref="N867">IF(MOD(ROW()-ROW($B$2),16)=0,INDEX($M$2:$M$1000,(ROW()-ROW($B$2))/16+1),"")</f>
        <v/>
      </c>
    </row>
    <row r="868" spans="2:14" x14ac:dyDescent="0.3">
      <c r="B868" t="s">
        <v>2173</v>
      </c>
      <c r="C868" t="s">
        <v>3050</v>
      </c>
      <c r="D868" t="s">
        <v>1063</v>
      </c>
      <c r="E868">
        <v>0</v>
      </c>
      <c r="F868" t="s">
        <v>1063</v>
      </c>
      <c r="N868" t="str" cm="1">
        <f t="array" ref="N868">IF(MOD(ROW()-ROW($B$2),16)=0,INDEX($M$2:$M$1000,(ROW()-ROW($B$2))/16+1),"")</f>
        <v/>
      </c>
    </row>
    <row r="869" spans="2:14" x14ac:dyDescent="0.3">
      <c r="B869" t="s">
        <v>2173</v>
      </c>
      <c r="C869" t="s">
        <v>3051</v>
      </c>
      <c r="D869" t="s">
        <v>1064</v>
      </c>
      <c r="E869">
        <v>0</v>
      </c>
      <c r="F869" t="s">
        <v>1064</v>
      </c>
      <c r="N869" t="str" cm="1">
        <f t="array" ref="N869">IF(MOD(ROW()-ROW($B$2),16)=0,INDEX($M$2:$M$1000,(ROW()-ROW($B$2))/16+1),"")</f>
        <v/>
      </c>
    </row>
    <row r="870" spans="2:14" x14ac:dyDescent="0.3">
      <c r="B870" t="s">
        <v>2173</v>
      </c>
      <c r="C870" t="s">
        <v>3052</v>
      </c>
      <c r="D870" t="s">
        <v>1065</v>
      </c>
      <c r="E870">
        <v>0</v>
      </c>
      <c r="F870" t="s">
        <v>1065</v>
      </c>
      <c r="N870" t="str" cm="1">
        <f t="array" ref="N870">IF(MOD(ROW()-ROW($B$2),16)=0,INDEX($M$2:$M$1000,(ROW()-ROW($B$2))/16+1),"")</f>
        <v/>
      </c>
    </row>
    <row r="871" spans="2:14" x14ac:dyDescent="0.3">
      <c r="B871" t="s">
        <v>2173</v>
      </c>
      <c r="C871" t="s">
        <v>3053</v>
      </c>
      <c r="D871" t="s">
        <v>1066</v>
      </c>
      <c r="E871">
        <v>0</v>
      </c>
      <c r="F871" t="s">
        <v>1066</v>
      </c>
      <c r="N871" t="str" cm="1">
        <f t="array" ref="N871">IF(MOD(ROW()-ROW($B$2),16)=0,INDEX($M$2:$M$1000,(ROW()-ROW($B$2))/16+1),"")</f>
        <v/>
      </c>
    </row>
    <row r="872" spans="2:14" x14ac:dyDescent="0.3">
      <c r="B872" t="s">
        <v>2173</v>
      </c>
      <c r="C872" t="s">
        <v>3054</v>
      </c>
      <c r="D872" t="s">
        <v>1067</v>
      </c>
      <c r="E872">
        <v>0</v>
      </c>
      <c r="F872" t="s">
        <v>1067</v>
      </c>
      <c r="N872" t="str" cm="1">
        <f t="array" ref="N872">IF(MOD(ROW()-ROW($B$2),16)=0,INDEX($M$2:$M$1000,(ROW()-ROW($B$2))/16+1),"")</f>
        <v/>
      </c>
    </row>
    <row r="873" spans="2:14" x14ac:dyDescent="0.3">
      <c r="B873" t="s">
        <v>2173</v>
      </c>
      <c r="C873" t="s">
        <v>3055</v>
      </c>
      <c r="D873" t="s">
        <v>1068</v>
      </c>
      <c r="E873">
        <v>0</v>
      </c>
      <c r="F873" t="s">
        <v>1068</v>
      </c>
      <c r="N873" t="str" cm="1">
        <f t="array" ref="N873">IF(MOD(ROW()-ROW($B$2),16)=0,INDEX($M$2:$M$1000,(ROW()-ROW($B$2))/16+1),"")</f>
        <v/>
      </c>
    </row>
    <row r="874" spans="2:14" x14ac:dyDescent="0.3">
      <c r="B874" t="s">
        <v>2173</v>
      </c>
      <c r="C874" t="s">
        <v>3056</v>
      </c>
      <c r="D874" t="s">
        <v>1069</v>
      </c>
      <c r="E874">
        <v>0</v>
      </c>
      <c r="F874" t="s">
        <v>1069</v>
      </c>
      <c r="N874" t="str" cm="1">
        <f t="array" ref="N874">IF(MOD(ROW()-ROW($B$2),16)=0,INDEX($M$2:$M$1000,(ROW()-ROW($B$2))/16+1),"")</f>
        <v/>
      </c>
    </row>
    <row r="875" spans="2:14" x14ac:dyDescent="0.3">
      <c r="B875" t="s">
        <v>2173</v>
      </c>
      <c r="C875" t="s">
        <v>3057</v>
      </c>
      <c r="D875" t="s">
        <v>1070</v>
      </c>
      <c r="E875">
        <v>0</v>
      </c>
      <c r="F875" t="s">
        <v>1070</v>
      </c>
      <c r="N875" t="str" cm="1">
        <f t="array" ref="N875">IF(MOD(ROW()-ROW($B$2),16)=0,INDEX($M$2:$M$1000,(ROW()-ROW($B$2))/16+1),"")</f>
        <v/>
      </c>
    </row>
    <row r="876" spans="2:14" x14ac:dyDescent="0.3">
      <c r="B876" t="s">
        <v>2173</v>
      </c>
      <c r="C876" t="s">
        <v>3058</v>
      </c>
      <c r="D876" t="s">
        <v>1071</v>
      </c>
      <c r="E876">
        <v>0</v>
      </c>
      <c r="F876" t="s">
        <v>1071</v>
      </c>
      <c r="N876" t="str" cm="1">
        <f t="array" ref="N876">IF(MOD(ROW()-ROW($B$2),16)=0,INDEX($M$2:$M$1000,(ROW()-ROW($B$2))/16+1),"")</f>
        <v/>
      </c>
    </row>
    <row r="877" spans="2:14" x14ac:dyDescent="0.3">
      <c r="B877" t="s">
        <v>2173</v>
      </c>
      <c r="C877" t="s">
        <v>3059</v>
      </c>
      <c r="D877" t="s">
        <v>1072</v>
      </c>
      <c r="E877">
        <v>0</v>
      </c>
      <c r="F877" t="s">
        <v>1072</v>
      </c>
      <c r="N877" t="str" cm="1">
        <f t="array" ref="N877">IF(MOD(ROW()-ROW($B$2),16)=0,INDEX($M$2:$M$1000,(ROW()-ROW($B$2))/16+1),"")</f>
        <v/>
      </c>
    </row>
    <row r="878" spans="2:14" x14ac:dyDescent="0.3">
      <c r="B878" t="s">
        <v>2173</v>
      </c>
      <c r="C878" t="s">
        <v>3060</v>
      </c>
      <c r="D878" t="s">
        <v>1073</v>
      </c>
      <c r="E878">
        <v>0</v>
      </c>
      <c r="F878" t="s">
        <v>1073</v>
      </c>
      <c r="N878" t="str" cm="1">
        <f t="array" ref="N878">IF(MOD(ROW()-ROW($B$2),16)=0,INDEX($M$2:$M$1000,(ROW()-ROW($B$2))/16+1),"")</f>
        <v/>
      </c>
    </row>
    <row r="879" spans="2:14" x14ac:dyDescent="0.3">
      <c r="B879" t="s">
        <v>2173</v>
      </c>
      <c r="C879" t="s">
        <v>3061</v>
      </c>
      <c r="D879" t="s">
        <v>1074</v>
      </c>
      <c r="E879">
        <v>0</v>
      </c>
      <c r="F879" t="s">
        <v>1074</v>
      </c>
      <c r="N879" t="str" cm="1">
        <f t="array" ref="N879">IF(MOD(ROW()-ROW($B$2),16)=0,INDEX($M$2:$M$1000,(ROW()-ROW($B$2))/16+1),"")</f>
        <v/>
      </c>
    </row>
    <row r="880" spans="2:14" x14ac:dyDescent="0.3">
      <c r="B880" t="s">
        <v>2173</v>
      </c>
      <c r="C880" t="s">
        <v>3062</v>
      </c>
      <c r="D880" t="s">
        <v>1075</v>
      </c>
      <c r="E880">
        <v>0</v>
      </c>
      <c r="F880" t="s">
        <v>1075</v>
      </c>
      <c r="N880" t="str" cm="1">
        <f t="array" ref="N880">IF(MOD(ROW()-ROW($B$2),16)=0,INDEX($M$2:$M$1000,(ROW()-ROW($B$2))/16+1),"")</f>
        <v/>
      </c>
    </row>
    <row r="881" spans="2:14" x14ac:dyDescent="0.3">
      <c r="B881" t="s">
        <v>2173</v>
      </c>
      <c r="C881" t="s">
        <v>3063</v>
      </c>
      <c r="D881" t="s">
        <v>1076</v>
      </c>
      <c r="E881">
        <v>0</v>
      </c>
      <c r="F881" t="s">
        <v>1076</v>
      </c>
      <c r="N881" t="str" cm="1">
        <f t="array" ref="N881">IF(MOD(ROW()-ROW($B$2),16)=0,INDEX($M$2:$M$1000,(ROW()-ROW($B$2))/16+1),"")</f>
        <v/>
      </c>
    </row>
    <row r="882" spans="2:14" x14ac:dyDescent="0.3">
      <c r="B882" t="s">
        <v>2173</v>
      </c>
      <c r="C882" t="s">
        <v>3064</v>
      </c>
      <c r="D882" t="s">
        <v>1077</v>
      </c>
      <c r="E882">
        <v>0</v>
      </c>
      <c r="F882" t="s">
        <v>1077</v>
      </c>
      <c r="N882" t="str" cm="1">
        <f t="array" ref="N882">IF(MOD(ROW()-ROW($B$2),16)=0,INDEX($M$2:$M$1000,(ROW()-ROW($B$2))/16+1),"")</f>
        <v>Фиксированное число 55 (0)</v>
      </c>
    </row>
    <row r="883" spans="2:14" x14ac:dyDescent="0.3">
      <c r="B883" t="s">
        <v>2173</v>
      </c>
      <c r="C883" t="s">
        <v>3065</v>
      </c>
      <c r="D883" t="s">
        <v>1078</v>
      </c>
      <c r="E883">
        <v>0</v>
      </c>
      <c r="F883" t="s">
        <v>1078</v>
      </c>
      <c r="N883" t="str" cm="1">
        <f t="array" ref="N883">IF(MOD(ROW()-ROW($B$2),16)=0,INDEX($M$2:$M$1000,(ROW()-ROW($B$2))/16+1),"")</f>
        <v/>
      </c>
    </row>
    <row r="884" spans="2:14" x14ac:dyDescent="0.3">
      <c r="B884" t="s">
        <v>2173</v>
      </c>
      <c r="C884" t="s">
        <v>3066</v>
      </c>
      <c r="D884" t="s">
        <v>1079</v>
      </c>
      <c r="E884">
        <v>0</v>
      </c>
      <c r="F884" t="s">
        <v>1079</v>
      </c>
      <c r="N884" t="str" cm="1">
        <f t="array" ref="N884">IF(MOD(ROW()-ROW($B$2),16)=0,INDEX($M$2:$M$1000,(ROW()-ROW($B$2))/16+1),"")</f>
        <v/>
      </c>
    </row>
    <row r="885" spans="2:14" x14ac:dyDescent="0.3">
      <c r="B885" t="s">
        <v>2173</v>
      </c>
      <c r="C885" t="s">
        <v>3067</v>
      </c>
      <c r="D885" t="s">
        <v>1080</v>
      </c>
      <c r="E885">
        <v>0</v>
      </c>
      <c r="F885" t="s">
        <v>1080</v>
      </c>
      <c r="N885" t="str" cm="1">
        <f t="array" ref="N885">IF(MOD(ROW()-ROW($B$2),16)=0,INDEX($M$2:$M$1000,(ROW()-ROW($B$2))/16+1),"")</f>
        <v/>
      </c>
    </row>
    <row r="886" spans="2:14" x14ac:dyDescent="0.3">
      <c r="B886" t="s">
        <v>2173</v>
      </c>
      <c r="C886" t="s">
        <v>3068</v>
      </c>
      <c r="D886" t="s">
        <v>1081</v>
      </c>
      <c r="E886">
        <v>0</v>
      </c>
      <c r="F886" t="s">
        <v>1081</v>
      </c>
      <c r="N886" t="str" cm="1">
        <f t="array" ref="N886">IF(MOD(ROW()-ROW($B$2),16)=0,INDEX($M$2:$M$1000,(ROW()-ROW($B$2))/16+1),"")</f>
        <v/>
      </c>
    </row>
    <row r="887" spans="2:14" x14ac:dyDescent="0.3">
      <c r="B887" t="s">
        <v>2173</v>
      </c>
      <c r="C887" t="s">
        <v>3069</v>
      </c>
      <c r="D887" t="s">
        <v>1082</v>
      </c>
      <c r="E887">
        <v>0</v>
      </c>
      <c r="F887" t="s">
        <v>1082</v>
      </c>
      <c r="N887" t="str" cm="1">
        <f t="array" ref="N887">IF(MOD(ROW()-ROW($B$2),16)=0,INDEX($M$2:$M$1000,(ROW()-ROW($B$2))/16+1),"")</f>
        <v/>
      </c>
    </row>
    <row r="888" spans="2:14" x14ac:dyDescent="0.3">
      <c r="B888" t="s">
        <v>2173</v>
      </c>
      <c r="C888" t="s">
        <v>3070</v>
      </c>
      <c r="D888" t="s">
        <v>1083</v>
      </c>
      <c r="E888">
        <v>0</v>
      </c>
      <c r="F888" t="s">
        <v>1083</v>
      </c>
      <c r="N888" t="str" cm="1">
        <f t="array" ref="N888">IF(MOD(ROW()-ROW($B$2),16)=0,INDEX($M$2:$M$1000,(ROW()-ROW($B$2))/16+1),"")</f>
        <v/>
      </c>
    </row>
    <row r="889" spans="2:14" x14ac:dyDescent="0.3">
      <c r="B889" t="s">
        <v>2173</v>
      </c>
      <c r="C889" t="s">
        <v>3071</v>
      </c>
      <c r="D889" t="s">
        <v>1084</v>
      </c>
      <c r="E889">
        <v>0</v>
      </c>
      <c r="F889" t="s">
        <v>1084</v>
      </c>
      <c r="N889" t="str" cm="1">
        <f t="array" ref="N889">IF(MOD(ROW()-ROW($B$2),16)=0,INDEX($M$2:$M$1000,(ROW()-ROW($B$2))/16+1),"")</f>
        <v/>
      </c>
    </row>
    <row r="890" spans="2:14" x14ac:dyDescent="0.3">
      <c r="B890" t="s">
        <v>2173</v>
      </c>
      <c r="C890" t="s">
        <v>3072</v>
      </c>
      <c r="D890" t="s">
        <v>1085</v>
      </c>
      <c r="E890">
        <v>0</v>
      </c>
      <c r="F890" t="s">
        <v>1085</v>
      </c>
      <c r="N890" t="str" cm="1">
        <f t="array" ref="N890">IF(MOD(ROW()-ROW($B$2),16)=0,INDEX($M$2:$M$1000,(ROW()-ROW($B$2))/16+1),"")</f>
        <v/>
      </c>
    </row>
    <row r="891" spans="2:14" x14ac:dyDescent="0.3">
      <c r="B891" t="s">
        <v>2173</v>
      </c>
      <c r="C891" t="s">
        <v>3073</v>
      </c>
      <c r="D891" t="s">
        <v>1086</v>
      </c>
      <c r="E891">
        <v>0</v>
      </c>
      <c r="F891" t="s">
        <v>1086</v>
      </c>
      <c r="N891" t="str" cm="1">
        <f t="array" ref="N891">IF(MOD(ROW()-ROW($B$2),16)=0,INDEX($M$2:$M$1000,(ROW()-ROW($B$2))/16+1),"")</f>
        <v/>
      </c>
    </row>
    <row r="892" spans="2:14" x14ac:dyDescent="0.3">
      <c r="B892" t="s">
        <v>2173</v>
      </c>
      <c r="C892" t="s">
        <v>3074</v>
      </c>
      <c r="D892" t="s">
        <v>1087</v>
      </c>
      <c r="E892">
        <v>0</v>
      </c>
      <c r="F892" t="s">
        <v>1087</v>
      </c>
      <c r="N892" t="str" cm="1">
        <f t="array" ref="N892">IF(MOD(ROW()-ROW($B$2),16)=0,INDEX($M$2:$M$1000,(ROW()-ROW($B$2))/16+1),"")</f>
        <v/>
      </c>
    </row>
    <row r="893" spans="2:14" x14ac:dyDescent="0.3">
      <c r="B893" t="s">
        <v>2173</v>
      </c>
      <c r="C893" t="s">
        <v>3075</v>
      </c>
      <c r="D893" t="s">
        <v>1088</v>
      </c>
      <c r="E893">
        <v>0</v>
      </c>
      <c r="F893" t="s">
        <v>1088</v>
      </c>
      <c r="N893" t="str" cm="1">
        <f t="array" ref="N893">IF(MOD(ROW()-ROW($B$2),16)=0,INDEX($M$2:$M$1000,(ROW()-ROW($B$2))/16+1),"")</f>
        <v/>
      </c>
    </row>
    <row r="894" spans="2:14" x14ac:dyDescent="0.3">
      <c r="B894" t="s">
        <v>2173</v>
      </c>
      <c r="C894" t="s">
        <v>3076</v>
      </c>
      <c r="D894" t="s">
        <v>1089</v>
      </c>
      <c r="E894">
        <v>0</v>
      </c>
      <c r="F894" t="s">
        <v>1089</v>
      </c>
      <c r="N894" t="str" cm="1">
        <f t="array" ref="N894">IF(MOD(ROW()-ROW($B$2),16)=0,INDEX($M$2:$M$1000,(ROW()-ROW($B$2))/16+1),"")</f>
        <v/>
      </c>
    </row>
    <row r="895" spans="2:14" x14ac:dyDescent="0.3">
      <c r="B895" t="s">
        <v>2173</v>
      </c>
      <c r="C895" t="s">
        <v>3077</v>
      </c>
      <c r="D895" t="s">
        <v>1090</v>
      </c>
      <c r="E895">
        <v>0</v>
      </c>
      <c r="F895" t="s">
        <v>1090</v>
      </c>
      <c r="N895" t="str" cm="1">
        <f t="array" ref="N895">IF(MOD(ROW()-ROW($B$2),16)=0,INDEX($M$2:$M$1000,(ROW()-ROW($B$2))/16+1),"")</f>
        <v/>
      </c>
    </row>
    <row r="896" spans="2:14" x14ac:dyDescent="0.3">
      <c r="B896" t="s">
        <v>2173</v>
      </c>
      <c r="C896" t="s">
        <v>3078</v>
      </c>
      <c r="D896" t="s">
        <v>1091</v>
      </c>
      <c r="E896">
        <v>0</v>
      </c>
      <c r="F896" t="s">
        <v>1091</v>
      </c>
      <c r="N896" t="str" cm="1">
        <f t="array" ref="N896">IF(MOD(ROW()-ROW($B$2),16)=0,INDEX($M$2:$M$1000,(ROW()-ROW($B$2))/16+1),"")</f>
        <v/>
      </c>
    </row>
    <row r="897" spans="2:14" x14ac:dyDescent="0.3">
      <c r="B897" t="s">
        <v>2173</v>
      </c>
      <c r="C897" t="s">
        <v>3079</v>
      </c>
      <c r="D897" t="s">
        <v>1092</v>
      </c>
      <c r="E897">
        <v>0</v>
      </c>
      <c r="F897" t="s">
        <v>1092</v>
      </c>
      <c r="N897" t="str" cm="1">
        <f t="array" ref="N897">IF(MOD(ROW()-ROW($B$2),16)=0,INDEX($M$2:$M$1000,(ROW()-ROW($B$2))/16+1),"")</f>
        <v/>
      </c>
    </row>
    <row r="898" spans="2:14" x14ac:dyDescent="0.3">
      <c r="B898" t="s">
        <v>2173</v>
      </c>
      <c r="C898" t="s">
        <v>3080</v>
      </c>
      <c r="D898" t="s">
        <v>1093</v>
      </c>
      <c r="E898">
        <v>0</v>
      </c>
      <c r="F898" t="s">
        <v>1093</v>
      </c>
      <c r="N898" t="str" cm="1">
        <f t="array" ref="N898">IF(MOD(ROW()-ROW($B$2),16)=0,INDEX($M$2:$M$1000,(ROW()-ROW($B$2))/16+1),"")</f>
        <v>Фиксированное число 56 (0)</v>
      </c>
    </row>
    <row r="899" spans="2:14" x14ac:dyDescent="0.3">
      <c r="B899" t="s">
        <v>2173</v>
      </c>
      <c r="C899" t="s">
        <v>3081</v>
      </c>
      <c r="D899" t="s">
        <v>1094</v>
      </c>
      <c r="E899">
        <v>0</v>
      </c>
      <c r="F899" t="s">
        <v>1094</v>
      </c>
      <c r="N899" t="str" cm="1">
        <f t="array" ref="N899">IF(MOD(ROW()-ROW($B$2),16)=0,INDEX($M$2:$M$1000,(ROW()-ROW($B$2))/16+1),"")</f>
        <v/>
      </c>
    </row>
    <row r="900" spans="2:14" x14ac:dyDescent="0.3">
      <c r="B900" t="s">
        <v>2173</v>
      </c>
      <c r="C900" t="s">
        <v>3082</v>
      </c>
      <c r="D900" t="s">
        <v>1095</v>
      </c>
      <c r="E900">
        <v>0</v>
      </c>
      <c r="F900" t="s">
        <v>1095</v>
      </c>
      <c r="N900" t="str" cm="1">
        <f t="array" ref="N900">IF(MOD(ROW()-ROW($B$2),16)=0,INDEX($M$2:$M$1000,(ROW()-ROW($B$2))/16+1),"")</f>
        <v/>
      </c>
    </row>
    <row r="901" spans="2:14" x14ac:dyDescent="0.3">
      <c r="B901" t="s">
        <v>2173</v>
      </c>
      <c r="C901" t="s">
        <v>3083</v>
      </c>
      <c r="D901" t="s">
        <v>1096</v>
      </c>
      <c r="E901">
        <v>0</v>
      </c>
      <c r="F901" t="s">
        <v>1096</v>
      </c>
      <c r="N901" t="str" cm="1">
        <f t="array" ref="N901">IF(MOD(ROW()-ROW($B$2),16)=0,INDEX($M$2:$M$1000,(ROW()-ROW($B$2))/16+1),"")</f>
        <v/>
      </c>
    </row>
    <row r="902" spans="2:14" x14ac:dyDescent="0.3">
      <c r="B902" t="s">
        <v>2173</v>
      </c>
      <c r="C902" t="s">
        <v>3084</v>
      </c>
      <c r="D902" t="s">
        <v>1097</v>
      </c>
      <c r="E902">
        <v>0</v>
      </c>
      <c r="F902" t="s">
        <v>1097</v>
      </c>
      <c r="N902" t="str" cm="1">
        <f t="array" ref="N902">IF(MOD(ROW()-ROW($B$2),16)=0,INDEX($M$2:$M$1000,(ROW()-ROW($B$2))/16+1),"")</f>
        <v/>
      </c>
    </row>
    <row r="903" spans="2:14" x14ac:dyDescent="0.3">
      <c r="B903" t="s">
        <v>2173</v>
      </c>
      <c r="C903" t="s">
        <v>3085</v>
      </c>
      <c r="D903" t="s">
        <v>1098</v>
      </c>
      <c r="E903">
        <v>0</v>
      </c>
      <c r="F903" t="s">
        <v>1098</v>
      </c>
      <c r="N903" t="str" cm="1">
        <f t="array" ref="N903">IF(MOD(ROW()-ROW($B$2),16)=0,INDEX($M$2:$M$1000,(ROW()-ROW($B$2))/16+1),"")</f>
        <v/>
      </c>
    </row>
    <row r="904" spans="2:14" x14ac:dyDescent="0.3">
      <c r="B904" t="s">
        <v>2173</v>
      </c>
      <c r="C904" t="s">
        <v>3086</v>
      </c>
      <c r="D904" t="s">
        <v>1099</v>
      </c>
      <c r="E904">
        <v>0</v>
      </c>
      <c r="F904" t="s">
        <v>1099</v>
      </c>
      <c r="N904" t="str" cm="1">
        <f t="array" ref="N904">IF(MOD(ROW()-ROW($B$2),16)=0,INDEX($M$2:$M$1000,(ROW()-ROW($B$2))/16+1),"")</f>
        <v/>
      </c>
    </row>
    <row r="905" spans="2:14" x14ac:dyDescent="0.3">
      <c r="B905" t="s">
        <v>2173</v>
      </c>
      <c r="C905" t="s">
        <v>3087</v>
      </c>
      <c r="D905" t="s">
        <v>1100</v>
      </c>
      <c r="E905">
        <v>0</v>
      </c>
      <c r="F905" t="s">
        <v>1100</v>
      </c>
      <c r="N905" t="str" cm="1">
        <f t="array" ref="N905">IF(MOD(ROW()-ROW($B$2),16)=0,INDEX($M$2:$M$1000,(ROW()-ROW($B$2))/16+1),"")</f>
        <v/>
      </c>
    </row>
    <row r="906" spans="2:14" x14ac:dyDescent="0.3">
      <c r="B906" t="s">
        <v>2173</v>
      </c>
      <c r="C906" t="s">
        <v>3088</v>
      </c>
      <c r="D906" t="s">
        <v>1101</v>
      </c>
      <c r="E906">
        <v>0</v>
      </c>
      <c r="F906" t="s">
        <v>1101</v>
      </c>
      <c r="N906" t="str" cm="1">
        <f t="array" ref="N906">IF(MOD(ROW()-ROW($B$2),16)=0,INDEX($M$2:$M$1000,(ROW()-ROW($B$2))/16+1),"")</f>
        <v/>
      </c>
    </row>
    <row r="907" spans="2:14" x14ac:dyDescent="0.3">
      <c r="B907" t="s">
        <v>2173</v>
      </c>
      <c r="C907" t="s">
        <v>3089</v>
      </c>
      <c r="D907" t="s">
        <v>1102</v>
      </c>
      <c r="E907">
        <v>0</v>
      </c>
      <c r="F907" t="s">
        <v>1102</v>
      </c>
      <c r="N907" t="str" cm="1">
        <f t="array" ref="N907">IF(MOD(ROW()-ROW($B$2),16)=0,INDEX($M$2:$M$1000,(ROW()-ROW($B$2))/16+1),"")</f>
        <v/>
      </c>
    </row>
    <row r="908" spans="2:14" x14ac:dyDescent="0.3">
      <c r="B908" t="s">
        <v>2173</v>
      </c>
      <c r="C908" t="s">
        <v>3090</v>
      </c>
      <c r="D908" t="s">
        <v>1103</v>
      </c>
      <c r="E908">
        <v>0</v>
      </c>
      <c r="F908" t="s">
        <v>1103</v>
      </c>
      <c r="N908" t="str" cm="1">
        <f t="array" ref="N908">IF(MOD(ROW()-ROW($B$2),16)=0,INDEX($M$2:$M$1000,(ROW()-ROW($B$2))/16+1),"")</f>
        <v/>
      </c>
    </row>
    <row r="909" spans="2:14" x14ac:dyDescent="0.3">
      <c r="B909" t="s">
        <v>2173</v>
      </c>
      <c r="C909" t="s">
        <v>3091</v>
      </c>
      <c r="D909" t="s">
        <v>1104</v>
      </c>
      <c r="E909">
        <v>0</v>
      </c>
      <c r="F909" t="s">
        <v>1104</v>
      </c>
      <c r="N909" t="str" cm="1">
        <f t="array" ref="N909">IF(MOD(ROW()-ROW($B$2),16)=0,INDEX($M$2:$M$1000,(ROW()-ROW($B$2))/16+1),"")</f>
        <v/>
      </c>
    </row>
    <row r="910" spans="2:14" x14ac:dyDescent="0.3">
      <c r="B910" t="s">
        <v>2173</v>
      </c>
      <c r="C910" t="s">
        <v>3092</v>
      </c>
      <c r="D910" t="s">
        <v>1105</v>
      </c>
      <c r="E910">
        <v>0</v>
      </c>
      <c r="F910" t="s">
        <v>1105</v>
      </c>
      <c r="N910" t="str" cm="1">
        <f t="array" ref="N910">IF(MOD(ROW()-ROW($B$2),16)=0,INDEX($M$2:$M$1000,(ROW()-ROW($B$2))/16+1),"")</f>
        <v/>
      </c>
    </row>
    <row r="911" spans="2:14" x14ac:dyDescent="0.3">
      <c r="B911" t="s">
        <v>2173</v>
      </c>
      <c r="C911" t="s">
        <v>3093</v>
      </c>
      <c r="D911" t="s">
        <v>1106</v>
      </c>
      <c r="E911">
        <v>0</v>
      </c>
      <c r="F911" t="s">
        <v>1106</v>
      </c>
      <c r="N911" t="str" cm="1">
        <f t="array" ref="N911">IF(MOD(ROW()-ROW($B$2),16)=0,INDEX($M$2:$M$1000,(ROW()-ROW($B$2))/16+1),"")</f>
        <v/>
      </c>
    </row>
    <row r="912" spans="2:14" x14ac:dyDescent="0.3">
      <c r="B912" t="s">
        <v>2173</v>
      </c>
      <c r="C912" t="s">
        <v>3094</v>
      </c>
      <c r="D912" t="s">
        <v>1107</v>
      </c>
      <c r="E912">
        <v>0</v>
      </c>
      <c r="F912" t="s">
        <v>1107</v>
      </c>
      <c r="N912" t="str" cm="1">
        <f t="array" ref="N912">IF(MOD(ROW()-ROW($B$2),16)=0,INDEX($M$2:$M$1000,(ROW()-ROW($B$2))/16+1),"")</f>
        <v/>
      </c>
    </row>
    <row r="913" spans="2:14" x14ac:dyDescent="0.3">
      <c r="B913" t="s">
        <v>2173</v>
      </c>
      <c r="C913" t="s">
        <v>3095</v>
      </c>
      <c r="D913" t="s">
        <v>1108</v>
      </c>
      <c r="E913">
        <v>0</v>
      </c>
      <c r="F913" t="s">
        <v>1108</v>
      </c>
      <c r="N913" t="str" cm="1">
        <f t="array" ref="N913">IF(MOD(ROW()-ROW($B$2),16)=0,INDEX($M$2:$M$1000,(ROW()-ROW($B$2))/16+1),"")</f>
        <v/>
      </c>
    </row>
    <row r="914" spans="2:14" x14ac:dyDescent="0.3">
      <c r="B914" t="s">
        <v>2173</v>
      </c>
      <c r="C914" t="s">
        <v>3096</v>
      </c>
      <c r="D914" t="s">
        <v>1109</v>
      </c>
      <c r="E914">
        <v>0</v>
      </c>
      <c r="F914" t="s">
        <v>1109</v>
      </c>
      <c r="N914" t="str" cm="1">
        <f t="array" ref="N914">IF(MOD(ROW()-ROW($B$2),16)=0,INDEX($M$2:$M$1000,(ROW()-ROW($B$2))/16+1),"")</f>
        <v>Фиксированное число 57 (0)</v>
      </c>
    </row>
    <row r="915" spans="2:14" x14ac:dyDescent="0.3">
      <c r="B915" t="s">
        <v>2173</v>
      </c>
      <c r="C915" t="s">
        <v>3097</v>
      </c>
      <c r="D915" t="s">
        <v>1110</v>
      </c>
      <c r="E915">
        <v>0</v>
      </c>
      <c r="F915" t="s">
        <v>1110</v>
      </c>
      <c r="N915" t="str" cm="1">
        <f t="array" ref="N915">IF(MOD(ROW()-ROW($B$2),16)=0,INDEX($M$2:$M$1000,(ROW()-ROW($B$2))/16+1),"")</f>
        <v/>
      </c>
    </row>
    <row r="916" spans="2:14" x14ac:dyDescent="0.3">
      <c r="B916" t="s">
        <v>2173</v>
      </c>
      <c r="C916" t="s">
        <v>3098</v>
      </c>
      <c r="D916" t="s">
        <v>1111</v>
      </c>
      <c r="E916">
        <v>0</v>
      </c>
      <c r="F916" t="s">
        <v>1111</v>
      </c>
      <c r="N916" t="str" cm="1">
        <f t="array" ref="N916">IF(MOD(ROW()-ROW($B$2),16)=0,INDEX($M$2:$M$1000,(ROW()-ROW($B$2))/16+1),"")</f>
        <v/>
      </c>
    </row>
    <row r="917" spans="2:14" x14ac:dyDescent="0.3">
      <c r="B917" t="s">
        <v>2173</v>
      </c>
      <c r="C917" t="s">
        <v>3099</v>
      </c>
      <c r="D917" t="s">
        <v>1112</v>
      </c>
      <c r="E917">
        <v>0</v>
      </c>
      <c r="F917" t="s">
        <v>1112</v>
      </c>
      <c r="N917" t="str" cm="1">
        <f t="array" ref="N917">IF(MOD(ROW()-ROW($B$2),16)=0,INDEX($M$2:$M$1000,(ROW()-ROW($B$2))/16+1),"")</f>
        <v/>
      </c>
    </row>
    <row r="918" spans="2:14" x14ac:dyDescent="0.3">
      <c r="B918" t="s">
        <v>2173</v>
      </c>
      <c r="C918" t="s">
        <v>3100</v>
      </c>
      <c r="D918" t="s">
        <v>1113</v>
      </c>
      <c r="E918">
        <v>0</v>
      </c>
      <c r="F918" t="s">
        <v>1113</v>
      </c>
      <c r="N918" t="str" cm="1">
        <f t="array" ref="N918">IF(MOD(ROW()-ROW($B$2),16)=0,INDEX($M$2:$M$1000,(ROW()-ROW($B$2))/16+1),"")</f>
        <v/>
      </c>
    </row>
    <row r="919" spans="2:14" x14ac:dyDescent="0.3">
      <c r="B919" t="s">
        <v>2173</v>
      </c>
      <c r="C919" t="s">
        <v>3101</v>
      </c>
      <c r="D919" t="s">
        <v>1114</v>
      </c>
      <c r="E919">
        <v>0</v>
      </c>
      <c r="F919" t="s">
        <v>1114</v>
      </c>
      <c r="N919" t="str" cm="1">
        <f t="array" ref="N919">IF(MOD(ROW()-ROW($B$2),16)=0,INDEX($M$2:$M$1000,(ROW()-ROW($B$2))/16+1),"")</f>
        <v/>
      </c>
    </row>
    <row r="920" spans="2:14" x14ac:dyDescent="0.3">
      <c r="B920" t="s">
        <v>2173</v>
      </c>
      <c r="C920" t="s">
        <v>3102</v>
      </c>
      <c r="D920" t="s">
        <v>1115</v>
      </c>
      <c r="E920">
        <v>0</v>
      </c>
      <c r="F920" t="s">
        <v>1115</v>
      </c>
      <c r="N920" t="str" cm="1">
        <f t="array" ref="N920">IF(MOD(ROW()-ROW($B$2),16)=0,INDEX($M$2:$M$1000,(ROW()-ROW($B$2))/16+1),"")</f>
        <v/>
      </c>
    </row>
    <row r="921" spans="2:14" x14ac:dyDescent="0.3">
      <c r="B921" t="s">
        <v>2173</v>
      </c>
      <c r="C921" t="s">
        <v>3103</v>
      </c>
      <c r="D921" t="s">
        <v>1116</v>
      </c>
      <c r="E921">
        <v>0</v>
      </c>
      <c r="F921" t="s">
        <v>1116</v>
      </c>
      <c r="N921" t="str" cm="1">
        <f t="array" ref="N921">IF(MOD(ROW()-ROW($B$2),16)=0,INDEX($M$2:$M$1000,(ROW()-ROW($B$2))/16+1),"")</f>
        <v/>
      </c>
    </row>
    <row r="922" spans="2:14" x14ac:dyDescent="0.3">
      <c r="B922" t="s">
        <v>2173</v>
      </c>
      <c r="C922" t="s">
        <v>3104</v>
      </c>
      <c r="D922" t="s">
        <v>1117</v>
      </c>
      <c r="E922">
        <v>0</v>
      </c>
      <c r="F922" t="s">
        <v>1117</v>
      </c>
      <c r="N922" t="str" cm="1">
        <f t="array" ref="N922">IF(MOD(ROW()-ROW($B$2),16)=0,INDEX($M$2:$M$1000,(ROW()-ROW($B$2))/16+1),"")</f>
        <v/>
      </c>
    </row>
    <row r="923" spans="2:14" x14ac:dyDescent="0.3">
      <c r="B923" t="s">
        <v>2173</v>
      </c>
      <c r="C923" t="s">
        <v>3105</v>
      </c>
      <c r="D923" t="s">
        <v>1118</v>
      </c>
      <c r="E923">
        <v>0</v>
      </c>
      <c r="F923" t="s">
        <v>1118</v>
      </c>
      <c r="N923" t="str" cm="1">
        <f t="array" ref="N923">IF(MOD(ROW()-ROW($B$2),16)=0,INDEX($M$2:$M$1000,(ROW()-ROW($B$2))/16+1),"")</f>
        <v/>
      </c>
    </row>
    <row r="924" spans="2:14" x14ac:dyDescent="0.3">
      <c r="B924" t="s">
        <v>2173</v>
      </c>
      <c r="C924" t="s">
        <v>3106</v>
      </c>
      <c r="D924" t="s">
        <v>1119</v>
      </c>
      <c r="E924">
        <v>0</v>
      </c>
      <c r="F924" t="s">
        <v>1119</v>
      </c>
      <c r="N924" t="str" cm="1">
        <f t="array" ref="N924">IF(MOD(ROW()-ROW($B$2),16)=0,INDEX($M$2:$M$1000,(ROW()-ROW($B$2))/16+1),"")</f>
        <v/>
      </c>
    </row>
    <row r="925" spans="2:14" x14ac:dyDescent="0.3">
      <c r="B925" t="s">
        <v>2173</v>
      </c>
      <c r="C925" t="s">
        <v>3107</v>
      </c>
      <c r="D925" t="s">
        <v>1120</v>
      </c>
      <c r="E925">
        <v>0</v>
      </c>
      <c r="F925" t="s">
        <v>1120</v>
      </c>
      <c r="N925" t="str" cm="1">
        <f t="array" ref="N925">IF(MOD(ROW()-ROW($B$2),16)=0,INDEX($M$2:$M$1000,(ROW()-ROW($B$2))/16+1),"")</f>
        <v/>
      </c>
    </row>
    <row r="926" spans="2:14" x14ac:dyDescent="0.3">
      <c r="B926" t="s">
        <v>2173</v>
      </c>
      <c r="C926" t="s">
        <v>3108</v>
      </c>
      <c r="D926" t="s">
        <v>1121</v>
      </c>
      <c r="E926">
        <v>0</v>
      </c>
      <c r="F926" t="s">
        <v>1121</v>
      </c>
      <c r="N926" t="str" cm="1">
        <f t="array" ref="N926">IF(MOD(ROW()-ROW($B$2),16)=0,INDEX($M$2:$M$1000,(ROW()-ROW($B$2))/16+1),"")</f>
        <v/>
      </c>
    </row>
    <row r="927" spans="2:14" x14ac:dyDescent="0.3">
      <c r="B927" t="s">
        <v>2173</v>
      </c>
      <c r="C927" t="s">
        <v>3109</v>
      </c>
      <c r="D927" t="s">
        <v>1122</v>
      </c>
      <c r="E927">
        <v>0</v>
      </c>
      <c r="F927" t="s">
        <v>1122</v>
      </c>
      <c r="N927" t="str" cm="1">
        <f t="array" ref="N927">IF(MOD(ROW()-ROW($B$2),16)=0,INDEX($M$2:$M$1000,(ROW()-ROW($B$2))/16+1),"")</f>
        <v/>
      </c>
    </row>
    <row r="928" spans="2:14" x14ac:dyDescent="0.3">
      <c r="B928" t="s">
        <v>2173</v>
      </c>
      <c r="C928" t="s">
        <v>3110</v>
      </c>
      <c r="D928" t="s">
        <v>1123</v>
      </c>
      <c r="E928">
        <v>0</v>
      </c>
      <c r="F928" t="s">
        <v>1123</v>
      </c>
      <c r="N928" t="str" cm="1">
        <f t="array" ref="N928">IF(MOD(ROW()-ROW($B$2),16)=0,INDEX($M$2:$M$1000,(ROW()-ROW($B$2))/16+1),"")</f>
        <v/>
      </c>
    </row>
    <row r="929" spans="2:14" x14ac:dyDescent="0.3">
      <c r="B929" t="s">
        <v>2173</v>
      </c>
      <c r="C929" t="s">
        <v>3111</v>
      </c>
      <c r="D929" t="s">
        <v>1124</v>
      </c>
      <c r="E929">
        <v>0</v>
      </c>
      <c r="F929" t="s">
        <v>1124</v>
      </c>
      <c r="N929" t="str" cm="1">
        <f t="array" ref="N929">IF(MOD(ROW()-ROW($B$2),16)=0,INDEX($M$2:$M$1000,(ROW()-ROW($B$2))/16+1),"")</f>
        <v/>
      </c>
    </row>
    <row r="930" spans="2:14" x14ac:dyDescent="0.3">
      <c r="B930" t="s">
        <v>2173</v>
      </c>
      <c r="C930" t="s">
        <v>3112</v>
      </c>
      <c r="D930" t="s">
        <v>1125</v>
      </c>
      <c r="E930">
        <v>0</v>
      </c>
      <c r="F930" t="s">
        <v>1125</v>
      </c>
      <c r="N930" t="str" cm="1">
        <f t="array" ref="N930">IF(MOD(ROW()-ROW($B$2),16)=0,INDEX($M$2:$M$1000,(ROW()-ROW($B$2))/16+1),"")</f>
        <v>Фиксированное число 58 (0)</v>
      </c>
    </row>
    <row r="931" spans="2:14" x14ac:dyDescent="0.3">
      <c r="B931" t="s">
        <v>2173</v>
      </c>
      <c r="C931" t="s">
        <v>3113</v>
      </c>
      <c r="D931" t="s">
        <v>1126</v>
      </c>
      <c r="E931">
        <v>0</v>
      </c>
      <c r="F931" t="s">
        <v>1126</v>
      </c>
      <c r="N931" t="str" cm="1">
        <f t="array" ref="N931">IF(MOD(ROW()-ROW($B$2),16)=0,INDEX($M$2:$M$1000,(ROW()-ROW($B$2))/16+1),"")</f>
        <v/>
      </c>
    </row>
    <row r="932" spans="2:14" x14ac:dyDescent="0.3">
      <c r="B932" t="s">
        <v>2173</v>
      </c>
      <c r="C932" t="s">
        <v>3114</v>
      </c>
      <c r="D932" t="s">
        <v>1127</v>
      </c>
      <c r="E932">
        <v>0</v>
      </c>
      <c r="F932" t="s">
        <v>1127</v>
      </c>
      <c r="N932" t="str" cm="1">
        <f t="array" ref="N932">IF(MOD(ROW()-ROW($B$2),16)=0,INDEX($M$2:$M$1000,(ROW()-ROW($B$2))/16+1),"")</f>
        <v/>
      </c>
    </row>
    <row r="933" spans="2:14" x14ac:dyDescent="0.3">
      <c r="B933" t="s">
        <v>2173</v>
      </c>
      <c r="C933" t="s">
        <v>3115</v>
      </c>
      <c r="D933" t="s">
        <v>1128</v>
      </c>
      <c r="E933">
        <v>0</v>
      </c>
      <c r="F933" t="s">
        <v>1128</v>
      </c>
      <c r="N933" t="str" cm="1">
        <f t="array" ref="N933">IF(MOD(ROW()-ROW($B$2),16)=0,INDEX($M$2:$M$1000,(ROW()-ROW($B$2))/16+1),"")</f>
        <v/>
      </c>
    </row>
    <row r="934" spans="2:14" x14ac:dyDescent="0.3">
      <c r="B934" t="s">
        <v>2173</v>
      </c>
      <c r="C934" t="s">
        <v>3116</v>
      </c>
      <c r="D934" t="s">
        <v>1129</v>
      </c>
      <c r="E934">
        <v>0</v>
      </c>
      <c r="F934" t="s">
        <v>1129</v>
      </c>
      <c r="N934" t="str" cm="1">
        <f t="array" ref="N934">IF(MOD(ROW()-ROW($B$2),16)=0,INDEX($M$2:$M$1000,(ROW()-ROW($B$2))/16+1),"")</f>
        <v/>
      </c>
    </row>
    <row r="935" spans="2:14" x14ac:dyDescent="0.3">
      <c r="B935" t="s">
        <v>2173</v>
      </c>
      <c r="C935" t="s">
        <v>3117</v>
      </c>
      <c r="D935" t="s">
        <v>1130</v>
      </c>
      <c r="E935">
        <v>0</v>
      </c>
      <c r="F935" t="s">
        <v>1130</v>
      </c>
      <c r="N935" t="str" cm="1">
        <f t="array" ref="N935">IF(MOD(ROW()-ROW($B$2),16)=0,INDEX($M$2:$M$1000,(ROW()-ROW($B$2))/16+1),"")</f>
        <v/>
      </c>
    </row>
    <row r="936" spans="2:14" x14ac:dyDescent="0.3">
      <c r="B936" t="s">
        <v>2173</v>
      </c>
      <c r="C936" t="s">
        <v>3118</v>
      </c>
      <c r="D936" t="s">
        <v>1131</v>
      </c>
      <c r="E936">
        <v>0</v>
      </c>
      <c r="F936" t="s">
        <v>1131</v>
      </c>
      <c r="N936" t="str" cm="1">
        <f t="array" ref="N936">IF(MOD(ROW()-ROW($B$2),16)=0,INDEX($M$2:$M$1000,(ROW()-ROW($B$2))/16+1),"")</f>
        <v/>
      </c>
    </row>
    <row r="937" spans="2:14" x14ac:dyDescent="0.3">
      <c r="B937" t="s">
        <v>2173</v>
      </c>
      <c r="C937" t="s">
        <v>3119</v>
      </c>
      <c r="D937" t="s">
        <v>1132</v>
      </c>
      <c r="E937">
        <v>0</v>
      </c>
      <c r="F937" t="s">
        <v>1132</v>
      </c>
      <c r="N937" t="str" cm="1">
        <f t="array" ref="N937">IF(MOD(ROW()-ROW($B$2),16)=0,INDEX($M$2:$M$1000,(ROW()-ROW($B$2))/16+1),"")</f>
        <v/>
      </c>
    </row>
    <row r="938" spans="2:14" x14ac:dyDescent="0.3">
      <c r="B938" t="s">
        <v>2173</v>
      </c>
      <c r="C938" t="s">
        <v>3120</v>
      </c>
      <c r="D938" t="s">
        <v>1133</v>
      </c>
      <c r="E938">
        <v>0</v>
      </c>
      <c r="F938" t="s">
        <v>1133</v>
      </c>
      <c r="N938" t="str" cm="1">
        <f t="array" ref="N938">IF(MOD(ROW()-ROW($B$2),16)=0,INDEX($M$2:$M$1000,(ROW()-ROW($B$2))/16+1),"")</f>
        <v/>
      </c>
    </row>
    <row r="939" spans="2:14" x14ac:dyDescent="0.3">
      <c r="B939" t="s">
        <v>2173</v>
      </c>
      <c r="C939" t="s">
        <v>3121</v>
      </c>
      <c r="D939" t="s">
        <v>1134</v>
      </c>
      <c r="E939">
        <v>0</v>
      </c>
      <c r="F939" t="s">
        <v>1134</v>
      </c>
      <c r="N939" t="str" cm="1">
        <f t="array" ref="N939">IF(MOD(ROW()-ROW($B$2),16)=0,INDEX($M$2:$M$1000,(ROW()-ROW($B$2))/16+1),"")</f>
        <v/>
      </c>
    </row>
    <row r="940" spans="2:14" x14ac:dyDescent="0.3">
      <c r="B940" t="s">
        <v>2173</v>
      </c>
      <c r="C940" t="s">
        <v>3122</v>
      </c>
      <c r="D940" t="s">
        <v>1135</v>
      </c>
      <c r="E940">
        <v>0</v>
      </c>
      <c r="F940" t="s">
        <v>1135</v>
      </c>
      <c r="N940" t="str" cm="1">
        <f t="array" ref="N940">IF(MOD(ROW()-ROW($B$2),16)=0,INDEX($M$2:$M$1000,(ROW()-ROW($B$2))/16+1),"")</f>
        <v/>
      </c>
    </row>
    <row r="941" spans="2:14" x14ac:dyDescent="0.3">
      <c r="B941" t="s">
        <v>2173</v>
      </c>
      <c r="C941" t="s">
        <v>3123</v>
      </c>
      <c r="D941" t="s">
        <v>1136</v>
      </c>
      <c r="E941">
        <v>0</v>
      </c>
      <c r="F941" t="s">
        <v>1136</v>
      </c>
      <c r="N941" t="str" cm="1">
        <f t="array" ref="N941">IF(MOD(ROW()-ROW($B$2),16)=0,INDEX($M$2:$M$1000,(ROW()-ROW($B$2))/16+1),"")</f>
        <v/>
      </c>
    </row>
    <row r="942" spans="2:14" x14ac:dyDescent="0.3">
      <c r="B942" t="s">
        <v>2173</v>
      </c>
      <c r="C942" t="s">
        <v>3124</v>
      </c>
      <c r="D942" t="s">
        <v>1137</v>
      </c>
      <c r="E942">
        <v>0</v>
      </c>
      <c r="F942" t="s">
        <v>1137</v>
      </c>
      <c r="N942" t="str" cm="1">
        <f t="array" ref="N942">IF(MOD(ROW()-ROW($B$2),16)=0,INDEX($M$2:$M$1000,(ROW()-ROW($B$2))/16+1),"")</f>
        <v/>
      </c>
    </row>
    <row r="943" spans="2:14" x14ac:dyDescent="0.3">
      <c r="B943" t="s">
        <v>2173</v>
      </c>
      <c r="C943" t="s">
        <v>3125</v>
      </c>
      <c r="D943" t="s">
        <v>1138</v>
      </c>
      <c r="E943">
        <v>0</v>
      </c>
      <c r="F943" t="s">
        <v>1138</v>
      </c>
      <c r="N943" t="str" cm="1">
        <f t="array" ref="N943">IF(MOD(ROW()-ROW($B$2),16)=0,INDEX($M$2:$M$1000,(ROW()-ROW($B$2))/16+1),"")</f>
        <v/>
      </c>
    </row>
    <row r="944" spans="2:14" x14ac:dyDescent="0.3">
      <c r="B944" t="s">
        <v>2173</v>
      </c>
      <c r="C944" t="s">
        <v>3126</v>
      </c>
      <c r="D944" t="s">
        <v>1139</v>
      </c>
      <c r="E944">
        <v>0</v>
      </c>
      <c r="F944" t="s">
        <v>1139</v>
      </c>
      <c r="N944" t="str" cm="1">
        <f t="array" ref="N944">IF(MOD(ROW()-ROW($B$2),16)=0,INDEX($M$2:$M$1000,(ROW()-ROW($B$2))/16+1),"")</f>
        <v/>
      </c>
    </row>
    <row r="945" spans="2:14" x14ac:dyDescent="0.3">
      <c r="B945" t="s">
        <v>2173</v>
      </c>
      <c r="C945" t="s">
        <v>3127</v>
      </c>
      <c r="D945" t="s">
        <v>1140</v>
      </c>
      <c r="E945">
        <v>0</v>
      </c>
      <c r="F945" t="s">
        <v>1140</v>
      </c>
      <c r="N945" t="str" cm="1">
        <f t="array" ref="N945">IF(MOD(ROW()-ROW($B$2),16)=0,INDEX($M$2:$M$1000,(ROW()-ROW($B$2))/16+1),"")</f>
        <v/>
      </c>
    </row>
    <row r="946" spans="2:14" x14ac:dyDescent="0.3">
      <c r="B946" t="s">
        <v>2173</v>
      </c>
      <c r="C946" t="s">
        <v>3128</v>
      </c>
      <c r="D946" t="s">
        <v>1141</v>
      </c>
      <c r="E946">
        <v>0</v>
      </c>
      <c r="F946" t="s">
        <v>1141</v>
      </c>
      <c r="N946" t="str" cm="1">
        <f t="array" ref="N946">IF(MOD(ROW()-ROW($B$2),16)=0,INDEX($M$2:$M$1000,(ROW()-ROW($B$2))/16+1),"")</f>
        <v>Фиксированное число 59 (0)</v>
      </c>
    </row>
    <row r="947" spans="2:14" x14ac:dyDescent="0.3">
      <c r="B947" t="s">
        <v>2173</v>
      </c>
      <c r="C947" t="s">
        <v>3129</v>
      </c>
      <c r="D947" t="s">
        <v>1142</v>
      </c>
      <c r="E947">
        <v>0</v>
      </c>
      <c r="F947" t="s">
        <v>1142</v>
      </c>
      <c r="N947" t="str" cm="1">
        <f t="array" ref="N947">IF(MOD(ROW()-ROW($B$2),16)=0,INDEX($M$2:$M$1000,(ROW()-ROW($B$2))/16+1),"")</f>
        <v/>
      </c>
    </row>
    <row r="948" spans="2:14" x14ac:dyDescent="0.3">
      <c r="B948" t="s">
        <v>2173</v>
      </c>
      <c r="C948" t="s">
        <v>3130</v>
      </c>
      <c r="D948" t="s">
        <v>1143</v>
      </c>
      <c r="E948">
        <v>0</v>
      </c>
      <c r="F948" t="s">
        <v>1143</v>
      </c>
      <c r="N948" t="str" cm="1">
        <f t="array" ref="N948">IF(MOD(ROW()-ROW($B$2),16)=0,INDEX($M$2:$M$1000,(ROW()-ROW($B$2))/16+1),"")</f>
        <v/>
      </c>
    </row>
    <row r="949" spans="2:14" x14ac:dyDescent="0.3">
      <c r="B949" t="s">
        <v>2173</v>
      </c>
      <c r="C949" t="s">
        <v>3131</v>
      </c>
      <c r="D949" t="s">
        <v>1144</v>
      </c>
      <c r="E949">
        <v>0</v>
      </c>
      <c r="F949" t="s">
        <v>1144</v>
      </c>
      <c r="N949" t="str" cm="1">
        <f t="array" ref="N949">IF(MOD(ROW()-ROW($B$2),16)=0,INDEX($M$2:$M$1000,(ROW()-ROW($B$2))/16+1),"")</f>
        <v/>
      </c>
    </row>
    <row r="950" spans="2:14" x14ac:dyDescent="0.3">
      <c r="B950" t="s">
        <v>2173</v>
      </c>
      <c r="C950" t="s">
        <v>3132</v>
      </c>
      <c r="D950" t="s">
        <v>1145</v>
      </c>
      <c r="E950">
        <v>0</v>
      </c>
      <c r="F950" t="s">
        <v>1145</v>
      </c>
      <c r="N950" t="str" cm="1">
        <f t="array" ref="N950">IF(MOD(ROW()-ROW($B$2),16)=0,INDEX($M$2:$M$1000,(ROW()-ROW($B$2))/16+1),"")</f>
        <v/>
      </c>
    </row>
    <row r="951" spans="2:14" x14ac:dyDescent="0.3">
      <c r="B951" t="s">
        <v>2173</v>
      </c>
      <c r="C951" t="s">
        <v>3133</v>
      </c>
      <c r="D951" t="s">
        <v>1146</v>
      </c>
      <c r="E951">
        <v>0</v>
      </c>
      <c r="F951" t="s">
        <v>1146</v>
      </c>
      <c r="N951" t="str" cm="1">
        <f t="array" ref="N951">IF(MOD(ROW()-ROW($B$2),16)=0,INDEX($M$2:$M$1000,(ROW()-ROW($B$2))/16+1),"")</f>
        <v/>
      </c>
    </row>
    <row r="952" spans="2:14" x14ac:dyDescent="0.3">
      <c r="B952" t="s">
        <v>2173</v>
      </c>
      <c r="C952" t="s">
        <v>3134</v>
      </c>
      <c r="D952" t="s">
        <v>1147</v>
      </c>
      <c r="E952">
        <v>0</v>
      </c>
      <c r="F952" t="s">
        <v>1147</v>
      </c>
      <c r="N952" t="str" cm="1">
        <f t="array" ref="N952">IF(MOD(ROW()-ROW($B$2),16)=0,INDEX($M$2:$M$1000,(ROW()-ROW($B$2))/16+1),"")</f>
        <v/>
      </c>
    </row>
    <row r="953" spans="2:14" x14ac:dyDescent="0.3">
      <c r="B953" t="s">
        <v>2173</v>
      </c>
      <c r="C953" t="s">
        <v>3135</v>
      </c>
      <c r="D953" t="s">
        <v>1148</v>
      </c>
      <c r="E953">
        <v>0</v>
      </c>
      <c r="F953" t="s">
        <v>1148</v>
      </c>
      <c r="N953" t="str" cm="1">
        <f t="array" ref="N953">IF(MOD(ROW()-ROW($B$2),16)=0,INDEX($M$2:$M$1000,(ROW()-ROW($B$2))/16+1),"")</f>
        <v/>
      </c>
    </row>
    <row r="954" spans="2:14" x14ac:dyDescent="0.3">
      <c r="B954" t="s">
        <v>2173</v>
      </c>
      <c r="C954" t="s">
        <v>3136</v>
      </c>
      <c r="D954" t="s">
        <v>1149</v>
      </c>
      <c r="E954">
        <v>0</v>
      </c>
      <c r="F954" t="s">
        <v>1149</v>
      </c>
      <c r="N954" t="str" cm="1">
        <f t="array" ref="N954">IF(MOD(ROW()-ROW($B$2),16)=0,INDEX($M$2:$M$1000,(ROW()-ROW($B$2))/16+1),"")</f>
        <v/>
      </c>
    </row>
    <row r="955" spans="2:14" x14ac:dyDescent="0.3">
      <c r="B955" t="s">
        <v>2173</v>
      </c>
      <c r="C955" t="s">
        <v>3137</v>
      </c>
      <c r="D955" t="s">
        <v>1150</v>
      </c>
      <c r="E955">
        <v>0</v>
      </c>
      <c r="F955" t="s">
        <v>1150</v>
      </c>
      <c r="N955" t="str" cm="1">
        <f t="array" ref="N955">IF(MOD(ROW()-ROW($B$2),16)=0,INDEX($M$2:$M$1000,(ROW()-ROW($B$2))/16+1),"")</f>
        <v/>
      </c>
    </row>
    <row r="956" spans="2:14" x14ac:dyDescent="0.3">
      <c r="B956" t="s">
        <v>2173</v>
      </c>
      <c r="C956" t="s">
        <v>3138</v>
      </c>
      <c r="D956" t="s">
        <v>1151</v>
      </c>
      <c r="E956">
        <v>0</v>
      </c>
      <c r="F956" t="s">
        <v>1151</v>
      </c>
      <c r="N956" t="str" cm="1">
        <f t="array" ref="N956">IF(MOD(ROW()-ROW($B$2),16)=0,INDEX($M$2:$M$1000,(ROW()-ROW($B$2))/16+1),"")</f>
        <v/>
      </c>
    </row>
    <row r="957" spans="2:14" x14ac:dyDescent="0.3">
      <c r="B957" t="s">
        <v>2173</v>
      </c>
      <c r="C957" t="s">
        <v>3139</v>
      </c>
      <c r="D957" t="s">
        <v>1152</v>
      </c>
      <c r="E957">
        <v>0</v>
      </c>
      <c r="F957" t="s">
        <v>1152</v>
      </c>
      <c r="N957" t="str" cm="1">
        <f t="array" ref="N957">IF(MOD(ROW()-ROW($B$2),16)=0,INDEX($M$2:$M$1000,(ROW()-ROW($B$2))/16+1),"")</f>
        <v/>
      </c>
    </row>
    <row r="958" spans="2:14" x14ac:dyDescent="0.3">
      <c r="B958" t="s">
        <v>2173</v>
      </c>
      <c r="C958" t="s">
        <v>3140</v>
      </c>
      <c r="D958" t="s">
        <v>1153</v>
      </c>
      <c r="E958">
        <v>0</v>
      </c>
      <c r="F958" t="s">
        <v>1153</v>
      </c>
      <c r="N958" t="str" cm="1">
        <f t="array" ref="N958">IF(MOD(ROW()-ROW($B$2),16)=0,INDEX($M$2:$M$1000,(ROW()-ROW($B$2))/16+1),"")</f>
        <v/>
      </c>
    </row>
    <row r="959" spans="2:14" x14ac:dyDescent="0.3">
      <c r="B959" t="s">
        <v>2173</v>
      </c>
      <c r="C959" t="s">
        <v>3141</v>
      </c>
      <c r="D959" t="s">
        <v>1154</v>
      </c>
      <c r="E959">
        <v>0</v>
      </c>
      <c r="F959" t="s">
        <v>1154</v>
      </c>
      <c r="N959" t="str" cm="1">
        <f t="array" ref="N959">IF(MOD(ROW()-ROW($B$2),16)=0,INDEX($M$2:$M$1000,(ROW()-ROW($B$2))/16+1),"")</f>
        <v/>
      </c>
    </row>
    <row r="960" spans="2:14" x14ac:dyDescent="0.3">
      <c r="B960" t="s">
        <v>2173</v>
      </c>
      <c r="C960" t="s">
        <v>3142</v>
      </c>
      <c r="D960" t="s">
        <v>1155</v>
      </c>
      <c r="E960">
        <v>0</v>
      </c>
      <c r="F960" t="s">
        <v>1155</v>
      </c>
      <c r="N960" t="str" cm="1">
        <f t="array" ref="N960">IF(MOD(ROW()-ROW($B$2),16)=0,INDEX($M$2:$M$1000,(ROW()-ROW($B$2))/16+1),"")</f>
        <v/>
      </c>
    </row>
    <row r="961" spans="2:14" x14ac:dyDescent="0.3">
      <c r="B961" t="s">
        <v>2173</v>
      </c>
      <c r="C961" t="s">
        <v>3143</v>
      </c>
      <c r="D961" t="s">
        <v>1156</v>
      </c>
      <c r="E961">
        <v>0</v>
      </c>
      <c r="F961" t="s">
        <v>1156</v>
      </c>
      <c r="N961" t="str" cm="1">
        <f t="array" ref="N961">IF(MOD(ROW()-ROW($B$2),16)=0,INDEX($M$2:$M$1000,(ROW()-ROW($B$2))/16+1),"")</f>
        <v/>
      </c>
    </row>
    <row r="962" spans="2:14" x14ac:dyDescent="0.3">
      <c r="B962" t="s">
        <v>2173</v>
      </c>
      <c r="C962" t="s">
        <v>3144</v>
      </c>
      <c r="D962" t="s">
        <v>1157</v>
      </c>
      <c r="E962">
        <v>0</v>
      </c>
      <c r="F962" t="s">
        <v>1157</v>
      </c>
      <c r="N962" t="str" cm="1">
        <f t="array" ref="N962">IF(MOD(ROW()-ROW($B$2),16)=0,INDEX($M$2:$M$1000,(ROW()-ROW($B$2))/16+1),"")</f>
        <v>Фиксированное число 60 (0)</v>
      </c>
    </row>
    <row r="963" spans="2:14" x14ac:dyDescent="0.3">
      <c r="B963" t="s">
        <v>2173</v>
      </c>
      <c r="C963" t="s">
        <v>3145</v>
      </c>
      <c r="D963" t="s">
        <v>1158</v>
      </c>
      <c r="E963">
        <v>0</v>
      </c>
      <c r="F963" t="s">
        <v>1158</v>
      </c>
      <c r="N963" t="str" cm="1">
        <f t="array" ref="N963">IF(MOD(ROW()-ROW($B$2),16)=0,INDEX($M$2:$M$1000,(ROW()-ROW($B$2))/16+1),"")</f>
        <v/>
      </c>
    </row>
    <row r="964" spans="2:14" x14ac:dyDescent="0.3">
      <c r="B964" t="s">
        <v>2173</v>
      </c>
      <c r="C964" t="s">
        <v>3146</v>
      </c>
      <c r="D964" t="s">
        <v>1159</v>
      </c>
      <c r="E964">
        <v>0</v>
      </c>
      <c r="F964" t="s">
        <v>1159</v>
      </c>
      <c r="N964" t="str" cm="1">
        <f t="array" ref="N964">IF(MOD(ROW()-ROW($B$2),16)=0,INDEX($M$2:$M$1000,(ROW()-ROW($B$2))/16+1),"")</f>
        <v/>
      </c>
    </row>
    <row r="965" spans="2:14" x14ac:dyDescent="0.3">
      <c r="B965" t="s">
        <v>2173</v>
      </c>
      <c r="C965" t="s">
        <v>3147</v>
      </c>
      <c r="D965" t="s">
        <v>1160</v>
      </c>
      <c r="E965">
        <v>0</v>
      </c>
      <c r="F965" t="s">
        <v>1160</v>
      </c>
      <c r="N965" t="str" cm="1">
        <f t="array" ref="N965">IF(MOD(ROW()-ROW($B$2),16)=0,INDEX($M$2:$M$1000,(ROW()-ROW($B$2))/16+1),"")</f>
        <v/>
      </c>
    </row>
    <row r="966" spans="2:14" x14ac:dyDescent="0.3">
      <c r="B966" t="s">
        <v>2173</v>
      </c>
      <c r="C966" t="s">
        <v>3148</v>
      </c>
      <c r="D966" t="s">
        <v>1161</v>
      </c>
      <c r="E966">
        <v>0</v>
      </c>
      <c r="F966" t="s">
        <v>1161</v>
      </c>
      <c r="N966" t="str" cm="1">
        <f t="array" ref="N966">IF(MOD(ROW()-ROW($B$2),16)=0,INDEX($M$2:$M$1000,(ROW()-ROW($B$2))/16+1),"")</f>
        <v/>
      </c>
    </row>
    <row r="967" spans="2:14" x14ac:dyDescent="0.3">
      <c r="B967" t="s">
        <v>2173</v>
      </c>
      <c r="C967" t="s">
        <v>3149</v>
      </c>
      <c r="D967" t="s">
        <v>1162</v>
      </c>
      <c r="E967">
        <v>0</v>
      </c>
      <c r="F967" t="s">
        <v>1162</v>
      </c>
      <c r="N967" t="str" cm="1">
        <f t="array" ref="N967">IF(MOD(ROW()-ROW($B$2),16)=0,INDEX($M$2:$M$1000,(ROW()-ROW($B$2))/16+1),"")</f>
        <v/>
      </c>
    </row>
    <row r="968" spans="2:14" x14ac:dyDescent="0.3">
      <c r="B968" t="s">
        <v>2173</v>
      </c>
      <c r="C968" t="s">
        <v>3150</v>
      </c>
      <c r="D968" t="s">
        <v>1163</v>
      </c>
      <c r="E968">
        <v>0</v>
      </c>
      <c r="F968" t="s">
        <v>1163</v>
      </c>
      <c r="N968" t="str" cm="1">
        <f t="array" ref="N968">IF(MOD(ROW()-ROW($B$2),16)=0,INDEX($M$2:$M$1000,(ROW()-ROW($B$2))/16+1),"")</f>
        <v/>
      </c>
    </row>
    <row r="969" spans="2:14" x14ac:dyDescent="0.3">
      <c r="B969" t="s">
        <v>2173</v>
      </c>
      <c r="C969" t="s">
        <v>3151</v>
      </c>
      <c r="D969" t="s">
        <v>1164</v>
      </c>
      <c r="E969">
        <v>0</v>
      </c>
      <c r="F969" t="s">
        <v>1164</v>
      </c>
      <c r="N969" t="str" cm="1">
        <f t="array" ref="N969">IF(MOD(ROW()-ROW($B$2),16)=0,INDEX($M$2:$M$1000,(ROW()-ROW($B$2))/16+1),"")</f>
        <v/>
      </c>
    </row>
    <row r="970" spans="2:14" x14ac:dyDescent="0.3">
      <c r="B970" t="s">
        <v>2173</v>
      </c>
      <c r="C970" t="s">
        <v>3152</v>
      </c>
      <c r="D970" t="s">
        <v>1165</v>
      </c>
      <c r="E970">
        <v>0</v>
      </c>
      <c r="F970" t="s">
        <v>1165</v>
      </c>
      <c r="N970" t="str" cm="1">
        <f t="array" ref="N970">IF(MOD(ROW()-ROW($B$2),16)=0,INDEX($M$2:$M$1000,(ROW()-ROW($B$2))/16+1),"")</f>
        <v/>
      </c>
    </row>
    <row r="971" spans="2:14" x14ac:dyDescent="0.3">
      <c r="B971" t="s">
        <v>2173</v>
      </c>
      <c r="C971" t="s">
        <v>3153</v>
      </c>
      <c r="D971" t="s">
        <v>1166</v>
      </c>
      <c r="E971">
        <v>0</v>
      </c>
      <c r="F971" t="s">
        <v>1166</v>
      </c>
      <c r="N971" t="str" cm="1">
        <f t="array" ref="N971">IF(MOD(ROW()-ROW($B$2),16)=0,INDEX($M$2:$M$1000,(ROW()-ROW($B$2))/16+1),"")</f>
        <v/>
      </c>
    </row>
    <row r="972" spans="2:14" x14ac:dyDescent="0.3">
      <c r="B972" t="s">
        <v>2173</v>
      </c>
      <c r="C972" t="s">
        <v>3154</v>
      </c>
      <c r="D972" t="s">
        <v>1167</v>
      </c>
      <c r="E972">
        <v>0</v>
      </c>
      <c r="F972" t="s">
        <v>1167</v>
      </c>
      <c r="N972" t="str" cm="1">
        <f t="array" ref="N972">IF(MOD(ROW()-ROW($B$2),16)=0,INDEX($M$2:$M$1000,(ROW()-ROW($B$2))/16+1),"")</f>
        <v/>
      </c>
    </row>
    <row r="973" spans="2:14" x14ac:dyDescent="0.3">
      <c r="B973" t="s">
        <v>2173</v>
      </c>
      <c r="C973" t="s">
        <v>3155</v>
      </c>
      <c r="D973" t="s">
        <v>1168</v>
      </c>
      <c r="E973">
        <v>0</v>
      </c>
      <c r="F973" t="s">
        <v>1168</v>
      </c>
      <c r="N973" t="str" cm="1">
        <f t="array" ref="N973">IF(MOD(ROW()-ROW($B$2),16)=0,INDEX($M$2:$M$1000,(ROW()-ROW($B$2))/16+1),"")</f>
        <v/>
      </c>
    </row>
    <row r="974" spans="2:14" x14ac:dyDescent="0.3">
      <c r="B974" t="s">
        <v>2173</v>
      </c>
      <c r="C974" t="s">
        <v>3156</v>
      </c>
      <c r="D974" t="s">
        <v>1169</v>
      </c>
      <c r="E974">
        <v>0</v>
      </c>
      <c r="F974" t="s">
        <v>1169</v>
      </c>
      <c r="N974" t="str" cm="1">
        <f t="array" ref="N974">IF(MOD(ROW()-ROW($B$2),16)=0,INDEX($M$2:$M$1000,(ROW()-ROW($B$2))/16+1),"")</f>
        <v/>
      </c>
    </row>
    <row r="975" spans="2:14" x14ac:dyDescent="0.3">
      <c r="B975" t="s">
        <v>2173</v>
      </c>
      <c r="C975" t="s">
        <v>3157</v>
      </c>
      <c r="D975" t="s">
        <v>1170</v>
      </c>
      <c r="E975">
        <v>0</v>
      </c>
      <c r="F975" t="s">
        <v>1170</v>
      </c>
      <c r="N975" t="str" cm="1">
        <f t="array" ref="N975">IF(MOD(ROW()-ROW($B$2),16)=0,INDEX($M$2:$M$1000,(ROW()-ROW($B$2))/16+1),"")</f>
        <v/>
      </c>
    </row>
    <row r="976" spans="2:14" x14ac:dyDescent="0.3">
      <c r="B976" t="s">
        <v>2173</v>
      </c>
      <c r="C976" t="s">
        <v>3158</v>
      </c>
      <c r="D976" t="s">
        <v>1171</v>
      </c>
      <c r="E976">
        <v>0</v>
      </c>
      <c r="F976" t="s">
        <v>1171</v>
      </c>
      <c r="N976" t="str" cm="1">
        <f t="array" ref="N976">IF(MOD(ROW()-ROW($B$2),16)=0,INDEX($M$2:$M$1000,(ROW()-ROW($B$2))/16+1),"")</f>
        <v/>
      </c>
    </row>
    <row r="977" spans="2:14" x14ac:dyDescent="0.3">
      <c r="B977" t="s">
        <v>2173</v>
      </c>
      <c r="C977" t="s">
        <v>3159</v>
      </c>
      <c r="D977" t="s">
        <v>1172</v>
      </c>
      <c r="E977">
        <v>0</v>
      </c>
      <c r="F977" t="s">
        <v>1172</v>
      </c>
      <c r="N977" t="str" cm="1">
        <f t="array" ref="N977">IF(MOD(ROW()-ROW($B$2),16)=0,INDEX($M$2:$M$1000,(ROW()-ROW($B$2))/16+1),"")</f>
        <v/>
      </c>
    </row>
    <row r="978" spans="2:14" x14ac:dyDescent="0.3">
      <c r="B978" t="s">
        <v>2173</v>
      </c>
      <c r="C978" t="s">
        <v>3160</v>
      </c>
      <c r="D978" t="s">
        <v>1173</v>
      </c>
      <c r="E978">
        <v>0</v>
      </c>
      <c r="F978" t="s">
        <v>1173</v>
      </c>
      <c r="N978" t="str" cm="1">
        <f t="array" ref="N978">IF(MOD(ROW()-ROW($B$2),16)=0,INDEX($M$2:$M$1000,(ROW()-ROW($B$2))/16+1),"")</f>
        <v>Фиксированное число 61 (0)</v>
      </c>
    </row>
    <row r="979" spans="2:14" x14ac:dyDescent="0.3">
      <c r="B979" t="s">
        <v>2173</v>
      </c>
      <c r="C979" t="s">
        <v>3161</v>
      </c>
      <c r="D979" t="s">
        <v>1174</v>
      </c>
      <c r="E979">
        <v>0</v>
      </c>
      <c r="F979" t="s">
        <v>1174</v>
      </c>
      <c r="N979" t="str" cm="1">
        <f t="array" ref="N979">IF(MOD(ROW()-ROW($B$2),16)=0,INDEX($M$2:$M$1000,(ROW()-ROW($B$2))/16+1),"")</f>
        <v/>
      </c>
    </row>
    <row r="980" spans="2:14" x14ac:dyDescent="0.3">
      <c r="B980" t="s">
        <v>2173</v>
      </c>
      <c r="C980" t="s">
        <v>3162</v>
      </c>
      <c r="D980" t="s">
        <v>1175</v>
      </c>
      <c r="E980">
        <v>0</v>
      </c>
      <c r="F980" t="s">
        <v>1175</v>
      </c>
      <c r="N980" t="str" cm="1">
        <f t="array" ref="N980">IF(MOD(ROW()-ROW($B$2),16)=0,INDEX($M$2:$M$1000,(ROW()-ROW($B$2))/16+1),"")</f>
        <v/>
      </c>
    </row>
    <row r="981" spans="2:14" x14ac:dyDescent="0.3">
      <c r="B981" t="s">
        <v>2173</v>
      </c>
      <c r="C981" t="s">
        <v>3163</v>
      </c>
      <c r="D981" t="s">
        <v>1176</v>
      </c>
      <c r="E981">
        <v>0</v>
      </c>
      <c r="F981" t="s">
        <v>1176</v>
      </c>
      <c r="N981" t="str" cm="1">
        <f t="array" ref="N981">IF(MOD(ROW()-ROW($B$2),16)=0,INDEX($M$2:$M$1000,(ROW()-ROW($B$2))/16+1),"")</f>
        <v/>
      </c>
    </row>
    <row r="982" spans="2:14" x14ac:dyDescent="0.3">
      <c r="B982" t="s">
        <v>2173</v>
      </c>
      <c r="C982" t="s">
        <v>3164</v>
      </c>
      <c r="D982" t="s">
        <v>1177</v>
      </c>
      <c r="E982">
        <v>0</v>
      </c>
      <c r="F982" t="s">
        <v>1177</v>
      </c>
      <c r="N982" t="str" cm="1">
        <f t="array" ref="N982">IF(MOD(ROW()-ROW($B$2),16)=0,INDEX($M$2:$M$1000,(ROW()-ROW($B$2))/16+1),"")</f>
        <v/>
      </c>
    </row>
    <row r="983" spans="2:14" x14ac:dyDescent="0.3">
      <c r="B983" t="s">
        <v>2173</v>
      </c>
      <c r="C983" t="s">
        <v>3165</v>
      </c>
      <c r="D983" t="s">
        <v>1178</v>
      </c>
      <c r="E983">
        <v>0</v>
      </c>
      <c r="F983" t="s">
        <v>1178</v>
      </c>
      <c r="N983" t="str" cm="1">
        <f t="array" ref="N983">IF(MOD(ROW()-ROW($B$2),16)=0,INDEX($M$2:$M$1000,(ROW()-ROW($B$2))/16+1),"")</f>
        <v/>
      </c>
    </row>
    <row r="984" spans="2:14" x14ac:dyDescent="0.3">
      <c r="B984" t="s">
        <v>2173</v>
      </c>
      <c r="C984" t="s">
        <v>3166</v>
      </c>
      <c r="D984" t="s">
        <v>1179</v>
      </c>
      <c r="E984">
        <v>0</v>
      </c>
      <c r="F984" t="s">
        <v>1179</v>
      </c>
      <c r="N984" t="str" cm="1">
        <f t="array" ref="N984">IF(MOD(ROW()-ROW($B$2),16)=0,INDEX($M$2:$M$1000,(ROW()-ROW($B$2))/16+1),"")</f>
        <v/>
      </c>
    </row>
    <row r="985" spans="2:14" x14ac:dyDescent="0.3">
      <c r="B985" t="s">
        <v>2173</v>
      </c>
      <c r="C985" t="s">
        <v>3167</v>
      </c>
      <c r="D985" t="s">
        <v>1180</v>
      </c>
      <c r="E985">
        <v>0</v>
      </c>
      <c r="F985" t="s">
        <v>1180</v>
      </c>
      <c r="N985" t="str" cm="1">
        <f t="array" ref="N985">IF(MOD(ROW()-ROW($B$2),16)=0,INDEX($M$2:$M$1000,(ROW()-ROW($B$2))/16+1),"")</f>
        <v/>
      </c>
    </row>
    <row r="986" spans="2:14" x14ac:dyDescent="0.3">
      <c r="B986" t="s">
        <v>2173</v>
      </c>
      <c r="C986" t="s">
        <v>3168</v>
      </c>
      <c r="D986" t="s">
        <v>1181</v>
      </c>
      <c r="E986">
        <v>0</v>
      </c>
      <c r="F986" t="s">
        <v>1181</v>
      </c>
      <c r="N986" t="str" cm="1">
        <f t="array" ref="N986">IF(MOD(ROW()-ROW($B$2),16)=0,INDEX($M$2:$M$1000,(ROW()-ROW($B$2))/16+1),"")</f>
        <v/>
      </c>
    </row>
    <row r="987" spans="2:14" x14ac:dyDescent="0.3">
      <c r="B987" t="s">
        <v>2173</v>
      </c>
      <c r="C987" t="s">
        <v>3169</v>
      </c>
      <c r="D987" t="s">
        <v>1182</v>
      </c>
      <c r="E987">
        <v>0</v>
      </c>
      <c r="F987" t="s">
        <v>1182</v>
      </c>
      <c r="N987" t="str" cm="1">
        <f t="array" ref="N987">IF(MOD(ROW()-ROW($B$2),16)=0,INDEX($M$2:$M$1000,(ROW()-ROW($B$2))/16+1),"")</f>
        <v/>
      </c>
    </row>
    <row r="988" spans="2:14" x14ac:dyDescent="0.3">
      <c r="B988" t="s">
        <v>2173</v>
      </c>
      <c r="C988" t="s">
        <v>3170</v>
      </c>
      <c r="D988" t="s">
        <v>1183</v>
      </c>
      <c r="E988">
        <v>0</v>
      </c>
      <c r="F988" t="s">
        <v>1183</v>
      </c>
      <c r="N988" t="str" cm="1">
        <f t="array" ref="N988">IF(MOD(ROW()-ROW($B$2),16)=0,INDEX($M$2:$M$1000,(ROW()-ROW($B$2))/16+1),"")</f>
        <v/>
      </c>
    </row>
    <row r="989" spans="2:14" x14ac:dyDescent="0.3">
      <c r="B989" t="s">
        <v>2173</v>
      </c>
      <c r="C989" t="s">
        <v>3171</v>
      </c>
      <c r="D989" t="s">
        <v>1184</v>
      </c>
      <c r="E989">
        <v>0</v>
      </c>
      <c r="F989" t="s">
        <v>1184</v>
      </c>
      <c r="N989" t="str" cm="1">
        <f t="array" ref="N989">IF(MOD(ROW()-ROW($B$2),16)=0,INDEX($M$2:$M$1000,(ROW()-ROW($B$2))/16+1),"")</f>
        <v/>
      </c>
    </row>
    <row r="990" spans="2:14" x14ac:dyDescent="0.3">
      <c r="B990" t="s">
        <v>2173</v>
      </c>
      <c r="C990" t="s">
        <v>3172</v>
      </c>
      <c r="D990" t="s">
        <v>1185</v>
      </c>
      <c r="E990">
        <v>0</v>
      </c>
      <c r="F990" t="s">
        <v>1185</v>
      </c>
      <c r="N990" t="str" cm="1">
        <f t="array" ref="N990">IF(MOD(ROW()-ROW($B$2),16)=0,INDEX($M$2:$M$1000,(ROW()-ROW($B$2))/16+1),"")</f>
        <v/>
      </c>
    </row>
    <row r="991" spans="2:14" x14ac:dyDescent="0.3">
      <c r="B991" t="s">
        <v>2173</v>
      </c>
      <c r="C991" t="s">
        <v>3173</v>
      </c>
      <c r="D991" t="s">
        <v>1186</v>
      </c>
      <c r="E991">
        <v>0</v>
      </c>
      <c r="F991" t="s">
        <v>1186</v>
      </c>
      <c r="N991" t="str" cm="1">
        <f t="array" ref="N991">IF(MOD(ROW()-ROW($B$2),16)=0,INDEX($M$2:$M$1000,(ROW()-ROW($B$2))/16+1),"")</f>
        <v/>
      </c>
    </row>
    <row r="992" spans="2:14" x14ac:dyDescent="0.3">
      <c r="B992" t="s">
        <v>2173</v>
      </c>
      <c r="C992" t="s">
        <v>3174</v>
      </c>
      <c r="D992" t="s">
        <v>1187</v>
      </c>
      <c r="E992">
        <v>0</v>
      </c>
      <c r="F992" t="s">
        <v>1187</v>
      </c>
      <c r="N992" t="str" cm="1">
        <f t="array" ref="N992">IF(MOD(ROW()-ROW($B$2),16)=0,INDEX($M$2:$M$1000,(ROW()-ROW($B$2))/16+1),"")</f>
        <v/>
      </c>
    </row>
    <row r="993" spans="2:14" x14ac:dyDescent="0.3">
      <c r="B993" t="s">
        <v>2173</v>
      </c>
      <c r="C993" t="s">
        <v>3175</v>
      </c>
      <c r="D993" t="s">
        <v>1188</v>
      </c>
      <c r="E993">
        <v>0</v>
      </c>
      <c r="F993" t="s">
        <v>1188</v>
      </c>
      <c r="N993" t="str" cm="1">
        <f t="array" ref="N993">IF(MOD(ROW()-ROW($B$2),16)=0,INDEX($M$2:$M$1000,(ROW()-ROW($B$2))/16+1),"")</f>
        <v/>
      </c>
    </row>
    <row r="994" spans="2:14" x14ac:dyDescent="0.3">
      <c r="B994" t="s">
        <v>2173</v>
      </c>
      <c r="C994" t="s">
        <v>3176</v>
      </c>
      <c r="D994" t="s">
        <v>1189</v>
      </c>
      <c r="E994">
        <v>0</v>
      </c>
      <c r="F994" t="s">
        <v>1189</v>
      </c>
      <c r="N994" t="str" cm="1">
        <f t="array" ref="N994">IF(MOD(ROW()-ROW($B$2),16)=0,INDEX($M$2:$M$1000,(ROW()-ROW($B$2))/16+1),"")</f>
        <v>Фиксированное число 62 (0)</v>
      </c>
    </row>
    <row r="995" spans="2:14" x14ac:dyDescent="0.3">
      <c r="B995" t="s">
        <v>2173</v>
      </c>
      <c r="C995" t="s">
        <v>3177</v>
      </c>
      <c r="D995" t="s">
        <v>1190</v>
      </c>
      <c r="E995">
        <v>0</v>
      </c>
      <c r="F995" t="s">
        <v>1190</v>
      </c>
      <c r="N995" t="str" cm="1">
        <f t="array" ref="N995">IF(MOD(ROW()-ROW($B$2),16)=0,INDEX($M$2:$M$1000,(ROW()-ROW($B$2))/16+1),"")</f>
        <v/>
      </c>
    </row>
    <row r="996" spans="2:14" x14ac:dyDescent="0.3">
      <c r="B996" t="s">
        <v>2173</v>
      </c>
      <c r="C996" t="s">
        <v>3178</v>
      </c>
      <c r="D996" t="s">
        <v>1191</v>
      </c>
      <c r="E996">
        <v>0</v>
      </c>
      <c r="F996" t="s">
        <v>1191</v>
      </c>
      <c r="N996" t="str" cm="1">
        <f t="array" ref="N996">IF(MOD(ROW()-ROW($B$2),16)=0,INDEX($M$2:$M$1000,(ROW()-ROW($B$2))/16+1),"")</f>
        <v/>
      </c>
    </row>
    <row r="997" spans="2:14" x14ac:dyDescent="0.3">
      <c r="B997" t="s">
        <v>2173</v>
      </c>
      <c r="C997" t="s">
        <v>3179</v>
      </c>
      <c r="D997" t="s">
        <v>1192</v>
      </c>
      <c r="E997">
        <v>0</v>
      </c>
      <c r="F997" t="s">
        <v>1192</v>
      </c>
      <c r="N997" t="str" cm="1">
        <f t="array" ref="N997">IF(MOD(ROW()-ROW($B$2),16)=0,INDEX($M$2:$M$1000,(ROW()-ROW($B$2))/16+1),"")</f>
        <v/>
      </c>
    </row>
    <row r="998" spans="2:14" x14ac:dyDescent="0.3">
      <c r="B998" t="s">
        <v>2173</v>
      </c>
      <c r="C998" t="s">
        <v>3180</v>
      </c>
      <c r="D998" t="s">
        <v>1193</v>
      </c>
      <c r="E998">
        <v>0</v>
      </c>
      <c r="F998" t="s">
        <v>1193</v>
      </c>
      <c r="N998" t="str" cm="1">
        <f t="array" ref="N998">IF(MOD(ROW()-ROW($B$2),16)=0,INDEX($M$2:$M$1000,(ROW()-ROW($B$2))/16+1),"")</f>
        <v/>
      </c>
    </row>
    <row r="999" spans="2:14" x14ac:dyDescent="0.3">
      <c r="B999" t="s">
        <v>2173</v>
      </c>
      <c r="C999" t="s">
        <v>3181</v>
      </c>
      <c r="D999" t="s">
        <v>1194</v>
      </c>
      <c r="E999">
        <v>0</v>
      </c>
      <c r="F999" t="s">
        <v>1194</v>
      </c>
      <c r="N999" t="str" cm="1">
        <f t="array" ref="N999">IF(MOD(ROW()-ROW($B$2),16)=0,INDEX($M$2:$M$1000,(ROW()-ROW($B$2))/16+1),"")</f>
        <v/>
      </c>
    </row>
    <row r="1000" spans="2:14" x14ac:dyDescent="0.3">
      <c r="B1000" t="s">
        <v>2173</v>
      </c>
      <c r="C1000" t="s">
        <v>3182</v>
      </c>
      <c r="D1000" t="s">
        <v>1195</v>
      </c>
      <c r="E1000">
        <v>0</v>
      </c>
      <c r="F1000" t="s">
        <v>1195</v>
      </c>
      <c r="N1000" t="str" cm="1">
        <f t="array" ref="N1000">IF(MOD(ROW()-ROW($B$2),16)=0,INDEX($M$2:$M$1000,(ROW()-ROW($B$2))/16+1),"")</f>
        <v/>
      </c>
    </row>
    <row r="1001" spans="2:14" x14ac:dyDescent="0.3">
      <c r="B1001" t="s">
        <v>2173</v>
      </c>
      <c r="C1001" t="s">
        <v>3183</v>
      </c>
      <c r="D1001" t="s">
        <v>1196</v>
      </c>
      <c r="E1001">
        <v>0</v>
      </c>
      <c r="F1001" t="s">
        <v>1196</v>
      </c>
      <c r="N1001" t="str" cm="1">
        <f t="array" ref="N1001">IF(MOD(ROW()-ROW($B$2),16)=0,INDEX($M$2:$M$1000,(ROW()-ROW($B$2))/16+1),"")</f>
        <v/>
      </c>
    </row>
    <row r="1002" spans="2:14" x14ac:dyDescent="0.3">
      <c r="B1002" t="s">
        <v>2173</v>
      </c>
      <c r="C1002" t="s">
        <v>3184</v>
      </c>
      <c r="D1002" t="s">
        <v>1197</v>
      </c>
      <c r="E1002">
        <v>0</v>
      </c>
      <c r="F1002" t="s">
        <v>1197</v>
      </c>
      <c r="N1002" t="str" cm="1">
        <f t="array" ref="N1002">IF(MOD(ROW()-ROW($B$2),16)=0,INDEX($M$2:$M$1000,(ROW()-ROW($B$2))/16+1),"")</f>
        <v/>
      </c>
    </row>
    <row r="1003" spans="2:14" x14ac:dyDescent="0.3">
      <c r="B1003" t="s">
        <v>2173</v>
      </c>
      <c r="C1003" t="s">
        <v>3185</v>
      </c>
      <c r="D1003" t="s">
        <v>1198</v>
      </c>
      <c r="E1003">
        <v>0</v>
      </c>
      <c r="F1003" t="s">
        <v>1198</v>
      </c>
      <c r="N1003" t="str" cm="1">
        <f t="array" ref="N1003">IF(MOD(ROW()-ROW($B$2),16)=0,INDEX($M$2:$M$1000,(ROW()-ROW($B$2))/16+1),"")</f>
        <v/>
      </c>
    </row>
    <row r="1004" spans="2:14" x14ac:dyDescent="0.3">
      <c r="B1004" t="s">
        <v>2173</v>
      </c>
      <c r="C1004" t="s">
        <v>3186</v>
      </c>
      <c r="D1004" t="s">
        <v>1199</v>
      </c>
      <c r="E1004">
        <v>0</v>
      </c>
      <c r="F1004" t="s">
        <v>1199</v>
      </c>
      <c r="N1004" t="str" cm="1">
        <f t="array" ref="N1004">IF(MOD(ROW()-ROW($B$2),16)=0,INDEX($M$2:$M$1000,(ROW()-ROW($B$2))/16+1),"")</f>
        <v/>
      </c>
    </row>
    <row r="1005" spans="2:14" x14ac:dyDescent="0.3">
      <c r="B1005" t="s">
        <v>2173</v>
      </c>
      <c r="C1005" t="s">
        <v>3187</v>
      </c>
      <c r="D1005" t="s">
        <v>1200</v>
      </c>
      <c r="E1005">
        <v>0</v>
      </c>
      <c r="F1005" t="s">
        <v>1200</v>
      </c>
      <c r="N1005" t="str" cm="1">
        <f t="array" ref="N1005">IF(MOD(ROW()-ROW($B$2),16)=0,INDEX($M$2:$M$1000,(ROW()-ROW($B$2))/16+1),"")</f>
        <v/>
      </c>
    </row>
    <row r="1006" spans="2:14" x14ac:dyDescent="0.3">
      <c r="B1006" t="s">
        <v>2173</v>
      </c>
      <c r="C1006" t="s">
        <v>3188</v>
      </c>
      <c r="D1006" t="s">
        <v>1201</v>
      </c>
      <c r="E1006">
        <v>0</v>
      </c>
      <c r="F1006" t="s">
        <v>1201</v>
      </c>
      <c r="N1006" t="str" cm="1">
        <f t="array" ref="N1006">IF(MOD(ROW()-ROW($B$2),16)=0,INDEX($M$2:$M$1000,(ROW()-ROW($B$2))/16+1),"")</f>
        <v/>
      </c>
    </row>
    <row r="1007" spans="2:14" x14ac:dyDescent="0.3">
      <c r="B1007" t="s">
        <v>2173</v>
      </c>
      <c r="C1007" t="s">
        <v>3189</v>
      </c>
      <c r="D1007" t="s">
        <v>1202</v>
      </c>
      <c r="E1007">
        <v>0</v>
      </c>
      <c r="F1007" t="s">
        <v>1202</v>
      </c>
      <c r="N1007" t="str" cm="1">
        <f t="array" ref="N1007">IF(MOD(ROW()-ROW($B$2),16)=0,INDEX($M$2:$M$1000,(ROW()-ROW($B$2))/16+1),"")</f>
        <v/>
      </c>
    </row>
    <row r="1008" spans="2:14" x14ac:dyDescent="0.3">
      <c r="B1008" t="s">
        <v>2173</v>
      </c>
      <c r="C1008" t="s">
        <v>3190</v>
      </c>
      <c r="D1008" t="s">
        <v>1203</v>
      </c>
      <c r="E1008">
        <v>0</v>
      </c>
      <c r="F1008" t="s">
        <v>1203</v>
      </c>
      <c r="N1008" t="str" cm="1">
        <f t="array" ref="N1008">IF(MOD(ROW()-ROW($B$2),16)=0,INDEX($M$2:$M$1000,(ROW()-ROW($B$2))/16+1),"")</f>
        <v/>
      </c>
    </row>
    <row r="1009" spans="2:14" x14ac:dyDescent="0.3">
      <c r="B1009" t="s">
        <v>2173</v>
      </c>
      <c r="C1009" t="s">
        <v>3191</v>
      </c>
      <c r="D1009" t="s">
        <v>1204</v>
      </c>
      <c r="E1009">
        <v>0</v>
      </c>
      <c r="F1009" t="s">
        <v>1204</v>
      </c>
      <c r="N1009" t="str" cm="1">
        <f t="array" ref="N1009">IF(MOD(ROW()-ROW($B$2),16)=0,INDEX($M$2:$M$1000,(ROW()-ROW($B$2))/16+1),"")</f>
        <v/>
      </c>
    </row>
    <row r="1010" spans="2:14" x14ac:dyDescent="0.3">
      <c r="B1010" t="s">
        <v>2173</v>
      </c>
      <c r="C1010" t="s">
        <v>3192</v>
      </c>
      <c r="D1010" t="s">
        <v>1205</v>
      </c>
      <c r="E1010">
        <v>0</v>
      </c>
      <c r="F1010" t="s">
        <v>1205</v>
      </c>
      <c r="N1010" t="str" cm="1">
        <f t="array" ref="N1010">IF(MOD(ROW()-ROW($B$2),16)=0,INDEX($M$2:$M$1000,(ROW()-ROW($B$2))/16+1),"")</f>
        <v>Фиксированное число 63 (0)</v>
      </c>
    </row>
    <row r="1011" spans="2:14" x14ac:dyDescent="0.3">
      <c r="B1011" t="s">
        <v>2173</v>
      </c>
      <c r="C1011" t="s">
        <v>3193</v>
      </c>
      <c r="D1011" t="s">
        <v>1206</v>
      </c>
      <c r="E1011">
        <v>0</v>
      </c>
      <c r="F1011" t="s">
        <v>1206</v>
      </c>
      <c r="N1011" t="str" cm="1">
        <f t="array" ref="N1011">IF(MOD(ROW()-ROW($B$2),16)=0,INDEX($M$2:$M$1000,(ROW()-ROW($B$2))/16+1),"")</f>
        <v/>
      </c>
    </row>
    <row r="1012" spans="2:14" x14ac:dyDescent="0.3">
      <c r="B1012" t="s">
        <v>2173</v>
      </c>
      <c r="C1012" t="s">
        <v>3194</v>
      </c>
      <c r="D1012" t="s">
        <v>1207</v>
      </c>
      <c r="E1012">
        <v>0</v>
      </c>
      <c r="F1012" t="s">
        <v>1207</v>
      </c>
      <c r="N1012" t="str" cm="1">
        <f t="array" ref="N1012">IF(MOD(ROW()-ROW($B$2),16)=0,INDEX($M$2:$M$1000,(ROW()-ROW($B$2))/16+1),"")</f>
        <v/>
      </c>
    </row>
    <row r="1013" spans="2:14" x14ac:dyDescent="0.3">
      <c r="B1013" t="s">
        <v>2173</v>
      </c>
      <c r="C1013" t="s">
        <v>3195</v>
      </c>
      <c r="D1013" t="s">
        <v>1208</v>
      </c>
      <c r="E1013">
        <v>0</v>
      </c>
      <c r="F1013" t="s">
        <v>1208</v>
      </c>
      <c r="N1013" t="str" cm="1">
        <f t="array" ref="N1013">IF(MOD(ROW()-ROW($B$2),16)=0,INDEX($M$2:$M$1000,(ROW()-ROW($B$2))/16+1),"")</f>
        <v/>
      </c>
    </row>
    <row r="1014" spans="2:14" x14ac:dyDescent="0.3">
      <c r="B1014" t="s">
        <v>2173</v>
      </c>
      <c r="C1014" t="s">
        <v>3196</v>
      </c>
      <c r="D1014" t="s">
        <v>1209</v>
      </c>
      <c r="E1014">
        <v>0</v>
      </c>
      <c r="F1014" t="s">
        <v>1209</v>
      </c>
      <c r="N1014" t="str" cm="1">
        <f t="array" ref="N1014">IF(MOD(ROW()-ROW($B$2),16)=0,INDEX($M$2:$M$1000,(ROW()-ROW($B$2))/16+1),"")</f>
        <v/>
      </c>
    </row>
    <row r="1015" spans="2:14" x14ac:dyDescent="0.3">
      <c r="B1015" t="s">
        <v>2173</v>
      </c>
      <c r="C1015" t="s">
        <v>3197</v>
      </c>
      <c r="D1015" t="s">
        <v>1210</v>
      </c>
      <c r="E1015">
        <v>0</v>
      </c>
      <c r="F1015" t="s">
        <v>1210</v>
      </c>
      <c r="N1015" t="str" cm="1">
        <f t="array" ref="N1015">IF(MOD(ROW()-ROW($B$2),16)=0,INDEX($M$2:$M$1000,(ROW()-ROW($B$2))/16+1),"")</f>
        <v/>
      </c>
    </row>
    <row r="1016" spans="2:14" x14ac:dyDescent="0.3">
      <c r="B1016" t="s">
        <v>2173</v>
      </c>
      <c r="C1016" t="s">
        <v>3198</v>
      </c>
      <c r="D1016" t="s">
        <v>1211</v>
      </c>
      <c r="E1016">
        <v>0</v>
      </c>
      <c r="F1016" t="s">
        <v>1211</v>
      </c>
      <c r="N1016" t="str" cm="1">
        <f t="array" ref="N1016">IF(MOD(ROW()-ROW($B$2),16)=0,INDEX($M$2:$M$1000,(ROW()-ROW($B$2))/16+1),"")</f>
        <v/>
      </c>
    </row>
    <row r="1017" spans="2:14" x14ac:dyDescent="0.3">
      <c r="B1017" t="s">
        <v>2173</v>
      </c>
      <c r="C1017" t="s">
        <v>3199</v>
      </c>
      <c r="D1017" t="s">
        <v>1212</v>
      </c>
      <c r="E1017">
        <v>0</v>
      </c>
      <c r="F1017" t="s">
        <v>1212</v>
      </c>
      <c r="N1017" t="str" cm="1">
        <f t="array" ref="N1017">IF(MOD(ROW()-ROW($B$2),16)=0,INDEX($M$2:$M$1000,(ROW()-ROW($B$2))/16+1),"")</f>
        <v/>
      </c>
    </row>
    <row r="1018" spans="2:14" x14ac:dyDescent="0.3">
      <c r="B1018" t="s">
        <v>2173</v>
      </c>
      <c r="C1018" t="s">
        <v>3200</v>
      </c>
      <c r="D1018" t="s">
        <v>1213</v>
      </c>
      <c r="E1018">
        <v>0</v>
      </c>
      <c r="F1018" t="s">
        <v>1213</v>
      </c>
      <c r="N1018" t="str" cm="1">
        <f t="array" ref="N1018">IF(MOD(ROW()-ROW($B$2),16)=0,INDEX($M$2:$M$1000,(ROW()-ROW($B$2))/16+1),"")</f>
        <v/>
      </c>
    </row>
    <row r="1019" spans="2:14" x14ac:dyDescent="0.3">
      <c r="B1019" t="s">
        <v>2173</v>
      </c>
      <c r="C1019" t="s">
        <v>3201</v>
      </c>
      <c r="D1019" t="s">
        <v>1214</v>
      </c>
      <c r="E1019">
        <v>0</v>
      </c>
      <c r="F1019" t="s">
        <v>1214</v>
      </c>
      <c r="N1019" t="str" cm="1">
        <f t="array" ref="N1019">IF(MOD(ROW()-ROW($B$2),16)=0,INDEX($M$2:$M$1000,(ROW()-ROW($B$2))/16+1),"")</f>
        <v/>
      </c>
    </row>
    <row r="1020" spans="2:14" x14ac:dyDescent="0.3">
      <c r="B1020" t="s">
        <v>2173</v>
      </c>
      <c r="C1020" t="s">
        <v>3202</v>
      </c>
      <c r="D1020" t="s">
        <v>1215</v>
      </c>
      <c r="E1020">
        <v>0</v>
      </c>
      <c r="F1020" t="s">
        <v>1215</v>
      </c>
      <c r="N1020" t="str" cm="1">
        <f t="array" ref="N1020">IF(MOD(ROW()-ROW($B$2),16)=0,INDEX($M$2:$M$1000,(ROW()-ROW($B$2))/16+1),"")</f>
        <v/>
      </c>
    </row>
    <row r="1021" spans="2:14" x14ac:dyDescent="0.3">
      <c r="B1021" t="s">
        <v>2173</v>
      </c>
      <c r="C1021" t="s">
        <v>3203</v>
      </c>
      <c r="D1021" t="s">
        <v>1216</v>
      </c>
      <c r="E1021">
        <v>0</v>
      </c>
      <c r="F1021" t="s">
        <v>1216</v>
      </c>
      <c r="N1021" t="str" cm="1">
        <f t="array" ref="N1021">IF(MOD(ROW()-ROW($B$2),16)=0,INDEX($M$2:$M$1000,(ROW()-ROW($B$2))/16+1),"")</f>
        <v/>
      </c>
    </row>
    <row r="1022" spans="2:14" x14ac:dyDescent="0.3">
      <c r="B1022" t="s">
        <v>2173</v>
      </c>
      <c r="C1022" t="s">
        <v>3204</v>
      </c>
      <c r="D1022" t="s">
        <v>1217</v>
      </c>
      <c r="E1022">
        <v>0</v>
      </c>
      <c r="F1022" t="s">
        <v>1217</v>
      </c>
      <c r="N1022" t="str" cm="1">
        <f t="array" ref="N1022">IF(MOD(ROW()-ROW($B$2),16)=0,INDEX($M$2:$M$1000,(ROW()-ROW($B$2))/16+1),"")</f>
        <v/>
      </c>
    </row>
    <row r="1023" spans="2:14" x14ac:dyDescent="0.3">
      <c r="B1023" t="s">
        <v>2173</v>
      </c>
      <c r="C1023" t="s">
        <v>3205</v>
      </c>
      <c r="D1023" t="s">
        <v>1218</v>
      </c>
      <c r="E1023">
        <v>0</v>
      </c>
      <c r="F1023" t="s">
        <v>1218</v>
      </c>
      <c r="N1023" t="str" cm="1">
        <f t="array" ref="N1023">IF(MOD(ROW()-ROW($B$2),16)=0,INDEX($M$2:$M$1000,(ROW()-ROW($B$2))/16+1),"")</f>
        <v/>
      </c>
    </row>
    <row r="1024" spans="2:14" x14ac:dyDescent="0.3">
      <c r="B1024" t="s">
        <v>2173</v>
      </c>
      <c r="C1024" t="s">
        <v>3206</v>
      </c>
      <c r="D1024" t="s">
        <v>1219</v>
      </c>
      <c r="E1024">
        <v>0</v>
      </c>
      <c r="F1024" t="s">
        <v>1219</v>
      </c>
      <c r="N1024" t="str" cm="1">
        <f t="array" ref="N1024">IF(MOD(ROW()-ROW($B$2),16)=0,INDEX($M$2:$M$1000,(ROW()-ROW($B$2))/16+1),"")</f>
        <v/>
      </c>
    </row>
    <row r="1025" spans="2:14" x14ac:dyDescent="0.3">
      <c r="B1025" t="s">
        <v>2173</v>
      </c>
      <c r="C1025" t="s">
        <v>3207</v>
      </c>
      <c r="D1025" t="s">
        <v>1220</v>
      </c>
      <c r="E1025">
        <v>0</v>
      </c>
      <c r="F1025" t="s">
        <v>1220</v>
      </c>
      <c r="N1025" t="str" cm="1">
        <f t="array" ref="N1025">IF(MOD(ROW()-ROW($B$2),16)=0,INDEX($M$2:$M$1000,(ROW()-ROW($B$2))/16+1),"")</f>
        <v/>
      </c>
    </row>
    <row r="1026" spans="2:14" x14ac:dyDescent="0.3">
      <c r="B1026" t="s">
        <v>2173</v>
      </c>
      <c r="C1026" t="s">
        <v>3208</v>
      </c>
      <c r="D1026" t="s">
        <v>1221</v>
      </c>
      <c r="E1026">
        <v>0</v>
      </c>
      <c r="F1026" t="s">
        <v>1221</v>
      </c>
      <c r="N1026" t="str" cm="1">
        <f t="array" ref="N1026">IF(MOD(ROW()-ROW($B$2),16)=0,INDEX($M$2:$M$1000,(ROW()-ROW($B$2))/16+1),"")</f>
        <v>Фиксированное число 64 (0)</v>
      </c>
    </row>
    <row r="1027" spans="2:14" x14ac:dyDescent="0.3">
      <c r="B1027" t="s">
        <v>2173</v>
      </c>
      <c r="C1027" t="s">
        <v>3209</v>
      </c>
      <c r="D1027" t="s">
        <v>1222</v>
      </c>
      <c r="E1027">
        <v>0</v>
      </c>
      <c r="F1027" t="s">
        <v>1222</v>
      </c>
      <c r="N1027" t="str" cm="1">
        <f t="array" ref="N1027">IF(MOD(ROW()-ROW($B$2),16)=0,INDEX($M$2:$M$1000,(ROW()-ROW($B$2))/16+1),"")</f>
        <v/>
      </c>
    </row>
    <row r="1028" spans="2:14" x14ac:dyDescent="0.3">
      <c r="B1028" t="s">
        <v>2173</v>
      </c>
      <c r="C1028" t="s">
        <v>3210</v>
      </c>
      <c r="D1028" t="s">
        <v>1223</v>
      </c>
      <c r="E1028">
        <v>0</v>
      </c>
      <c r="F1028" t="s">
        <v>1223</v>
      </c>
      <c r="N1028" t="str" cm="1">
        <f t="array" ref="N1028">IF(MOD(ROW()-ROW($B$2),16)=0,INDEX($M$2:$M$1000,(ROW()-ROW($B$2))/16+1),"")</f>
        <v/>
      </c>
    </row>
    <row r="1029" spans="2:14" x14ac:dyDescent="0.3">
      <c r="B1029" t="s">
        <v>2173</v>
      </c>
      <c r="C1029" t="s">
        <v>3211</v>
      </c>
      <c r="D1029" t="s">
        <v>1224</v>
      </c>
      <c r="E1029">
        <v>0</v>
      </c>
      <c r="F1029" t="s">
        <v>1224</v>
      </c>
      <c r="N1029" t="str" cm="1">
        <f t="array" ref="N1029">IF(MOD(ROW()-ROW($B$2),16)=0,INDEX($M$2:$M$1000,(ROW()-ROW($B$2))/16+1),"")</f>
        <v/>
      </c>
    </row>
    <row r="1030" spans="2:14" x14ac:dyDescent="0.3">
      <c r="B1030" t="s">
        <v>2173</v>
      </c>
      <c r="C1030" t="s">
        <v>3212</v>
      </c>
      <c r="D1030" t="s">
        <v>1225</v>
      </c>
      <c r="E1030">
        <v>0</v>
      </c>
      <c r="F1030" t="s">
        <v>1225</v>
      </c>
      <c r="N1030" t="str" cm="1">
        <f t="array" ref="N1030">IF(MOD(ROW()-ROW($B$2),16)=0,INDEX($M$2:$M$1000,(ROW()-ROW($B$2))/16+1),"")</f>
        <v/>
      </c>
    </row>
    <row r="1031" spans="2:14" x14ac:dyDescent="0.3">
      <c r="B1031" t="s">
        <v>2173</v>
      </c>
      <c r="C1031" t="s">
        <v>3213</v>
      </c>
      <c r="D1031" t="s">
        <v>1226</v>
      </c>
      <c r="E1031">
        <v>0</v>
      </c>
      <c r="F1031" t="s">
        <v>1226</v>
      </c>
      <c r="N1031" t="str" cm="1">
        <f t="array" ref="N1031">IF(MOD(ROW()-ROW($B$2),16)=0,INDEX($M$2:$M$1000,(ROW()-ROW($B$2))/16+1),"")</f>
        <v/>
      </c>
    </row>
    <row r="1032" spans="2:14" x14ac:dyDescent="0.3">
      <c r="B1032" t="s">
        <v>2173</v>
      </c>
      <c r="C1032" t="s">
        <v>3214</v>
      </c>
      <c r="D1032" t="s">
        <v>1227</v>
      </c>
      <c r="E1032">
        <v>0</v>
      </c>
      <c r="F1032" t="s">
        <v>1227</v>
      </c>
      <c r="N1032" t="str" cm="1">
        <f t="array" ref="N1032">IF(MOD(ROW()-ROW($B$2),16)=0,INDEX($M$2:$M$1000,(ROW()-ROW($B$2))/16+1),"")</f>
        <v/>
      </c>
    </row>
    <row r="1033" spans="2:14" x14ac:dyDescent="0.3">
      <c r="B1033" t="s">
        <v>2173</v>
      </c>
      <c r="C1033" t="s">
        <v>3215</v>
      </c>
      <c r="D1033" t="s">
        <v>1228</v>
      </c>
      <c r="E1033">
        <v>0</v>
      </c>
      <c r="F1033" t="s">
        <v>1228</v>
      </c>
      <c r="N1033" t="str" cm="1">
        <f t="array" ref="N1033">IF(MOD(ROW()-ROW($B$2),16)=0,INDEX($M$2:$M$1000,(ROW()-ROW($B$2))/16+1),"")</f>
        <v/>
      </c>
    </row>
    <row r="1034" spans="2:14" x14ac:dyDescent="0.3">
      <c r="B1034" t="s">
        <v>2173</v>
      </c>
      <c r="C1034" t="s">
        <v>3216</v>
      </c>
      <c r="D1034" t="s">
        <v>1229</v>
      </c>
      <c r="E1034">
        <v>0</v>
      </c>
      <c r="F1034" t="s">
        <v>1229</v>
      </c>
      <c r="N1034" t="str" cm="1">
        <f t="array" ref="N1034">IF(MOD(ROW()-ROW($B$2),16)=0,INDEX($M$2:$M$1000,(ROW()-ROW($B$2))/16+1),"")</f>
        <v/>
      </c>
    </row>
    <row r="1035" spans="2:14" x14ac:dyDescent="0.3">
      <c r="B1035" t="s">
        <v>2173</v>
      </c>
      <c r="C1035" t="s">
        <v>3217</v>
      </c>
      <c r="D1035" t="s">
        <v>1230</v>
      </c>
      <c r="E1035">
        <v>0</v>
      </c>
      <c r="F1035" t="s">
        <v>1230</v>
      </c>
      <c r="N1035" t="str" cm="1">
        <f t="array" ref="N1035">IF(MOD(ROW()-ROW($B$2),16)=0,INDEX($M$2:$M$1000,(ROW()-ROW($B$2))/16+1),"")</f>
        <v/>
      </c>
    </row>
    <row r="1036" spans="2:14" x14ac:dyDescent="0.3">
      <c r="B1036" t="s">
        <v>2173</v>
      </c>
      <c r="C1036" t="s">
        <v>3218</v>
      </c>
      <c r="D1036" t="s">
        <v>1231</v>
      </c>
      <c r="E1036">
        <v>0</v>
      </c>
      <c r="F1036" t="s">
        <v>1231</v>
      </c>
      <c r="N1036" t="str" cm="1">
        <f t="array" ref="N1036">IF(MOD(ROW()-ROW($B$2),16)=0,INDEX($M$2:$M$1000,(ROW()-ROW($B$2))/16+1),"")</f>
        <v/>
      </c>
    </row>
    <row r="1037" spans="2:14" x14ac:dyDescent="0.3">
      <c r="B1037" t="s">
        <v>2173</v>
      </c>
      <c r="C1037" t="s">
        <v>3219</v>
      </c>
      <c r="D1037" t="s">
        <v>1232</v>
      </c>
      <c r="E1037">
        <v>0</v>
      </c>
      <c r="F1037" t="s">
        <v>1232</v>
      </c>
      <c r="N1037" t="str" cm="1">
        <f t="array" ref="N1037">IF(MOD(ROW()-ROW($B$2),16)=0,INDEX($M$2:$M$1000,(ROW()-ROW($B$2))/16+1),"")</f>
        <v/>
      </c>
    </row>
    <row r="1038" spans="2:14" x14ac:dyDescent="0.3">
      <c r="B1038" t="s">
        <v>2173</v>
      </c>
      <c r="C1038" t="s">
        <v>3220</v>
      </c>
      <c r="D1038" t="s">
        <v>1233</v>
      </c>
      <c r="E1038">
        <v>0</v>
      </c>
      <c r="F1038" t="s">
        <v>1233</v>
      </c>
      <c r="N1038" t="str" cm="1">
        <f t="array" ref="N1038">IF(MOD(ROW()-ROW($B$2),16)=0,INDEX($M$2:$M$1000,(ROW()-ROW($B$2))/16+1),"")</f>
        <v/>
      </c>
    </row>
    <row r="1039" spans="2:14" x14ac:dyDescent="0.3">
      <c r="B1039" t="s">
        <v>2173</v>
      </c>
      <c r="C1039" t="s">
        <v>3221</v>
      </c>
      <c r="D1039" t="s">
        <v>1234</v>
      </c>
      <c r="E1039">
        <v>0</v>
      </c>
      <c r="F1039" t="s">
        <v>1234</v>
      </c>
      <c r="N1039" t="str" cm="1">
        <f t="array" ref="N1039">IF(MOD(ROW()-ROW($B$2),16)=0,INDEX($M$2:$M$1000,(ROW()-ROW($B$2))/16+1),"")</f>
        <v/>
      </c>
    </row>
    <row r="1040" spans="2:14" x14ac:dyDescent="0.3">
      <c r="B1040" t="s">
        <v>2173</v>
      </c>
      <c r="C1040" t="s">
        <v>3222</v>
      </c>
      <c r="D1040" t="s">
        <v>1235</v>
      </c>
      <c r="E1040">
        <v>0</v>
      </c>
      <c r="F1040" t="s">
        <v>1235</v>
      </c>
      <c r="N1040" t="str" cm="1">
        <f t="array" ref="N1040">IF(MOD(ROW()-ROW($B$2),16)=0,INDEX($M$2:$M$1000,(ROW()-ROW($B$2))/16+1),"")</f>
        <v/>
      </c>
    </row>
    <row r="1041" spans="2:14" x14ac:dyDescent="0.3">
      <c r="B1041" t="s">
        <v>2173</v>
      </c>
      <c r="C1041" t="s">
        <v>3223</v>
      </c>
      <c r="D1041" t="s">
        <v>1236</v>
      </c>
      <c r="E1041">
        <v>0</v>
      </c>
      <c r="F1041" t="s">
        <v>1236</v>
      </c>
      <c r="N1041" t="str" cm="1">
        <f t="array" ref="N1041">IF(MOD(ROW()-ROW($B$2),16)=0,INDEX($M$2:$M$1000,(ROW()-ROW($B$2))/16+1),"")</f>
        <v/>
      </c>
    </row>
    <row r="1042" spans="2:14" x14ac:dyDescent="0.3">
      <c r="B1042" t="s">
        <v>2173</v>
      </c>
      <c r="C1042" t="s">
        <v>3224</v>
      </c>
      <c r="D1042" t="s">
        <v>1237</v>
      </c>
      <c r="E1042">
        <v>0</v>
      </c>
      <c r="F1042" t="s">
        <v>1237</v>
      </c>
      <c r="N1042" t="str" cm="1">
        <f t="array" ref="N1042">IF(MOD(ROW()-ROW($B$2),16)=0,INDEX($M$2:$M$1000,(ROW()-ROW($B$2))/16+1),"")</f>
        <v>Фиксированное число 65 (0)</v>
      </c>
    </row>
    <row r="1043" spans="2:14" x14ac:dyDescent="0.3">
      <c r="B1043" t="s">
        <v>2173</v>
      </c>
      <c r="C1043" t="s">
        <v>3225</v>
      </c>
      <c r="D1043" t="s">
        <v>1238</v>
      </c>
      <c r="E1043">
        <v>0</v>
      </c>
      <c r="F1043" t="s">
        <v>1238</v>
      </c>
      <c r="N1043" t="str" cm="1">
        <f t="array" ref="N1043">IF(MOD(ROW()-ROW($B$2),16)=0,INDEX($M$2:$M$1000,(ROW()-ROW($B$2))/16+1),"")</f>
        <v/>
      </c>
    </row>
    <row r="1044" spans="2:14" x14ac:dyDescent="0.3">
      <c r="B1044" t="s">
        <v>2173</v>
      </c>
      <c r="C1044" t="s">
        <v>3226</v>
      </c>
      <c r="D1044" t="s">
        <v>1239</v>
      </c>
      <c r="E1044">
        <v>0</v>
      </c>
      <c r="F1044" t="s">
        <v>1239</v>
      </c>
      <c r="N1044" t="str" cm="1">
        <f t="array" ref="N1044">IF(MOD(ROW()-ROW($B$2),16)=0,INDEX($M$2:$M$1000,(ROW()-ROW($B$2))/16+1),"")</f>
        <v/>
      </c>
    </row>
    <row r="1045" spans="2:14" x14ac:dyDescent="0.3">
      <c r="B1045" t="s">
        <v>2173</v>
      </c>
      <c r="C1045" t="s">
        <v>3227</v>
      </c>
      <c r="D1045" t="s">
        <v>1240</v>
      </c>
      <c r="E1045">
        <v>0</v>
      </c>
      <c r="F1045" t="s">
        <v>1240</v>
      </c>
      <c r="N1045" t="str" cm="1">
        <f t="array" ref="N1045">IF(MOD(ROW()-ROW($B$2),16)=0,INDEX($M$2:$M$1000,(ROW()-ROW($B$2))/16+1),"")</f>
        <v/>
      </c>
    </row>
    <row r="1046" spans="2:14" x14ac:dyDescent="0.3">
      <c r="B1046" t="s">
        <v>2173</v>
      </c>
      <c r="C1046" t="s">
        <v>3228</v>
      </c>
      <c r="D1046" t="s">
        <v>1241</v>
      </c>
      <c r="E1046">
        <v>0</v>
      </c>
      <c r="F1046" t="s">
        <v>1241</v>
      </c>
      <c r="N1046" t="str" cm="1">
        <f t="array" ref="N1046">IF(MOD(ROW()-ROW($B$2),16)=0,INDEX($M$2:$M$1000,(ROW()-ROW($B$2))/16+1),"")</f>
        <v/>
      </c>
    </row>
    <row r="1047" spans="2:14" x14ac:dyDescent="0.3">
      <c r="B1047" t="s">
        <v>2173</v>
      </c>
      <c r="C1047" t="s">
        <v>3229</v>
      </c>
      <c r="D1047" t="s">
        <v>1242</v>
      </c>
      <c r="E1047">
        <v>0</v>
      </c>
      <c r="F1047" t="s">
        <v>1242</v>
      </c>
      <c r="N1047" t="str" cm="1">
        <f t="array" ref="N1047">IF(MOD(ROW()-ROW($B$2),16)=0,INDEX($M$2:$M$1000,(ROW()-ROW($B$2))/16+1),"")</f>
        <v/>
      </c>
    </row>
    <row r="1048" spans="2:14" x14ac:dyDescent="0.3">
      <c r="B1048" t="s">
        <v>2173</v>
      </c>
      <c r="C1048" t="s">
        <v>3230</v>
      </c>
      <c r="D1048" t="s">
        <v>1243</v>
      </c>
      <c r="E1048">
        <v>0</v>
      </c>
      <c r="F1048" t="s">
        <v>1243</v>
      </c>
      <c r="N1048" t="str" cm="1">
        <f t="array" ref="N1048">IF(MOD(ROW()-ROW($B$2),16)=0,INDEX($M$2:$M$1000,(ROW()-ROW($B$2))/16+1),"")</f>
        <v/>
      </c>
    </row>
    <row r="1049" spans="2:14" x14ac:dyDescent="0.3">
      <c r="B1049" t="s">
        <v>2173</v>
      </c>
      <c r="C1049" t="s">
        <v>3231</v>
      </c>
      <c r="D1049" t="s">
        <v>1244</v>
      </c>
      <c r="E1049">
        <v>0</v>
      </c>
      <c r="F1049" t="s">
        <v>1244</v>
      </c>
      <c r="N1049" t="str" cm="1">
        <f t="array" ref="N1049">IF(MOD(ROW()-ROW($B$2),16)=0,INDEX($M$2:$M$1000,(ROW()-ROW($B$2))/16+1),"")</f>
        <v/>
      </c>
    </row>
    <row r="1050" spans="2:14" x14ac:dyDescent="0.3">
      <c r="B1050" t="s">
        <v>2173</v>
      </c>
      <c r="C1050" t="s">
        <v>3232</v>
      </c>
      <c r="D1050" t="s">
        <v>1245</v>
      </c>
      <c r="E1050">
        <v>0</v>
      </c>
      <c r="F1050" t="s">
        <v>1245</v>
      </c>
      <c r="N1050" t="str" cm="1">
        <f t="array" ref="N1050">IF(MOD(ROW()-ROW($B$2),16)=0,INDEX($M$2:$M$1000,(ROW()-ROW($B$2))/16+1),"")</f>
        <v/>
      </c>
    </row>
    <row r="1051" spans="2:14" x14ac:dyDescent="0.3">
      <c r="B1051" t="s">
        <v>2173</v>
      </c>
      <c r="C1051" t="s">
        <v>3233</v>
      </c>
      <c r="D1051" t="s">
        <v>1246</v>
      </c>
      <c r="E1051">
        <v>0</v>
      </c>
      <c r="F1051" t="s">
        <v>1246</v>
      </c>
      <c r="N1051" t="str" cm="1">
        <f t="array" ref="N1051">IF(MOD(ROW()-ROW($B$2),16)=0,INDEX($M$2:$M$1000,(ROW()-ROW($B$2))/16+1),"")</f>
        <v/>
      </c>
    </row>
    <row r="1052" spans="2:14" x14ac:dyDescent="0.3">
      <c r="B1052" t="s">
        <v>2173</v>
      </c>
      <c r="C1052" t="s">
        <v>3234</v>
      </c>
      <c r="D1052" t="s">
        <v>1247</v>
      </c>
      <c r="E1052">
        <v>0</v>
      </c>
      <c r="F1052" t="s">
        <v>1247</v>
      </c>
      <c r="N1052" t="str" cm="1">
        <f t="array" ref="N1052">IF(MOD(ROW()-ROW($B$2),16)=0,INDEX($M$2:$M$1000,(ROW()-ROW($B$2))/16+1),"")</f>
        <v/>
      </c>
    </row>
    <row r="1053" spans="2:14" x14ac:dyDescent="0.3">
      <c r="B1053" t="s">
        <v>2173</v>
      </c>
      <c r="C1053" t="s">
        <v>3235</v>
      </c>
      <c r="D1053" t="s">
        <v>1248</v>
      </c>
      <c r="E1053">
        <v>0</v>
      </c>
      <c r="F1053" t="s">
        <v>1248</v>
      </c>
      <c r="N1053" t="str" cm="1">
        <f t="array" ref="N1053">IF(MOD(ROW()-ROW($B$2),16)=0,INDEX($M$2:$M$1000,(ROW()-ROW($B$2))/16+1),"")</f>
        <v/>
      </c>
    </row>
    <row r="1054" spans="2:14" x14ac:dyDescent="0.3">
      <c r="B1054" t="s">
        <v>2173</v>
      </c>
      <c r="C1054" t="s">
        <v>3236</v>
      </c>
      <c r="D1054" t="s">
        <v>1249</v>
      </c>
      <c r="E1054">
        <v>0</v>
      </c>
      <c r="F1054" t="s">
        <v>1249</v>
      </c>
      <c r="N1054" t="str" cm="1">
        <f t="array" ref="N1054">IF(MOD(ROW()-ROW($B$2),16)=0,INDEX($M$2:$M$1000,(ROW()-ROW($B$2))/16+1),"")</f>
        <v/>
      </c>
    </row>
    <row r="1055" spans="2:14" x14ac:dyDescent="0.3">
      <c r="B1055" t="s">
        <v>2173</v>
      </c>
      <c r="C1055" t="s">
        <v>3237</v>
      </c>
      <c r="D1055" t="s">
        <v>1250</v>
      </c>
      <c r="E1055">
        <v>0</v>
      </c>
      <c r="F1055" t="s">
        <v>1250</v>
      </c>
      <c r="N1055" t="str" cm="1">
        <f t="array" ref="N1055">IF(MOD(ROW()-ROW($B$2),16)=0,INDEX($M$2:$M$1000,(ROW()-ROW($B$2))/16+1),"")</f>
        <v/>
      </c>
    </row>
    <row r="1056" spans="2:14" x14ac:dyDescent="0.3">
      <c r="B1056" t="s">
        <v>2173</v>
      </c>
      <c r="C1056" t="s">
        <v>3238</v>
      </c>
      <c r="D1056" t="s">
        <v>1251</v>
      </c>
      <c r="E1056">
        <v>0</v>
      </c>
      <c r="F1056" t="s">
        <v>1251</v>
      </c>
      <c r="N1056" t="str" cm="1">
        <f t="array" ref="N1056">IF(MOD(ROW()-ROW($B$2),16)=0,INDEX($M$2:$M$1000,(ROW()-ROW($B$2))/16+1),"")</f>
        <v/>
      </c>
    </row>
    <row r="1057" spans="2:14" x14ac:dyDescent="0.3">
      <c r="B1057" t="s">
        <v>2173</v>
      </c>
      <c r="C1057" t="s">
        <v>3239</v>
      </c>
      <c r="D1057" t="s">
        <v>1252</v>
      </c>
      <c r="E1057">
        <v>0</v>
      </c>
      <c r="F1057" t="s">
        <v>1252</v>
      </c>
      <c r="N1057" t="str" cm="1">
        <f t="array" ref="N1057">IF(MOD(ROW()-ROW($B$2),16)=0,INDEX($M$2:$M$1000,(ROW()-ROW($B$2))/16+1),"")</f>
        <v/>
      </c>
    </row>
    <row r="1058" spans="2:14" x14ac:dyDescent="0.3">
      <c r="B1058" t="s">
        <v>2173</v>
      </c>
      <c r="C1058" t="s">
        <v>3240</v>
      </c>
      <c r="D1058" t="s">
        <v>1253</v>
      </c>
      <c r="E1058">
        <v>0</v>
      </c>
      <c r="F1058" t="s">
        <v>1253</v>
      </c>
      <c r="N1058" t="str" cm="1">
        <f t="array" ref="N1058">IF(MOD(ROW()-ROW($B$2),16)=0,INDEX($M$2:$M$1000,(ROW()-ROW($B$2))/16+1),"")</f>
        <v>Фиксированное число 66 (0)</v>
      </c>
    </row>
    <row r="1059" spans="2:14" x14ac:dyDescent="0.3">
      <c r="B1059" t="s">
        <v>2173</v>
      </c>
      <c r="C1059" t="s">
        <v>3241</v>
      </c>
      <c r="D1059" t="s">
        <v>1254</v>
      </c>
      <c r="E1059">
        <v>0</v>
      </c>
      <c r="F1059" t="s">
        <v>1254</v>
      </c>
      <c r="N1059" t="str" cm="1">
        <f t="array" ref="N1059">IF(MOD(ROW()-ROW($B$2),16)=0,INDEX($M$2:$M$1000,(ROW()-ROW($B$2))/16+1),"")</f>
        <v/>
      </c>
    </row>
    <row r="1060" spans="2:14" x14ac:dyDescent="0.3">
      <c r="B1060" t="s">
        <v>2173</v>
      </c>
      <c r="C1060" t="s">
        <v>3242</v>
      </c>
      <c r="D1060" t="s">
        <v>1255</v>
      </c>
      <c r="E1060">
        <v>0</v>
      </c>
      <c r="F1060" t="s">
        <v>1255</v>
      </c>
      <c r="N1060" t="str" cm="1">
        <f t="array" ref="N1060">IF(MOD(ROW()-ROW($B$2),16)=0,INDEX($M$2:$M$1000,(ROW()-ROW($B$2))/16+1),"")</f>
        <v/>
      </c>
    </row>
    <row r="1061" spans="2:14" x14ac:dyDescent="0.3">
      <c r="B1061" t="s">
        <v>2173</v>
      </c>
      <c r="C1061" t="s">
        <v>3243</v>
      </c>
      <c r="D1061" t="s">
        <v>1256</v>
      </c>
      <c r="E1061">
        <v>0</v>
      </c>
      <c r="F1061" t="s">
        <v>1256</v>
      </c>
      <c r="N1061" t="str" cm="1">
        <f t="array" ref="N1061">IF(MOD(ROW()-ROW($B$2),16)=0,INDEX($M$2:$M$1000,(ROW()-ROW($B$2))/16+1),"")</f>
        <v/>
      </c>
    </row>
    <row r="1062" spans="2:14" x14ac:dyDescent="0.3">
      <c r="B1062" t="s">
        <v>2173</v>
      </c>
      <c r="C1062" t="s">
        <v>3244</v>
      </c>
      <c r="D1062" t="s">
        <v>1257</v>
      </c>
      <c r="E1062">
        <v>0</v>
      </c>
      <c r="F1062" t="s">
        <v>1257</v>
      </c>
      <c r="N1062" t="str" cm="1">
        <f t="array" ref="N1062">IF(MOD(ROW()-ROW($B$2),16)=0,INDEX($M$2:$M$1000,(ROW()-ROW($B$2))/16+1),"")</f>
        <v/>
      </c>
    </row>
    <row r="1063" spans="2:14" x14ac:dyDescent="0.3">
      <c r="B1063" t="s">
        <v>2173</v>
      </c>
      <c r="C1063" t="s">
        <v>3245</v>
      </c>
      <c r="D1063" t="s">
        <v>1258</v>
      </c>
      <c r="E1063">
        <v>0</v>
      </c>
      <c r="F1063" t="s">
        <v>1258</v>
      </c>
      <c r="N1063" t="str" cm="1">
        <f t="array" ref="N1063">IF(MOD(ROW()-ROW($B$2),16)=0,INDEX($M$2:$M$1000,(ROW()-ROW($B$2))/16+1),"")</f>
        <v/>
      </c>
    </row>
    <row r="1064" spans="2:14" x14ac:dyDescent="0.3">
      <c r="B1064" t="s">
        <v>2173</v>
      </c>
      <c r="C1064" t="s">
        <v>3246</v>
      </c>
      <c r="D1064" t="s">
        <v>1259</v>
      </c>
      <c r="E1064">
        <v>0</v>
      </c>
      <c r="F1064" t="s">
        <v>1259</v>
      </c>
      <c r="N1064" t="str" cm="1">
        <f t="array" ref="N1064">IF(MOD(ROW()-ROW($B$2),16)=0,INDEX($M$2:$M$1000,(ROW()-ROW($B$2))/16+1),"")</f>
        <v/>
      </c>
    </row>
    <row r="1065" spans="2:14" x14ac:dyDescent="0.3">
      <c r="B1065" t="s">
        <v>2173</v>
      </c>
      <c r="C1065" t="s">
        <v>3247</v>
      </c>
      <c r="D1065" t="s">
        <v>1260</v>
      </c>
      <c r="E1065">
        <v>0</v>
      </c>
      <c r="F1065" t="s">
        <v>1260</v>
      </c>
      <c r="N1065" t="str" cm="1">
        <f t="array" ref="N1065">IF(MOD(ROW()-ROW($B$2),16)=0,INDEX($M$2:$M$1000,(ROW()-ROW($B$2))/16+1),"")</f>
        <v/>
      </c>
    </row>
    <row r="1066" spans="2:14" x14ac:dyDescent="0.3">
      <c r="B1066" t="s">
        <v>2173</v>
      </c>
      <c r="C1066" t="s">
        <v>3248</v>
      </c>
      <c r="D1066" t="s">
        <v>1261</v>
      </c>
      <c r="E1066">
        <v>0</v>
      </c>
      <c r="F1066" t="s">
        <v>1261</v>
      </c>
      <c r="N1066" t="str" cm="1">
        <f t="array" ref="N1066">IF(MOD(ROW()-ROW($B$2),16)=0,INDEX($M$2:$M$1000,(ROW()-ROW($B$2))/16+1),"")</f>
        <v/>
      </c>
    </row>
    <row r="1067" spans="2:14" x14ac:dyDescent="0.3">
      <c r="B1067" t="s">
        <v>2173</v>
      </c>
      <c r="C1067" t="s">
        <v>3249</v>
      </c>
      <c r="D1067" t="s">
        <v>1262</v>
      </c>
      <c r="E1067">
        <v>0</v>
      </c>
      <c r="F1067" t="s">
        <v>1262</v>
      </c>
      <c r="N1067" t="str" cm="1">
        <f t="array" ref="N1067">IF(MOD(ROW()-ROW($B$2),16)=0,INDEX($M$2:$M$1000,(ROW()-ROW($B$2))/16+1),"")</f>
        <v/>
      </c>
    </row>
    <row r="1068" spans="2:14" x14ac:dyDescent="0.3">
      <c r="B1068" t="s">
        <v>2173</v>
      </c>
      <c r="C1068" t="s">
        <v>3250</v>
      </c>
      <c r="D1068" t="s">
        <v>1263</v>
      </c>
      <c r="E1068">
        <v>0</v>
      </c>
      <c r="F1068" t="s">
        <v>1263</v>
      </c>
      <c r="N1068" t="str" cm="1">
        <f t="array" ref="N1068">IF(MOD(ROW()-ROW($B$2),16)=0,INDEX($M$2:$M$1000,(ROW()-ROW($B$2))/16+1),"")</f>
        <v/>
      </c>
    </row>
    <row r="1069" spans="2:14" x14ac:dyDescent="0.3">
      <c r="B1069" t="s">
        <v>2173</v>
      </c>
      <c r="C1069" t="s">
        <v>3251</v>
      </c>
      <c r="D1069" t="s">
        <v>1264</v>
      </c>
      <c r="E1069">
        <v>0</v>
      </c>
      <c r="F1069" t="s">
        <v>1264</v>
      </c>
      <c r="N1069" t="str" cm="1">
        <f t="array" ref="N1069">IF(MOD(ROW()-ROW($B$2),16)=0,INDEX($M$2:$M$1000,(ROW()-ROW($B$2))/16+1),"")</f>
        <v/>
      </c>
    </row>
    <row r="1070" spans="2:14" x14ac:dyDescent="0.3">
      <c r="B1070" t="s">
        <v>2173</v>
      </c>
      <c r="C1070" t="s">
        <v>3252</v>
      </c>
      <c r="D1070" t="s">
        <v>1265</v>
      </c>
      <c r="E1070">
        <v>0</v>
      </c>
      <c r="F1070" t="s">
        <v>1265</v>
      </c>
      <c r="N1070" t="str" cm="1">
        <f t="array" ref="N1070">IF(MOD(ROW()-ROW($B$2),16)=0,INDEX($M$2:$M$1000,(ROW()-ROW($B$2))/16+1),"")</f>
        <v/>
      </c>
    </row>
    <row r="1071" spans="2:14" x14ac:dyDescent="0.3">
      <c r="B1071" t="s">
        <v>2173</v>
      </c>
      <c r="C1071" t="s">
        <v>3253</v>
      </c>
      <c r="D1071" t="s">
        <v>1266</v>
      </c>
      <c r="E1071">
        <v>0</v>
      </c>
      <c r="F1071" t="s">
        <v>1266</v>
      </c>
      <c r="N1071" t="str" cm="1">
        <f t="array" ref="N1071">IF(MOD(ROW()-ROW($B$2),16)=0,INDEX($M$2:$M$1000,(ROW()-ROW($B$2))/16+1),"")</f>
        <v/>
      </c>
    </row>
    <row r="1072" spans="2:14" x14ac:dyDescent="0.3">
      <c r="B1072" t="s">
        <v>2173</v>
      </c>
      <c r="C1072" t="s">
        <v>3254</v>
      </c>
      <c r="D1072" t="s">
        <v>1267</v>
      </c>
      <c r="E1072">
        <v>0</v>
      </c>
      <c r="F1072" t="s">
        <v>1267</v>
      </c>
      <c r="N1072" t="str" cm="1">
        <f t="array" ref="N1072">IF(MOD(ROW()-ROW($B$2),16)=0,INDEX($M$2:$M$1000,(ROW()-ROW($B$2))/16+1),"")</f>
        <v/>
      </c>
    </row>
    <row r="1073" spans="2:14" x14ac:dyDescent="0.3">
      <c r="B1073" t="s">
        <v>2173</v>
      </c>
      <c r="C1073" t="s">
        <v>3255</v>
      </c>
      <c r="D1073" t="s">
        <v>1268</v>
      </c>
      <c r="E1073">
        <v>0</v>
      </c>
      <c r="F1073" t="s">
        <v>1268</v>
      </c>
      <c r="N1073" t="str" cm="1">
        <f t="array" ref="N1073">IF(MOD(ROW()-ROW($B$2),16)=0,INDEX($M$2:$M$1000,(ROW()-ROW($B$2))/16+1),"")</f>
        <v/>
      </c>
    </row>
    <row r="1074" spans="2:14" x14ac:dyDescent="0.3">
      <c r="B1074" t="s">
        <v>2173</v>
      </c>
      <c r="C1074" t="s">
        <v>3256</v>
      </c>
      <c r="D1074" t="s">
        <v>1269</v>
      </c>
      <c r="E1074">
        <v>0</v>
      </c>
      <c r="F1074" t="s">
        <v>1269</v>
      </c>
      <c r="N1074" t="str" cm="1">
        <f t="array" ref="N1074">IF(MOD(ROW()-ROW($B$2),16)=0,INDEX($M$2:$M$1000,(ROW()-ROW($B$2))/16+1),"")</f>
        <v>Фиксированное число 67 (0)</v>
      </c>
    </row>
    <row r="1075" spans="2:14" x14ac:dyDescent="0.3">
      <c r="B1075" t="s">
        <v>2173</v>
      </c>
      <c r="C1075" t="s">
        <v>3257</v>
      </c>
      <c r="D1075" t="s">
        <v>1270</v>
      </c>
      <c r="E1075">
        <v>0</v>
      </c>
      <c r="F1075" t="s">
        <v>1270</v>
      </c>
      <c r="N1075" t="str" cm="1">
        <f t="array" ref="N1075">IF(MOD(ROW()-ROW($B$2),16)=0,INDEX($M$2:$M$1000,(ROW()-ROW($B$2))/16+1),"")</f>
        <v/>
      </c>
    </row>
    <row r="1076" spans="2:14" x14ac:dyDescent="0.3">
      <c r="B1076" t="s">
        <v>2173</v>
      </c>
      <c r="C1076" t="s">
        <v>3258</v>
      </c>
      <c r="D1076" t="s">
        <v>1271</v>
      </c>
      <c r="E1076">
        <v>0</v>
      </c>
      <c r="F1076" t="s">
        <v>1271</v>
      </c>
      <c r="N1076" t="str" cm="1">
        <f t="array" ref="N1076">IF(MOD(ROW()-ROW($B$2),16)=0,INDEX($M$2:$M$1000,(ROW()-ROW($B$2))/16+1),"")</f>
        <v/>
      </c>
    </row>
    <row r="1077" spans="2:14" x14ac:dyDescent="0.3">
      <c r="B1077" t="s">
        <v>2173</v>
      </c>
      <c r="C1077" t="s">
        <v>3259</v>
      </c>
      <c r="D1077" t="s">
        <v>1272</v>
      </c>
      <c r="E1077">
        <v>0</v>
      </c>
      <c r="F1077" t="s">
        <v>1272</v>
      </c>
      <c r="N1077" t="str" cm="1">
        <f t="array" ref="N1077">IF(MOD(ROW()-ROW($B$2),16)=0,INDEX($M$2:$M$1000,(ROW()-ROW($B$2))/16+1),"")</f>
        <v/>
      </c>
    </row>
    <row r="1078" spans="2:14" x14ac:dyDescent="0.3">
      <c r="B1078" t="s">
        <v>2173</v>
      </c>
      <c r="C1078" t="s">
        <v>3260</v>
      </c>
      <c r="D1078" t="s">
        <v>1273</v>
      </c>
      <c r="E1078">
        <v>0</v>
      </c>
      <c r="F1078" t="s">
        <v>1273</v>
      </c>
      <c r="N1078" t="str" cm="1">
        <f t="array" ref="N1078">IF(MOD(ROW()-ROW($B$2),16)=0,INDEX($M$2:$M$1000,(ROW()-ROW($B$2))/16+1),"")</f>
        <v/>
      </c>
    </row>
    <row r="1079" spans="2:14" x14ac:dyDescent="0.3">
      <c r="B1079" t="s">
        <v>2173</v>
      </c>
      <c r="C1079" t="s">
        <v>3261</v>
      </c>
      <c r="D1079" t="s">
        <v>1274</v>
      </c>
      <c r="E1079">
        <v>0</v>
      </c>
      <c r="F1079" t="s">
        <v>1274</v>
      </c>
      <c r="N1079" t="str" cm="1">
        <f t="array" ref="N1079">IF(MOD(ROW()-ROW($B$2),16)=0,INDEX($M$2:$M$1000,(ROW()-ROW($B$2))/16+1),"")</f>
        <v/>
      </c>
    </row>
    <row r="1080" spans="2:14" x14ac:dyDescent="0.3">
      <c r="B1080" t="s">
        <v>2173</v>
      </c>
      <c r="C1080" t="s">
        <v>3262</v>
      </c>
      <c r="D1080" t="s">
        <v>1275</v>
      </c>
      <c r="E1080">
        <v>0</v>
      </c>
      <c r="F1080" t="s">
        <v>1275</v>
      </c>
      <c r="N1080" t="str" cm="1">
        <f t="array" ref="N1080">IF(MOD(ROW()-ROW($B$2),16)=0,INDEX($M$2:$M$1000,(ROW()-ROW($B$2))/16+1),"")</f>
        <v/>
      </c>
    </row>
    <row r="1081" spans="2:14" x14ac:dyDescent="0.3">
      <c r="B1081" t="s">
        <v>2173</v>
      </c>
      <c r="C1081" t="s">
        <v>3263</v>
      </c>
      <c r="D1081" t="s">
        <v>1276</v>
      </c>
      <c r="E1081">
        <v>0</v>
      </c>
      <c r="F1081" t="s">
        <v>1276</v>
      </c>
      <c r="N1081" t="str" cm="1">
        <f t="array" ref="N1081">IF(MOD(ROW()-ROW($B$2),16)=0,INDEX($M$2:$M$1000,(ROW()-ROW($B$2))/16+1),"")</f>
        <v/>
      </c>
    </row>
    <row r="1082" spans="2:14" x14ac:dyDescent="0.3">
      <c r="B1082" t="s">
        <v>2173</v>
      </c>
      <c r="C1082" t="s">
        <v>3264</v>
      </c>
      <c r="D1082" t="s">
        <v>1277</v>
      </c>
      <c r="E1082">
        <v>0</v>
      </c>
      <c r="F1082" t="s">
        <v>1277</v>
      </c>
      <c r="N1082" t="str" cm="1">
        <f t="array" ref="N1082">IF(MOD(ROW()-ROW($B$2),16)=0,INDEX($M$2:$M$1000,(ROW()-ROW($B$2))/16+1),"")</f>
        <v/>
      </c>
    </row>
    <row r="1083" spans="2:14" x14ac:dyDescent="0.3">
      <c r="B1083" t="s">
        <v>2173</v>
      </c>
      <c r="C1083" t="s">
        <v>3265</v>
      </c>
      <c r="D1083" t="s">
        <v>1278</v>
      </c>
      <c r="E1083">
        <v>0</v>
      </c>
      <c r="F1083" t="s">
        <v>1278</v>
      </c>
      <c r="N1083" t="str" cm="1">
        <f t="array" ref="N1083">IF(MOD(ROW()-ROW($B$2),16)=0,INDEX($M$2:$M$1000,(ROW()-ROW($B$2))/16+1),"")</f>
        <v/>
      </c>
    </row>
    <row r="1084" spans="2:14" x14ac:dyDescent="0.3">
      <c r="B1084" t="s">
        <v>2173</v>
      </c>
      <c r="C1084" t="s">
        <v>3266</v>
      </c>
      <c r="D1084" t="s">
        <v>1279</v>
      </c>
      <c r="E1084">
        <v>0</v>
      </c>
      <c r="F1084" t="s">
        <v>1279</v>
      </c>
      <c r="N1084" t="str" cm="1">
        <f t="array" ref="N1084">IF(MOD(ROW()-ROW($B$2),16)=0,INDEX($M$2:$M$1000,(ROW()-ROW($B$2))/16+1),"")</f>
        <v/>
      </c>
    </row>
    <row r="1085" spans="2:14" x14ac:dyDescent="0.3">
      <c r="B1085" t="s">
        <v>2173</v>
      </c>
      <c r="C1085" t="s">
        <v>3267</v>
      </c>
      <c r="D1085" t="s">
        <v>1280</v>
      </c>
      <c r="E1085">
        <v>0</v>
      </c>
      <c r="F1085" t="s">
        <v>1280</v>
      </c>
      <c r="N1085" t="str" cm="1">
        <f t="array" ref="N1085">IF(MOD(ROW()-ROW($B$2),16)=0,INDEX($M$2:$M$1000,(ROW()-ROW($B$2))/16+1),"")</f>
        <v/>
      </c>
    </row>
    <row r="1086" spans="2:14" x14ac:dyDescent="0.3">
      <c r="B1086" t="s">
        <v>2173</v>
      </c>
      <c r="C1086" t="s">
        <v>3268</v>
      </c>
      <c r="D1086" t="s">
        <v>1281</v>
      </c>
      <c r="E1086">
        <v>0</v>
      </c>
      <c r="F1086" t="s">
        <v>1281</v>
      </c>
      <c r="N1086" t="str" cm="1">
        <f t="array" ref="N1086">IF(MOD(ROW()-ROW($B$2),16)=0,INDEX($M$2:$M$1000,(ROW()-ROW($B$2))/16+1),"")</f>
        <v/>
      </c>
    </row>
    <row r="1087" spans="2:14" x14ac:dyDescent="0.3">
      <c r="B1087" t="s">
        <v>2173</v>
      </c>
      <c r="C1087" t="s">
        <v>3269</v>
      </c>
      <c r="D1087" t="s">
        <v>1282</v>
      </c>
      <c r="E1087">
        <v>0</v>
      </c>
      <c r="F1087" t="s">
        <v>1282</v>
      </c>
      <c r="N1087" t="str" cm="1">
        <f t="array" ref="N1087">IF(MOD(ROW()-ROW($B$2),16)=0,INDEX($M$2:$M$1000,(ROW()-ROW($B$2))/16+1),"")</f>
        <v/>
      </c>
    </row>
    <row r="1088" spans="2:14" x14ac:dyDescent="0.3">
      <c r="B1088" t="s">
        <v>2173</v>
      </c>
      <c r="C1088" t="s">
        <v>3270</v>
      </c>
      <c r="D1088" t="s">
        <v>1283</v>
      </c>
      <c r="E1088">
        <v>0</v>
      </c>
      <c r="F1088" t="s">
        <v>1283</v>
      </c>
      <c r="N1088" t="str" cm="1">
        <f t="array" ref="N1088">IF(MOD(ROW()-ROW($B$2),16)=0,INDEX($M$2:$M$1000,(ROW()-ROW($B$2))/16+1),"")</f>
        <v/>
      </c>
    </row>
    <row r="1089" spans="2:14" x14ac:dyDescent="0.3">
      <c r="B1089" t="s">
        <v>2173</v>
      </c>
      <c r="C1089" t="s">
        <v>3271</v>
      </c>
      <c r="D1089" t="s">
        <v>1284</v>
      </c>
      <c r="E1089">
        <v>0</v>
      </c>
      <c r="F1089" t="s">
        <v>1284</v>
      </c>
      <c r="N1089" t="str" cm="1">
        <f t="array" ref="N1089">IF(MOD(ROW()-ROW($B$2),16)=0,INDEX($M$2:$M$1000,(ROW()-ROW($B$2))/16+1),"")</f>
        <v/>
      </c>
    </row>
    <row r="1090" spans="2:14" x14ac:dyDescent="0.3">
      <c r="B1090" t="s">
        <v>2173</v>
      </c>
      <c r="C1090" t="s">
        <v>3272</v>
      </c>
      <c r="D1090" t="s">
        <v>1285</v>
      </c>
      <c r="E1090">
        <v>0</v>
      </c>
      <c r="F1090" t="s">
        <v>1285</v>
      </c>
      <c r="N1090" t="str" cm="1">
        <f t="array" ref="N1090">IF(MOD(ROW()-ROW($B$2),16)=0,INDEX($M$2:$M$1000,(ROW()-ROW($B$2))/16+1),"")</f>
        <v>Фиксированное число 68 (0)</v>
      </c>
    </row>
    <row r="1091" spans="2:14" x14ac:dyDescent="0.3">
      <c r="B1091" t="s">
        <v>2173</v>
      </c>
      <c r="C1091" t="s">
        <v>3273</v>
      </c>
      <c r="D1091" t="s">
        <v>1286</v>
      </c>
      <c r="E1091">
        <v>0</v>
      </c>
      <c r="F1091" t="s">
        <v>1286</v>
      </c>
      <c r="N1091" t="str" cm="1">
        <f t="array" ref="N1091">IF(MOD(ROW()-ROW($B$2),16)=0,INDEX($M$2:$M$1000,(ROW()-ROW($B$2))/16+1),"")</f>
        <v/>
      </c>
    </row>
    <row r="1092" spans="2:14" x14ac:dyDescent="0.3">
      <c r="B1092" t="s">
        <v>2173</v>
      </c>
      <c r="C1092" t="s">
        <v>3274</v>
      </c>
      <c r="D1092" t="s">
        <v>1287</v>
      </c>
      <c r="E1092">
        <v>0</v>
      </c>
      <c r="F1092" t="s">
        <v>1287</v>
      </c>
      <c r="N1092" t="str" cm="1">
        <f t="array" ref="N1092">IF(MOD(ROW()-ROW($B$2),16)=0,INDEX($M$2:$M$1000,(ROW()-ROW($B$2))/16+1),"")</f>
        <v/>
      </c>
    </row>
    <row r="1093" spans="2:14" x14ac:dyDescent="0.3">
      <c r="B1093" t="s">
        <v>2173</v>
      </c>
      <c r="C1093" t="s">
        <v>3275</v>
      </c>
      <c r="D1093" t="s">
        <v>1288</v>
      </c>
      <c r="E1093">
        <v>0</v>
      </c>
      <c r="F1093" t="s">
        <v>1288</v>
      </c>
      <c r="N1093" t="str" cm="1">
        <f t="array" ref="N1093">IF(MOD(ROW()-ROW($B$2),16)=0,INDEX($M$2:$M$1000,(ROW()-ROW($B$2))/16+1),"")</f>
        <v/>
      </c>
    </row>
    <row r="1094" spans="2:14" x14ac:dyDescent="0.3">
      <c r="B1094" t="s">
        <v>2173</v>
      </c>
      <c r="C1094" t="s">
        <v>3276</v>
      </c>
      <c r="D1094" t="s">
        <v>1289</v>
      </c>
      <c r="E1094">
        <v>0</v>
      </c>
      <c r="F1094" t="s">
        <v>1289</v>
      </c>
      <c r="N1094" t="str" cm="1">
        <f t="array" ref="N1094">IF(MOD(ROW()-ROW($B$2),16)=0,INDEX($M$2:$M$1000,(ROW()-ROW($B$2))/16+1),"")</f>
        <v/>
      </c>
    </row>
    <row r="1095" spans="2:14" x14ac:dyDescent="0.3">
      <c r="B1095" t="s">
        <v>2173</v>
      </c>
      <c r="C1095" t="s">
        <v>3277</v>
      </c>
      <c r="D1095" t="s">
        <v>1290</v>
      </c>
      <c r="E1095">
        <v>0</v>
      </c>
      <c r="F1095" t="s">
        <v>1290</v>
      </c>
      <c r="N1095" t="str" cm="1">
        <f t="array" ref="N1095">IF(MOD(ROW()-ROW($B$2),16)=0,INDEX($M$2:$M$1000,(ROW()-ROW($B$2))/16+1),"")</f>
        <v/>
      </c>
    </row>
    <row r="1096" spans="2:14" x14ac:dyDescent="0.3">
      <c r="B1096" t="s">
        <v>2173</v>
      </c>
      <c r="C1096" t="s">
        <v>3278</v>
      </c>
      <c r="D1096" t="s">
        <v>1291</v>
      </c>
      <c r="E1096">
        <v>0</v>
      </c>
      <c r="F1096" t="s">
        <v>1291</v>
      </c>
      <c r="N1096" t="str" cm="1">
        <f t="array" ref="N1096">IF(MOD(ROW()-ROW($B$2),16)=0,INDEX($M$2:$M$1000,(ROW()-ROW($B$2))/16+1),"")</f>
        <v/>
      </c>
    </row>
    <row r="1097" spans="2:14" x14ac:dyDescent="0.3">
      <c r="B1097" t="s">
        <v>2173</v>
      </c>
      <c r="C1097" t="s">
        <v>3279</v>
      </c>
      <c r="D1097" t="s">
        <v>1292</v>
      </c>
      <c r="E1097">
        <v>0</v>
      </c>
      <c r="F1097" t="s">
        <v>1292</v>
      </c>
      <c r="N1097" t="str" cm="1">
        <f t="array" ref="N1097">IF(MOD(ROW()-ROW($B$2),16)=0,INDEX($M$2:$M$1000,(ROW()-ROW($B$2))/16+1),"")</f>
        <v/>
      </c>
    </row>
    <row r="1098" spans="2:14" x14ac:dyDescent="0.3">
      <c r="B1098" t="s">
        <v>2173</v>
      </c>
      <c r="C1098" t="s">
        <v>3280</v>
      </c>
      <c r="D1098" t="s">
        <v>1293</v>
      </c>
      <c r="E1098">
        <v>0</v>
      </c>
      <c r="F1098" t="s">
        <v>1293</v>
      </c>
      <c r="N1098" t="str" cm="1">
        <f t="array" ref="N1098">IF(MOD(ROW()-ROW($B$2),16)=0,INDEX($M$2:$M$1000,(ROW()-ROW($B$2))/16+1),"")</f>
        <v/>
      </c>
    </row>
    <row r="1099" spans="2:14" x14ac:dyDescent="0.3">
      <c r="B1099" t="s">
        <v>2173</v>
      </c>
      <c r="C1099" t="s">
        <v>3281</v>
      </c>
      <c r="D1099" t="s">
        <v>1294</v>
      </c>
      <c r="E1099">
        <v>0</v>
      </c>
      <c r="F1099" t="s">
        <v>1294</v>
      </c>
      <c r="N1099" t="str" cm="1">
        <f t="array" ref="N1099">IF(MOD(ROW()-ROW($B$2),16)=0,INDEX($M$2:$M$1000,(ROW()-ROW($B$2))/16+1),"")</f>
        <v/>
      </c>
    </row>
    <row r="1100" spans="2:14" x14ac:dyDescent="0.3">
      <c r="B1100" t="s">
        <v>2173</v>
      </c>
      <c r="C1100" t="s">
        <v>3282</v>
      </c>
      <c r="D1100" t="s">
        <v>1295</v>
      </c>
      <c r="E1100">
        <v>0</v>
      </c>
      <c r="F1100" t="s">
        <v>1295</v>
      </c>
      <c r="N1100" t="str" cm="1">
        <f t="array" ref="N1100">IF(MOD(ROW()-ROW($B$2),16)=0,INDEX($M$2:$M$1000,(ROW()-ROW($B$2))/16+1),"")</f>
        <v/>
      </c>
    </row>
    <row r="1101" spans="2:14" x14ac:dyDescent="0.3">
      <c r="B1101" t="s">
        <v>2173</v>
      </c>
      <c r="C1101" t="s">
        <v>3283</v>
      </c>
      <c r="D1101" t="s">
        <v>1296</v>
      </c>
      <c r="E1101">
        <v>0</v>
      </c>
      <c r="F1101" t="s">
        <v>1296</v>
      </c>
      <c r="N1101" t="str" cm="1">
        <f t="array" ref="N1101">IF(MOD(ROW()-ROW($B$2),16)=0,INDEX($M$2:$M$1000,(ROW()-ROW($B$2))/16+1),"")</f>
        <v/>
      </c>
    </row>
    <row r="1102" spans="2:14" x14ac:dyDescent="0.3">
      <c r="B1102" t="s">
        <v>2173</v>
      </c>
      <c r="C1102" t="s">
        <v>3284</v>
      </c>
      <c r="D1102" t="s">
        <v>1297</v>
      </c>
      <c r="E1102">
        <v>0</v>
      </c>
      <c r="F1102" t="s">
        <v>1297</v>
      </c>
      <c r="N1102" t="str" cm="1">
        <f t="array" ref="N1102">IF(MOD(ROW()-ROW($B$2),16)=0,INDEX($M$2:$M$1000,(ROW()-ROW($B$2))/16+1),"")</f>
        <v/>
      </c>
    </row>
    <row r="1103" spans="2:14" x14ac:dyDescent="0.3">
      <c r="B1103" t="s">
        <v>2173</v>
      </c>
      <c r="C1103" t="s">
        <v>3285</v>
      </c>
      <c r="D1103" t="s">
        <v>1298</v>
      </c>
      <c r="E1103">
        <v>0</v>
      </c>
      <c r="F1103" t="s">
        <v>1298</v>
      </c>
      <c r="N1103" t="str" cm="1">
        <f t="array" ref="N1103">IF(MOD(ROW()-ROW($B$2),16)=0,INDEX($M$2:$M$1000,(ROW()-ROW($B$2))/16+1),"")</f>
        <v/>
      </c>
    </row>
    <row r="1104" spans="2:14" x14ac:dyDescent="0.3">
      <c r="B1104" t="s">
        <v>2173</v>
      </c>
      <c r="C1104" t="s">
        <v>3286</v>
      </c>
      <c r="D1104" t="s">
        <v>1299</v>
      </c>
      <c r="E1104">
        <v>0</v>
      </c>
      <c r="F1104" t="s">
        <v>1299</v>
      </c>
      <c r="N1104" t="str" cm="1">
        <f t="array" ref="N1104">IF(MOD(ROW()-ROW($B$2),16)=0,INDEX($M$2:$M$1000,(ROW()-ROW($B$2))/16+1),"")</f>
        <v/>
      </c>
    </row>
    <row r="1105" spans="2:14" x14ac:dyDescent="0.3">
      <c r="B1105" t="s">
        <v>2173</v>
      </c>
      <c r="C1105" t="s">
        <v>3287</v>
      </c>
      <c r="D1105" t="s">
        <v>1300</v>
      </c>
      <c r="E1105">
        <v>0</v>
      </c>
      <c r="F1105" t="s">
        <v>1300</v>
      </c>
      <c r="N1105" t="str" cm="1">
        <f t="array" ref="N1105">IF(MOD(ROW()-ROW($B$2),16)=0,INDEX($M$2:$M$1000,(ROW()-ROW($B$2))/16+1),"")</f>
        <v/>
      </c>
    </row>
    <row r="1106" spans="2:14" x14ac:dyDescent="0.3">
      <c r="B1106" t="s">
        <v>2173</v>
      </c>
      <c r="C1106" t="s">
        <v>3288</v>
      </c>
      <c r="D1106" t="s">
        <v>1301</v>
      </c>
      <c r="E1106">
        <v>0</v>
      </c>
      <c r="F1106" t="s">
        <v>1301</v>
      </c>
      <c r="N1106" t="str" cm="1">
        <f t="array" ref="N1106">IF(MOD(ROW()-ROW($B$2),16)=0,INDEX($M$2:$M$1000,(ROW()-ROW($B$2))/16+1),"")</f>
        <v>Фиксированное число 69 (0)</v>
      </c>
    </row>
    <row r="1107" spans="2:14" x14ac:dyDescent="0.3">
      <c r="B1107" t="s">
        <v>2173</v>
      </c>
      <c r="C1107" t="s">
        <v>3289</v>
      </c>
      <c r="D1107" t="s">
        <v>1302</v>
      </c>
      <c r="E1107">
        <v>0</v>
      </c>
      <c r="F1107" t="s">
        <v>1302</v>
      </c>
      <c r="N1107" t="str" cm="1">
        <f t="array" ref="N1107">IF(MOD(ROW()-ROW($B$2),16)=0,INDEX($M$2:$M$1000,(ROW()-ROW($B$2))/16+1),"")</f>
        <v/>
      </c>
    </row>
    <row r="1108" spans="2:14" x14ac:dyDescent="0.3">
      <c r="B1108" t="s">
        <v>2173</v>
      </c>
      <c r="C1108" t="s">
        <v>3290</v>
      </c>
      <c r="D1108" t="s">
        <v>1303</v>
      </c>
      <c r="E1108">
        <v>0</v>
      </c>
      <c r="F1108" t="s">
        <v>1303</v>
      </c>
      <c r="N1108" t="str" cm="1">
        <f t="array" ref="N1108">IF(MOD(ROW()-ROW($B$2),16)=0,INDEX($M$2:$M$1000,(ROW()-ROW($B$2))/16+1),"")</f>
        <v/>
      </c>
    </row>
    <row r="1109" spans="2:14" x14ac:dyDescent="0.3">
      <c r="B1109" t="s">
        <v>2173</v>
      </c>
      <c r="C1109" t="s">
        <v>3291</v>
      </c>
      <c r="D1109" t="s">
        <v>1304</v>
      </c>
      <c r="E1109">
        <v>0</v>
      </c>
      <c r="F1109" t="s">
        <v>1304</v>
      </c>
      <c r="N1109" t="str" cm="1">
        <f t="array" ref="N1109">IF(MOD(ROW()-ROW($B$2),16)=0,INDEX($M$2:$M$1000,(ROW()-ROW($B$2))/16+1),"")</f>
        <v/>
      </c>
    </row>
    <row r="1110" spans="2:14" x14ac:dyDescent="0.3">
      <c r="B1110" t="s">
        <v>2173</v>
      </c>
      <c r="C1110" t="s">
        <v>3292</v>
      </c>
      <c r="D1110" t="s">
        <v>1305</v>
      </c>
      <c r="E1110">
        <v>0</v>
      </c>
      <c r="F1110" t="s">
        <v>1305</v>
      </c>
      <c r="N1110" t="str" cm="1">
        <f t="array" ref="N1110">IF(MOD(ROW()-ROW($B$2),16)=0,INDEX($M$2:$M$1000,(ROW()-ROW($B$2))/16+1),"")</f>
        <v/>
      </c>
    </row>
    <row r="1111" spans="2:14" x14ac:dyDescent="0.3">
      <c r="B1111" t="s">
        <v>2173</v>
      </c>
      <c r="C1111" t="s">
        <v>3293</v>
      </c>
      <c r="D1111" t="s">
        <v>1306</v>
      </c>
      <c r="E1111">
        <v>0</v>
      </c>
      <c r="F1111" t="s">
        <v>1306</v>
      </c>
      <c r="N1111" t="str" cm="1">
        <f t="array" ref="N1111">IF(MOD(ROW()-ROW($B$2),16)=0,INDEX($M$2:$M$1000,(ROW()-ROW($B$2))/16+1),"")</f>
        <v/>
      </c>
    </row>
    <row r="1112" spans="2:14" x14ac:dyDescent="0.3">
      <c r="B1112" t="s">
        <v>2173</v>
      </c>
      <c r="C1112" t="s">
        <v>3294</v>
      </c>
      <c r="D1112" t="s">
        <v>1307</v>
      </c>
      <c r="E1112">
        <v>0</v>
      </c>
      <c r="F1112" t="s">
        <v>1307</v>
      </c>
      <c r="N1112" t="str" cm="1">
        <f t="array" ref="N1112">IF(MOD(ROW()-ROW($B$2),16)=0,INDEX($M$2:$M$1000,(ROW()-ROW($B$2))/16+1),"")</f>
        <v/>
      </c>
    </row>
    <row r="1113" spans="2:14" x14ac:dyDescent="0.3">
      <c r="B1113" t="s">
        <v>2173</v>
      </c>
      <c r="C1113" t="s">
        <v>3295</v>
      </c>
      <c r="D1113" t="s">
        <v>1308</v>
      </c>
      <c r="E1113">
        <v>0</v>
      </c>
      <c r="F1113" t="s">
        <v>1308</v>
      </c>
      <c r="N1113" t="str" cm="1">
        <f t="array" ref="N1113">IF(MOD(ROW()-ROW($B$2),16)=0,INDEX($M$2:$M$1000,(ROW()-ROW($B$2))/16+1),"")</f>
        <v/>
      </c>
    </row>
    <row r="1114" spans="2:14" x14ac:dyDescent="0.3">
      <c r="B1114" t="s">
        <v>2173</v>
      </c>
      <c r="C1114" t="s">
        <v>3296</v>
      </c>
      <c r="D1114" t="s">
        <v>1309</v>
      </c>
      <c r="E1114">
        <v>0</v>
      </c>
      <c r="F1114" t="s">
        <v>1309</v>
      </c>
      <c r="N1114" t="str" cm="1">
        <f t="array" ref="N1114">IF(MOD(ROW()-ROW($B$2),16)=0,INDEX($M$2:$M$1000,(ROW()-ROW($B$2))/16+1),"")</f>
        <v/>
      </c>
    </row>
    <row r="1115" spans="2:14" x14ac:dyDescent="0.3">
      <c r="B1115" t="s">
        <v>2173</v>
      </c>
      <c r="C1115" t="s">
        <v>3297</v>
      </c>
      <c r="D1115" t="s">
        <v>1310</v>
      </c>
      <c r="E1115">
        <v>0</v>
      </c>
      <c r="F1115" t="s">
        <v>1310</v>
      </c>
      <c r="N1115" t="str" cm="1">
        <f t="array" ref="N1115">IF(MOD(ROW()-ROW($B$2),16)=0,INDEX($M$2:$M$1000,(ROW()-ROW($B$2))/16+1),"")</f>
        <v/>
      </c>
    </row>
    <row r="1116" spans="2:14" x14ac:dyDescent="0.3">
      <c r="B1116" t="s">
        <v>2173</v>
      </c>
      <c r="C1116" t="s">
        <v>3298</v>
      </c>
      <c r="D1116" t="s">
        <v>1311</v>
      </c>
      <c r="E1116">
        <v>0</v>
      </c>
      <c r="F1116" t="s">
        <v>1311</v>
      </c>
      <c r="N1116" t="str" cm="1">
        <f t="array" ref="N1116">IF(MOD(ROW()-ROW($B$2),16)=0,INDEX($M$2:$M$1000,(ROW()-ROW($B$2))/16+1),"")</f>
        <v/>
      </c>
    </row>
    <row r="1117" spans="2:14" x14ac:dyDescent="0.3">
      <c r="B1117" t="s">
        <v>2173</v>
      </c>
      <c r="C1117" t="s">
        <v>3299</v>
      </c>
      <c r="D1117" t="s">
        <v>1312</v>
      </c>
      <c r="E1117">
        <v>0</v>
      </c>
      <c r="F1117" t="s">
        <v>1312</v>
      </c>
      <c r="N1117" t="str" cm="1">
        <f t="array" ref="N1117">IF(MOD(ROW()-ROW($B$2),16)=0,INDEX($M$2:$M$1000,(ROW()-ROW($B$2))/16+1),"")</f>
        <v/>
      </c>
    </row>
    <row r="1118" spans="2:14" x14ac:dyDescent="0.3">
      <c r="B1118" t="s">
        <v>2173</v>
      </c>
      <c r="C1118" t="s">
        <v>3300</v>
      </c>
      <c r="D1118" t="s">
        <v>1313</v>
      </c>
      <c r="E1118">
        <v>0</v>
      </c>
      <c r="F1118" t="s">
        <v>1313</v>
      </c>
      <c r="N1118" t="str" cm="1">
        <f t="array" ref="N1118">IF(MOD(ROW()-ROW($B$2),16)=0,INDEX($M$2:$M$1000,(ROW()-ROW($B$2))/16+1),"")</f>
        <v/>
      </c>
    </row>
    <row r="1119" spans="2:14" x14ac:dyDescent="0.3">
      <c r="B1119" t="s">
        <v>2173</v>
      </c>
      <c r="C1119" t="s">
        <v>3301</v>
      </c>
      <c r="D1119" t="s">
        <v>1314</v>
      </c>
      <c r="E1119">
        <v>0</v>
      </c>
      <c r="F1119" t="s">
        <v>1314</v>
      </c>
      <c r="N1119" t="str" cm="1">
        <f t="array" ref="N1119">IF(MOD(ROW()-ROW($B$2),16)=0,INDEX($M$2:$M$1000,(ROW()-ROW($B$2))/16+1),"")</f>
        <v/>
      </c>
    </row>
    <row r="1120" spans="2:14" x14ac:dyDescent="0.3">
      <c r="B1120" t="s">
        <v>2173</v>
      </c>
      <c r="C1120" t="s">
        <v>3302</v>
      </c>
      <c r="D1120" t="s">
        <v>1315</v>
      </c>
      <c r="E1120">
        <v>0</v>
      </c>
      <c r="F1120" t="s">
        <v>1315</v>
      </c>
      <c r="N1120" t="str" cm="1">
        <f t="array" ref="N1120">IF(MOD(ROW()-ROW($B$2),16)=0,INDEX($M$2:$M$1000,(ROW()-ROW($B$2))/16+1),"")</f>
        <v/>
      </c>
    </row>
    <row r="1121" spans="2:14" x14ac:dyDescent="0.3">
      <c r="B1121" t="s">
        <v>2173</v>
      </c>
      <c r="C1121" t="s">
        <v>3303</v>
      </c>
      <c r="D1121" t="s">
        <v>1316</v>
      </c>
      <c r="E1121">
        <v>0</v>
      </c>
      <c r="F1121" t="s">
        <v>1316</v>
      </c>
      <c r="N1121" t="str" cm="1">
        <f t="array" ref="N1121">IF(MOD(ROW()-ROW($B$2),16)=0,INDEX($M$2:$M$1000,(ROW()-ROW($B$2))/16+1),"")</f>
        <v/>
      </c>
    </row>
    <row r="1122" spans="2:14" x14ac:dyDescent="0.3">
      <c r="B1122" t="s">
        <v>2173</v>
      </c>
      <c r="C1122" t="s">
        <v>3304</v>
      </c>
      <c r="D1122" t="s">
        <v>1317</v>
      </c>
      <c r="E1122">
        <v>0</v>
      </c>
      <c r="F1122" t="s">
        <v>1317</v>
      </c>
      <c r="N1122" t="str" cm="1">
        <f t="array" ref="N1122">IF(MOD(ROW()-ROW($B$2),16)=0,INDEX($M$2:$M$1000,(ROW()-ROW($B$2))/16+1),"")</f>
        <v>Фиксированное число 70 (0)</v>
      </c>
    </row>
    <row r="1123" spans="2:14" x14ac:dyDescent="0.3">
      <c r="B1123" t="s">
        <v>2173</v>
      </c>
      <c r="C1123" t="s">
        <v>3305</v>
      </c>
      <c r="D1123" t="s">
        <v>1318</v>
      </c>
      <c r="E1123">
        <v>0</v>
      </c>
      <c r="F1123" t="s">
        <v>1318</v>
      </c>
      <c r="N1123" t="str" cm="1">
        <f t="array" ref="N1123">IF(MOD(ROW()-ROW($B$2),16)=0,INDEX($M$2:$M$1000,(ROW()-ROW($B$2))/16+1),"")</f>
        <v/>
      </c>
    </row>
    <row r="1124" spans="2:14" x14ac:dyDescent="0.3">
      <c r="B1124" t="s">
        <v>2173</v>
      </c>
      <c r="C1124" t="s">
        <v>3306</v>
      </c>
      <c r="D1124" t="s">
        <v>1319</v>
      </c>
      <c r="E1124">
        <v>0</v>
      </c>
      <c r="F1124" t="s">
        <v>1319</v>
      </c>
      <c r="N1124" t="str" cm="1">
        <f t="array" ref="N1124">IF(MOD(ROW()-ROW($B$2),16)=0,INDEX($M$2:$M$1000,(ROW()-ROW($B$2))/16+1),"")</f>
        <v/>
      </c>
    </row>
    <row r="1125" spans="2:14" x14ac:dyDescent="0.3">
      <c r="B1125" t="s">
        <v>2173</v>
      </c>
      <c r="C1125" t="s">
        <v>3307</v>
      </c>
      <c r="D1125" t="s">
        <v>1320</v>
      </c>
      <c r="E1125">
        <v>0</v>
      </c>
      <c r="F1125" t="s">
        <v>1320</v>
      </c>
      <c r="N1125" t="str" cm="1">
        <f t="array" ref="N1125">IF(MOD(ROW()-ROW($B$2),16)=0,INDEX($M$2:$M$1000,(ROW()-ROW($B$2))/16+1),"")</f>
        <v/>
      </c>
    </row>
    <row r="1126" spans="2:14" x14ac:dyDescent="0.3">
      <c r="B1126" t="s">
        <v>2173</v>
      </c>
      <c r="C1126" t="s">
        <v>3308</v>
      </c>
      <c r="D1126" t="s">
        <v>1321</v>
      </c>
      <c r="E1126">
        <v>0</v>
      </c>
      <c r="F1126" t="s">
        <v>1321</v>
      </c>
      <c r="N1126" t="str" cm="1">
        <f t="array" ref="N1126">IF(MOD(ROW()-ROW($B$2),16)=0,INDEX($M$2:$M$1000,(ROW()-ROW($B$2))/16+1),"")</f>
        <v/>
      </c>
    </row>
    <row r="1127" spans="2:14" x14ac:dyDescent="0.3">
      <c r="B1127" t="s">
        <v>2173</v>
      </c>
      <c r="C1127" t="s">
        <v>3309</v>
      </c>
      <c r="D1127" t="s">
        <v>1322</v>
      </c>
      <c r="E1127">
        <v>0</v>
      </c>
      <c r="F1127" t="s">
        <v>1322</v>
      </c>
      <c r="N1127" t="str" cm="1">
        <f t="array" ref="N1127">IF(MOD(ROW()-ROW($B$2),16)=0,INDEX($M$2:$M$1000,(ROW()-ROW($B$2))/16+1),"")</f>
        <v/>
      </c>
    </row>
    <row r="1128" spans="2:14" x14ac:dyDescent="0.3">
      <c r="B1128" t="s">
        <v>2173</v>
      </c>
      <c r="C1128" t="s">
        <v>3310</v>
      </c>
      <c r="D1128" t="s">
        <v>1323</v>
      </c>
      <c r="E1128">
        <v>0</v>
      </c>
      <c r="F1128" t="s">
        <v>1323</v>
      </c>
      <c r="N1128" t="str" cm="1">
        <f t="array" ref="N1128">IF(MOD(ROW()-ROW($B$2),16)=0,INDEX($M$2:$M$1000,(ROW()-ROW($B$2))/16+1),"")</f>
        <v/>
      </c>
    </row>
    <row r="1129" spans="2:14" x14ac:dyDescent="0.3">
      <c r="B1129" t="s">
        <v>2173</v>
      </c>
      <c r="C1129" t="s">
        <v>3311</v>
      </c>
      <c r="D1129" t="s">
        <v>1324</v>
      </c>
      <c r="E1129">
        <v>0</v>
      </c>
      <c r="F1129" t="s">
        <v>1324</v>
      </c>
      <c r="N1129" t="str" cm="1">
        <f t="array" ref="N1129">IF(MOD(ROW()-ROW($B$2),16)=0,INDEX($M$2:$M$1000,(ROW()-ROW($B$2))/16+1),"")</f>
        <v/>
      </c>
    </row>
    <row r="1130" spans="2:14" x14ac:dyDescent="0.3">
      <c r="B1130" t="s">
        <v>2173</v>
      </c>
      <c r="C1130" t="s">
        <v>3312</v>
      </c>
      <c r="D1130" t="s">
        <v>1325</v>
      </c>
      <c r="E1130">
        <v>0</v>
      </c>
      <c r="F1130" t="s">
        <v>1325</v>
      </c>
      <c r="N1130" t="str" cm="1">
        <f t="array" ref="N1130">IF(MOD(ROW()-ROW($B$2),16)=0,INDEX($M$2:$M$1000,(ROW()-ROW($B$2))/16+1),"")</f>
        <v/>
      </c>
    </row>
    <row r="1131" spans="2:14" x14ac:dyDescent="0.3">
      <c r="B1131" t="s">
        <v>2173</v>
      </c>
      <c r="C1131" t="s">
        <v>3313</v>
      </c>
      <c r="D1131" t="s">
        <v>1326</v>
      </c>
      <c r="E1131">
        <v>0</v>
      </c>
      <c r="F1131" t="s">
        <v>1326</v>
      </c>
      <c r="N1131" t="str" cm="1">
        <f t="array" ref="N1131">IF(MOD(ROW()-ROW($B$2),16)=0,INDEX($M$2:$M$1000,(ROW()-ROW($B$2))/16+1),"")</f>
        <v/>
      </c>
    </row>
    <row r="1132" spans="2:14" x14ac:dyDescent="0.3">
      <c r="B1132" t="s">
        <v>2173</v>
      </c>
      <c r="C1132" t="s">
        <v>3314</v>
      </c>
      <c r="D1132" t="s">
        <v>1327</v>
      </c>
      <c r="E1132">
        <v>0</v>
      </c>
      <c r="F1132" t="s">
        <v>1327</v>
      </c>
      <c r="N1132" t="str" cm="1">
        <f t="array" ref="N1132">IF(MOD(ROW()-ROW($B$2),16)=0,INDEX($M$2:$M$1000,(ROW()-ROW($B$2))/16+1),"")</f>
        <v/>
      </c>
    </row>
    <row r="1133" spans="2:14" x14ac:dyDescent="0.3">
      <c r="B1133" t="s">
        <v>2173</v>
      </c>
      <c r="C1133" t="s">
        <v>3315</v>
      </c>
      <c r="D1133" t="s">
        <v>1328</v>
      </c>
      <c r="E1133">
        <v>0</v>
      </c>
      <c r="F1133" t="s">
        <v>1328</v>
      </c>
      <c r="N1133" t="str" cm="1">
        <f t="array" ref="N1133">IF(MOD(ROW()-ROW($B$2),16)=0,INDEX($M$2:$M$1000,(ROW()-ROW($B$2))/16+1),"")</f>
        <v/>
      </c>
    </row>
    <row r="1134" spans="2:14" x14ac:dyDescent="0.3">
      <c r="B1134" t="s">
        <v>2173</v>
      </c>
      <c r="C1134" t="s">
        <v>3316</v>
      </c>
      <c r="D1134" t="s">
        <v>1329</v>
      </c>
      <c r="E1134">
        <v>0</v>
      </c>
      <c r="F1134" t="s">
        <v>1329</v>
      </c>
      <c r="N1134" t="str" cm="1">
        <f t="array" ref="N1134">IF(MOD(ROW()-ROW($B$2),16)=0,INDEX($M$2:$M$1000,(ROW()-ROW($B$2))/16+1),"")</f>
        <v/>
      </c>
    </row>
    <row r="1135" spans="2:14" x14ac:dyDescent="0.3">
      <c r="B1135" t="s">
        <v>2173</v>
      </c>
      <c r="C1135" t="s">
        <v>3317</v>
      </c>
      <c r="D1135" t="s">
        <v>1330</v>
      </c>
      <c r="E1135">
        <v>0</v>
      </c>
      <c r="F1135" t="s">
        <v>1330</v>
      </c>
      <c r="N1135" t="str" cm="1">
        <f t="array" ref="N1135">IF(MOD(ROW()-ROW($B$2),16)=0,INDEX($M$2:$M$1000,(ROW()-ROW($B$2))/16+1),"")</f>
        <v/>
      </c>
    </row>
    <row r="1136" spans="2:14" x14ac:dyDescent="0.3">
      <c r="B1136" t="s">
        <v>2173</v>
      </c>
      <c r="C1136" t="s">
        <v>3318</v>
      </c>
      <c r="D1136" t="s">
        <v>1331</v>
      </c>
      <c r="E1136">
        <v>0</v>
      </c>
      <c r="F1136" t="s">
        <v>1331</v>
      </c>
      <c r="N1136" t="str" cm="1">
        <f t="array" ref="N1136">IF(MOD(ROW()-ROW($B$2),16)=0,INDEX($M$2:$M$1000,(ROW()-ROW($B$2))/16+1),"")</f>
        <v/>
      </c>
    </row>
    <row r="1137" spans="2:14" x14ac:dyDescent="0.3">
      <c r="B1137" t="s">
        <v>2173</v>
      </c>
      <c r="C1137" t="s">
        <v>3319</v>
      </c>
      <c r="D1137" t="s">
        <v>1332</v>
      </c>
      <c r="E1137">
        <v>0</v>
      </c>
      <c r="F1137" t="s">
        <v>1332</v>
      </c>
      <c r="N1137" t="str" cm="1">
        <f t="array" ref="N1137">IF(MOD(ROW()-ROW($B$2),16)=0,INDEX($M$2:$M$1000,(ROW()-ROW($B$2))/16+1),"")</f>
        <v/>
      </c>
    </row>
    <row r="1138" spans="2:14" x14ac:dyDescent="0.3">
      <c r="B1138" t="s">
        <v>2173</v>
      </c>
      <c r="C1138" t="s">
        <v>3320</v>
      </c>
      <c r="D1138" t="s">
        <v>1333</v>
      </c>
      <c r="E1138">
        <v>0</v>
      </c>
      <c r="F1138" t="s">
        <v>1333</v>
      </c>
      <c r="N1138" t="str" cm="1">
        <f t="array" ref="N1138">IF(MOD(ROW()-ROW($B$2),16)=0,INDEX($M$2:$M$1000,(ROW()-ROW($B$2))/16+1),"")</f>
        <v>Фиксированное число 71 (0)</v>
      </c>
    </row>
    <row r="1139" spans="2:14" x14ac:dyDescent="0.3">
      <c r="B1139" t="s">
        <v>2173</v>
      </c>
      <c r="C1139" t="s">
        <v>3321</v>
      </c>
      <c r="D1139" t="s">
        <v>1334</v>
      </c>
      <c r="E1139">
        <v>0</v>
      </c>
      <c r="F1139" t="s">
        <v>1334</v>
      </c>
      <c r="N1139" t="str" cm="1">
        <f t="array" ref="N1139">IF(MOD(ROW()-ROW($B$2),16)=0,INDEX($M$2:$M$1000,(ROW()-ROW($B$2))/16+1),"")</f>
        <v/>
      </c>
    </row>
    <row r="1140" spans="2:14" x14ac:dyDescent="0.3">
      <c r="B1140" t="s">
        <v>2173</v>
      </c>
      <c r="C1140" t="s">
        <v>3322</v>
      </c>
      <c r="D1140" t="s">
        <v>1335</v>
      </c>
      <c r="E1140">
        <v>0</v>
      </c>
      <c r="F1140" t="s">
        <v>1335</v>
      </c>
      <c r="N1140" t="str" cm="1">
        <f t="array" ref="N1140">IF(MOD(ROW()-ROW($B$2),16)=0,INDEX($M$2:$M$1000,(ROW()-ROW($B$2))/16+1),"")</f>
        <v/>
      </c>
    </row>
    <row r="1141" spans="2:14" x14ac:dyDescent="0.3">
      <c r="B1141" t="s">
        <v>2173</v>
      </c>
      <c r="C1141" t="s">
        <v>3323</v>
      </c>
      <c r="D1141" t="s">
        <v>1336</v>
      </c>
      <c r="E1141">
        <v>0</v>
      </c>
      <c r="F1141" t="s">
        <v>1336</v>
      </c>
      <c r="N1141" t="str" cm="1">
        <f t="array" ref="N1141">IF(MOD(ROW()-ROW($B$2),16)=0,INDEX($M$2:$M$1000,(ROW()-ROW($B$2))/16+1),"")</f>
        <v/>
      </c>
    </row>
    <row r="1142" spans="2:14" x14ac:dyDescent="0.3">
      <c r="B1142" t="s">
        <v>2173</v>
      </c>
      <c r="C1142" t="s">
        <v>3324</v>
      </c>
      <c r="D1142" t="s">
        <v>1337</v>
      </c>
      <c r="E1142">
        <v>0</v>
      </c>
      <c r="F1142" t="s">
        <v>1337</v>
      </c>
      <c r="N1142" t="str" cm="1">
        <f t="array" ref="N1142">IF(MOD(ROW()-ROW($B$2),16)=0,INDEX($M$2:$M$1000,(ROW()-ROW($B$2))/16+1),"")</f>
        <v/>
      </c>
    </row>
    <row r="1143" spans="2:14" x14ac:dyDescent="0.3">
      <c r="B1143" t="s">
        <v>2173</v>
      </c>
      <c r="C1143" t="s">
        <v>3325</v>
      </c>
      <c r="D1143" t="s">
        <v>1338</v>
      </c>
      <c r="E1143">
        <v>0</v>
      </c>
      <c r="F1143" t="s">
        <v>1338</v>
      </c>
      <c r="N1143" t="str" cm="1">
        <f t="array" ref="N1143">IF(MOD(ROW()-ROW($B$2),16)=0,INDEX($M$2:$M$1000,(ROW()-ROW($B$2))/16+1),"")</f>
        <v/>
      </c>
    </row>
    <row r="1144" spans="2:14" x14ac:dyDescent="0.3">
      <c r="B1144" t="s">
        <v>2173</v>
      </c>
      <c r="C1144" t="s">
        <v>3326</v>
      </c>
      <c r="D1144" t="s">
        <v>1339</v>
      </c>
      <c r="E1144">
        <v>0</v>
      </c>
      <c r="F1144" t="s">
        <v>1339</v>
      </c>
      <c r="N1144" t="str" cm="1">
        <f t="array" ref="N1144">IF(MOD(ROW()-ROW($B$2),16)=0,INDEX($M$2:$M$1000,(ROW()-ROW($B$2))/16+1),"")</f>
        <v/>
      </c>
    </row>
    <row r="1145" spans="2:14" x14ac:dyDescent="0.3">
      <c r="B1145" t="s">
        <v>2173</v>
      </c>
      <c r="C1145" t="s">
        <v>3327</v>
      </c>
      <c r="D1145" t="s">
        <v>1340</v>
      </c>
      <c r="E1145">
        <v>0</v>
      </c>
      <c r="F1145" t="s">
        <v>1340</v>
      </c>
      <c r="N1145" t="str" cm="1">
        <f t="array" ref="N1145">IF(MOD(ROW()-ROW($B$2),16)=0,INDEX($M$2:$M$1000,(ROW()-ROW($B$2))/16+1),"")</f>
        <v/>
      </c>
    </row>
    <row r="1146" spans="2:14" x14ac:dyDescent="0.3">
      <c r="B1146" t="s">
        <v>2173</v>
      </c>
      <c r="C1146" t="s">
        <v>3328</v>
      </c>
      <c r="D1146" t="s">
        <v>1341</v>
      </c>
      <c r="E1146">
        <v>0</v>
      </c>
      <c r="F1146" t="s">
        <v>1341</v>
      </c>
      <c r="N1146" t="str" cm="1">
        <f t="array" ref="N1146">IF(MOD(ROW()-ROW($B$2),16)=0,INDEX($M$2:$M$1000,(ROW()-ROW($B$2))/16+1),"")</f>
        <v/>
      </c>
    </row>
    <row r="1147" spans="2:14" x14ac:dyDescent="0.3">
      <c r="B1147" t="s">
        <v>2173</v>
      </c>
      <c r="C1147" t="s">
        <v>3329</v>
      </c>
      <c r="D1147" t="s">
        <v>1342</v>
      </c>
      <c r="E1147">
        <v>0</v>
      </c>
      <c r="F1147" t="s">
        <v>1342</v>
      </c>
      <c r="N1147" t="str" cm="1">
        <f t="array" ref="N1147">IF(MOD(ROW()-ROW($B$2),16)=0,INDEX($M$2:$M$1000,(ROW()-ROW($B$2))/16+1),"")</f>
        <v/>
      </c>
    </row>
    <row r="1148" spans="2:14" x14ac:dyDescent="0.3">
      <c r="B1148" t="s">
        <v>2173</v>
      </c>
      <c r="C1148" t="s">
        <v>3330</v>
      </c>
      <c r="D1148" t="s">
        <v>1343</v>
      </c>
      <c r="E1148">
        <v>0</v>
      </c>
      <c r="F1148" t="s">
        <v>1343</v>
      </c>
      <c r="N1148" t="str" cm="1">
        <f t="array" ref="N1148">IF(MOD(ROW()-ROW($B$2),16)=0,INDEX($M$2:$M$1000,(ROW()-ROW($B$2))/16+1),"")</f>
        <v/>
      </c>
    </row>
    <row r="1149" spans="2:14" x14ac:dyDescent="0.3">
      <c r="B1149" t="s">
        <v>2173</v>
      </c>
      <c r="C1149" t="s">
        <v>3331</v>
      </c>
      <c r="D1149" t="s">
        <v>1344</v>
      </c>
      <c r="E1149">
        <v>0</v>
      </c>
      <c r="F1149" t="s">
        <v>1344</v>
      </c>
      <c r="N1149" t="str" cm="1">
        <f t="array" ref="N1149">IF(MOD(ROW()-ROW($B$2),16)=0,INDEX($M$2:$M$1000,(ROW()-ROW($B$2))/16+1),"")</f>
        <v/>
      </c>
    </row>
    <row r="1150" spans="2:14" x14ac:dyDescent="0.3">
      <c r="B1150" t="s">
        <v>2173</v>
      </c>
      <c r="C1150" t="s">
        <v>3332</v>
      </c>
      <c r="D1150" t="s">
        <v>1345</v>
      </c>
      <c r="E1150">
        <v>0</v>
      </c>
      <c r="F1150" t="s">
        <v>1345</v>
      </c>
      <c r="N1150" t="str" cm="1">
        <f t="array" ref="N1150">IF(MOD(ROW()-ROW($B$2),16)=0,INDEX($M$2:$M$1000,(ROW()-ROW($B$2))/16+1),"")</f>
        <v/>
      </c>
    </row>
    <row r="1151" spans="2:14" x14ac:dyDescent="0.3">
      <c r="B1151" t="s">
        <v>2173</v>
      </c>
      <c r="C1151" t="s">
        <v>3333</v>
      </c>
      <c r="D1151" t="s">
        <v>1346</v>
      </c>
      <c r="E1151">
        <v>0</v>
      </c>
      <c r="F1151" t="s">
        <v>1346</v>
      </c>
      <c r="N1151" t="str" cm="1">
        <f t="array" ref="N1151">IF(MOD(ROW()-ROW($B$2),16)=0,INDEX($M$2:$M$1000,(ROW()-ROW($B$2))/16+1),"")</f>
        <v/>
      </c>
    </row>
    <row r="1152" spans="2:14" x14ac:dyDescent="0.3">
      <c r="B1152" t="s">
        <v>2173</v>
      </c>
      <c r="C1152" t="s">
        <v>3334</v>
      </c>
      <c r="D1152" t="s">
        <v>1347</v>
      </c>
      <c r="E1152">
        <v>0</v>
      </c>
      <c r="F1152" t="s">
        <v>1347</v>
      </c>
      <c r="N1152" t="str" cm="1">
        <f t="array" ref="N1152">IF(MOD(ROW()-ROW($B$2),16)=0,INDEX($M$2:$M$1000,(ROW()-ROW($B$2))/16+1),"")</f>
        <v/>
      </c>
    </row>
    <row r="1153" spans="2:14" x14ac:dyDescent="0.3">
      <c r="B1153" t="s">
        <v>2173</v>
      </c>
      <c r="C1153" t="s">
        <v>3335</v>
      </c>
      <c r="D1153" t="s">
        <v>1348</v>
      </c>
      <c r="E1153">
        <v>0</v>
      </c>
      <c r="F1153" t="s">
        <v>1348</v>
      </c>
      <c r="N1153" t="str" cm="1">
        <f t="array" ref="N1153">IF(MOD(ROW()-ROW($B$2),16)=0,INDEX($M$2:$M$1000,(ROW()-ROW($B$2))/16+1),"")</f>
        <v/>
      </c>
    </row>
    <row r="1154" spans="2:14" x14ac:dyDescent="0.3">
      <c r="B1154" t="s">
        <v>2173</v>
      </c>
      <c r="C1154" t="s">
        <v>3336</v>
      </c>
      <c r="D1154" t="s">
        <v>1349</v>
      </c>
      <c r="E1154">
        <v>0</v>
      </c>
      <c r="F1154" t="s">
        <v>1349</v>
      </c>
      <c r="N1154" t="str" cm="1">
        <f t="array" ref="N1154">IF(MOD(ROW()-ROW($B$2),16)=0,INDEX($M$2:$M$1000,(ROW()-ROW($B$2))/16+1),"")</f>
        <v>Фиксированное число 72 (0)</v>
      </c>
    </row>
    <row r="1155" spans="2:14" x14ac:dyDescent="0.3">
      <c r="B1155" t="s">
        <v>2173</v>
      </c>
      <c r="C1155" t="s">
        <v>3337</v>
      </c>
      <c r="D1155" t="s">
        <v>1350</v>
      </c>
      <c r="E1155">
        <v>0</v>
      </c>
      <c r="F1155" t="s">
        <v>1350</v>
      </c>
      <c r="N1155" t="str" cm="1">
        <f t="array" ref="N1155">IF(MOD(ROW()-ROW($B$2),16)=0,INDEX($M$2:$M$1000,(ROW()-ROW($B$2))/16+1),"")</f>
        <v/>
      </c>
    </row>
    <row r="1156" spans="2:14" x14ac:dyDescent="0.3">
      <c r="B1156" t="s">
        <v>2173</v>
      </c>
      <c r="C1156" t="s">
        <v>3338</v>
      </c>
      <c r="D1156" t="s">
        <v>1351</v>
      </c>
      <c r="E1156">
        <v>0</v>
      </c>
      <c r="F1156" t="s">
        <v>1351</v>
      </c>
      <c r="N1156" t="str" cm="1">
        <f t="array" ref="N1156">IF(MOD(ROW()-ROW($B$2),16)=0,INDEX($M$2:$M$1000,(ROW()-ROW($B$2))/16+1),"")</f>
        <v/>
      </c>
    </row>
    <row r="1157" spans="2:14" x14ac:dyDescent="0.3">
      <c r="B1157" t="s">
        <v>2173</v>
      </c>
      <c r="C1157" t="s">
        <v>3339</v>
      </c>
      <c r="D1157" t="s">
        <v>1352</v>
      </c>
      <c r="E1157">
        <v>0</v>
      </c>
      <c r="F1157" t="s">
        <v>1352</v>
      </c>
      <c r="N1157" t="str" cm="1">
        <f t="array" ref="N1157">IF(MOD(ROW()-ROW($B$2),16)=0,INDEX($M$2:$M$1000,(ROW()-ROW($B$2))/16+1),"")</f>
        <v/>
      </c>
    </row>
    <row r="1158" spans="2:14" x14ac:dyDescent="0.3">
      <c r="B1158" t="s">
        <v>2173</v>
      </c>
      <c r="C1158" t="s">
        <v>3340</v>
      </c>
      <c r="D1158" t="s">
        <v>1353</v>
      </c>
      <c r="E1158">
        <v>0</v>
      </c>
      <c r="F1158" t="s">
        <v>1353</v>
      </c>
      <c r="N1158" t="str" cm="1">
        <f t="array" ref="N1158">IF(MOD(ROW()-ROW($B$2),16)=0,INDEX($M$2:$M$1000,(ROW()-ROW($B$2))/16+1),"")</f>
        <v/>
      </c>
    </row>
    <row r="1159" spans="2:14" x14ac:dyDescent="0.3">
      <c r="B1159" t="s">
        <v>2173</v>
      </c>
      <c r="C1159" t="s">
        <v>3341</v>
      </c>
      <c r="D1159" t="s">
        <v>1354</v>
      </c>
      <c r="E1159">
        <v>0</v>
      </c>
      <c r="F1159" t="s">
        <v>1354</v>
      </c>
      <c r="N1159" t="str" cm="1">
        <f t="array" ref="N1159">IF(MOD(ROW()-ROW($B$2),16)=0,INDEX($M$2:$M$1000,(ROW()-ROW($B$2))/16+1),"")</f>
        <v/>
      </c>
    </row>
    <row r="1160" spans="2:14" x14ac:dyDescent="0.3">
      <c r="B1160" t="s">
        <v>2173</v>
      </c>
      <c r="C1160" t="s">
        <v>3342</v>
      </c>
      <c r="D1160" t="s">
        <v>1355</v>
      </c>
      <c r="E1160">
        <v>0</v>
      </c>
      <c r="F1160" t="s">
        <v>1355</v>
      </c>
      <c r="N1160" t="str" cm="1">
        <f t="array" ref="N1160">IF(MOD(ROW()-ROW($B$2),16)=0,INDEX($M$2:$M$1000,(ROW()-ROW($B$2))/16+1),"")</f>
        <v/>
      </c>
    </row>
    <row r="1161" spans="2:14" x14ac:dyDescent="0.3">
      <c r="B1161" t="s">
        <v>2173</v>
      </c>
      <c r="C1161" t="s">
        <v>3343</v>
      </c>
      <c r="D1161" t="s">
        <v>1356</v>
      </c>
      <c r="E1161">
        <v>0</v>
      </c>
      <c r="F1161" t="s">
        <v>1356</v>
      </c>
      <c r="N1161" t="str" cm="1">
        <f t="array" ref="N1161">IF(MOD(ROW()-ROW($B$2),16)=0,INDEX($M$2:$M$1000,(ROW()-ROW($B$2))/16+1),"")</f>
        <v/>
      </c>
    </row>
    <row r="1162" spans="2:14" x14ac:dyDescent="0.3">
      <c r="B1162" t="s">
        <v>2173</v>
      </c>
      <c r="C1162" t="s">
        <v>3344</v>
      </c>
      <c r="D1162" t="s">
        <v>1357</v>
      </c>
      <c r="E1162">
        <v>0</v>
      </c>
      <c r="F1162" t="s">
        <v>1357</v>
      </c>
      <c r="N1162" t="str" cm="1">
        <f t="array" ref="N1162">IF(MOD(ROW()-ROW($B$2),16)=0,INDEX($M$2:$M$1000,(ROW()-ROW($B$2))/16+1),"")</f>
        <v/>
      </c>
    </row>
    <row r="1163" spans="2:14" x14ac:dyDescent="0.3">
      <c r="B1163" t="s">
        <v>2173</v>
      </c>
      <c r="C1163" t="s">
        <v>3345</v>
      </c>
      <c r="D1163" t="s">
        <v>1358</v>
      </c>
      <c r="E1163">
        <v>0</v>
      </c>
      <c r="F1163" t="s">
        <v>1358</v>
      </c>
      <c r="N1163" t="str" cm="1">
        <f t="array" ref="N1163">IF(MOD(ROW()-ROW($B$2),16)=0,INDEX($M$2:$M$1000,(ROW()-ROW($B$2))/16+1),"")</f>
        <v/>
      </c>
    </row>
    <row r="1164" spans="2:14" x14ac:dyDescent="0.3">
      <c r="B1164" t="s">
        <v>2173</v>
      </c>
      <c r="C1164" t="s">
        <v>3346</v>
      </c>
      <c r="D1164" t="s">
        <v>1359</v>
      </c>
      <c r="E1164">
        <v>0</v>
      </c>
      <c r="F1164" t="s">
        <v>1359</v>
      </c>
      <c r="N1164" t="str" cm="1">
        <f t="array" ref="N1164">IF(MOD(ROW()-ROW($B$2),16)=0,INDEX($M$2:$M$1000,(ROW()-ROW($B$2))/16+1),"")</f>
        <v/>
      </c>
    </row>
    <row r="1165" spans="2:14" x14ac:dyDescent="0.3">
      <c r="B1165" t="s">
        <v>2173</v>
      </c>
      <c r="C1165" t="s">
        <v>3347</v>
      </c>
      <c r="D1165" t="s">
        <v>1360</v>
      </c>
      <c r="E1165">
        <v>0</v>
      </c>
      <c r="F1165" t="s">
        <v>1360</v>
      </c>
      <c r="N1165" t="str" cm="1">
        <f t="array" ref="N1165">IF(MOD(ROW()-ROW($B$2),16)=0,INDEX($M$2:$M$1000,(ROW()-ROW($B$2))/16+1),"")</f>
        <v/>
      </c>
    </row>
    <row r="1166" spans="2:14" x14ac:dyDescent="0.3">
      <c r="B1166" t="s">
        <v>2173</v>
      </c>
      <c r="C1166" t="s">
        <v>3348</v>
      </c>
      <c r="D1166" t="s">
        <v>1361</v>
      </c>
      <c r="E1166">
        <v>0</v>
      </c>
      <c r="F1166" t="s">
        <v>1361</v>
      </c>
      <c r="N1166" t="str" cm="1">
        <f t="array" ref="N1166">IF(MOD(ROW()-ROW($B$2),16)=0,INDEX($M$2:$M$1000,(ROW()-ROW($B$2))/16+1),"")</f>
        <v/>
      </c>
    </row>
    <row r="1167" spans="2:14" x14ac:dyDescent="0.3">
      <c r="B1167" t="s">
        <v>2173</v>
      </c>
      <c r="C1167" t="s">
        <v>3349</v>
      </c>
      <c r="D1167" t="s">
        <v>1362</v>
      </c>
      <c r="E1167">
        <v>0</v>
      </c>
      <c r="F1167" t="s">
        <v>1362</v>
      </c>
      <c r="N1167" t="str" cm="1">
        <f t="array" ref="N1167">IF(MOD(ROW()-ROW($B$2),16)=0,INDEX($M$2:$M$1000,(ROW()-ROW($B$2))/16+1),"")</f>
        <v/>
      </c>
    </row>
    <row r="1168" spans="2:14" x14ac:dyDescent="0.3">
      <c r="B1168" t="s">
        <v>2173</v>
      </c>
      <c r="C1168" t="s">
        <v>3350</v>
      </c>
      <c r="D1168" t="s">
        <v>1363</v>
      </c>
      <c r="E1168">
        <v>0</v>
      </c>
      <c r="F1168" t="s">
        <v>1363</v>
      </c>
      <c r="N1168" t="str" cm="1">
        <f t="array" ref="N1168">IF(MOD(ROW()-ROW($B$2),16)=0,INDEX($M$2:$M$1000,(ROW()-ROW($B$2))/16+1),"")</f>
        <v/>
      </c>
    </row>
    <row r="1169" spans="2:14" x14ac:dyDescent="0.3">
      <c r="B1169" t="s">
        <v>2173</v>
      </c>
      <c r="C1169" t="s">
        <v>3351</v>
      </c>
      <c r="D1169" t="s">
        <v>1364</v>
      </c>
      <c r="E1169">
        <v>0</v>
      </c>
      <c r="F1169" t="s">
        <v>1364</v>
      </c>
      <c r="N1169" t="str" cm="1">
        <f t="array" ref="N1169">IF(MOD(ROW()-ROW($B$2),16)=0,INDEX($M$2:$M$1000,(ROW()-ROW($B$2))/16+1),"")</f>
        <v/>
      </c>
    </row>
    <row r="1170" spans="2:14" x14ac:dyDescent="0.3">
      <c r="B1170" t="s">
        <v>2173</v>
      </c>
      <c r="C1170" t="s">
        <v>3352</v>
      </c>
      <c r="D1170" t="s">
        <v>1365</v>
      </c>
      <c r="E1170">
        <v>0</v>
      </c>
      <c r="F1170" t="s">
        <v>1365</v>
      </c>
      <c r="N1170" t="str" cm="1">
        <f t="array" ref="N1170">IF(MOD(ROW()-ROW($B$2),16)=0,INDEX($M$2:$M$1000,(ROW()-ROW($B$2))/16+1),"")</f>
        <v>Фиксированное число 73 (0)</v>
      </c>
    </row>
    <row r="1171" spans="2:14" x14ac:dyDescent="0.3">
      <c r="B1171" t="s">
        <v>2173</v>
      </c>
      <c r="C1171" t="s">
        <v>3353</v>
      </c>
      <c r="D1171" t="s">
        <v>1366</v>
      </c>
      <c r="E1171">
        <v>0</v>
      </c>
      <c r="F1171" t="s">
        <v>1366</v>
      </c>
      <c r="N1171" t="str" cm="1">
        <f t="array" ref="N1171">IF(MOD(ROW()-ROW($B$2),16)=0,INDEX($M$2:$M$1000,(ROW()-ROW($B$2))/16+1),"")</f>
        <v/>
      </c>
    </row>
    <row r="1172" spans="2:14" x14ac:dyDescent="0.3">
      <c r="B1172" t="s">
        <v>2173</v>
      </c>
      <c r="C1172" t="s">
        <v>3354</v>
      </c>
      <c r="D1172" t="s">
        <v>1367</v>
      </c>
      <c r="E1172">
        <v>0</v>
      </c>
      <c r="F1172" t="s">
        <v>1367</v>
      </c>
      <c r="N1172" t="str" cm="1">
        <f t="array" ref="N1172">IF(MOD(ROW()-ROW($B$2),16)=0,INDEX($M$2:$M$1000,(ROW()-ROW($B$2))/16+1),"")</f>
        <v/>
      </c>
    </row>
    <row r="1173" spans="2:14" x14ac:dyDescent="0.3">
      <c r="B1173" t="s">
        <v>2173</v>
      </c>
      <c r="C1173" t="s">
        <v>3355</v>
      </c>
      <c r="D1173" t="s">
        <v>1368</v>
      </c>
      <c r="E1173">
        <v>0</v>
      </c>
      <c r="F1173" t="s">
        <v>1368</v>
      </c>
      <c r="N1173" t="str" cm="1">
        <f t="array" ref="N1173">IF(MOD(ROW()-ROW($B$2),16)=0,INDEX($M$2:$M$1000,(ROW()-ROW($B$2))/16+1),"")</f>
        <v/>
      </c>
    </row>
    <row r="1174" spans="2:14" x14ac:dyDescent="0.3">
      <c r="B1174" t="s">
        <v>2173</v>
      </c>
      <c r="C1174" t="s">
        <v>3356</v>
      </c>
      <c r="D1174" t="s">
        <v>1369</v>
      </c>
      <c r="E1174">
        <v>0</v>
      </c>
      <c r="F1174" t="s">
        <v>1369</v>
      </c>
      <c r="N1174" t="str" cm="1">
        <f t="array" ref="N1174">IF(MOD(ROW()-ROW($B$2),16)=0,INDEX($M$2:$M$1000,(ROW()-ROW($B$2))/16+1),"")</f>
        <v/>
      </c>
    </row>
    <row r="1175" spans="2:14" x14ac:dyDescent="0.3">
      <c r="B1175" t="s">
        <v>2173</v>
      </c>
      <c r="C1175" t="s">
        <v>3357</v>
      </c>
      <c r="D1175" t="s">
        <v>1370</v>
      </c>
      <c r="E1175">
        <v>0</v>
      </c>
      <c r="F1175" t="s">
        <v>1370</v>
      </c>
      <c r="N1175" t="str" cm="1">
        <f t="array" ref="N1175">IF(MOD(ROW()-ROW($B$2),16)=0,INDEX($M$2:$M$1000,(ROW()-ROW($B$2))/16+1),"")</f>
        <v/>
      </c>
    </row>
    <row r="1176" spans="2:14" x14ac:dyDescent="0.3">
      <c r="B1176" t="s">
        <v>2173</v>
      </c>
      <c r="C1176" t="s">
        <v>3358</v>
      </c>
      <c r="D1176" t="s">
        <v>1371</v>
      </c>
      <c r="E1176">
        <v>0</v>
      </c>
      <c r="F1176" t="s">
        <v>1371</v>
      </c>
      <c r="N1176" t="str" cm="1">
        <f t="array" ref="N1176">IF(MOD(ROW()-ROW($B$2),16)=0,INDEX($M$2:$M$1000,(ROW()-ROW($B$2))/16+1),"")</f>
        <v/>
      </c>
    </row>
    <row r="1177" spans="2:14" x14ac:dyDescent="0.3">
      <c r="B1177" t="s">
        <v>2173</v>
      </c>
      <c r="C1177" t="s">
        <v>3359</v>
      </c>
      <c r="D1177" t="s">
        <v>1372</v>
      </c>
      <c r="E1177">
        <v>0</v>
      </c>
      <c r="F1177" t="s">
        <v>1372</v>
      </c>
      <c r="N1177" t="str" cm="1">
        <f t="array" ref="N1177">IF(MOD(ROW()-ROW($B$2),16)=0,INDEX($M$2:$M$1000,(ROW()-ROW($B$2))/16+1),"")</f>
        <v/>
      </c>
    </row>
    <row r="1178" spans="2:14" x14ac:dyDescent="0.3">
      <c r="B1178" t="s">
        <v>2173</v>
      </c>
      <c r="C1178" t="s">
        <v>3360</v>
      </c>
      <c r="D1178" t="s">
        <v>1373</v>
      </c>
      <c r="E1178">
        <v>0</v>
      </c>
      <c r="F1178" t="s">
        <v>1373</v>
      </c>
      <c r="N1178" t="str" cm="1">
        <f t="array" ref="N1178">IF(MOD(ROW()-ROW($B$2),16)=0,INDEX($M$2:$M$1000,(ROW()-ROW($B$2))/16+1),"")</f>
        <v/>
      </c>
    </row>
    <row r="1179" spans="2:14" x14ac:dyDescent="0.3">
      <c r="B1179" t="s">
        <v>2173</v>
      </c>
      <c r="C1179" t="s">
        <v>3361</v>
      </c>
      <c r="D1179" t="s">
        <v>1374</v>
      </c>
      <c r="E1179">
        <v>0</v>
      </c>
      <c r="F1179" t="s">
        <v>1374</v>
      </c>
      <c r="N1179" t="str" cm="1">
        <f t="array" ref="N1179">IF(MOD(ROW()-ROW($B$2),16)=0,INDEX($M$2:$M$1000,(ROW()-ROW($B$2))/16+1),"")</f>
        <v/>
      </c>
    </row>
    <row r="1180" spans="2:14" x14ac:dyDescent="0.3">
      <c r="B1180" t="s">
        <v>2173</v>
      </c>
      <c r="C1180" t="s">
        <v>3362</v>
      </c>
      <c r="D1180" t="s">
        <v>1375</v>
      </c>
      <c r="E1180">
        <v>0</v>
      </c>
      <c r="F1180" t="s">
        <v>1375</v>
      </c>
      <c r="N1180" t="str" cm="1">
        <f t="array" ref="N1180">IF(MOD(ROW()-ROW($B$2),16)=0,INDEX($M$2:$M$1000,(ROW()-ROW($B$2))/16+1),"")</f>
        <v/>
      </c>
    </row>
    <row r="1181" spans="2:14" x14ac:dyDescent="0.3">
      <c r="B1181" t="s">
        <v>2173</v>
      </c>
      <c r="C1181" t="s">
        <v>3363</v>
      </c>
      <c r="D1181" t="s">
        <v>1376</v>
      </c>
      <c r="E1181">
        <v>0</v>
      </c>
      <c r="F1181" t="s">
        <v>1376</v>
      </c>
      <c r="N1181" t="str" cm="1">
        <f t="array" ref="N1181">IF(MOD(ROW()-ROW($B$2),16)=0,INDEX($M$2:$M$1000,(ROW()-ROW($B$2))/16+1),"")</f>
        <v/>
      </c>
    </row>
    <row r="1182" spans="2:14" x14ac:dyDescent="0.3">
      <c r="B1182" t="s">
        <v>2173</v>
      </c>
      <c r="C1182" t="s">
        <v>3364</v>
      </c>
      <c r="D1182" t="s">
        <v>1377</v>
      </c>
      <c r="E1182">
        <v>0</v>
      </c>
      <c r="F1182" t="s">
        <v>1377</v>
      </c>
      <c r="N1182" t="str" cm="1">
        <f t="array" ref="N1182">IF(MOD(ROW()-ROW($B$2),16)=0,INDEX($M$2:$M$1000,(ROW()-ROW($B$2))/16+1),"")</f>
        <v/>
      </c>
    </row>
    <row r="1183" spans="2:14" x14ac:dyDescent="0.3">
      <c r="B1183" t="s">
        <v>2173</v>
      </c>
      <c r="C1183" t="s">
        <v>3365</v>
      </c>
      <c r="D1183" t="s">
        <v>1378</v>
      </c>
      <c r="E1183">
        <v>0</v>
      </c>
      <c r="F1183" t="s">
        <v>1378</v>
      </c>
      <c r="N1183" t="str" cm="1">
        <f t="array" ref="N1183">IF(MOD(ROW()-ROW($B$2),16)=0,INDEX($M$2:$M$1000,(ROW()-ROW($B$2))/16+1),"")</f>
        <v/>
      </c>
    </row>
    <row r="1184" spans="2:14" x14ac:dyDescent="0.3">
      <c r="B1184" t="s">
        <v>2173</v>
      </c>
      <c r="C1184" t="s">
        <v>3366</v>
      </c>
      <c r="D1184" t="s">
        <v>1379</v>
      </c>
      <c r="E1184">
        <v>0</v>
      </c>
      <c r="F1184" t="s">
        <v>1379</v>
      </c>
      <c r="N1184" t="str" cm="1">
        <f t="array" ref="N1184">IF(MOD(ROW()-ROW($B$2),16)=0,INDEX($M$2:$M$1000,(ROW()-ROW($B$2))/16+1),"")</f>
        <v/>
      </c>
    </row>
    <row r="1185" spans="2:14" x14ac:dyDescent="0.3">
      <c r="B1185" t="s">
        <v>2173</v>
      </c>
      <c r="C1185" t="s">
        <v>3367</v>
      </c>
      <c r="D1185" t="s">
        <v>1380</v>
      </c>
      <c r="E1185">
        <v>0</v>
      </c>
      <c r="F1185" t="s">
        <v>1380</v>
      </c>
      <c r="N1185" t="str" cm="1">
        <f t="array" ref="N1185">IF(MOD(ROW()-ROW($B$2),16)=0,INDEX($M$2:$M$1000,(ROW()-ROW($B$2))/16+1),"")</f>
        <v/>
      </c>
    </row>
    <row r="1186" spans="2:14" x14ac:dyDescent="0.3">
      <c r="B1186" t="s">
        <v>2173</v>
      </c>
      <c r="C1186" t="s">
        <v>3368</v>
      </c>
      <c r="D1186" t="s">
        <v>1381</v>
      </c>
      <c r="E1186">
        <v>0</v>
      </c>
      <c r="F1186" t="s">
        <v>1381</v>
      </c>
      <c r="N1186" t="str" cm="1">
        <f t="array" ref="N1186">IF(MOD(ROW()-ROW($B$2),16)=0,INDEX($M$2:$M$1000,(ROW()-ROW($B$2))/16+1),"")</f>
        <v>Фиксированное число 74 (0)</v>
      </c>
    </row>
    <row r="1187" spans="2:14" x14ac:dyDescent="0.3">
      <c r="B1187" t="s">
        <v>2173</v>
      </c>
      <c r="C1187" t="s">
        <v>3369</v>
      </c>
      <c r="D1187" t="s">
        <v>1382</v>
      </c>
      <c r="E1187">
        <v>0</v>
      </c>
      <c r="F1187" t="s">
        <v>1382</v>
      </c>
      <c r="N1187" t="str" cm="1">
        <f t="array" ref="N1187">IF(MOD(ROW()-ROW($B$2),16)=0,INDEX($M$2:$M$1000,(ROW()-ROW($B$2))/16+1),"")</f>
        <v/>
      </c>
    </row>
    <row r="1188" spans="2:14" x14ac:dyDescent="0.3">
      <c r="B1188" t="s">
        <v>2173</v>
      </c>
      <c r="C1188" t="s">
        <v>3370</v>
      </c>
      <c r="D1188" t="s">
        <v>1383</v>
      </c>
      <c r="E1188">
        <v>0</v>
      </c>
      <c r="F1188" t="s">
        <v>1383</v>
      </c>
      <c r="N1188" t="str" cm="1">
        <f t="array" ref="N1188">IF(MOD(ROW()-ROW($B$2),16)=0,INDEX($M$2:$M$1000,(ROW()-ROW($B$2))/16+1),"")</f>
        <v/>
      </c>
    </row>
    <row r="1189" spans="2:14" x14ac:dyDescent="0.3">
      <c r="B1189" t="s">
        <v>2173</v>
      </c>
      <c r="C1189" t="s">
        <v>3371</v>
      </c>
      <c r="D1189" t="s">
        <v>1384</v>
      </c>
      <c r="E1189">
        <v>0</v>
      </c>
      <c r="F1189" t="s">
        <v>1384</v>
      </c>
      <c r="N1189" t="str" cm="1">
        <f t="array" ref="N1189">IF(MOD(ROW()-ROW($B$2),16)=0,INDEX($M$2:$M$1000,(ROW()-ROW($B$2))/16+1),"")</f>
        <v/>
      </c>
    </row>
    <row r="1190" spans="2:14" x14ac:dyDescent="0.3">
      <c r="B1190" t="s">
        <v>2173</v>
      </c>
      <c r="C1190" t="s">
        <v>3372</v>
      </c>
      <c r="D1190" t="s">
        <v>1385</v>
      </c>
      <c r="E1190">
        <v>0</v>
      </c>
      <c r="F1190" t="s">
        <v>1385</v>
      </c>
      <c r="N1190" t="str" cm="1">
        <f t="array" ref="N1190">IF(MOD(ROW()-ROW($B$2),16)=0,INDEX($M$2:$M$1000,(ROW()-ROW($B$2))/16+1),"")</f>
        <v/>
      </c>
    </row>
    <row r="1191" spans="2:14" x14ac:dyDescent="0.3">
      <c r="B1191" t="s">
        <v>2173</v>
      </c>
      <c r="C1191" t="s">
        <v>3373</v>
      </c>
      <c r="D1191" t="s">
        <v>1386</v>
      </c>
      <c r="E1191">
        <v>0</v>
      </c>
      <c r="F1191" t="s">
        <v>1386</v>
      </c>
      <c r="N1191" t="str" cm="1">
        <f t="array" ref="N1191">IF(MOD(ROW()-ROW($B$2),16)=0,INDEX($M$2:$M$1000,(ROW()-ROW($B$2))/16+1),"")</f>
        <v/>
      </c>
    </row>
    <row r="1192" spans="2:14" x14ac:dyDescent="0.3">
      <c r="B1192" t="s">
        <v>2173</v>
      </c>
      <c r="C1192" t="s">
        <v>3374</v>
      </c>
      <c r="D1192" t="s">
        <v>1387</v>
      </c>
      <c r="E1192">
        <v>0</v>
      </c>
      <c r="F1192" t="s">
        <v>1387</v>
      </c>
      <c r="N1192" t="str" cm="1">
        <f t="array" ref="N1192">IF(MOD(ROW()-ROW($B$2),16)=0,INDEX($M$2:$M$1000,(ROW()-ROW($B$2))/16+1),"")</f>
        <v/>
      </c>
    </row>
    <row r="1193" spans="2:14" x14ac:dyDescent="0.3">
      <c r="B1193" t="s">
        <v>2173</v>
      </c>
      <c r="C1193" t="s">
        <v>3375</v>
      </c>
      <c r="D1193" t="s">
        <v>1388</v>
      </c>
      <c r="E1193">
        <v>0</v>
      </c>
      <c r="F1193" t="s">
        <v>1388</v>
      </c>
      <c r="N1193" t="str" cm="1">
        <f t="array" ref="N1193">IF(MOD(ROW()-ROW($B$2),16)=0,INDEX($M$2:$M$1000,(ROW()-ROW($B$2))/16+1),"")</f>
        <v/>
      </c>
    </row>
    <row r="1194" spans="2:14" x14ac:dyDescent="0.3">
      <c r="B1194" t="s">
        <v>2173</v>
      </c>
      <c r="C1194" t="s">
        <v>3376</v>
      </c>
      <c r="D1194" t="s">
        <v>1389</v>
      </c>
      <c r="E1194">
        <v>0</v>
      </c>
      <c r="F1194" t="s">
        <v>1389</v>
      </c>
      <c r="N1194" t="str" cm="1">
        <f t="array" ref="N1194">IF(MOD(ROW()-ROW($B$2),16)=0,INDEX($M$2:$M$1000,(ROW()-ROW($B$2))/16+1),"")</f>
        <v/>
      </c>
    </row>
    <row r="1195" spans="2:14" x14ac:dyDescent="0.3">
      <c r="B1195" t="s">
        <v>2173</v>
      </c>
      <c r="C1195" t="s">
        <v>3377</v>
      </c>
      <c r="D1195" t="s">
        <v>1390</v>
      </c>
      <c r="E1195">
        <v>0</v>
      </c>
      <c r="F1195" t="s">
        <v>1390</v>
      </c>
      <c r="N1195" t="str" cm="1">
        <f t="array" ref="N1195">IF(MOD(ROW()-ROW($B$2),16)=0,INDEX($M$2:$M$1000,(ROW()-ROW($B$2))/16+1),"")</f>
        <v/>
      </c>
    </row>
    <row r="1196" spans="2:14" x14ac:dyDescent="0.3">
      <c r="B1196" t="s">
        <v>2173</v>
      </c>
      <c r="C1196" t="s">
        <v>3378</v>
      </c>
      <c r="D1196" t="s">
        <v>1391</v>
      </c>
      <c r="E1196">
        <v>0</v>
      </c>
      <c r="F1196" t="s">
        <v>1391</v>
      </c>
      <c r="N1196" t="str" cm="1">
        <f t="array" ref="N1196">IF(MOD(ROW()-ROW($B$2),16)=0,INDEX($M$2:$M$1000,(ROW()-ROW($B$2))/16+1),"")</f>
        <v/>
      </c>
    </row>
    <row r="1197" spans="2:14" x14ac:dyDescent="0.3">
      <c r="B1197" t="s">
        <v>2173</v>
      </c>
      <c r="C1197" t="s">
        <v>3379</v>
      </c>
      <c r="D1197" t="s">
        <v>1392</v>
      </c>
      <c r="E1197">
        <v>0</v>
      </c>
      <c r="F1197" t="s">
        <v>1392</v>
      </c>
      <c r="N1197" t="str" cm="1">
        <f t="array" ref="N1197">IF(MOD(ROW()-ROW($B$2),16)=0,INDEX($M$2:$M$1000,(ROW()-ROW($B$2))/16+1),"")</f>
        <v/>
      </c>
    </row>
    <row r="1198" spans="2:14" x14ac:dyDescent="0.3">
      <c r="B1198" t="s">
        <v>2173</v>
      </c>
      <c r="C1198" t="s">
        <v>3380</v>
      </c>
      <c r="D1198" t="s">
        <v>1393</v>
      </c>
      <c r="E1198">
        <v>0</v>
      </c>
      <c r="F1198" t="s">
        <v>1393</v>
      </c>
      <c r="N1198" t="str" cm="1">
        <f t="array" ref="N1198">IF(MOD(ROW()-ROW($B$2),16)=0,INDEX($M$2:$M$1000,(ROW()-ROW($B$2))/16+1),"")</f>
        <v/>
      </c>
    </row>
    <row r="1199" spans="2:14" x14ac:dyDescent="0.3">
      <c r="B1199" t="s">
        <v>2173</v>
      </c>
      <c r="C1199" t="s">
        <v>3381</v>
      </c>
      <c r="D1199" t="s">
        <v>1394</v>
      </c>
      <c r="E1199">
        <v>0</v>
      </c>
      <c r="F1199" t="s">
        <v>1394</v>
      </c>
      <c r="N1199" t="str" cm="1">
        <f t="array" ref="N1199">IF(MOD(ROW()-ROW($B$2),16)=0,INDEX($M$2:$M$1000,(ROW()-ROW($B$2))/16+1),"")</f>
        <v/>
      </c>
    </row>
    <row r="1200" spans="2:14" x14ac:dyDescent="0.3">
      <c r="B1200" t="s">
        <v>2173</v>
      </c>
      <c r="C1200" t="s">
        <v>3382</v>
      </c>
      <c r="D1200" t="s">
        <v>1395</v>
      </c>
      <c r="E1200">
        <v>0</v>
      </c>
      <c r="F1200" t="s">
        <v>1395</v>
      </c>
      <c r="N1200" t="str" cm="1">
        <f t="array" ref="N1200">IF(MOD(ROW()-ROW($B$2),16)=0,INDEX($M$2:$M$1000,(ROW()-ROW($B$2))/16+1),"")</f>
        <v/>
      </c>
    </row>
    <row r="1201" spans="2:14" x14ac:dyDescent="0.3">
      <c r="B1201" t="s">
        <v>2173</v>
      </c>
      <c r="C1201" t="s">
        <v>3383</v>
      </c>
      <c r="D1201" t="s">
        <v>1396</v>
      </c>
      <c r="E1201">
        <v>0</v>
      </c>
      <c r="F1201" t="s">
        <v>1396</v>
      </c>
      <c r="N1201" t="str" cm="1">
        <f t="array" ref="N1201">IF(MOD(ROW()-ROW($B$2),16)=0,INDEX($M$2:$M$1000,(ROW()-ROW($B$2))/16+1),"")</f>
        <v/>
      </c>
    </row>
    <row r="1202" spans="2:14" x14ac:dyDescent="0.3">
      <c r="B1202" t="s">
        <v>2173</v>
      </c>
      <c r="C1202" t="s">
        <v>3384</v>
      </c>
      <c r="D1202" t="s">
        <v>1397</v>
      </c>
      <c r="E1202">
        <v>0</v>
      </c>
      <c r="F1202" t="s">
        <v>1397</v>
      </c>
      <c r="N1202" t="str" cm="1">
        <f t="array" ref="N1202">IF(MOD(ROW()-ROW($B$2),16)=0,INDEX($M$2:$M$1000,(ROW()-ROW($B$2))/16+1),"")</f>
        <v>Фиксированное число 75 (0)</v>
      </c>
    </row>
    <row r="1203" spans="2:14" x14ac:dyDescent="0.3">
      <c r="B1203" t="s">
        <v>2173</v>
      </c>
      <c r="C1203" t="s">
        <v>3385</v>
      </c>
      <c r="D1203" t="s">
        <v>1398</v>
      </c>
      <c r="E1203">
        <v>0</v>
      </c>
      <c r="F1203" t="s">
        <v>1398</v>
      </c>
      <c r="N1203" t="str" cm="1">
        <f t="array" ref="N1203">IF(MOD(ROW()-ROW($B$2),16)=0,INDEX($M$2:$M$1000,(ROW()-ROW($B$2))/16+1),"")</f>
        <v/>
      </c>
    </row>
    <row r="1204" spans="2:14" x14ac:dyDescent="0.3">
      <c r="B1204" t="s">
        <v>2173</v>
      </c>
      <c r="C1204" t="s">
        <v>3386</v>
      </c>
      <c r="D1204" t="s">
        <v>1399</v>
      </c>
      <c r="E1204">
        <v>0</v>
      </c>
      <c r="F1204" t="s">
        <v>1399</v>
      </c>
      <c r="N1204" t="str" cm="1">
        <f t="array" ref="N1204">IF(MOD(ROW()-ROW($B$2),16)=0,INDEX($M$2:$M$1000,(ROW()-ROW($B$2))/16+1),"")</f>
        <v/>
      </c>
    </row>
    <row r="1205" spans="2:14" x14ac:dyDescent="0.3">
      <c r="B1205" t="s">
        <v>2173</v>
      </c>
      <c r="C1205" t="s">
        <v>3387</v>
      </c>
      <c r="D1205" t="s">
        <v>1400</v>
      </c>
      <c r="E1205">
        <v>0</v>
      </c>
      <c r="F1205" t="s">
        <v>1400</v>
      </c>
      <c r="N1205" t="str" cm="1">
        <f t="array" ref="N1205">IF(MOD(ROW()-ROW($B$2),16)=0,INDEX($M$2:$M$1000,(ROW()-ROW($B$2))/16+1),"")</f>
        <v/>
      </c>
    </row>
    <row r="1206" spans="2:14" x14ac:dyDescent="0.3">
      <c r="B1206" t="s">
        <v>2173</v>
      </c>
      <c r="C1206" t="s">
        <v>3388</v>
      </c>
      <c r="D1206" t="s">
        <v>1401</v>
      </c>
      <c r="E1206">
        <v>0</v>
      </c>
      <c r="F1206" t="s">
        <v>1401</v>
      </c>
      <c r="N1206" t="str" cm="1">
        <f t="array" ref="N1206">IF(MOD(ROW()-ROW($B$2),16)=0,INDEX($M$2:$M$1000,(ROW()-ROW($B$2))/16+1),"")</f>
        <v/>
      </c>
    </row>
    <row r="1207" spans="2:14" x14ac:dyDescent="0.3">
      <c r="B1207" t="s">
        <v>2173</v>
      </c>
      <c r="C1207" t="s">
        <v>3389</v>
      </c>
      <c r="D1207" t="s">
        <v>1402</v>
      </c>
      <c r="E1207">
        <v>0</v>
      </c>
      <c r="F1207" t="s">
        <v>1402</v>
      </c>
      <c r="N1207" t="str" cm="1">
        <f t="array" ref="N1207">IF(MOD(ROW()-ROW($B$2),16)=0,INDEX($M$2:$M$1000,(ROW()-ROW($B$2))/16+1),"")</f>
        <v/>
      </c>
    </row>
    <row r="1208" spans="2:14" x14ac:dyDescent="0.3">
      <c r="B1208" t="s">
        <v>2173</v>
      </c>
      <c r="C1208" t="s">
        <v>3390</v>
      </c>
      <c r="D1208" t="s">
        <v>1403</v>
      </c>
      <c r="E1208">
        <v>0</v>
      </c>
      <c r="F1208" t="s">
        <v>1403</v>
      </c>
      <c r="N1208" t="str" cm="1">
        <f t="array" ref="N1208">IF(MOD(ROW()-ROW($B$2),16)=0,INDEX($M$2:$M$1000,(ROW()-ROW($B$2))/16+1),"")</f>
        <v/>
      </c>
    </row>
    <row r="1209" spans="2:14" x14ac:dyDescent="0.3">
      <c r="B1209" t="s">
        <v>2173</v>
      </c>
      <c r="C1209" t="s">
        <v>3391</v>
      </c>
      <c r="D1209" t="s">
        <v>1404</v>
      </c>
      <c r="E1209">
        <v>0</v>
      </c>
      <c r="F1209" t="s">
        <v>1404</v>
      </c>
      <c r="N1209" t="str" cm="1">
        <f t="array" ref="N1209">IF(MOD(ROW()-ROW($B$2),16)=0,INDEX($M$2:$M$1000,(ROW()-ROW($B$2))/16+1),"")</f>
        <v/>
      </c>
    </row>
    <row r="1210" spans="2:14" x14ac:dyDescent="0.3">
      <c r="B1210" t="s">
        <v>2173</v>
      </c>
      <c r="C1210" t="s">
        <v>3392</v>
      </c>
      <c r="D1210" t="s">
        <v>1405</v>
      </c>
      <c r="E1210">
        <v>0</v>
      </c>
      <c r="F1210" t="s">
        <v>1405</v>
      </c>
      <c r="N1210" t="str" cm="1">
        <f t="array" ref="N1210">IF(MOD(ROW()-ROW($B$2),16)=0,INDEX($M$2:$M$1000,(ROW()-ROW($B$2))/16+1),"")</f>
        <v/>
      </c>
    </row>
    <row r="1211" spans="2:14" x14ac:dyDescent="0.3">
      <c r="B1211" t="s">
        <v>2173</v>
      </c>
      <c r="C1211" t="s">
        <v>3393</v>
      </c>
      <c r="D1211" t="s">
        <v>1406</v>
      </c>
      <c r="E1211">
        <v>0</v>
      </c>
      <c r="F1211" t="s">
        <v>1406</v>
      </c>
      <c r="N1211" t="str" cm="1">
        <f t="array" ref="N1211">IF(MOD(ROW()-ROW($B$2),16)=0,INDEX($M$2:$M$1000,(ROW()-ROW($B$2))/16+1),"")</f>
        <v/>
      </c>
    </row>
    <row r="1212" spans="2:14" x14ac:dyDescent="0.3">
      <c r="B1212" t="s">
        <v>2173</v>
      </c>
      <c r="C1212" t="s">
        <v>3394</v>
      </c>
      <c r="D1212" t="s">
        <v>1407</v>
      </c>
      <c r="E1212">
        <v>0</v>
      </c>
      <c r="F1212" t="s">
        <v>1407</v>
      </c>
      <c r="N1212" t="str" cm="1">
        <f t="array" ref="N1212">IF(MOD(ROW()-ROW($B$2),16)=0,INDEX($M$2:$M$1000,(ROW()-ROW($B$2))/16+1),"")</f>
        <v/>
      </c>
    </row>
    <row r="1213" spans="2:14" x14ac:dyDescent="0.3">
      <c r="B1213" t="s">
        <v>2173</v>
      </c>
      <c r="C1213" t="s">
        <v>3395</v>
      </c>
      <c r="D1213" t="s">
        <v>1408</v>
      </c>
      <c r="E1213">
        <v>0</v>
      </c>
      <c r="F1213" t="s">
        <v>1408</v>
      </c>
      <c r="N1213" t="str" cm="1">
        <f t="array" ref="N1213">IF(MOD(ROW()-ROW($B$2),16)=0,INDEX($M$2:$M$1000,(ROW()-ROW($B$2))/16+1),"")</f>
        <v/>
      </c>
    </row>
    <row r="1214" spans="2:14" x14ac:dyDescent="0.3">
      <c r="B1214" t="s">
        <v>2173</v>
      </c>
      <c r="C1214" t="s">
        <v>3396</v>
      </c>
      <c r="D1214" t="s">
        <v>1409</v>
      </c>
      <c r="E1214">
        <v>0</v>
      </c>
      <c r="F1214" t="s">
        <v>1409</v>
      </c>
      <c r="N1214" t="str" cm="1">
        <f t="array" ref="N1214">IF(MOD(ROW()-ROW($B$2),16)=0,INDEX($M$2:$M$1000,(ROW()-ROW($B$2))/16+1),"")</f>
        <v/>
      </c>
    </row>
    <row r="1215" spans="2:14" x14ac:dyDescent="0.3">
      <c r="B1215" t="s">
        <v>2173</v>
      </c>
      <c r="C1215" t="s">
        <v>3397</v>
      </c>
      <c r="D1215" t="s">
        <v>1410</v>
      </c>
      <c r="E1215">
        <v>0</v>
      </c>
      <c r="F1215" t="s">
        <v>1410</v>
      </c>
      <c r="N1215" t="str" cm="1">
        <f t="array" ref="N1215">IF(MOD(ROW()-ROW($B$2),16)=0,INDEX($M$2:$M$1000,(ROW()-ROW($B$2))/16+1),"")</f>
        <v/>
      </c>
    </row>
    <row r="1216" spans="2:14" x14ac:dyDescent="0.3">
      <c r="B1216" t="s">
        <v>2173</v>
      </c>
      <c r="C1216" t="s">
        <v>3398</v>
      </c>
      <c r="D1216" t="s">
        <v>1411</v>
      </c>
      <c r="E1216">
        <v>0</v>
      </c>
      <c r="F1216" t="s">
        <v>1411</v>
      </c>
      <c r="N1216" t="str" cm="1">
        <f t="array" ref="N1216">IF(MOD(ROW()-ROW($B$2),16)=0,INDEX($M$2:$M$1000,(ROW()-ROW($B$2))/16+1),"")</f>
        <v/>
      </c>
    </row>
    <row r="1217" spans="2:14" x14ac:dyDescent="0.3">
      <c r="B1217" t="s">
        <v>2173</v>
      </c>
      <c r="C1217" t="s">
        <v>3399</v>
      </c>
      <c r="D1217" t="s">
        <v>1412</v>
      </c>
      <c r="E1217">
        <v>0</v>
      </c>
      <c r="F1217" t="s">
        <v>1412</v>
      </c>
      <c r="N1217" t="str" cm="1">
        <f t="array" ref="N1217">IF(MOD(ROW()-ROW($B$2),16)=0,INDEX($M$2:$M$1000,(ROW()-ROW($B$2))/16+1),"")</f>
        <v/>
      </c>
    </row>
    <row r="1218" spans="2:14" x14ac:dyDescent="0.3">
      <c r="B1218" t="s">
        <v>2173</v>
      </c>
      <c r="C1218" t="s">
        <v>3400</v>
      </c>
      <c r="D1218" t="s">
        <v>1413</v>
      </c>
      <c r="E1218">
        <v>0</v>
      </c>
      <c r="F1218" t="s">
        <v>1413</v>
      </c>
      <c r="N1218" t="str" cm="1">
        <f t="array" ref="N1218">IF(MOD(ROW()-ROW($B$2),16)=0,INDEX($M$2:$M$1000,(ROW()-ROW($B$2))/16+1),"")</f>
        <v>Фиксированное число 76 (0)</v>
      </c>
    </row>
    <row r="1219" spans="2:14" x14ac:dyDescent="0.3">
      <c r="B1219" t="s">
        <v>2173</v>
      </c>
      <c r="C1219" t="s">
        <v>3401</v>
      </c>
      <c r="D1219" t="s">
        <v>1414</v>
      </c>
      <c r="E1219">
        <v>0</v>
      </c>
      <c r="F1219" t="s">
        <v>1414</v>
      </c>
      <c r="N1219" t="str" cm="1">
        <f t="array" ref="N1219">IF(MOD(ROW()-ROW($B$2),16)=0,INDEX($M$2:$M$1000,(ROW()-ROW($B$2))/16+1),"")</f>
        <v/>
      </c>
    </row>
    <row r="1220" spans="2:14" x14ac:dyDescent="0.3">
      <c r="B1220" t="s">
        <v>2173</v>
      </c>
      <c r="C1220" t="s">
        <v>3402</v>
      </c>
      <c r="D1220" t="s">
        <v>1415</v>
      </c>
      <c r="E1220">
        <v>0</v>
      </c>
      <c r="F1220" t="s">
        <v>1415</v>
      </c>
      <c r="N1220" t="str" cm="1">
        <f t="array" ref="N1220">IF(MOD(ROW()-ROW($B$2),16)=0,INDEX($M$2:$M$1000,(ROW()-ROW($B$2))/16+1),"")</f>
        <v/>
      </c>
    </row>
    <row r="1221" spans="2:14" x14ac:dyDescent="0.3">
      <c r="B1221" t="s">
        <v>2173</v>
      </c>
      <c r="C1221" t="s">
        <v>3403</v>
      </c>
      <c r="D1221" t="s">
        <v>1416</v>
      </c>
      <c r="E1221">
        <v>0</v>
      </c>
      <c r="F1221" t="s">
        <v>1416</v>
      </c>
      <c r="N1221" t="str" cm="1">
        <f t="array" ref="N1221">IF(MOD(ROW()-ROW($B$2),16)=0,INDEX($M$2:$M$1000,(ROW()-ROW($B$2))/16+1),"")</f>
        <v/>
      </c>
    </row>
    <row r="1222" spans="2:14" x14ac:dyDescent="0.3">
      <c r="B1222" t="s">
        <v>2173</v>
      </c>
      <c r="C1222" t="s">
        <v>3404</v>
      </c>
      <c r="D1222" t="s">
        <v>1417</v>
      </c>
      <c r="E1222">
        <v>0</v>
      </c>
      <c r="F1222" t="s">
        <v>1417</v>
      </c>
      <c r="N1222" t="str" cm="1">
        <f t="array" ref="N1222">IF(MOD(ROW()-ROW($B$2),16)=0,INDEX($M$2:$M$1000,(ROW()-ROW($B$2))/16+1),"")</f>
        <v/>
      </c>
    </row>
    <row r="1223" spans="2:14" x14ac:dyDescent="0.3">
      <c r="B1223" t="s">
        <v>2173</v>
      </c>
      <c r="C1223" t="s">
        <v>3405</v>
      </c>
      <c r="D1223" t="s">
        <v>1418</v>
      </c>
      <c r="E1223">
        <v>0</v>
      </c>
      <c r="F1223" t="s">
        <v>1418</v>
      </c>
      <c r="N1223" t="str" cm="1">
        <f t="array" ref="N1223">IF(MOD(ROW()-ROW($B$2),16)=0,INDEX($M$2:$M$1000,(ROW()-ROW($B$2))/16+1),"")</f>
        <v/>
      </c>
    </row>
    <row r="1224" spans="2:14" x14ac:dyDescent="0.3">
      <c r="B1224" t="s">
        <v>2173</v>
      </c>
      <c r="C1224" t="s">
        <v>3406</v>
      </c>
      <c r="D1224" t="s">
        <v>1419</v>
      </c>
      <c r="E1224">
        <v>0</v>
      </c>
      <c r="F1224" t="s">
        <v>1419</v>
      </c>
      <c r="N1224" t="str" cm="1">
        <f t="array" ref="N1224">IF(MOD(ROW()-ROW($B$2),16)=0,INDEX($M$2:$M$1000,(ROW()-ROW($B$2))/16+1),"")</f>
        <v/>
      </c>
    </row>
    <row r="1225" spans="2:14" x14ac:dyDescent="0.3">
      <c r="B1225" t="s">
        <v>2173</v>
      </c>
      <c r="C1225" t="s">
        <v>3407</v>
      </c>
      <c r="D1225" t="s">
        <v>1420</v>
      </c>
      <c r="E1225">
        <v>0</v>
      </c>
      <c r="F1225" t="s">
        <v>1420</v>
      </c>
      <c r="N1225" t="str" cm="1">
        <f t="array" ref="N1225">IF(MOD(ROW()-ROW($B$2),16)=0,INDEX($M$2:$M$1000,(ROW()-ROW($B$2))/16+1),"")</f>
        <v/>
      </c>
    </row>
    <row r="1226" spans="2:14" x14ac:dyDescent="0.3">
      <c r="B1226" t="s">
        <v>2173</v>
      </c>
      <c r="C1226" t="s">
        <v>3408</v>
      </c>
      <c r="D1226" t="s">
        <v>1421</v>
      </c>
      <c r="E1226">
        <v>0</v>
      </c>
      <c r="F1226" t="s">
        <v>1421</v>
      </c>
      <c r="N1226" t="str" cm="1">
        <f t="array" ref="N1226">IF(MOD(ROW()-ROW($B$2),16)=0,INDEX($M$2:$M$1000,(ROW()-ROW($B$2))/16+1),"")</f>
        <v/>
      </c>
    </row>
    <row r="1227" spans="2:14" x14ac:dyDescent="0.3">
      <c r="B1227" t="s">
        <v>2173</v>
      </c>
      <c r="C1227" t="s">
        <v>3409</v>
      </c>
      <c r="D1227" t="s">
        <v>1422</v>
      </c>
      <c r="E1227">
        <v>0</v>
      </c>
      <c r="F1227" t="s">
        <v>1422</v>
      </c>
      <c r="N1227" t="str" cm="1">
        <f t="array" ref="N1227">IF(MOD(ROW()-ROW($B$2),16)=0,INDEX($M$2:$M$1000,(ROW()-ROW($B$2))/16+1),"")</f>
        <v/>
      </c>
    </row>
    <row r="1228" spans="2:14" x14ac:dyDescent="0.3">
      <c r="B1228" t="s">
        <v>2173</v>
      </c>
      <c r="C1228" t="s">
        <v>3410</v>
      </c>
      <c r="D1228" t="s">
        <v>1423</v>
      </c>
      <c r="E1228">
        <v>0</v>
      </c>
      <c r="F1228" t="s">
        <v>1423</v>
      </c>
      <c r="N1228" t="str" cm="1">
        <f t="array" ref="N1228">IF(MOD(ROW()-ROW($B$2),16)=0,INDEX($M$2:$M$1000,(ROW()-ROW($B$2))/16+1),"")</f>
        <v/>
      </c>
    </row>
    <row r="1229" spans="2:14" x14ac:dyDescent="0.3">
      <c r="B1229" t="s">
        <v>2173</v>
      </c>
      <c r="C1229" t="s">
        <v>3411</v>
      </c>
      <c r="D1229" t="s">
        <v>1424</v>
      </c>
      <c r="E1229">
        <v>0</v>
      </c>
      <c r="F1229" t="s">
        <v>1424</v>
      </c>
      <c r="N1229" t="str" cm="1">
        <f t="array" ref="N1229">IF(MOD(ROW()-ROW($B$2),16)=0,INDEX($M$2:$M$1000,(ROW()-ROW($B$2))/16+1),"")</f>
        <v/>
      </c>
    </row>
    <row r="1230" spans="2:14" x14ac:dyDescent="0.3">
      <c r="B1230" t="s">
        <v>2173</v>
      </c>
      <c r="C1230" t="s">
        <v>3412</v>
      </c>
      <c r="D1230" t="s">
        <v>1425</v>
      </c>
      <c r="E1230">
        <v>0</v>
      </c>
      <c r="F1230" t="s">
        <v>1425</v>
      </c>
      <c r="N1230" t="str" cm="1">
        <f t="array" ref="N1230">IF(MOD(ROW()-ROW($B$2),16)=0,INDEX($M$2:$M$1000,(ROW()-ROW($B$2))/16+1),"")</f>
        <v/>
      </c>
    </row>
    <row r="1231" spans="2:14" x14ac:dyDescent="0.3">
      <c r="B1231" t="s">
        <v>2173</v>
      </c>
      <c r="C1231" t="s">
        <v>3413</v>
      </c>
      <c r="D1231" t="s">
        <v>1426</v>
      </c>
      <c r="E1231">
        <v>0</v>
      </c>
      <c r="F1231" t="s">
        <v>1426</v>
      </c>
      <c r="N1231" t="str" cm="1">
        <f t="array" ref="N1231">IF(MOD(ROW()-ROW($B$2),16)=0,INDEX($M$2:$M$1000,(ROW()-ROW($B$2))/16+1),"")</f>
        <v/>
      </c>
    </row>
    <row r="1232" spans="2:14" x14ac:dyDescent="0.3">
      <c r="B1232" t="s">
        <v>2173</v>
      </c>
      <c r="C1232" t="s">
        <v>3414</v>
      </c>
      <c r="D1232" t="s">
        <v>1427</v>
      </c>
      <c r="E1232">
        <v>0</v>
      </c>
      <c r="F1232" t="s">
        <v>1427</v>
      </c>
      <c r="N1232" t="str" cm="1">
        <f t="array" ref="N1232">IF(MOD(ROW()-ROW($B$2),16)=0,INDEX($M$2:$M$1000,(ROW()-ROW($B$2))/16+1),"")</f>
        <v/>
      </c>
    </row>
    <row r="1233" spans="2:14" x14ac:dyDescent="0.3">
      <c r="B1233" t="s">
        <v>2173</v>
      </c>
      <c r="C1233" t="s">
        <v>3415</v>
      </c>
      <c r="D1233" t="s">
        <v>1428</v>
      </c>
      <c r="E1233">
        <v>0</v>
      </c>
      <c r="F1233" t="s">
        <v>1428</v>
      </c>
      <c r="N1233" t="str" cm="1">
        <f t="array" ref="N1233">IF(MOD(ROW()-ROW($B$2),16)=0,INDEX($M$2:$M$1000,(ROW()-ROW($B$2))/16+1),"")</f>
        <v/>
      </c>
    </row>
    <row r="1234" spans="2:14" x14ac:dyDescent="0.3">
      <c r="B1234" t="s">
        <v>2173</v>
      </c>
      <c r="C1234" t="s">
        <v>3416</v>
      </c>
      <c r="D1234" t="s">
        <v>1429</v>
      </c>
      <c r="E1234">
        <v>0</v>
      </c>
      <c r="F1234" t="s">
        <v>1429</v>
      </c>
      <c r="N1234" t="str" cm="1">
        <f t="array" ref="N1234">IF(MOD(ROW()-ROW($B$2),16)=0,INDEX($M$2:$M$1000,(ROW()-ROW($B$2))/16+1),"")</f>
        <v>Фиксированное число 77 (0)</v>
      </c>
    </row>
    <row r="1235" spans="2:14" x14ac:dyDescent="0.3">
      <c r="B1235" t="s">
        <v>2173</v>
      </c>
      <c r="C1235" t="s">
        <v>3417</v>
      </c>
      <c r="D1235" t="s">
        <v>1430</v>
      </c>
      <c r="E1235">
        <v>0</v>
      </c>
      <c r="F1235" t="s">
        <v>1430</v>
      </c>
      <c r="N1235" t="str" cm="1">
        <f t="array" ref="N1235">IF(MOD(ROW()-ROW($B$2),16)=0,INDEX($M$2:$M$1000,(ROW()-ROW($B$2))/16+1),"")</f>
        <v/>
      </c>
    </row>
    <row r="1236" spans="2:14" x14ac:dyDescent="0.3">
      <c r="B1236" t="s">
        <v>2173</v>
      </c>
      <c r="C1236" t="s">
        <v>3418</v>
      </c>
      <c r="D1236" t="s">
        <v>1431</v>
      </c>
      <c r="E1236">
        <v>0</v>
      </c>
      <c r="F1236" t="s">
        <v>1431</v>
      </c>
      <c r="N1236" t="str" cm="1">
        <f t="array" ref="N1236">IF(MOD(ROW()-ROW($B$2),16)=0,INDEX($M$2:$M$1000,(ROW()-ROW($B$2))/16+1),"")</f>
        <v/>
      </c>
    </row>
    <row r="1237" spans="2:14" x14ac:dyDescent="0.3">
      <c r="B1237" t="s">
        <v>2173</v>
      </c>
      <c r="C1237" t="s">
        <v>3419</v>
      </c>
      <c r="D1237" t="s">
        <v>1432</v>
      </c>
      <c r="E1237">
        <v>0</v>
      </c>
      <c r="F1237" t="s">
        <v>1432</v>
      </c>
      <c r="N1237" t="str" cm="1">
        <f t="array" ref="N1237">IF(MOD(ROW()-ROW($B$2),16)=0,INDEX($M$2:$M$1000,(ROW()-ROW($B$2))/16+1),"")</f>
        <v/>
      </c>
    </row>
    <row r="1238" spans="2:14" x14ac:dyDescent="0.3">
      <c r="B1238" t="s">
        <v>2173</v>
      </c>
      <c r="C1238" t="s">
        <v>3420</v>
      </c>
      <c r="D1238" t="s">
        <v>1433</v>
      </c>
      <c r="E1238">
        <v>0</v>
      </c>
      <c r="F1238" t="s">
        <v>1433</v>
      </c>
      <c r="N1238" t="str" cm="1">
        <f t="array" ref="N1238">IF(MOD(ROW()-ROW($B$2),16)=0,INDEX($M$2:$M$1000,(ROW()-ROW($B$2))/16+1),"")</f>
        <v/>
      </c>
    </row>
    <row r="1239" spans="2:14" x14ac:dyDescent="0.3">
      <c r="B1239" t="s">
        <v>2173</v>
      </c>
      <c r="C1239" t="s">
        <v>3421</v>
      </c>
      <c r="D1239" t="s">
        <v>1434</v>
      </c>
      <c r="E1239">
        <v>0</v>
      </c>
      <c r="F1239" t="s">
        <v>1434</v>
      </c>
      <c r="N1239" t="str" cm="1">
        <f t="array" ref="N1239">IF(MOD(ROW()-ROW($B$2),16)=0,INDEX($M$2:$M$1000,(ROW()-ROW($B$2))/16+1),"")</f>
        <v/>
      </c>
    </row>
    <row r="1240" spans="2:14" x14ac:dyDescent="0.3">
      <c r="B1240" t="s">
        <v>2173</v>
      </c>
      <c r="C1240" t="s">
        <v>3422</v>
      </c>
      <c r="D1240" t="s">
        <v>1435</v>
      </c>
      <c r="E1240">
        <v>0</v>
      </c>
      <c r="F1240" t="s">
        <v>1435</v>
      </c>
      <c r="N1240" t="str" cm="1">
        <f t="array" ref="N1240">IF(MOD(ROW()-ROW($B$2),16)=0,INDEX($M$2:$M$1000,(ROW()-ROW($B$2))/16+1),"")</f>
        <v/>
      </c>
    </row>
    <row r="1241" spans="2:14" x14ac:dyDescent="0.3">
      <c r="B1241" t="s">
        <v>2173</v>
      </c>
      <c r="C1241" t="s">
        <v>3423</v>
      </c>
      <c r="D1241" t="s">
        <v>1436</v>
      </c>
      <c r="E1241">
        <v>0</v>
      </c>
      <c r="F1241" t="s">
        <v>1436</v>
      </c>
      <c r="N1241" t="str" cm="1">
        <f t="array" ref="N1241">IF(MOD(ROW()-ROW($B$2),16)=0,INDEX($M$2:$M$1000,(ROW()-ROW($B$2))/16+1),"")</f>
        <v/>
      </c>
    </row>
    <row r="1242" spans="2:14" x14ac:dyDescent="0.3">
      <c r="B1242" t="s">
        <v>2173</v>
      </c>
      <c r="C1242" t="s">
        <v>3424</v>
      </c>
      <c r="D1242" t="s">
        <v>1437</v>
      </c>
      <c r="E1242">
        <v>0</v>
      </c>
      <c r="F1242" t="s">
        <v>1437</v>
      </c>
      <c r="N1242" t="str" cm="1">
        <f t="array" ref="N1242">IF(MOD(ROW()-ROW($B$2),16)=0,INDEX($M$2:$M$1000,(ROW()-ROW($B$2))/16+1),"")</f>
        <v/>
      </c>
    </row>
    <row r="1243" spans="2:14" x14ac:dyDescent="0.3">
      <c r="B1243" t="s">
        <v>2173</v>
      </c>
      <c r="C1243" t="s">
        <v>3425</v>
      </c>
      <c r="D1243" t="s">
        <v>1438</v>
      </c>
      <c r="E1243">
        <v>0</v>
      </c>
      <c r="F1243" t="s">
        <v>1438</v>
      </c>
      <c r="N1243" t="str" cm="1">
        <f t="array" ref="N1243">IF(MOD(ROW()-ROW($B$2),16)=0,INDEX($M$2:$M$1000,(ROW()-ROW($B$2))/16+1),"")</f>
        <v/>
      </c>
    </row>
    <row r="1244" spans="2:14" x14ac:dyDescent="0.3">
      <c r="B1244" t="s">
        <v>2173</v>
      </c>
      <c r="C1244" t="s">
        <v>3426</v>
      </c>
      <c r="D1244" t="s">
        <v>1439</v>
      </c>
      <c r="E1244">
        <v>0</v>
      </c>
      <c r="F1244" t="s">
        <v>1439</v>
      </c>
      <c r="N1244" t="str" cm="1">
        <f t="array" ref="N1244">IF(MOD(ROW()-ROW($B$2),16)=0,INDEX($M$2:$M$1000,(ROW()-ROW($B$2))/16+1),"")</f>
        <v/>
      </c>
    </row>
    <row r="1245" spans="2:14" x14ac:dyDescent="0.3">
      <c r="B1245" t="s">
        <v>2173</v>
      </c>
      <c r="C1245" t="s">
        <v>3427</v>
      </c>
      <c r="D1245" t="s">
        <v>1440</v>
      </c>
      <c r="E1245">
        <v>0</v>
      </c>
      <c r="F1245" t="s">
        <v>1440</v>
      </c>
      <c r="N1245" t="str" cm="1">
        <f t="array" ref="N1245">IF(MOD(ROW()-ROW($B$2),16)=0,INDEX($M$2:$M$1000,(ROW()-ROW($B$2))/16+1),"")</f>
        <v/>
      </c>
    </row>
    <row r="1246" spans="2:14" x14ac:dyDescent="0.3">
      <c r="B1246" t="s">
        <v>2173</v>
      </c>
      <c r="C1246" t="s">
        <v>3428</v>
      </c>
      <c r="D1246" t="s">
        <v>1441</v>
      </c>
      <c r="E1246">
        <v>0</v>
      </c>
      <c r="F1246" t="s">
        <v>1441</v>
      </c>
      <c r="N1246" t="str" cm="1">
        <f t="array" ref="N1246">IF(MOD(ROW()-ROW($B$2),16)=0,INDEX($M$2:$M$1000,(ROW()-ROW($B$2))/16+1),"")</f>
        <v/>
      </c>
    </row>
    <row r="1247" spans="2:14" x14ac:dyDescent="0.3">
      <c r="B1247" t="s">
        <v>2173</v>
      </c>
      <c r="C1247" t="s">
        <v>3429</v>
      </c>
      <c r="D1247" t="s">
        <v>1442</v>
      </c>
      <c r="E1247">
        <v>0</v>
      </c>
      <c r="F1247" t="s">
        <v>1442</v>
      </c>
      <c r="N1247" t="str" cm="1">
        <f t="array" ref="N1247">IF(MOD(ROW()-ROW($B$2),16)=0,INDEX($M$2:$M$1000,(ROW()-ROW($B$2))/16+1),"")</f>
        <v/>
      </c>
    </row>
    <row r="1248" spans="2:14" x14ac:dyDescent="0.3">
      <c r="B1248" t="s">
        <v>2173</v>
      </c>
      <c r="C1248" t="s">
        <v>3430</v>
      </c>
      <c r="D1248" t="s">
        <v>1443</v>
      </c>
      <c r="E1248">
        <v>0</v>
      </c>
      <c r="F1248" t="s">
        <v>1443</v>
      </c>
      <c r="N1248" t="str" cm="1">
        <f t="array" ref="N1248">IF(MOD(ROW()-ROW($B$2),16)=0,INDEX($M$2:$M$1000,(ROW()-ROW($B$2))/16+1),"")</f>
        <v/>
      </c>
    </row>
    <row r="1249" spans="2:14" x14ac:dyDescent="0.3">
      <c r="B1249" t="s">
        <v>2173</v>
      </c>
      <c r="C1249" t="s">
        <v>3431</v>
      </c>
      <c r="D1249" t="s">
        <v>1444</v>
      </c>
      <c r="E1249">
        <v>0</v>
      </c>
      <c r="F1249" t="s">
        <v>1444</v>
      </c>
      <c r="N1249" t="str" cm="1">
        <f t="array" ref="N1249">IF(MOD(ROW()-ROW($B$2),16)=0,INDEX($M$2:$M$1000,(ROW()-ROW($B$2))/16+1),"")</f>
        <v/>
      </c>
    </row>
    <row r="1250" spans="2:14" x14ac:dyDescent="0.3">
      <c r="B1250" t="s">
        <v>2173</v>
      </c>
      <c r="C1250" t="s">
        <v>3432</v>
      </c>
      <c r="D1250" t="s">
        <v>1445</v>
      </c>
      <c r="E1250">
        <v>0</v>
      </c>
      <c r="F1250" t="s">
        <v>1445</v>
      </c>
      <c r="N1250" t="str" cm="1">
        <f t="array" ref="N1250">IF(MOD(ROW()-ROW($B$2),16)=0,INDEX($M$2:$M$1000,(ROW()-ROW($B$2))/16+1),"")</f>
        <v>Фиксированное число 78 (0)</v>
      </c>
    </row>
    <row r="1251" spans="2:14" x14ac:dyDescent="0.3">
      <c r="B1251" t="s">
        <v>2173</v>
      </c>
      <c r="C1251" t="s">
        <v>3433</v>
      </c>
      <c r="D1251" t="s">
        <v>1446</v>
      </c>
      <c r="E1251">
        <v>0</v>
      </c>
      <c r="F1251" t="s">
        <v>1446</v>
      </c>
      <c r="N1251" t="str" cm="1">
        <f t="array" ref="N1251">IF(MOD(ROW()-ROW($B$2),16)=0,INDEX($M$2:$M$1000,(ROW()-ROW($B$2))/16+1),"")</f>
        <v/>
      </c>
    </row>
    <row r="1252" spans="2:14" x14ac:dyDescent="0.3">
      <c r="B1252" t="s">
        <v>2173</v>
      </c>
      <c r="C1252" t="s">
        <v>3434</v>
      </c>
      <c r="D1252" t="s">
        <v>1447</v>
      </c>
      <c r="E1252">
        <v>0</v>
      </c>
      <c r="F1252" t="s">
        <v>1447</v>
      </c>
      <c r="N1252" t="str" cm="1">
        <f t="array" ref="N1252">IF(MOD(ROW()-ROW($B$2),16)=0,INDEX($M$2:$M$1000,(ROW()-ROW($B$2))/16+1),"")</f>
        <v/>
      </c>
    </row>
    <row r="1253" spans="2:14" x14ac:dyDescent="0.3">
      <c r="B1253" t="s">
        <v>2173</v>
      </c>
      <c r="C1253" t="s">
        <v>3435</v>
      </c>
      <c r="D1253" t="s">
        <v>1448</v>
      </c>
      <c r="E1253">
        <v>0</v>
      </c>
      <c r="F1253" t="s">
        <v>1448</v>
      </c>
      <c r="N1253" t="str" cm="1">
        <f t="array" ref="N1253">IF(MOD(ROW()-ROW($B$2),16)=0,INDEX($M$2:$M$1000,(ROW()-ROW($B$2))/16+1),"")</f>
        <v/>
      </c>
    </row>
    <row r="1254" spans="2:14" x14ac:dyDescent="0.3">
      <c r="B1254" t="s">
        <v>2173</v>
      </c>
      <c r="C1254" t="s">
        <v>3436</v>
      </c>
      <c r="D1254" t="s">
        <v>1449</v>
      </c>
      <c r="E1254">
        <v>0</v>
      </c>
      <c r="F1254" t="s">
        <v>1449</v>
      </c>
      <c r="N1254" t="str" cm="1">
        <f t="array" ref="N1254">IF(MOD(ROW()-ROW($B$2),16)=0,INDEX($M$2:$M$1000,(ROW()-ROW($B$2))/16+1),"")</f>
        <v/>
      </c>
    </row>
    <row r="1255" spans="2:14" x14ac:dyDescent="0.3">
      <c r="B1255" t="s">
        <v>2173</v>
      </c>
      <c r="C1255" t="s">
        <v>3437</v>
      </c>
      <c r="D1255" t="s">
        <v>1450</v>
      </c>
      <c r="E1255">
        <v>0</v>
      </c>
      <c r="F1255" t="s">
        <v>1450</v>
      </c>
      <c r="N1255" t="str" cm="1">
        <f t="array" ref="N1255">IF(MOD(ROW()-ROW($B$2),16)=0,INDEX($M$2:$M$1000,(ROW()-ROW($B$2))/16+1),"")</f>
        <v/>
      </c>
    </row>
    <row r="1256" spans="2:14" x14ac:dyDescent="0.3">
      <c r="B1256" t="s">
        <v>2173</v>
      </c>
      <c r="C1256" t="s">
        <v>3438</v>
      </c>
      <c r="D1256" t="s">
        <v>1451</v>
      </c>
      <c r="E1256">
        <v>0</v>
      </c>
      <c r="F1256" t="s">
        <v>1451</v>
      </c>
      <c r="N1256" t="str" cm="1">
        <f t="array" ref="N1256">IF(MOD(ROW()-ROW($B$2),16)=0,INDEX($M$2:$M$1000,(ROW()-ROW($B$2))/16+1),"")</f>
        <v/>
      </c>
    </row>
    <row r="1257" spans="2:14" x14ac:dyDescent="0.3">
      <c r="B1257" t="s">
        <v>2173</v>
      </c>
      <c r="C1257" t="s">
        <v>3439</v>
      </c>
      <c r="D1257" t="s">
        <v>1452</v>
      </c>
      <c r="E1257">
        <v>0</v>
      </c>
      <c r="F1257" t="s">
        <v>1452</v>
      </c>
      <c r="N1257" t="str" cm="1">
        <f t="array" ref="N1257">IF(MOD(ROW()-ROW($B$2),16)=0,INDEX($M$2:$M$1000,(ROW()-ROW($B$2))/16+1),"")</f>
        <v/>
      </c>
    </row>
    <row r="1258" spans="2:14" x14ac:dyDescent="0.3">
      <c r="B1258" t="s">
        <v>2173</v>
      </c>
      <c r="C1258" t="s">
        <v>3440</v>
      </c>
      <c r="D1258" t="s">
        <v>1453</v>
      </c>
      <c r="E1258">
        <v>0</v>
      </c>
      <c r="F1258" t="s">
        <v>1453</v>
      </c>
      <c r="N1258" t="str" cm="1">
        <f t="array" ref="N1258">IF(MOD(ROW()-ROW($B$2),16)=0,INDEX($M$2:$M$1000,(ROW()-ROW($B$2))/16+1),"")</f>
        <v/>
      </c>
    </row>
    <row r="1259" spans="2:14" x14ac:dyDescent="0.3">
      <c r="B1259" t="s">
        <v>2173</v>
      </c>
      <c r="C1259" t="s">
        <v>3441</v>
      </c>
      <c r="D1259" t="s">
        <v>1454</v>
      </c>
      <c r="E1259">
        <v>0</v>
      </c>
      <c r="F1259" t="s">
        <v>1454</v>
      </c>
      <c r="N1259" t="str" cm="1">
        <f t="array" ref="N1259">IF(MOD(ROW()-ROW($B$2),16)=0,INDEX($M$2:$M$1000,(ROW()-ROW($B$2))/16+1),"")</f>
        <v/>
      </c>
    </row>
    <row r="1260" spans="2:14" x14ac:dyDescent="0.3">
      <c r="B1260" t="s">
        <v>2173</v>
      </c>
      <c r="C1260" t="s">
        <v>3442</v>
      </c>
      <c r="D1260" t="s">
        <v>1455</v>
      </c>
      <c r="E1260">
        <v>0</v>
      </c>
      <c r="F1260" t="s">
        <v>1455</v>
      </c>
      <c r="N1260" t="str" cm="1">
        <f t="array" ref="N1260">IF(MOD(ROW()-ROW($B$2),16)=0,INDEX($M$2:$M$1000,(ROW()-ROW($B$2))/16+1),"")</f>
        <v/>
      </c>
    </row>
    <row r="1261" spans="2:14" x14ac:dyDescent="0.3">
      <c r="B1261" t="s">
        <v>2173</v>
      </c>
      <c r="C1261" t="s">
        <v>3443</v>
      </c>
      <c r="D1261" t="s">
        <v>1456</v>
      </c>
      <c r="E1261">
        <v>0</v>
      </c>
      <c r="F1261" t="s">
        <v>1456</v>
      </c>
      <c r="N1261" t="str" cm="1">
        <f t="array" ref="N1261">IF(MOD(ROW()-ROW($B$2),16)=0,INDEX($M$2:$M$1000,(ROW()-ROW($B$2))/16+1),"")</f>
        <v/>
      </c>
    </row>
    <row r="1262" spans="2:14" x14ac:dyDescent="0.3">
      <c r="B1262" t="s">
        <v>2173</v>
      </c>
      <c r="C1262" t="s">
        <v>3444</v>
      </c>
      <c r="D1262" t="s">
        <v>1457</v>
      </c>
      <c r="E1262">
        <v>0</v>
      </c>
      <c r="F1262" t="s">
        <v>1457</v>
      </c>
      <c r="N1262" t="str" cm="1">
        <f t="array" ref="N1262">IF(MOD(ROW()-ROW($B$2),16)=0,INDEX($M$2:$M$1000,(ROW()-ROW($B$2))/16+1),"")</f>
        <v/>
      </c>
    </row>
    <row r="1263" spans="2:14" x14ac:dyDescent="0.3">
      <c r="B1263" t="s">
        <v>2173</v>
      </c>
      <c r="C1263" t="s">
        <v>3445</v>
      </c>
      <c r="D1263" t="s">
        <v>1458</v>
      </c>
      <c r="E1263">
        <v>0</v>
      </c>
      <c r="F1263" t="s">
        <v>1458</v>
      </c>
      <c r="N1263" t="str" cm="1">
        <f t="array" ref="N1263">IF(MOD(ROW()-ROW($B$2),16)=0,INDEX($M$2:$M$1000,(ROW()-ROW($B$2))/16+1),"")</f>
        <v/>
      </c>
    </row>
    <row r="1264" spans="2:14" x14ac:dyDescent="0.3">
      <c r="B1264" t="s">
        <v>2173</v>
      </c>
      <c r="C1264" t="s">
        <v>3446</v>
      </c>
      <c r="D1264" t="s">
        <v>1459</v>
      </c>
      <c r="E1264">
        <v>0</v>
      </c>
      <c r="F1264" t="s">
        <v>1459</v>
      </c>
      <c r="N1264" t="str" cm="1">
        <f t="array" ref="N1264">IF(MOD(ROW()-ROW($B$2),16)=0,INDEX($M$2:$M$1000,(ROW()-ROW($B$2))/16+1),"")</f>
        <v/>
      </c>
    </row>
    <row r="1265" spans="2:14" x14ac:dyDescent="0.3">
      <c r="B1265" t="s">
        <v>2173</v>
      </c>
      <c r="C1265" t="s">
        <v>3447</v>
      </c>
      <c r="D1265" t="s">
        <v>1460</v>
      </c>
      <c r="E1265">
        <v>0</v>
      </c>
      <c r="F1265" t="s">
        <v>1460</v>
      </c>
      <c r="N1265" t="str" cm="1">
        <f t="array" ref="N1265">IF(MOD(ROW()-ROW($B$2),16)=0,INDEX($M$2:$M$1000,(ROW()-ROW($B$2))/16+1),"")</f>
        <v/>
      </c>
    </row>
    <row r="1266" spans="2:14" x14ac:dyDescent="0.3">
      <c r="B1266" t="s">
        <v>2173</v>
      </c>
      <c r="C1266" t="s">
        <v>3448</v>
      </c>
      <c r="D1266" t="s">
        <v>1461</v>
      </c>
      <c r="E1266">
        <v>0</v>
      </c>
      <c r="F1266" t="s">
        <v>1461</v>
      </c>
      <c r="N1266" t="str" cm="1">
        <f t="array" ref="N1266">IF(MOD(ROW()-ROW($B$2),16)=0,INDEX($M$2:$M$1000,(ROW()-ROW($B$2))/16+1),"")</f>
        <v>Фиксированное число 79 (0)</v>
      </c>
    </row>
    <row r="1267" spans="2:14" x14ac:dyDescent="0.3">
      <c r="B1267" t="s">
        <v>2173</v>
      </c>
      <c r="C1267" t="s">
        <v>3449</v>
      </c>
      <c r="D1267" t="s">
        <v>1462</v>
      </c>
      <c r="E1267">
        <v>0</v>
      </c>
      <c r="F1267" t="s">
        <v>1462</v>
      </c>
      <c r="N1267" t="str" cm="1">
        <f t="array" ref="N1267">IF(MOD(ROW()-ROW($B$2),16)=0,INDEX($M$2:$M$1000,(ROW()-ROW($B$2))/16+1),"")</f>
        <v/>
      </c>
    </row>
    <row r="1268" spans="2:14" x14ac:dyDescent="0.3">
      <c r="B1268" t="s">
        <v>2173</v>
      </c>
      <c r="C1268" t="s">
        <v>3450</v>
      </c>
      <c r="D1268" t="s">
        <v>1463</v>
      </c>
      <c r="E1268">
        <v>0</v>
      </c>
      <c r="F1268" t="s">
        <v>1463</v>
      </c>
      <c r="N1268" t="str" cm="1">
        <f t="array" ref="N1268">IF(MOD(ROW()-ROW($B$2),16)=0,INDEX($M$2:$M$1000,(ROW()-ROW($B$2))/16+1),"")</f>
        <v/>
      </c>
    </row>
    <row r="1269" spans="2:14" x14ac:dyDescent="0.3">
      <c r="B1269" t="s">
        <v>2173</v>
      </c>
      <c r="C1269" t="s">
        <v>3451</v>
      </c>
      <c r="D1269" t="s">
        <v>1464</v>
      </c>
      <c r="E1269">
        <v>0</v>
      </c>
      <c r="F1269" t="s">
        <v>1464</v>
      </c>
      <c r="N1269" t="str" cm="1">
        <f t="array" ref="N1269">IF(MOD(ROW()-ROW($B$2),16)=0,INDEX($M$2:$M$1000,(ROW()-ROW($B$2))/16+1),"")</f>
        <v/>
      </c>
    </row>
    <row r="1270" spans="2:14" x14ac:dyDescent="0.3">
      <c r="B1270" t="s">
        <v>2173</v>
      </c>
      <c r="C1270" t="s">
        <v>3452</v>
      </c>
      <c r="D1270" t="s">
        <v>1465</v>
      </c>
      <c r="E1270">
        <v>0</v>
      </c>
      <c r="F1270" t="s">
        <v>1465</v>
      </c>
      <c r="N1270" t="str" cm="1">
        <f t="array" ref="N1270">IF(MOD(ROW()-ROW($B$2),16)=0,INDEX($M$2:$M$1000,(ROW()-ROW($B$2))/16+1),"")</f>
        <v/>
      </c>
    </row>
    <row r="1271" spans="2:14" x14ac:dyDescent="0.3">
      <c r="B1271" t="s">
        <v>2173</v>
      </c>
      <c r="C1271" t="s">
        <v>3453</v>
      </c>
      <c r="D1271" t="s">
        <v>1466</v>
      </c>
      <c r="E1271">
        <v>0</v>
      </c>
      <c r="F1271" t="s">
        <v>1466</v>
      </c>
      <c r="N1271" t="str" cm="1">
        <f t="array" ref="N1271">IF(MOD(ROW()-ROW($B$2),16)=0,INDEX($M$2:$M$1000,(ROW()-ROW($B$2))/16+1),"")</f>
        <v/>
      </c>
    </row>
    <row r="1272" spans="2:14" x14ac:dyDescent="0.3">
      <c r="B1272" t="s">
        <v>2173</v>
      </c>
      <c r="C1272" t="s">
        <v>3454</v>
      </c>
      <c r="D1272" t="s">
        <v>1467</v>
      </c>
      <c r="E1272">
        <v>0</v>
      </c>
      <c r="F1272" t="s">
        <v>1467</v>
      </c>
      <c r="N1272" t="str" cm="1">
        <f t="array" ref="N1272">IF(MOD(ROW()-ROW($B$2),16)=0,INDEX($M$2:$M$1000,(ROW()-ROW($B$2))/16+1),"")</f>
        <v/>
      </c>
    </row>
    <row r="1273" spans="2:14" x14ac:dyDescent="0.3">
      <c r="B1273" t="s">
        <v>2173</v>
      </c>
      <c r="C1273" t="s">
        <v>3455</v>
      </c>
      <c r="D1273" t="s">
        <v>1468</v>
      </c>
      <c r="E1273">
        <v>0</v>
      </c>
      <c r="F1273" t="s">
        <v>1468</v>
      </c>
      <c r="N1273" t="str" cm="1">
        <f t="array" ref="N1273">IF(MOD(ROW()-ROW($B$2),16)=0,INDEX($M$2:$M$1000,(ROW()-ROW($B$2))/16+1),"")</f>
        <v/>
      </c>
    </row>
    <row r="1274" spans="2:14" x14ac:dyDescent="0.3">
      <c r="B1274" t="s">
        <v>2173</v>
      </c>
      <c r="C1274" t="s">
        <v>3456</v>
      </c>
      <c r="D1274" t="s">
        <v>1469</v>
      </c>
      <c r="E1274">
        <v>0</v>
      </c>
      <c r="F1274" t="s">
        <v>1469</v>
      </c>
      <c r="N1274" t="str" cm="1">
        <f t="array" ref="N1274">IF(MOD(ROW()-ROW($B$2),16)=0,INDEX($M$2:$M$1000,(ROW()-ROW($B$2))/16+1),"")</f>
        <v/>
      </c>
    </row>
    <row r="1275" spans="2:14" x14ac:dyDescent="0.3">
      <c r="B1275" t="s">
        <v>2173</v>
      </c>
      <c r="C1275" t="s">
        <v>3457</v>
      </c>
      <c r="D1275" t="s">
        <v>1470</v>
      </c>
      <c r="E1275">
        <v>0</v>
      </c>
      <c r="F1275" t="s">
        <v>1470</v>
      </c>
      <c r="N1275" t="str" cm="1">
        <f t="array" ref="N1275">IF(MOD(ROW()-ROW($B$2),16)=0,INDEX($M$2:$M$1000,(ROW()-ROW($B$2))/16+1),"")</f>
        <v/>
      </c>
    </row>
    <row r="1276" spans="2:14" x14ac:dyDescent="0.3">
      <c r="B1276" t="s">
        <v>2173</v>
      </c>
      <c r="C1276" t="s">
        <v>3458</v>
      </c>
      <c r="D1276" t="s">
        <v>1471</v>
      </c>
      <c r="E1276">
        <v>0</v>
      </c>
      <c r="F1276" t="s">
        <v>1471</v>
      </c>
      <c r="N1276" t="str" cm="1">
        <f t="array" ref="N1276">IF(MOD(ROW()-ROW($B$2),16)=0,INDEX($M$2:$M$1000,(ROW()-ROW($B$2))/16+1),"")</f>
        <v/>
      </c>
    </row>
    <row r="1277" spans="2:14" x14ac:dyDescent="0.3">
      <c r="B1277" t="s">
        <v>2173</v>
      </c>
      <c r="C1277" t="s">
        <v>3459</v>
      </c>
      <c r="D1277" t="s">
        <v>1472</v>
      </c>
      <c r="E1277">
        <v>0</v>
      </c>
      <c r="F1277" t="s">
        <v>1472</v>
      </c>
      <c r="N1277" t="str" cm="1">
        <f t="array" ref="N1277">IF(MOD(ROW()-ROW($B$2),16)=0,INDEX($M$2:$M$1000,(ROW()-ROW($B$2))/16+1),"")</f>
        <v/>
      </c>
    </row>
    <row r="1278" spans="2:14" x14ac:dyDescent="0.3">
      <c r="B1278" t="s">
        <v>2173</v>
      </c>
      <c r="C1278" t="s">
        <v>3460</v>
      </c>
      <c r="D1278" t="s">
        <v>1473</v>
      </c>
      <c r="E1278">
        <v>0</v>
      </c>
      <c r="F1278" t="s">
        <v>1473</v>
      </c>
      <c r="N1278" t="str" cm="1">
        <f t="array" ref="N1278">IF(MOD(ROW()-ROW($B$2),16)=0,INDEX($M$2:$M$1000,(ROW()-ROW($B$2))/16+1),"")</f>
        <v/>
      </c>
    </row>
    <row r="1279" spans="2:14" x14ac:dyDescent="0.3">
      <c r="B1279" t="s">
        <v>2173</v>
      </c>
      <c r="C1279" t="s">
        <v>3461</v>
      </c>
      <c r="D1279" t="s">
        <v>1474</v>
      </c>
      <c r="E1279">
        <v>0</v>
      </c>
      <c r="F1279" t="s">
        <v>1474</v>
      </c>
      <c r="N1279" t="str" cm="1">
        <f t="array" ref="N1279">IF(MOD(ROW()-ROW($B$2),16)=0,INDEX($M$2:$M$1000,(ROW()-ROW($B$2))/16+1),"")</f>
        <v/>
      </c>
    </row>
    <row r="1280" spans="2:14" x14ac:dyDescent="0.3">
      <c r="B1280" t="s">
        <v>2173</v>
      </c>
      <c r="C1280" t="s">
        <v>3462</v>
      </c>
      <c r="D1280" t="s">
        <v>1475</v>
      </c>
      <c r="E1280">
        <v>0</v>
      </c>
      <c r="F1280" t="s">
        <v>1475</v>
      </c>
      <c r="N1280" t="str" cm="1">
        <f t="array" ref="N1280">IF(MOD(ROW()-ROW($B$2),16)=0,INDEX($M$2:$M$1000,(ROW()-ROW($B$2))/16+1),"")</f>
        <v/>
      </c>
    </row>
    <row r="1281" spans="2:14" x14ac:dyDescent="0.3">
      <c r="B1281" t="s">
        <v>2173</v>
      </c>
      <c r="C1281" t="s">
        <v>3463</v>
      </c>
      <c r="D1281" t="s">
        <v>1476</v>
      </c>
      <c r="E1281">
        <v>0</v>
      </c>
      <c r="F1281" t="s">
        <v>1476</v>
      </c>
      <c r="N1281" t="str" cm="1">
        <f t="array" ref="N1281">IF(MOD(ROW()-ROW($B$2),16)=0,INDEX($M$2:$M$1000,(ROW()-ROW($B$2))/16+1),"")</f>
        <v/>
      </c>
    </row>
    <row r="1282" spans="2:14" x14ac:dyDescent="0.3">
      <c r="B1282" t="s">
        <v>2173</v>
      </c>
      <c r="C1282" t="s">
        <v>3464</v>
      </c>
      <c r="D1282" t="s">
        <v>1477</v>
      </c>
      <c r="E1282">
        <v>0</v>
      </c>
      <c r="F1282" t="s">
        <v>1477</v>
      </c>
      <c r="N1282" t="str" cm="1">
        <f t="array" ref="N1282">IF(MOD(ROW()-ROW($B$2),16)=0,INDEX($M$2:$M$1000,(ROW()-ROW($B$2))/16+1),"")</f>
        <v>Фиксированное число 80 (0)</v>
      </c>
    </row>
    <row r="1283" spans="2:14" x14ac:dyDescent="0.3">
      <c r="B1283" t="s">
        <v>2173</v>
      </c>
      <c r="C1283" t="s">
        <v>3465</v>
      </c>
      <c r="D1283" t="s">
        <v>1478</v>
      </c>
      <c r="E1283">
        <v>0</v>
      </c>
      <c r="F1283" t="s">
        <v>1478</v>
      </c>
      <c r="N1283" t="str" cm="1">
        <f t="array" ref="N1283">IF(MOD(ROW()-ROW($B$2),16)=0,INDEX($M$2:$M$1000,(ROW()-ROW($B$2))/16+1),"")</f>
        <v/>
      </c>
    </row>
    <row r="1284" spans="2:14" x14ac:dyDescent="0.3">
      <c r="B1284" t="s">
        <v>2173</v>
      </c>
      <c r="C1284" t="s">
        <v>3466</v>
      </c>
      <c r="D1284" t="s">
        <v>1479</v>
      </c>
      <c r="E1284">
        <v>0</v>
      </c>
      <c r="F1284" t="s">
        <v>1479</v>
      </c>
      <c r="N1284" t="str" cm="1">
        <f t="array" ref="N1284">IF(MOD(ROW()-ROW($B$2),16)=0,INDEX($M$2:$M$1000,(ROW()-ROW($B$2))/16+1),"")</f>
        <v/>
      </c>
    </row>
    <row r="1285" spans="2:14" x14ac:dyDescent="0.3">
      <c r="B1285" t="s">
        <v>2173</v>
      </c>
      <c r="C1285" t="s">
        <v>3467</v>
      </c>
      <c r="D1285" t="s">
        <v>1480</v>
      </c>
      <c r="E1285">
        <v>0</v>
      </c>
      <c r="F1285" t="s">
        <v>1480</v>
      </c>
      <c r="N1285" t="str" cm="1">
        <f t="array" ref="N1285">IF(MOD(ROW()-ROW($B$2),16)=0,INDEX($M$2:$M$1000,(ROW()-ROW($B$2))/16+1),"")</f>
        <v/>
      </c>
    </row>
    <row r="1286" spans="2:14" x14ac:dyDescent="0.3">
      <c r="B1286" t="s">
        <v>2173</v>
      </c>
      <c r="C1286" t="s">
        <v>3468</v>
      </c>
      <c r="D1286" t="s">
        <v>1481</v>
      </c>
      <c r="E1286">
        <v>0</v>
      </c>
      <c r="F1286" t="s">
        <v>1481</v>
      </c>
      <c r="N1286" t="str" cm="1">
        <f t="array" ref="N1286">IF(MOD(ROW()-ROW($B$2),16)=0,INDEX($M$2:$M$1000,(ROW()-ROW($B$2))/16+1),"")</f>
        <v/>
      </c>
    </row>
    <row r="1287" spans="2:14" x14ac:dyDescent="0.3">
      <c r="B1287" t="s">
        <v>2173</v>
      </c>
      <c r="C1287" t="s">
        <v>3469</v>
      </c>
      <c r="D1287" t="s">
        <v>1482</v>
      </c>
      <c r="E1287">
        <v>0</v>
      </c>
      <c r="F1287" t="s">
        <v>1482</v>
      </c>
      <c r="N1287" t="str" cm="1">
        <f t="array" ref="N1287">IF(MOD(ROW()-ROW($B$2),16)=0,INDEX($M$2:$M$1000,(ROW()-ROW($B$2))/16+1),"")</f>
        <v/>
      </c>
    </row>
    <row r="1288" spans="2:14" x14ac:dyDescent="0.3">
      <c r="B1288" t="s">
        <v>2173</v>
      </c>
      <c r="C1288" t="s">
        <v>3470</v>
      </c>
      <c r="D1288" t="s">
        <v>1483</v>
      </c>
      <c r="E1288">
        <v>0</v>
      </c>
      <c r="F1288" t="s">
        <v>1483</v>
      </c>
      <c r="N1288" t="str" cm="1">
        <f t="array" ref="N1288">IF(MOD(ROW()-ROW($B$2),16)=0,INDEX($M$2:$M$1000,(ROW()-ROW($B$2))/16+1),"")</f>
        <v/>
      </c>
    </row>
    <row r="1289" spans="2:14" x14ac:dyDescent="0.3">
      <c r="B1289" t="s">
        <v>2173</v>
      </c>
      <c r="C1289" t="s">
        <v>3471</v>
      </c>
      <c r="D1289" t="s">
        <v>1484</v>
      </c>
      <c r="E1289">
        <v>0</v>
      </c>
      <c r="F1289" t="s">
        <v>1484</v>
      </c>
      <c r="N1289" t="str" cm="1">
        <f t="array" ref="N1289">IF(MOD(ROW()-ROW($B$2),16)=0,INDEX($M$2:$M$1000,(ROW()-ROW($B$2))/16+1),"")</f>
        <v/>
      </c>
    </row>
    <row r="1290" spans="2:14" x14ac:dyDescent="0.3">
      <c r="B1290" t="s">
        <v>2173</v>
      </c>
      <c r="C1290" t="s">
        <v>3472</v>
      </c>
      <c r="D1290" t="s">
        <v>1485</v>
      </c>
      <c r="E1290">
        <v>0</v>
      </c>
      <c r="F1290" t="s">
        <v>1485</v>
      </c>
      <c r="N1290" t="str" cm="1">
        <f t="array" ref="N1290">IF(MOD(ROW()-ROW($B$2),16)=0,INDEX($M$2:$M$1000,(ROW()-ROW($B$2))/16+1),"")</f>
        <v/>
      </c>
    </row>
    <row r="1291" spans="2:14" x14ac:dyDescent="0.3">
      <c r="B1291" t="s">
        <v>2173</v>
      </c>
      <c r="C1291" t="s">
        <v>3473</v>
      </c>
      <c r="D1291" t="s">
        <v>1486</v>
      </c>
      <c r="E1291">
        <v>0</v>
      </c>
      <c r="F1291" t="s">
        <v>1486</v>
      </c>
      <c r="N1291" t="str" cm="1">
        <f t="array" ref="N1291">IF(MOD(ROW()-ROW($B$2),16)=0,INDEX($M$2:$M$1000,(ROW()-ROW($B$2))/16+1),"")</f>
        <v/>
      </c>
    </row>
    <row r="1292" spans="2:14" x14ac:dyDescent="0.3">
      <c r="B1292" t="s">
        <v>2173</v>
      </c>
      <c r="C1292" t="s">
        <v>3474</v>
      </c>
      <c r="D1292" t="s">
        <v>1487</v>
      </c>
      <c r="E1292">
        <v>0</v>
      </c>
      <c r="F1292" t="s">
        <v>1487</v>
      </c>
      <c r="N1292" t="str" cm="1">
        <f t="array" ref="N1292">IF(MOD(ROW()-ROW($B$2),16)=0,INDEX($M$2:$M$1000,(ROW()-ROW($B$2))/16+1),"")</f>
        <v/>
      </c>
    </row>
    <row r="1293" spans="2:14" x14ac:dyDescent="0.3">
      <c r="B1293" t="s">
        <v>2173</v>
      </c>
      <c r="C1293" t="s">
        <v>3475</v>
      </c>
      <c r="D1293" t="s">
        <v>1488</v>
      </c>
      <c r="E1293">
        <v>0</v>
      </c>
      <c r="F1293" t="s">
        <v>1488</v>
      </c>
      <c r="N1293" t="str" cm="1">
        <f t="array" ref="N1293">IF(MOD(ROW()-ROW($B$2),16)=0,INDEX($M$2:$M$1000,(ROW()-ROW($B$2))/16+1),"")</f>
        <v/>
      </c>
    </row>
    <row r="1294" spans="2:14" x14ac:dyDescent="0.3">
      <c r="B1294" t="s">
        <v>2173</v>
      </c>
      <c r="C1294" t="s">
        <v>3476</v>
      </c>
      <c r="D1294" t="s">
        <v>1489</v>
      </c>
      <c r="E1294">
        <v>0</v>
      </c>
      <c r="F1294" t="s">
        <v>1489</v>
      </c>
      <c r="N1294" t="str" cm="1">
        <f t="array" ref="N1294">IF(MOD(ROW()-ROW($B$2),16)=0,INDEX($M$2:$M$1000,(ROW()-ROW($B$2))/16+1),"")</f>
        <v/>
      </c>
    </row>
    <row r="1295" spans="2:14" x14ac:dyDescent="0.3">
      <c r="B1295" t="s">
        <v>2173</v>
      </c>
      <c r="C1295" t="s">
        <v>3477</v>
      </c>
      <c r="D1295" t="s">
        <v>1490</v>
      </c>
      <c r="E1295">
        <v>0</v>
      </c>
      <c r="F1295" t="s">
        <v>1490</v>
      </c>
      <c r="N1295" t="str" cm="1">
        <f t="array" ref="N1295">IF(MOD(ROW()-ROW($B$2),16)=0,INDEX($M$2:$M$1000,(ROW()-ROW($B$2))/16+1),"")</f>
        <v/>
      </c>
    </row>
    <row r="1296" spans="2:14" x14ac:dyDescent="0.3">
      <c r="B1296" t="s">
        <v>2173</v>
      </c>
      <c r="C1296" t="s">
        <v>3478</v>
      </c>
      <c r="D1296" t="s">
        <v>1491</v>
      </c>
      <c r="E1296">
        <v>0</v>
      </c>
      <c r="F1296" t="s">
        <v>1491</v>
      </c>
      <c r="N1296" t="str" cm="1">
        <f t="array" ref="N1296">IF(MOD(ROW()-ROW($B$2),16)=0,INDEX($M$2:$M$1000,(ROW()-ROW($B$2))/16+1),"")</f>
        <v/>
      </c>
    </row>
    <row r="1297" spans="2:14" x14ac:dyDescent="0.3">
      <c r="B1297" t="s">
        <v>2173</v>
      </c>
      <c r="C1297" t="s">
        <v>3479</v>
      </c>
      <c r="D1297" t="s">
        <v>1492</v>
      </c>
      <c r="E1297">
        <v>0</v>
      </c>
      <c r="F1297" t="s">
        <v>1492</v>
      </c>
      <c r="N1297" t="str" cm="1">
        <f t="array" ref="N1297">IF(MOD(ROW()-ROW($B$2),16)=0,INDEX($M$2:$M$1000,(ROW()-ROW($B$2))/16+1),"")</f>
        <v/>
      </c>
    </row>
    <row r="1298" spans="2:14" x14ac:dyDescent="0.3">
      <c r="B1298" t="s">
        <v>2173</v>
      </c>
      <c r="C1298" t="s">
        <v>3480</v>
      </c>
      <c r="D1298" t="s">
        <v>1493</v>
      </c>
      <c r="E1298">
        <v>0</v>
      </c>
      <c r="F1298" t="s">
        <v>1493</v>
      </c>
      <c r="N1298" t="str" cm="1">
        <f t="array" ref="N1298">IF(MOD(ROW()-ROW($B$2),16)=0,INDEX($M$2:$M$1000,(ROW()-ROW($B$2))/16+1),"")</f>
        <v>Фиксированное число 81 (0)</v>
      </c>
    </row>
    <row r="1299" spans="2:14" x14ac:dyDescent="0.3">
      <c r="B1299" t="s">
        <v>2173</v>
      </c>
      <c r="C1299" t="s">
        <v>3481</v>
      </c>
      <c r="D1299" t="s">
        <v>1494</v>
      </c>
      <c r="E1299">
        <v>0</v>
      </c>
      <c r="F1299" t="s">
        <v>1494</v>
      </c>
      <c r="N1299" t="str" cm="1">
        <f t="array" ref="N1299">IF(MOD(ROW()-ROW($B$2),16)=0,INDEX($M$2:$M$1000,(ROW()-ROW($B$2))/16+1),"")</f>
        <v/>
      </c>
    </row>
    <row r="1300" spans="2:14" x14ac:dyDescent="0.3">
      <c r="B1300" t="s">
        <v>2173</v>
      </c>
      <c r="C1300" t="s">
        <v>3482</v>
      </c>
      <c r="D1300" t="s">
        <v>1495</v>
      </c>
      <c r="E1300">
        <v>0</v>
      </c>
      <c r="F1300" t="s">
        <v>1495</v>
      </c>
      <c r="N1300" t="str" cm="1">
        <f t="array" ref="N1300">IF(MOD(ROW()-ROW($B$2),16)=0,INDEX($M$2:$M$1000,(ROW()-ROW($B$2))/16+1),"")</f>
        <v/>
      </c>
    </row>
    <row r="1301" spans="2:14" x14ac:dyDescent="0.3">
      <c r="B1301" t="s">
        <v>2173</v>
      </c>
      <c r="C1301" t="s">
        <v>3483</v>
      </c>
      <c r="D1301" t="s">
        <v>1496</v>
      </c>
      <c r="E1301">
        <v>0</v>
      </c>
      <c r="F1301" t="s">
        <v>1496</v>
      </c>
      <c r="N1301" t="str" cm="1">
        <f t="array" ref="N1301">IF(MOD(ROW()-ROW($B$2),16)=0,INDEX($M$2:$M$1000,(ROW()-ROW($B$2))/16+1),"")</f>
        <v/>
      </c>
    </row>
    <row r="1302" spans="2:14" x14ac:dyDescent="0.3">
      <c r="B1302" t="s">
        <v>2173</v>
      </c>
      <c r="C1302" t="s">
        <v>3484</v>
      </c>
      <c r="D1302" t="s">
        <v>1497</v>
      </c>
      <c r="E1302">
        <v>0</v>
      </c>
      <c r="F1302" t="s">
        <v>1497</v>
      </c>
      <c r="N1302" t="str" cm="1">
        <f t="array" ref="N1302">IF(MOD(ROW()-ROW($B$2),16)=0,INDEX($M$2:$M$1000,(ROW()-ROW($B$2))/16+1),"")</f>
        <v/>
      </c>
    </row>
    <row r="1303" spans="2:14" x14ac:dyDescent="0.3">
      <c r="B1303" t="s">
        <v>2173</v>
      </c>
      <c r="C1303" t="s">
        <v>3485</v>
      </c>
      <c r="D1303" t="s">
        <v>1498</v>
      </c>
      <c r="E1303">
        <v>0</v>
      </c>
      <c r="F1303" t="s">
        <v>1498</v>
      </c>
      <c r="N1303" t="str" cm="1">
        <f t="array" ref="N1303">IF(MOD(ROW()-ROW($B$2),16)=0,INDEX($M$2:$M$1000,(ROW()-ROW($B$2))/16+1),"")</f>
        <v/>
      </c>
    </row>
    <row r="1304" spans="2:14" x14ac:dyDescent="0.3">
      <c r="B1304" t="s">
        <v>2173</v>
      </c>
      <c r="C1304" t="s">
        <v>3486</v>
      </c>
      <c r="D1304" t="s">
        <v>1499</v>
      </c>
      <c r="E1304">
        <v>0</v>
      </c>
      <c r="F1304" t="s">
        <v>1499</v>
      </c>
      <c r="N1304" t="str" cm="1">
        <f t="array" ref="N1304">IF(MOD(ROW()-ROW($B$2),16)=0,INDEX($M$2:$M$1000,(ROW()-ROW($B$2))/16+1),"")</f>
        <v/>
      </c>
    </row>
    <row r="1305" spans="2:14" x14ac:dyDescent="0.3">
      <c r="B1305" t="s">
        <v>2173</v>
      </c>
      <c r="C1305" t="s">
        <v>3487</v>
      </c>
      <c r="D1305" t="s">
        <v>1500</v>
      </c>
      <c r="E1305">
        <v>0</v>
      </c>
      <c r="F1305" t="s">
        <v>1500</v>
      </c>
      <c r="N1305" t="str" cm="1">
        <f t="array" ref="N1305">IF(MOD(ROW()-ROW($B$2),16)=0,INDEX($M$2:$M$1000,(ROW()-ROW($B$2))/16+1),"")</f>
        <v/>
      </c>
    </row>
    <row r="1306" spans="2:14" x14ac:dyDescent="0.3">
      <c r="B1306" t="s">
        <v>2173</v>
      </c>
      <c r="C1306" t="s">
        <v>3488</v>
      </c>
      <c r="D1306" t="s">
        <v>1501</v>
      </c>
      <c r="E1306">
        <v>0</v>
      </c>
      <c r="F1306" t="s">
        <v>1501</v>
      </c>
      <c r="N1306" t="str" cm="1">
        <f t="array" ref="N1306">IF(MOD(ROW()-ROW($B$2),16)=0,INDEX($M$2:$M$1000,(ROW()-ROW($B$2))/16+1),"")</f>
        <v/>
      </c>
    </row>
    <row r="1307" spans="2:14" x14ac:dyDescent="0.3">
      <c r="B1307" t="s">
        <v>2173</v>
      </c>
      <c r="C1307" t="s">
        <v>3489</v>
      </c>
      <c r="D1307" t="s">
        <v>1502</v>
      </c>
      <c r="E1307">
        <v>0</v>
      </c>
      <c r="F1307" t="s">
        <v>1502</v>
      </c>
      <c r="N1307" t="str" cm="1">
        <f t="array" ref="N1307">IF(MOD(ROW()-ROW($B$2),16)=0,INDEX($M$2:$M$1000,(ROW()-ROW($B$2))/16+1),"")</f>
        <v/>
      </c>
    </row>
    <row r="1308" spans="2:14" x14ac:dyDescent="0.3">
      <c r="B1308" t="s">
        <v>2173</v>
      </c>
      <c r="C1308" t="s">
        <v>3490</v>
      </c>
      <c r="D1308" t="s">
        <v>1503</v>
      </c>
      <c r="E1308">
        <v>0</v>
      </c>
      <c r="F1308" t="s">
        <v>1503</v>
      </c>
      <c r="N1308" t="str" cm="1">
        <f t="array" ref="N1308">IF(MOD(ROW()-ROW($B$2),16)=0,INDEX($M$2:$M$1000,(ROW()-ROW($B$2))/16+1),"")</f>
        <v/>
      </c>
    </row>
    <row r="1309" spans="2:14" x14ac:dyDescent="0.3">
      <c r="B1309" t="s">
        <v>2173</v>
      </c>
      <c r="C1309" t="s">
        <v>3491</v>
      </c>
      <c r="D1309" t="s">
        <v>1504</v>
      </c>
      <c r="E1309">
        <v>0</v>
      </c>
      <c r="F1309" t="s">
        <v>1504</v>
      </c>
      <c r="N1309" t="str" cm="1">
        <f t="array" ref="N1309">IF(MOD(ROW()-ROW($B$2),16)=0,INDEX($M$2:$M$1000,(ROW()-ROW($B$2))/16+1),"")</f>
        <v/>
      </c>
    </row>
    <row r="1310" spans="2:14" x14ac:dyDescent="0.3">
      <c r="B1310" t="s">
        <v>2173</v>
      </c>
      <c r="C1310" t="s">
        <v>3492</v>
      </c>
      <c r="D1310" t="s">
        <v>1505</v>
      </c>
      <c r="E1310">
        <v>0</v>
      </c>
      <c r="F1310" t="s">
        <v>1505</v>
      </c>
      <c r="N1310" t="str" cm="1">
        <f t="array" ref="N1310">IF(MOD(ROW()-ROW($B$2),16)=0,INDEX($M$2:$M$1000,(ROW()-ROW($B$2))/16+1),"")</f>
        <v/>
      </c>
    </row>
    <row r="1311" spans="2:14" x14ac:dyDescent="0.3">
      <c r="B1311" t="s">
        <v>2173</v>
      </c>
      <c r="C1311" t="s">
        <v>3493</v>
      </c>
      <c r="D1311" t="s">
        <v>1506</v>
      </c>
      <c r="E1311">
        <v>0</v>
      </c>
      <c r="F1311" t="s">
        <v>1506</v>
      </c>
      <c r="N1311" t="str" cm="1">
        <f t="array" ref="N1311">IF(MOD(ROW()-ROW($B$2),16)=0,INDEX($M$2:$M$1000,(ROW()-ROW($B$2))/16+1),"")</f>
        <v/>
      </c>
    </row>
    <row r="1312" spans="2:14" x14ac:dyDescent="0.3">
      <c r="B1312" t="s">
        <v>2173</v>
      </c>
      <c r="C1312" t="s">
        <v>3494</v>
      </c>
      <c r="D1312" t="s">
        <v>1507</v>
      </c>
      <c r="E1312">
        <v>0</v>
      </c>
      <c r="F1312" t="s">
        <v>1507</v>
      </c>
      <c r="N1312" t="str" cm="1">
        <f t="array" ref="N1312">IF(MOD(ROW()-ROW($B$2),16)=0,INDEX($M$2:$M$1000,(ROW()-ROW($B$2))/16+1),"")</f>
        <v/>
      </c>
    </row>
    <row r="1313" spans="2:14" x14ac:dyDescent="0.3">
      <c r="B1313" t="s">
        <v>2173</v>
      </c>
      <c r="C1313" t="s">
        <v>3495</v>
      </c>
      <c r="D1313" t="s">
        <v>1508</v>
      </c>
      <c r="E1313">
        <v>0</v>
      </c>
      <c r="F1313" t="s">
        <v>1508</v>
      </c>
      <c r="N1313" t="str" cm="1">
        <f t="array" ref="N1313">IF(MOD(ROW()-ROW($B$2),16)=0,INDEX($M$2:$M$1000,(ROW()-ROW($B$2))/16+1),"")</f>
        <v/>
      </c>
    </row>
    <row r="1314" spans="2:14" x14ac:dyDescent="0.3">
      <c r="B1314" t="s">
        <v>2173</v>
      </c>
      <c r="C1314" t="s">
        <v>3496</v>
      </c>
      <c r="D1314" t="s">
        <v>1509</v>
      </c>
      <c r="E1314">
        <v>0</v>
      </c>
      <c r="F1314" t="s">
        <v>1509</v>
      </c>
      <c r="N1314" t="str" cm="1">
        <f t="array" ref="N1314">IF(MOD(ROW()-ROW($B$2),16)=0,INDEX($M$2:$M$1000,(ROW()-ROW($B$2))/16+1),"")</f>
        <v>Фиксированное число 82 (0)</v>
      </c>
    </row>
    <row r="1315" spans="2:14" x14ac:dyDescent="0.3">
      <c r="B1315" t="s">
        <v>2173</v>
      </c>
      <c r="C1315" t="s">
        <v>3497</v>
      </c>
      <c r="D1315" t="s">
        <v>1510</v>
      </c>
      <c r="E1315">
        <v>0</v>
      </c>
      <c r="F1315" t="s">
        <v>1510</v>
      </c>
      <c r="N1315" t="str" cm="1">
        <f t="array" ref="N1315">IF(MOD(ROW()-ROW($B$2),16)=0,INDEX($M$2:$M$1000,(ROW()-ROW($B$2))/16+1),"")</f>
        <v/>
      </c>
    </row>
    <row r="1316" spans="2:14" x14ac:dyDescent="0.3">
      <c r="B1316" t="s">
        <v>2173</v>
      </c>
      <c r="C1316" t="s">
        <v>3498</v>
      </c>
      <c r="D1316" t="s">
        <v>1511</v>
      </c>
      <c r="E1316">
        <v>0</v>
      </c>
      <c r="F1316" t="s">
        <v>1511</v>
      </c>
      <c r="N1316" t="str" cm="1">
        <f t="array" ref="N1316">IF(MOD(ROW()-ROW($B$2),16)=0,INDEX($M$2:$M$1000,(ROW()-ROW($B$2))/16+1),"")</f>
        <v/>
      </c>
    </row>
    <row r="1317" spans="2:14" x14ac:dyDescent="0.3">
      <c r="B1317" t="s">
        <v>2173</v>
      </c>
      <c r="C1317" t="s">
        <v>3499</v>
      </c>
      <c r="D1317" t="s">
        <v>1512</v>
      </c>
      <c r="E1317">
        <v>0</v>
      </c>
      <c r="F1317" t="s">
        <v>1512</v>
      </c>
      <c r="N1317" t="str" cm="1">
        <f t="array" ref="N1317">IF(MOD(ROW()-ROW($B$2),16)=0,INDEX($M$2:$M$1000,(ROW()-ROW($B$2))/16+1),"")</f>
        <v/>
      </c>
    </row>
    <row r="1318" spans="2:14" x14ac:dyDescent="0.3">
      <c r="B1318" t="s">
        <v>2173</v>
      </c>
      <c r="C1318" t="s">
        <v>3500</v>
      </c>
      <c r="D1318" t="s">
        <v>1513</v>
      </c>
      <c r="E1318">
        <v>0</v>
      </c>
      <c r="F1318" t="s">
        <v>1513</v>
      </c>
      <c r="N1318" t="str" cm="1">
        <f t="array" ref="N1318">IF(MOD(ROW()-ROW($B$2),16)=0,INDEX($M$2:$M$1000,(ROW()-ROW($B$2))/16+1),"")</f>
        <v/>
      </c>
    </row>
    <row r="1319" spans="2:14" x14ac:dyDescent="0.3">
      <c r="B1319" t="s">
        <v>2173</v>
      </c>
      <c r="C1319" t="s">
        <v>3501</v>
      </c>
      <c r="D1319" t="s">
        <v>1514</v>
      </c>
      <c r="E1319">
        <v>0</v>
      </c>
      <c r="F1319" t="s">
        <v>1514</v>
      </c>
      <c r="N1319" t="str" cm="1">
        <f t="array" ref="N1319">IF(MOD(ROW()-ROW($B$2),16)=0,INDEX($M$2:$M$1000,(ROW()-ROW($B$2))/16+1),"")</f>
        <v/>
      </c>
    </row>
    <row r="1320" spans="2:14" x14ac:dyDescent="0.3">
      <c r="B1320" t="s">
        <v>2173</v>
      </c>
      <c r="C1320" t="s">
        <v>3502</v>
      </c>
      <c r="D1320" t="s">
        <v>1515</v>
      </c>
      <c r="E1320">
        <v>0</v>
      </c>
      <c r="F1320" t="s">
        <v>1515</v>
      </c>
      <c r="N1320" t="str" cm="1">
        <f t="array" ref="N1320">IF(MOD(ROW()-ROW($B$2),16)=0,INDEX($M$2:$M$1000,(ROW()-ROW($B$2))/16+1),"")</f>
        <v/>
      </c>
    </row>
    <row r="1321" spans="2:14" x14ac:dyDescent="0.3">
      <c r="B1321" t="s">
        <v>2173</v>
      </c>
      <c r="C1321" t="s">
        <v>3503</v>
      </c>
      <c r="D1321" t="s">
        <v>1516</v>
      </c>
      <c r="E1321">
        <v>0</v>
      </c>
      <c r="F1321" t="s">
        <v>1516</v>
      </c>
      <c r="N1321" t="str" cm="1">
        <f t="array" ref="N1321">IF(MOD(ROW()-ROW($B$2),16)=0,INDEX($M$2:$M$1000,(ROW()-ROW($B$2))/16+1),"")</f>
        <v/>
      </c>
    </row>
    <row r="1322" spans="2:14" x14ac:dyDescent="0.3">
      <c r="B1322" t="s">
        <v>2173</v>
      </c>
      <c r="C1322" t="s">
        <v>3504</v>
      </c>
      <c r="D1322" t="s">
        <v>1517</v>
      </c>
      <c r="E1322">
        <v>0</v>
      </c>
      <c r="F1322" t="s">
        <v>1517</v>
      </c>
      <c r="N1322" t="str" cm="1">
        <f t="array" ref="N1322">IF(MOD(ROW()-ROW($B$2),16)=0,INDEX($M$2:$M$1000,(ROW()-ROW($B$2))/16+1),"")</f>
        <v/>
      </c>
    </row>
    <row r="1323" spans="2:14" x14ac:dyDescent="0.3">
      <c r="B1323" t="s">
        <v>2173</v>
      </c>
      <c r="C1323" t="s">
        <v>3505</v>
      </c>
      <c r="D1323" t="s">
        <v>1518</v>
      </c>
      <c r="E1323">
        <v>0</v>
      </c>
      <c r="F1323" t="s">
        <v>1518</v>
      </c>
      <c r="N1323" t="str" cm="1">
        <f t="array" ref="N1323">IF(MOD(ROW()-ROW($B$2),16)=0,INDEX($M$2:$M$1000,(ROW()-ROW($B$2))/16+1),"")</f>
        <v/>
      </c>
    </row>
    <row r="1324" spans="2:14" x14ac:dyDescent="0.3">
      <c r="B1324" t="s">
        <v>2173</v>
      </c>
      <c r="C1324" t="s">
        <v>3506</v>
      </c>
      <c r="D1324" t="s">
        <v>1519</v>
      </c>
      <c r="E1324">
        <v>0</v>
      </c>
      <c r="F1324" t="s">
        <v>1519</v>
      </c>
      <c r="N1324" t="str" cm="1">
        <f t="array" ref="N1324">IF(MOD(ROW()-ROW($B$2),16)=0,INDEX($M$2:$M$1000,(ROW()-ROW($B$2))/16+1),"")</f>
        <v/>
      </c>
    </row>
    <row r="1325" spans="2:14" x14ac:dyDescent="0.3">
      <c r="B1325" t="s">
        <v>2173</v>
      </c>
      <c r="C1325" t="s">
        <v>3507</v>
      </c>
      <c r="D1325" t="s">
        <v>1520</v>
      </c>
      <c r="E1325">
        <v>0</v>
      </c>
      <c r="F1325" t="s">
        <v>1520</v>
      </c>
      <c r="N1325" t="str" cm="1">
        <f t="array" ref="N1325">IF(MOD(ROW()-ROW($B$2),16)=0,INDEX($M$2:$M$1000,(ROW()-ROW($B$2))/16+1),"")</f>
        <v/>
      </c>
    </row>
    <row r="1326" spans="2:14" x14ac:dyDescent="0.3">
      <c r="B1326" t="s">
        <v>2173</v>
      </c>
      <c r="C1326" t="s">
        <v>3508</v>
      </c>
      <c r="D1326" t="s">
        <v>1521</v>
      </c>
      <c r="E1326">
        <v>0</v>
      </c>
      <c r="F1326" t="s">
        <v>1521</v>
      </c>
      <c r="N1326" t="str" cm="1">
        <f t="array" ref="N1326">IF(MOD(ROW()-ROW($B$2),16)=0,INDEX($M$2:$M$1000,(ROW()-ROW($B$2))/16+1),"")</f>
        <v/>
      </c>
    </row>
    <row r="1327" spans="2:14" x14ac:dyDescent="0.3">
      <c r="B1327" t="s">
        <v>2173</v>
      </c>
      <c r="C1327" t="s">
        <v>3509</v>
      </c>
      <c r="D1327" t="s">
        <v>1522</v>
      </c>
      <c r="E1327">
        <v>0</v>
      </c>
      <c r="F1327" t="s">
        <v>1522</v>
      </c>
      <c r="N1327" t="str" cm="1">
        <f t="array" ref="N1327">IF(MOD(ROW()-ROW($B$2),16)=0,INDEX($M$2:$M$1000,(ROW()-ROW($B$2))/16+1),"")</f>
        <v/>
      </c>
    </row>
    <row r="1328" spans="2:14" x14ac:dyDescent="0.3">
      <c r="B1328" t="s">
        <v>2173</v>
      </c>
      <c r="C1328" t="s">
        <v>3510</v>
      </c>
      <c r="D1328" t="s">
        <v>1523</v>
      </c>
      <c r="E1328">
        <v>0</v>
      </c>
      <c r="F1328" t="s">
        <v>1523</v>
      </c>
      <c r="N1328" t="str" cm="1">
        <f t="array" ref="N1328">IF(MOD(ROW()-ROW($B$2),16)=0,INDEX($M$2:$M$1000,(ROW()-ROW($B$2))/16+1),"")</f>
        <v/>
      </c>
    </row>
    <row r="1329" spans="2:14" x14ac:dyDescent="0.3">
      <c r="B1329" t="s">
        <v>2173</v>
      </c>
      <c r="C1329" t="s">
        <v>3511</v>
      </c>
      <c r="D1329" t="s">
        <v>1524</v>
      </c>
      <c r="E1329">
        <v>0</v>
      </c>
      <c r="F1329" t="s">
        <v>1524</v>
      </c>
      <c r="N1329" t="str" cm="1">
        <f t="array" ref="N1329">IF(MOD(ROW()-ROW($B$2),16)=0,INDEX($M$2:$M$1000,(ROW()-ROW($B$2))/16+1),"")</f>
        <v/>
      </c>
    </row>
    <row r="1330" spans="2:14" x14ac:dyDescent="0.3">
      <c r="B1330" t="s">
        <v>2173</v>
      </c>
      <c r="C1330" t="s">
        <v>3512</v>
      </c>
      <c r="D1330" t="s">
        <v>1525</v>
      </c>
      <c r="E1330">
        <v>0</v>
      </c>
      <c r="F1330" t="s">
        <v>1525</v>
      </c>
      <c r="N1330" t="str" cm="1">
        <f t="array" ref="N1330">IF(MOD(ROW()-ROW($B$2),16)=0,INDEX($M$2:$M$1000,(ROW()-ROW($B$2))/16+1),"")</f>
        <v>Фиксированное число 83 (0)</v>
      </c>
    </row>
    <row r="1331" spans="2:14" x14ac:dyDescent="0.3">
      <c r="B1331" t="s">
        <v>2173</v>
      </c>
      <c r="C1331" t="s">
        <v>3513</v>
      </c>
      <c r="D1331" t="s">
        <v>1526</v>
      </c>
      <c r="E1331">
        <v>0</v>
      </c>
      <c r="F1331" t="s">
        <v>1526</v>
      </c>
      <c r="N1331" t="str" cm="1">
        <f t="array" ref="N1331">IF(MOD(ROW()-ROW($B$2),16)=0,INDEX($M$2:$M$1000,(ROW()-ROW($B$2))/16+1),"")</f>
        <v/>
      </c>
    </row>
    <row r="1332" spans="2:14" x14ac:dyDescent="0.3">
      <c r="B1332" t="s">
        <v>2173</v>
      </c>
      <c r="C1332" t="s">
        <v>3514</v>
      </c>
      <c r="D1332" t="s">
        <v>1527</v>
      </c>
      <c r="E1332">
        <v>0</v>
      </c>
      <c r="F1332" t="s">
        <v>1527</v>
      </c>
      <c r="N1332" t="str" cm="1">
        <f t="array" ref="N1332">IF(MOD(ROW()-ROW($B$2),16)=0,INDEX($M$2:$M$1000,(ROW()-ROW($B$2))/16+1),"")</f>
        <v/>
      </c>
    </row>
    <row r="1333" spans="2:14" x14ac:dyDescent="0.3">
      <c r="B1333" t="s">
        <v>2173</v>
      </c>
      <c r="C1333" t="s">
        <v>3515</v>
      </c>
      <c r="D1333" t="s">
        <v>1528</v>
      </c>
      <c r="E1333">
        <v>0</v>
      </c>
      <c r="F1333" t="s">
        <v>1528</v>
      </c>
      <c r="N1333" t="str" cm="1">
        <f t="array" ref="N1333">IF(MOD(ROW()-ROW($B$2),16)=0,INDEX($M$2:$M$1000,(ROW()-ROW($B$2))/16+1),"")</f>
        <v/>
      </c>
    </row>
    <row r="1334" spans="2:14" x14ac:dyDescent="0.3">
      <c r="B1334" t="s">
        <v>2173</v>
      </c>
      <c r="C1334" t="s">
        <v>3516</v>
      </c>
      <c r="D1334" t="s">
        <v>1529</v>
      </c>
      <c r="E1334">
        <v>0</v>
      </c>
      <c r="F1334" t="s">
        <v>1529</v>
      </c>
      <c r="N1334" t="str" cm="1">
        <f t="array" ref="N1334">IF(MOD(ROW()-ROW($B$2),16)=0,INDEX($M$2:$M$1000,(ROW()-ROW($B$2))/16+1),"")</f>
        <v/>
      </c>
    </row>
    <row r="1335" spans="2:14" x14ac:dyDescent="0.3">
      <c r="B1335" t="s">
        <v>2173</v>
      </c>
      <c r="C1335" t="s">
        <v>3517</v>
      </c>
      <c r="D1335" t="s">
        <v>1530</v>
      </c>
      <c r="E1335">
        <v>0</v>
      </c>
      <c r="F1335" t="s">
        <v>1530</v>
      </c>
      <c r="N1335" t="str" cm="1">
        <f t="array" ref="N1335">IF(MOD(ROW()-ROW($B$2),16)=0,INDEX($M$2:$M$1000,(ROW()-ROW($B$2))/16+1),"")</f>
        <v/>
      </c>
    </row>
    <row r="1336" spans="2:14" x14ac:dyDescent="0.3">
      <c r="B1336" t="s">
        <v>2173</v>
      </c>
      <c r="C1336" t="s">
        <v>3518</v>
      </c>
      <c r="D1336" t="s">
        <v>1531</v>
      </c>
      <c r="E1336">
        <v>0</v>
      </c>
      <c r="F1336" t="s">
        <v>1531</v>
      </c>
      <c r="N1336" t="str" cm="1">
        <f t="array" ref="N1336">IF(MOD(ROW()-ROW($B$2),16)=0,INDEX($M$2:$M$1000,(ROW()-ROW($B$2))/16+1),"")</f>
        <v/>
      </c>
    </row>
    <row r="1337" spans="2:14" x14ac:dyDescent="0.3">
      <c r="B1337" t="s">
        <v>2173</v>
      </c>
      <c r="C1337" t="s">
        <v>3519</v>
      </c>
      <c r="D1337" t="s">
        <v>1532</v>
      </c>
      <c r="E1337">
        <v>0</v>
      </c>
      <c r="F1337" t="s">
        <v>1532</v>
      </c>
      <c r="N1337" t="str" cm="1">
        <f t="array" ref="N1337">IF(MOD(ROW()-ROW($B$2),16)=0,INDEX($M$2:$M$1000,(ROW()-ROW($B$2))/16+1),"")</f>
        <v/>
      </c>
    </row>
    <row r="1338" spans="2:14" x14ac:dyDescent="0.3">
      <c r="B1338" t="s">
        <v>2173</v>
      </c>
      <c r="C1338" t="s">
        <v>3520</v>
      </c>
      <c r="D1338" t="s">
        <v>1533</v>
      </c>
      <c r="E1338">
        <v>0</v>
      </c>
      <c r="F1338" t="s">
        <v>1533</v>
      </c>
      <c r="N1338" t="str" cm="1">
        <f t="array" ref="N1338">IF(MOD(ROW()-ROW($B$2),16)=0,INDEX($M$2:$M$1000,(ROW()-ROW($B$2))/16+1),"")</f>
        <v/>
      </c>
    </row>
    <row r="1339" spans="2:14" x14ac:dyDescent="0.3">
      <c r="B1339" t="s">
        <v>2173</v>
      </c>
      <c r="C1339" t="s">
        <v>3521</v>
      </c>
      <c r="D1339" t="s">
        <v>1534</v>
      </c>
      <c r="E1339">
        <v>0</v>
      </c>
      <c r="F1339" t="s">
        <v>1534</v>
      </c>
      <c r="N1339" t="str" cm="1">
        <f t="array" ref="N1339">IF(MOD(ROW()-ROW($B$2),16)=0,INDEX($M$2:$M$1000,(ROW()-ROW($B$2))/16+1),"")</f>
        <v/>
      </c>
    </row>
    <row r="1340" spans="2:14" x14ac:dyDescent="0.3">
      <c r="B1340" t="s">
        <v>2173</v>
      </c>
      <c r="C1340" t="s">
        <v>3522</v>
      </c>
      <c r="D1340" t="s">
        <v>1535</v>
      </c>
      <c r="E1340">
        <v>0</v>
      </c>
      <c r="F1340" t="s">
        <v>1535</v>
      </c>
      <c r="N1340" t="str" cm="1">
        <f t="array" ref="N1340">IF(MOD(ROW()-ROW($B$2),16)=0,INDEX($M$2:$M$1000,(ROW()-ROW($B$2))/16+1),"")</f>
        <v/>
      </c>
    </row>
    <row r="1341" spans="2:14" x14ac:dyDescent="0.3">
      <c r="B1341" t="s">
        <v>2173</v>
      </c>
      <c r="C1341" t="s">
        <v>3523</v>
      </c>
      <c r="D1341" t="s">
        <v>1536</v>
      </c>
      <c r="E1341">
        <v>0</v>
      </c>
      <c r="F1341" t="s">
        <v>1536</v>
      </c>
      <c r="N1341" t="str" cm="1">
        <f t="array" ref="N1341">IF(MOD(ROW()-ROW($B$2),16)=0,INDEX($M$2:$M$1000,(ROW()-ROW($B$2))/16+1),"")</f>
        <v/>
      </c>
    </row>
    <row r="1342" spans="2:14" x14ac:dyDescent="0.3">
      <c r="B1342" t="s">
        <v>2173</v>
      </c>
      <c r="C1342" t="s">
        <v>3524</v>
      </c>
      <c r="D1342" t="s">
        <v>1537</v>
      </c>
      <c r="E1342">
        <v>0</v>
      </c>
      <c r="F1342" t="s">
        <v>1537</v>
      </c>
      <c r="N1342" t="str" cm="1">
        <f t="array" ref="N1342">IF(MOD(ROW()-ROW($B$2),16)=0,INDEX($M$2:$M$1000,(ROW()-ROW($B$2))/16+1),"")</f>
        <v/>
      </c>
    </row>
    <row r="1343" spans="2:14" x14ac:dyDescent="0.3">
      <c r="B1343" t="s">
        <v>2173</v>
      </c>
      <c r="C1343" t="s">
        <v>3525</v>
      </c>
      <c r="D1343" t="s">
        <v>1538</v>
      </c>
      <c r="E1343">
        <v>0</v>
      </c>
      <c r="F1343" t="s">
        <v>1538</v>
      </c>
      <c r="N1343" t="str" cm="1">
        <f t="array" ref="N1343">IF(MOD(ROW()-ROW($B$2),16)=0,INDEX($M$2:$M$1000,(ROW()-ROW($B$2))/16+1),"")</f>
        <v/>
      </c>
    </row>
    <row r="1344" spans="2:14" x14ac:dyDescent="0.3">
      <c r="B1344" t="s">
        <v>2173</v>
      </c>
      <c r="C1344" t="s">
        <v>3526</v>
      </c>
      <c r="D1344" t="s">
        <v>1539</v>
      </c>
      <c r="E1344">
        <v>0</v>
      </c>
      <c r="F1344" t="s">
        <v>1539</v>
      </c>
      <c r="N1344" t="str" cm="1">
        <f t="array" ref="N1344">IF(MOD(ROW()-ROW($B$2),16)=0,INDEX($M$2:$M$1000,(ROW()-ROW($B$2))/16+1),"")</f>
        <v/>
      </c>
    </row>
    <row r="1345" spans="2:14" x14ac:dyDescent="0.3">
      <c r="B1345" t="s">
        <v>2173</v>
      </c>
      <c r="C1345" t="s">
        <v>3527</v>
      </c>
      <c r="D1345" t="s">
        <v>1540</v>
      </c>
      <c r="E1345">
        <v>0</v>
      </c>
      <c r="F1345" t="s">
        <v>1540</v>
      </c>
      <c r="N1345" t="str" cm="1">
        <f t="array" ref="N1345">IF(MOD(ROW()-ROW($B$2),16)=0,INDEX($M$2:$M$1000,(ROW()-ROW($B$2))/16+1),"")</f>
        <v/>
      </c>
    </row>
    <row r="1346" spans="2:14" x14ac:dyDescent="0.3">
      <c r="B1346" t="s">
        <v>2173</v>
      </c>
      <c r="C1346" t="s">
        <v>3528</v>
      </c>
      <c r="D1346" t="s">
        <v>1541</v>
      </c>
      <c r="E1346">
        <v>0</v>
      </c>
      <c r="F1346" t="s">
        <v>1541</v>
      </c>
      <c r="N1346" t="str" cm="1">
        <f t="array" ref="N1346">IF(MOD(ROW()-ROW($B$2),16)=0,INDEX($M$2:$M$1000,(ROW()-ROW($B$2))/16+1),"")</f>
        <v>Фиксированное число 84 (0)</v>
      </c>
    </row>
    <row r="1347" spans="2:14" x14ac:dyDescent="0.3">
      <c r="B1347" t="s">
        <v>2173</v>
      </c>
      <c r="C1347" t="s">
        <v>3529</v>
      </c>
      <c r="D1347" t="s">
        <v>1542</v>
      </c>
      <c r="E1347">
        <v>0</v>
      </c>
      <c r="F1347" t="s">
        <v>1542</v>
      </c>
      <c r="N1347" t="str" cm="1">
        <f t="array" ref="N1347">IF(MOD(ROW()-ROW($B$2),16)=0,INDEX($M$2:$M$1000,(ROW()-ROW($B$2))/16+1),"")</f>
        <v/>
      </c>
    </row>
    <row r="1348" spans="2:14" x14ac:dyDescent="0.3">
      <c r="B1348" t="s">
        <v>2173</v>
      </c>
      <c r="C1348" t="s">
        <v>3530</v>
      </c>
      <c r="D1348" t="s">
        <v>1543</v>
      </c>
      <c r="E1348">
        <v>0</v>
      </c>
      <c r="F1348" t="s">
        <v>1543</v>
      </c>
      <c r="N1348" t="str" cm="1">
        <f t="array" ref="N1348">IF(MOD(ROW()-ROW($B$2),16)=0,INDEX($M$2:$M$1000,(ROW()-ROW($B$2))/16+1),"")</f>
        <v/>
      </c>
    </row>
    <row r="1349" spans="2:14" x14ac:dyDescent="0.3">
      <c r="B1349" t="s">
        <v>2173</v>
      </c>
      <c r="C1349" t="s">
        <v>3531</v>
      </c>
      <c r="D1349" t="s">
        <v>1544</v>
      </c>
      <c r="E1349">
        <v>0</v>
      </c>
      <c r="F1349" t="s">
        <v>1544</v>
      </c>
      <c r="N1349" t="str" cm="1">
        <f t="array" ref="N1349">IF(MOD(ROW()-ROW($B$2),16)=0,INDEX($M$2:$M$1000,(ROW()-ROW($B$2))/16+1),"")</f>
        <v/>
      </c>
    </row>
    <row r="1350" spans="2:14" x14ac:dyDescent="0.3">
      <c r="B1350" t="s">
        <v>2173</v>
      </c>
      <c r="C1350" t="s">
        <v>3532</v>
      </c>
      <c r="D1350" t="s">
        <v>1545</v>
      </c>
      <c r="E1350">
        <v>0</v>
      </c>
      <c r="F1350" t="s">
        <v>1545</v>
      </c>
      <c r="N1350" t="str" cm="1">
        <f t="array" ref="N1350">IF(MOD(ROW()-ROW($B$2),16)=0,INDEX($M$2:$M$1000,(ROW()-ROW($B$2))/16+1),"")</f>
        <v/>
      </c>
    </row>
    <row r="1351" spans="2:14" x14ac:dyDescent="0.3">
      <c r="B1351" t="s">
        <v>2173</v>
      </c>
      <c r="C1351" t="s">
        <v>3533</v>
      </c>
      <c r="D1351" t="s">
        <v>1546</v>
      </c>
      <c r="E1351">
        <v>0</v>
      </c>
      <c r="F1351" t="s">
        <v>1546</v>
      </c>
      <c r="N1351" t="str" cm="1">
        <f t="array" ref="N1351">IF(MOD(ROW()-ROW($B$2),16)=0,INDEX($M$2:$M$1000,(ROW()-ROW($B$2))/16+1),"")</f>
        <v/>
      </c>
    </row>
    <row r="1352" spans="2:14" x14ac:dyDescent="0.3">
      <c r="B1352" t="s">
        <v>2173</v>
      </c>
      <c r="C1352" t="s">
        <v>3534</v>
      </c>
      <c r="D1352" t="s">
        <v>1547</v>
      </c>
      <c r="E1352">
        <v>0</v>
      </c>
      <c r="F1352" t="s">
        <v>1547</v>
      </c>
      <c r="N1352" t="str" cm="1">
        <f t="array" ref="N1352">IF(MOD(ROW()-ROW($B$2),16)=0,INDEX($M$2:$M$1000,(ROW()-ROW($B$2))/16+1),"")</f>
        <v/>
      </c>
    </row>
    <row r="1353" spans="2:14" x14ac:dyDescent="0.3">
      <c r="B1353" t="s">
        <v>2173</v>
      </c>
      <c r="C1353" t="s">
        <v>3535</v>
      </c>
      <c r="D1353" t="s">
        <v>1548</v>
      </c>
      <c r="E1353">
        <v>0</v>
      </c>
      <c r="F1353" t="s">
        <v>1548</v>
      </c>
      <c r="N1353" t="str" cm="1">
        <f t="array" ref="N1353">IF(MOD(ROW()-ROW($B$2),16)=0,INDEX($M$2:$M$1000,(ROW()-ROW($B$2))/16+1),"")</f>
        <v/>
      </c>
    </row>
    <row r="1354" spans="2:14" x14ac:dyDescent="0.3">
      <c r="B1354" t="s">
        <v>2173</v>
      </c>
      <c r="C1354" t="s">
        <v>3536</v>
      </c>
      <c r="D1354" t="s">
        <v>1549</v>
      </c>
      <c r="E1354">
        <v>0</v>
      </c>
      <c r="F1354" t="s">
        <v>1549</v>
      </c>
      <c r="N1354" t="str" cm="1">
        <f t="array" ref="N1354">IF(MOD(ROW()-ROW($B$2),16)=0,INDEX($M$2:$M$1000,(ROW()-ROW($B$2))/16+1),"")</f>
        <v/>
      </c>
    </row>
    <row r="1355" spans="2:14" x14ac:dyDescent="0.3">
      <c r="B1355" t="s">
        <v>2173</v>
      </c>
      <c r="C1355" t="s">
        <v>3537</v>
      </c>
      <c r="D1355" t="s">
        <v>1550</v>
      </c>
      <c r="E1355">
        <v>0</v>
      </c>
      <c r="F1355" t="s">
        <v>1550</v>
      </c>
      <c r="N1355" t="str" cm="1">
        <f t="array" ref="N1355">IF(MOD(ROW()-ROW($B$2),16)=0,INDEX($M$2:$M$1000,(ROW()-ROW($B$2))/16+1),"")</f>
        <v/>
      </c>
    </row>
    <row r="1356" spans="2:14" x14ac:dyDescent="0.3">
      <c r="B1356" t="s">
        <v>2173</v>
      </c>
      <c r="C1356" t="s">
        <v>3538</v>
      </c>
      <c r="D1356" t="s">
        <v>1551</v>
      </c>
      <c r="E1356">
        <v>0</v>
      </c>
      <c r="F1356" t="s">
        <v>1551</v>
      </c>
      <c r="N1356" t="str" cm="1">
        <f t="array" ref="N1356">IF(MOD(ROW()-ROW($B$2),16)=0,INDEX($M$2:$M$1000,(ROW()-ROW($B$2))/16+1),"")</f>
        <v/>
      </c>
    </row>
    <row r="1357" spans="2:14" x14ac:dyDescent="0.3">
      <c r="B1357" t="s">
        <v>2173</v>
      </c>
      <c r="C1357" t="s">
        <v>3539</v>
      </c>
      <c r="D1357" t="s">
        <v>1552</v>
      </c>
      <c r="E1357">
        <v>0</v>
      </c>
      <c r="F1357" t="s">
        <v>1552</v>
      </c>
      <c r="N1357" t="str" cm="1">
        <f t="array" ref="N1357">IF(MOD(ROW()-ROW($B$2),16)=0,INDEX($M$2:$M$1000,(ROW()-ROW($B$2))/16+1),"")</f>
        <v/>
      </c>
    </row>
    <row r="1358" spans="2:14" x14ac:dyDescent="0.3">
      <c r="B1358" t="s">
        <v>2173</v>
      </c>
      <c r="C1358" t="s">
        <v>3540</v>
      </c>
      <c r="D1358" t="s">
        <v>1553</v>
      </c>
      <c r="E1358">
        <v>0</v>
      </c>
      <c r="F1358" t="s">
        <v>1553</v>
      </c>
      <c r="N1358" t="str" cm="1">
        <f t="array" ref="N1358">IF(MOD(ROW()-ROW($B$2),16)=0,INDEX($M$2:$M$1000,(ROW()-ROW($B$2))/16+1),"")</f>
        <v/>
      </c>
    </row>
    <row r="1359" spans="2:14" x14ac:dyDescent="0.3">
      <c r="B1359" t="s">
        <v>2173</v>
      </c>
      <c r="C1359" t="s">
        <v>3541</v>
      </c>
      <c r="D1359" t="s">
        <v>1554</v>
      </c>
      <c r="E1359">
        <v>0</v>
      </c>
      <c r="F1359" t="s">
        <v>1554</v>
      </c>
      <c r="N1359" t="str" cm="1">
        <f t="array" ref="N1359">IF(MOD(ROW()-ROW($B$2),16)=0,INDEX($M$2:$M$1000,(ROW()-ROW($B$2))/16+1),"")</f>
        <v/>
      </c>
    </row>
    <row r="1360" spans="2:14" x14ac:dyDescent="0.3">
      <c r="B1360" t="s">
        <v>2173</v>
      </c>
      <c r="C1360" t="s">
        <v>3542</v>
      </c>
      <c r="D1360" t="s">
        <v>1555</v>
      </c>
      <c r="E1360">
        <v>0</v>
      </c>
      <c r="F1360" t="s">
        <v>1555</v>
      </c>
      <c r="N1360" t="str" cm="1">
        <f t="array" ref="N1360">IF(MOD(ROW()-ROW($B$2),16)=0,INDEX($M$2:$M$1000,(ROW()-ROW($B$2))/16+1),"")</f>
        <v/>
      </c>
    </row>
    <row r="1361" spans="2:14" x14ac:dyDescent="0.3">
      <c r="B1361" t="s">
        <v>2173</v>
      </c>
      <c r="C1361" t="s">
        <v>3543</v>
      </c>
      <c r="D1361" t="s">
        <v>1556</v>
      </c>
      <c r="E1361">
        <v>0</v>
      </c>
      <c r="F1361" t="s">
        <v>1556</v>
      </c>
      <c r="N1361" t="str" cm="1">
        <f t="array" ref="N1361">IF(MOD(ROW()-ROW($B$2),16)=0,INDEX($M$2:$M$1000,(ROW()-ROW($B$2))/16+1),"")</f>
        <v/>
      </c>
    </row>
    <row r="1362" spans="2:14" x14ac:dyDescent="0.3">
      <c r="B1362" t="s">
        <v>2173</v>
      </c>
      <c r="C1362" t="s">
        <v>3544</v>
      </c>
      <c r="D1362" t="s">
        <v>1557</v>
      </c>
      <c r="E1362">
        <v>0</v>
      </c>
      <c r="F1362" t="s">
        <v>1557</v>
      </c>
      <c r="N1362" t="str" cm="1">
        <f t="array" ref="N1362">IF(MOD(ROW()-ROW($B$2),16)=0,INDEX($M$2:$M$1000,(ROW()-ROW($B$2))/16+1),"")</f>
        <v>Фиксированное число 85 (0)</v>
      </c>
    </row>
    <row r="1363" spans="2:14" x14ac:dyDescent="0.3">
      <c r="B1363" t="s">
        <v>2173</v>
      </c>
      <c r="C1363" t="s">
        <v>3545</v>
      </c>
      <c r="D1363" t="s">
        <v>1558</v>
      </c>
      <c r="E1363">
        <v>0</v>
      </c>
      <c r="F1363" t="s">
        <v>1558</v>
      </c>
      <c r="N1363" t="str" cm="1">
        <f t="array" ref="N1363">IF(MOD(ROW()-ROW($B$2),16)=0,INDEX($M$2:$M$1000,(ROW()-ROW($B$2))/16+1),"")</f>
        <v/>
      </c>
    </row>
    <row r="1364" spans="2:14" x14ac:dyDescent="0.3">
      <c r="B1364" t="s">
        <v>2173</v>
      </c>
      <c r="C1364" t="s">
        <v>3546</v>
      </c>
      <c r="D1364" t="s">
        <v>1559</v>
      </c>
      <c r="E1364">
        <v>0</v>
      </c>
      <c r="F1364" t="s">
        <v>1559</v>
      </c>
      <c r="N1364" t="str" cm="1">
        <f t="array" ref="N1364">IF(MOD(ROW()-ROW($B$2),16)=0,INDEX($M$2:$M$1000,(ROW()-ROW($B$2))/16+1),"")</f>
        <v/>
      </c>
    </row>
    <row r="1365" spans="2:14" x14ac:dyDescent="0.3">
      <c r="B1365" t="s">
        <v>2173</v>
      </c>
      <c r="C1365" t="s">
        <v>3547</v>
      </c>
      <c r="D1365" t="s">
        <v>1560</v>
      </c>
      <c r="E1365">
        <v>0</v>
      </c>
      <c r="F1365" t="s">
        <v>1560</v>
      </c>
      <c r="N1365" t="str" cm="1">
        <f t="array" ref="N1365">IF(MOD(ROW()-ROW($B$2),16)=0,INDEX($M$2:$M$1000,(ROW()-ROW($B$2))/16+1),"")</f>
        <v/>
      </c>
    </row>
    <row r="1366" spans="2:14" x14ac:dyDescent="0.3">
      <c r="B1366" t="s">
        <v>2173</v>
      </c>
      <c r="C1366" t="s">
        <v>3548</v>
      </c>
      <c r="D1366" t="s">
        <v>1561</v>
      </c>
      <c r="E1366">
        <v>0</v>
      </c>
      <c r="F1366" t="s">
        <v>1561</v>
      </c>
      <c r="N1366" t="str" cm="1">
        <f t="array" ref="N1366">IF(MOD(ROW()-ROW($B$2),16)=0,INDEX($M$2:$M$1000,(ROW()-ROW($B$2))/16+1),"")</f>
        <v/>
      </c>
    </row>
    <row r="1367" spans="2:14" x14ac:dyDescent="0.3">
      <c r="B1367" t="s">
        <v>2173</v>
      </c>
      <c r="C1367" t="s">
        <v>3549</v>
      </c>
      <c r="D1367" t="s">
        <v>1562</v>
      </c>
      <c r="E1367">
        <v>0</v>
      </c>
      <c r="F1367" t="s">
        <v>1562</v>
      </c>
      <c r="N1367" t="str" cm="1">
        <f t="array" ref="N1367">IF(MOD(ROW()-ROW($B$2),16)=0,INDEX($M$2:$M$1000,(ROW()-ROW($B$2))/16+1),"")</f>
        <v/>
      </c>
    </row>
    <row r="1368" spans="2:14" x14ac:dyDescent="0.3">
      <c r="B1368" t="s">
        <v>2173</v>
      </c>
      <c r="C1368" t="s">
        <v>3550</v>
      </c>
      <c r="D1368" t="s">
        <v>1563</v>
      </c>
      <c r="E1368">
        <v>0</v>
      </c>
      <c r="F1368" t="s">
        <v>1563</v>
      </c>
      <c r="N1368" t="str" cm="1">
        <f t="array" ref="N1368">IF(MOD(ROW()-ROW($B$2),16)=0,INDEX($M$2:$M$1000,(ROW()-ROW($B$2))/16+1),"")</f>
        <v/>
      </c>
    </row>
    <row r="1369" spans="2:14" x14ac:dyDescent="0.3">
      <c r="B1369" t="s">
        <v>2173</v>
      </c>
      <c r="C1369" t="s">
        <v>3551</v>
      </c>
      <c r="D1369" t="s">
        <v>1564</v>
      </c>
      <c r="E1369">
        <v>0</v>
      </c>
      <c r="F1369" t="s">
        <v>1564</v>
      </c>
      <c r="N1369" t="str" cm="1">
        <f t="array" ref="N1369">IF(MOD(ROW()-ROW($B$2),16)=0,INDEX($M$2:$M$1000,(ROW()-ROW($B$2))/16+1),"")</f>
        <v/>
      </c>
    </row>
    <row r="1370" spans="2:14" x14ac:dyDescent="0.3">
      <c r="B1370" t="s">
        <v>2173</v>
      </c>
      <c r="C1370" t="s">
        <v>3552</v>
      </c>
      <c r="D1370" t="s">
        <v>1565</v>
      </c>
      <c r="E1370">
        <v>0</v>
      </c>
      <c r="F1370" t="s">
        <v>1565</v>
      </c>
      <c r="N1370" t="str" cm="1">
        <f t="array" ref="N1370">IF(MOD(ROW()-ROW($B$2),16)=0,INDEX($M$2:$M$1000,(ROW()-ROW($B$2))/16+1),"")</f>
        <v/>
      </c>
    </row>
    <row r="1371" spans="2:14" x14ac:dyDescent="0.3">
      <c r="B1371" t="s">
        <v>2173</v>
      </c>
      <c r="C1371" t="s">
        <v>3553</v>
      </c>
      <c r="D1371" t="s">
        <v>1566</v>
      </c>
      <c r="E1371">
        <v>0</v>
      </c>
      <c r="F1371" t="s">
        <v>1566</v>
      </c>
      <c r="N1371" t="str" cm="1">
        <f t="array" ref="N1371">IF(MOD(ROW()-ROW($B$2),16)=0,INDEX($M$2:$M$1000,(ROW()-ROW($B$2))/16+1),"")</f>
        <v/>
      </c>
    </row>
    <row r="1372" spans="2:14" x14ac:dyDescent="0.3">
      <c r="B1372" t="s">
        <v>2173</v>
      </c>
      <c r="C1372" t="s">
        <v>3554</v>
      </c>
      <c r="D1372" t="s">
        <v>1567</v>
      </c>
      <c r="E1372">
        <v>0</v>
      </c>
      <c r="F1372" t="s">
        <v>1567</v>
      </c>
      <c r="N1372" t="str" cm="1">
        <f t="array" ref="N1372">IF(MOD(ROW()-ROW($B$2),16)=0,INDEX($M$2:$M$1000,(ROW()-ROW($B$2))/16+1),"")</f>
        <v/>
      </c>
    </row>
    <row r="1373" spans="2:14" x14ac:dyDescent="0.3">
      <c r="B1373" t="s">
        <v>2173</v>
      </c>
      <c r="C1373" t="s">
        <v>3555</v>
      </c>
      <c r="D1373" t="s">
        <v>1568</v>
      </c>
      <c r="E1373">
        <v>0</v>
      </c>
      <c r="F1373" t="s">
        <v>1568</v>
      </c>
      <c r="N1373" t="str" cm="1">
        <f t="array" ref="N1373">IF(MOD(ROW()-ROW($B$2),16)=0,INDEX($M$2:$M$1000,(ROW()-ROW($B$2))/16+1),"")</f>
        <v/>
      </c>
    </row>
    <row r="1374" spans="2:14" x14ac:dyDescent="0.3">
      <c r="B1374" t="s">
        <v>2173</v>
      </c>
      <c r="C1374" t="s">
        <v>3556</v>
      </c>
      <c r="D1374" t="s">
        <v>1569</v>
      </c>
      <c r="E1374">
        <v>0</v>
      </c>
      <c r="F1374" t="s">
        <v>1569</v>
      </c>
      <c r="N1374" t="str" cm="1">
        <f t="array" ref="N1374">IF(MOD(ROW()-ROW($B$2),16)=0,INDEX($M$2:$M$1000,(ROW()-ROW($B$2))/16+1),"")</f>
        <v/>
      </c>
    </row>
    <row r="1375" spans="2:14" x14ac:dyDescent="0.3">
      <c r="B1375" t="s">
        <v>2173</v>
      </c>
      <c r="C1375" t="s">
        <v>3557</v>
      </c>
      <c r="D1375" t="s">
        <v>1570</v>
      </c>
      <c r="E1375">
        <v>0</v>
      </c>
      <c r="F1375" t="s">
        <v>1570</v>
      </c>
      <c r="N1375" t="str" cm="1">
        <f t="array" ref="N1375">IF(MOD(ROW()-ROW($B$2),16)=0,INDEX($M$2:$M$1000,(ROW()-ROW($B$2))/16+1),"")</f>
        <v/>
      </c>
    </row>
    <row r="1376" spans="2:14" x14ac:dyDescent="0.3">
      <c r="B1376" t="s">
        <v>2173</v>
      </c>
      <c r="C1376" t="s">
        <v>3558</v>
      </c>
      <c r="D1376" t="s">
        <v>1571</v>
      </c>
      <c r="E1376">
        <v>0</v>
      </c>
      <c r="F1376" t="s">
        <v>1571</v>
      </c>
      <c r="N1376" t="str" cm="1">
        <f t="array" ref="N1376">IF(MOD(ROW()-ROW($B$2),16)=0,INDEX($M$2:$M$1000,(ROW()-ROW($B$2))/16+1),"")</f>
        <v/>
      </c>
    </row>
    <row r="1377" spans="2:14" x14ac:dyDescent="0.3">
      <c r="B1377" t="s">
        <v>2173</v>
      </c>
      <c r="C1377" t="s">
        <v>3559</v>
      </c>
      <c r="D1377" t="s">
        <v>1572</v>
      </c>
      <c r="E1377">
        <v>0</v>
      </c>
      <c r="F1377" t="s">
        <v>1572</v>
      </c>
      <c r="N1377" t="str" cm="1">
        <f t="array" ref="N1377">IF(MOD(ROW()-ROW($B$2),16)=0,INDEX($M$2:$M$1000,(ROW()-ROW($B$2))/16+1),"")</f>
        <v/>
      </c>
    </row>
    <row r="1378" spans="2:14" x14ac:dyDescent="0.3">
      <c r="B1378" t="s">
        <v>2173</v>
      </c>
      <c r="C1378" t="s">
        <v>3560</v>
      </c>
      <c r="D1378" t="s">
        <v>1573</v>
      </c>
      <c r="E1378">
        <v>0</v>
      </c>
      <c r="F1378" t="s">
        <v>1573</v>
      </c>
      <c r="N1378" t="str" cm="1">
        <f t="array" ref="N1378">IF(MOD(ROW()-ROW($B$2),16)=0,INDEX($M$2:$M$1000,(ROW()-ROW($B$2))/16+1),"")</f>
        <v>Фиксированное число 86 (0)</v>
      </c>
    </row>
    <row r="1379" spans="2:14" x14ac:dyDescent="0.3">
      <c r="B1379" t="s">
        <v>2173</v>
      </c>
      <c r="C1379" t="s">
        <v>3561</v>
      </c>
      <c r="D1379" t="s">
        <v>1574</v>
      </c>
      <c r="E1379">
        <v>0</v>
      </c>
      <c r="F1379" t="s">
        <v>1574</v>
      </c>
      <c r="N1379" t="str" cm="1">
        <f t="array" ref="N1379">IF(MOD(ROW()-ROW($B$2),16)=0,INDEX($M$2:$M$1000,(ROW()-ROW($B$2))/16+1),"")</f>
        <v/>
      </c>
    </row>
    <row r="1380" spans="2:14" x14ac:dyDescent="0.3">
      <c r="B1380" t="s">
        <v>2173</v>
      </c>
      <c r="C1380" t="s">
        <v>3562</v>
      </c>
      <c r="D1380" t="s">
        <v>1575</v>
      </c>
      <c r="E1380">
        <v>0</v>
      </c>
      <c r="F1380" t="s">
        <v>1575</v>
      </c>
      <c r="N1380" t="str" cm="1">
        <f t="array" ref="N1380">IF(MOD(ROW()-ROW($B$2),16)=0,INDEX($M$2:$M$1000,(ROW()-ROW($B$2))/16+1),"")</f>
        <v/>
      </c>
    </row>
    <row r="1381" spans="2:14" x14ac:dyDescent="0.3">
      <c r="B1381" t="s">
        <v>2173</v>
      </c>
      <c r="C1381" t="s">
        <v>3563</v>
      </c>
      <c r="D1381" t="s">
        <v>1576</v>
      </c>
      <c r="E1381">
        <v>0</v>
      </c>
      <c r="F1381" t="s">
        <v>1576</v>
      </c>
      <c r="N1381" t="str" cm="1">
        <f t="array" ref="N1381">IF(MOD(ROW()-ROW($B$2),16)=0,INDEX($M$2:$M$1000,(ROW()-ROW($B$2))/16+1),"")</f>
        <v/>
      </c>
    </row>
    <row r="1382" spans="2:14" x14ac:dyDescent="0.3">
      <c r="B1382" t="s">
        <v>2173</v>
      </c>
      <c r="C1382" t="s">
        <v>3564</v>
      </c>
      <c r="D1382" t="s">
        <v>1577</v>
      </c>
      <c r="E1382">
        <v>0</v>
      </c>
      <c r="F1382" t="s">
        <v>1577</v>
      </c>
      <c r="N1382" t="str" cm="1">
        <f t="array" ref="N1382">IF(MOD(ROW()-ROW($B$2),16)=0,INDEX($M$2:$M$1000,(ROW()-ROW($B$2))/16+1),"")</f>
        <v/>
      </c>
    </row>
    <row r="1383" spans="2:14" x14ac:dyDescent="0.3">
      <c r="B1383" t="s">
        <v>2173</v>
      </c>
      <c r="C1383" t="s">
        <v>3565</v>
      </c>
      <c r="D1383" t="s">
        <v>1578</v>
      </c>
      <c r="E1383">
        <v>0</v>
      </c>
      <c r="F1383" t="s">
        <v>1578</v>
      </c>
      <c r="N1383" t="str" cm="1">
        <f t="array" ref="N1383">IF(MOD(ROW()-ROW($B$2),16)=0,INDEX($M$2:$M$1000,(ROW()-ROW($B$2))/16+1),"")</f>
        <v/>
      </c>
    </row>
    <row r="1384" spans="2:14" x14ac:dyDescent="0.3">
      <c r="B1384" t="s">
        <v>2173</v>
      </c>
      <c r="C1384" t="s">
        <v>3566</v>
      </c>
      <c r="D1384" t="s">
        <v>1579</v>
      </c>
      <c r="E1384">
        <v>0</v>
      </c>
      <c r="F1384" t="s">
        <v>1579</v>
      </c>
      <c r="N1384" t="str" cm="1">
        <f t="array" ref="N1384">IF(MOD(ROW()-ROW($B$2),16)=0,INDEX($M$2:$M$1000,(ROW()-ROW($B$2))/16+1),"")</f>
        <v/>
      </c>
    </row>
    <row r="1385" spans="2:14" x14ac:dyDescent="0.3">
      <c r="B1385" t="s">
        <v>2173</v>
      </c>
      <c r="C1385" t="s">
        <v>3567</v>
      </c>
      <c r="D1385" t="s">
        <v>1580</v>
      </c>
      <c r="E1385">
        <v>0</v>
      </c>
      <c r="F1385" t="s">
        <v>1580</v>
      </c>
      <c r="N1385" t="str" cm="1">
        <f t="array" ref="N1385">IF(MOD(ROW()-ROW($B$2),16)=0,INDEX($M$2:$M$1000,(ROW()-ROW($B$2))/16+1),"")</f>
        <v/>
      </c>
    </row>
    <row r="1386" spans="2:14" x14ac:dyDescent="0.3">
      <c r="B1386" t="s">
        <v>2173</v>
      </c>
      <c r="C1386" t="s">
        <v>3568</v>
      </c>
      <c r="D1386" t="s">
        <v>1581</v>
      </c>
      <c r="E1386">
        <v>0</v>
      </c>
      <c r="F1386" t="s">
        <v>1581</v>
      </c>
      <c r="N1386" t="str" cm="1">
        <f t="array" ref="N1386">IF(MOD(ROW()-ROW($B$2),16)=0,INDEX($M$2:$M$1000,(ROW()-ROW($B$2))/16+1),"")</f>
        <v/>
      </c>
    </row>
    <row r="1387" spans="2:14" x14ac:dyDescent="0.3">
      <c r="B1387" t="s">
        <v>2173</v>
      </c>
      <c r="C1387" t="s">
        <v>3569</v>
      </c>
      <c r="D1387" t="s">
        <v>1582</v>
      </c>
      <c r="E1387">
        <v>0</v>
      </c>
      <c r="F1387" t="s">
        <v>1582</v>
      </c>
      <c r="N1387" t="str" cm="1">
        <f t="array" ref="N1387">IF(MOD(ROW()-ROW($B$2),16)=0,INDEX($M$2:$M$1000,(ROW()-ROW($B$2))/16+1),"")</f>
        <v/>
      </c>
    </row>
    <row r="1388" spans="2:14" x14ac:dyDescent="0.3">
      <c r="B1388" t="s">
        <v>2173</v>
      </c>
      <c r="C1388" t="s">
        <v>3570</v>
      </c>
      <c r="D1388" t="s">
        <v>1583</v>
      </c>
      <c r="E1388">
        <v>0</v>
      </c>
      <c r="F1388" t="s">
        <v>1583</v>
      </c>
      <c r="N1388" t="str" cm="1">
        <f t="array" ref="N1388">IF(MOD(ROW()-ROW($B$2),16)=0,INDEX($M$2:$M$1000,(ROW()-ROW($B$2))/16+1),"")</f>
        <v/>
      </c>
    </row>
    <row r="1389" spans="2:14" x14ac:dyDescent="0.3">
      <c r="B1389" t="s">
        <v>2173</v>
      </c>
      <c r="C1389" t="s">
        <v>3571</v>
      </c>
      <c r="D1389" t="s">
        <v>1584</v>
      </c>
      <c r="E1389">
        <v>0</v>
      </c>
      <c r="F1389" t="s">
        <v>1584</v>
      </c>
      <c r="N1389" t="str" cm="1">
        <f t="array" ref="N1389">IF(MOD(ROW()-ROW($B$2),16)=0,INDEX($M$2:$M$1000,(ROW()-ROW($B$2))/16+1),"")</f>
        <v/>
      </c>
    </row>
    <row r="1390" spans="2:14" x14ac:dyDescent="0.3">
      <c r="B1390" t="s">
        <v>2173</v>
      </c>
      <c r="C1390" t="s">
        <v>3572</v>
      </c>
      <c r="D1390" t="s">
        <v>1585</v>
      </c>
      <c r="E1390">
        <v>0</v>
      </c>
      <c r="F1390" t="s">
        <v>1585</v>
      </c>
      <c r="N1390" t="str" cm="1">
        <f t="array" ref="N1390">IF(MOD(ROW()-ROW($B$2),16)=0,INDEX($M$2:$M$1000,(ROW()-ROW($B$2))/16+1),"")</f>
        <v/>
      </c>
    </row>
    <row r="1391" spans="2:14" x14ac:dyDescent="0.3">
      <c r="B1391" t="s">
        <v>2173</v>
      </c>
      <c r="C1391" t="s">
        <v>3573</v>
      </c>
      <c r="D1391" t="s">
        <v>1586</v>
      </c>
      <c r="E1391">
        <v>0</v>
      </c>
      <c r="F1391" t="s">
        <v>1586</v>
      </c>
      <c r="N1391" t="str" cm="1">
        <f t="array" ref="N1391">IF(MOD(ROW()-ROW($B$2),16)=0,INDEX($M$2:$M$1000,(ROW()-ROW($B$2))/16+1),"")</f>
        <v/>
      </c>
    </row>
    <row r="1392" spans="2:14" x14ac:dyDescent="0.3">
      <c r="B1392" t="s">
        <v>2173</v>
      </c>
      <c r="C1392" t="s">
        <v>3574</v>
      </c>
      <c r="D1392" t="s">
        <v>1587</v>
      </c>
      <c r="E1392">
        <v>0</v>
      </c>
      <c r="F1392" t="s">
        <v>1587</v>
      </c>
      <c r="N1392" t="str" cm="1">
        <f t="array" ref="N1392">IF(MOD(ROW()-ROW($B$2),16)=0,INDEX($M$2:$M$1000,(ROW()-ROW($B$2))/16+1),"")</f>
        <v/>
      </c>
    </row>
    <row r="1393" spans="2:14" x14ac:dyDescent="0.3">
      <c r="B1393" t="s">
        <v>2173</v>
      </c>
      <c r="C1393" t="s">
        <v>3575</v>
      </c>
      <c r="D1393" t="s">
        <v>1588</v>
      </c>
      <c r="E1393">
        <v>0</v>
      </c>
      <c r="F1393" t="s">
        <v>1588</v>
      </c>
      <c r="N1393" t="str" cm="1">
        <f t="array" ref="N1393">IF(MOD(ROW()-ROW($B$2),16)=0,INDEX($M$2:$M$1000,(ROW()-ROW($B$2))/16+1),"")</f>
        <v/>
      </c>
    </row>
    <row r="1394" spans="2:14" x14ac:dyDescent="0.3">
      <c r="B1394" t="s">
        <v>2173</v>
      </c>
      <c r="C1394" t="s">
        <v>3576</v>
      </c>
      <c r="D1394" t="s">
        <v>1589</v>
      </c>
      <c r="E1394">
        <v>0</v>
      </c>
      <c r="F1394" t="s">
        <v>1589</v>
      </c>
      <c r="N1394" t="str" cm="1">
        <f t="array" ref="N1394">IF(MOD(ROW()-ROW($B$2),16)=0,INDEX($M$2:$M$1000,(ROW()-ROW($B$2))/16+1),"")</f>
        <v>Фиксированное число 87 (0)</v>
      </c>
    </row>
    <row r="1395" spans="2:14" x14ac:dyDescent="0.3">
      <c r="B1395" t="s">
        <v>2173</v>
      </c>
      <c r="C1395" t="s">
        <v>3577</v>
      </c>
      <c r="D1395" t="s">
        <v>1590</v>
      </c>
      <c r="E1395">
        <v>0</v>
      </c>
      <c r="F1395" t="s">
        <v>1590</v>
      </c>
      <c r="N1395" t="str" cm="1">
        <f t="array" ref="N1395">IF(MOD(ROW()-ROW($B$2),16)=0,INDEX($M$2:$M$1000,(ROW()-ROW($B$2))/16+1),"")</f>
        <v/>
      </c>
    </row>
    <row r="1396" spans="2:14" x14ac:dyDescent="0.3">
      <c r="B1396" t="s">
        <v>2173</v>
      </c>
      <c r="C1396" t="s">
        <v>3578</v>
      </c>
      <c r="D1396" t="s">
        <v>1591</v>
      </c>
      <c r="E1396">
        <v>0</v>
      </c>
      <c r="F1396" t="s">
        <v>1591</v>
      </c>
      <c r="N1396" t="str" cm="1">
        <f t="array" ref="N1396">IF(MOD(ROW()-ROW($B$2),16)=0,INDEX($M$2:$M$1000,(ROW()-ROW($B$2))/16+1),"")</f>
        <v/>
      </c>
    </row>
    <row r="1397" spans="2:14" x14ac:dyDescent="0.3">
      <c r="B1397" t="s">
        <v>2173</v>
      </c>
      <c r="C1397" t="s">
        <v>3579</v>
      </c>
      <c r="D1397" t="s">
        <v>1592</v>
      </c>
      <c r="E1397">
        <v>0</v>
      </c>
      <c r="F1397" t="s">
        <v>1592</v>
      </c>
      <c r="N1397" t="str" cm="1">
        <f t="array" ref="N1397">IF(MOD(ROW()-ROW($B$2),16)=0,INDEX($M$2:$M$1000,(ROW()-ROW($B$2))/16+1),"")</f>
        <v/>
      </c>
    </row>
    <row r="1398" spans="2:14" x14ac:dyDescent="0.3">
      <c r="B1398" t="s">
        <v>2173</v>
      </c>
      <c r="C1398" t="s">
        <v>3580</v>
      </c>
      <c r="D1398" t="s">
        <v>1593</v>
      </c>
      <c r="E1398">
        <v>0</v>
      </c>
      <c r="F1398" t="s">
        <v>1593</v>
      </c>
      <c r="N1398" t="str" cm="1">
        <f t="array" ref="N1398">IF(MOD(ROW()-ROW($B$2),16)=0,INDEX($M$2:$M$1000,(ROW()-ROW($B$2))/16+1),"")</f>
        <v/>
      </c>
    </row>
    <row r="1399" spans="2:14" x14ac:dyDescent="0.3">
      <c r="B1399" t="s">
        <v>2173</v>
      </c>
      <c r="C1399" t="s">
        <v>3581</v>
      </c>
      <c r="D1399" t="s">
        <v>1594</v>
      </c>
      <c r="E1399">
        <v>0</v>
      </c>
      <c r="F1399" t="s">
        <v>1594</v>
      </c>
      <c r="N1399" t="str" cm="1">
        <f t="array" ref="N1399">IF(MOD(ROW()-ROW($B$2),16)=0,INDEX($M$2:$M$1000,(ROW()-ROW($B$2))/16+1),"")</f>
        <v/>
      </c>
    </row>
    <row r="1400" spans="2:14" x14ac:dyDescent="0.3">
      <c r="B1400" t="s">
        <v>2173</v>
      </c>
      <c r="C1400" t="s">
        <v>3582</v>
      </c>
      <c r="D1400" t="s">
        <v>1595</v>
      </c>
      <c r="E1400">
        <v>0</v>
      </c>
      <c r="F1400" t="s">
        <v>1595</v>
      </c>
      <c r="N1400" t="str" cm="1">
        <f t="array" ref="N1400">IF(MOD(ROW()-ROW($B$2),16)=0,INDEX($M$2:$M$1000,(ROW()-ROW($B$2))/16+1),"")</f>
        <v/>
      </c>
    </row>
    <row r="1401" spans="2:14" x14ac:dyDescent="0.3">
      <c r="B1401" t="s">
        <v>2173</v>
      </c>
      <c r="C1401" t="s">
        <v>3583</v>
      </c>
      <c r="D1401" t="s">
        <v>1596</v>
      </c>
      <c r="E1401">
        <v>0</v>
      </c>
      <c r="F1401" t="s">
        <v>1596</v>
      </c>
      <c r="N1401" t="str" cm="1">
        <f t="array" ref="N1401">IF(MOD(ROW()-ROW($B$2),16)=0,INDEX($M$2:$M$1000,(ROW()-ROW($B$2))/16+1),"")</f>
        <v/>
      </c>
    </row>
    <row r="1402" spans="2:14" x14ac:dyDescent="0.3">
      <c r="B1402" t="s">
        <v>2173</v>
      </c>
      <c r="C1402" t="s">
        <v>3584</v>
      </c>
      <c r="D1402" t="s">
        <v>1597</v>
      </c>
      <c r="E1402">
        <v>0</v>
      </c>
      <c r="F1402" t="s">
        <v>1597</v>
      </c>
      <c r="N1402" t="str" cm="1">
        <f t="array" ref="N1402">IF(MOD(ROW()-ROW($B$2),16)=0,INDEX($M$2:$M$1000,(ROW()-ROW($B$2))/16+1),"")</f>
        <v/>
      </c>
    </row>
    <row r="1403" spans="2:14" x14ac:dyDescent="0.3">
      <c r="B1403" t="s">
        <v>2173</v>
      </c>
      <c r="C1403" t="s">
        <v>3585</v>
      </c>
      <c r="D1403" t="s">
        <v>1598</v>
      </c>
      <c r="E1403">
        <v>0</v>
      </c>
      <c r="F1403" t="s">
        <v>1598</v>
      </c>
      <c r="N1403" t="str" cm="1">
        <f t="array" ref="N1403">IF(MOD(ROW()-ROW($B$2),16)=0,INDEX($M$2:$M$1000,(ROW()-ROW($B$2))/16+1),"")</f>
        <v/>
      </c>
    </row>
    <row r="1404" spans="2:14" x14ac:dyDescent="0.3">
      <c r="B1404" t="s">
        <v>2173</v>
      </c>
      <c r="C1404" t="s">
        <v>3586</v>
      </c>
      <c r="D1404" t="s">
        <v>1599</v>
      </c>
      <c r="E1404">
        <v>0</v>
      </c>
      <c r="F1404" t="s">
        <v>1599</v>
      </c>
      <c r="N1404" t="str" cm="1">
        <f t="array" ref="N1404">IF(MOD(ROW()-ROW($B$2),16)=0,INDEX($M$2:$M$1000,(ROW()-ROW($B$2))/16+1),"")</f>
        <v/>
      </c>
    </row>
    <row r="1405" spans="2:14" x14ac:dyDescent="0.3">
      <c r="B1405" t="s">
        <v>2173</v>
      </c>
      <c r="C1405" t="s">
        <v>3587</v>
      </c>
      <c r="D1405" t="s">
        <v>1600</v>
      </c>
      <c r="E1405">
        <v>0</v>
      </c>
      <c r="F1405" t="s">
        <v>1600</v>
      </c>
      <c r="N1405" t="str" cm="1">
        <f t="array" ref="N1405">IF(MOD(ROW()-ROW($B$2),16)=0,INDEX($M$2:$M$1000,(ROW()-ROW($B$2))/16+1),"")</f>
        <v/>
      </c>
    </row>
    <row r="1406" spans="2:14" x14ac:dyDescent="0.3">
      <c r="B1406" t="s">
        <v>2173</v>
      </c>
      <c r="C1406" t="s">
        <v>3588</v>
      </c>
      <c r="D1406" t="s">
        <v>1601</v>
      </c>
      <c r="E1406">
        <v>0</v>
      </c>
      <c r="F1406" t="s">
        <v>1601</v>
      </c>
      <c r="N1406" t="str" cm="1">
        <f t="array" ref="N1406">IF(MOD(ROW()-ROW($B$2),16)=0,INDEX($M$2:$M$1000,(ROW()-ROW($B$2))/16+1),"")</f>
        <v/>
      </c>
    </row>
    <row r="1407" spans="2:14" x14ac:dyDescent="0.3">
      <c r="B1407" t="s">
        <v>2173</v>
      </c>
      <c r="C1407" t="s">
        <v>3589</v>
      </c>
      <c r="D1407" t="s">
        <v>1602</v>
      </c>
      <c r="E1407">
        <v>0</v>
      </c>
      <c r="F1407" t="s">
        <v>1602</v>
      </c>
      <c r="N1407" t="str" cm="1">
        <f t="array" ref="N1407">IF(MOD(ROW()-ROW($B$2),16)=0,INDEX($M$2:$M$1000,(ROW()-ROW($B$2))/16+1),"")</f>
        <v/>
      </c>
    </row>
    <row r="1408" spans="2:14" x14ac:dyDescent="0.3">
      <c r="B1408" t="s">
        <v>2173</v>
      </c>
      <c r="C1408" t="s">
        <v>3590</v>
      </c>
      <c r="D1408" t="s">
        <v>1603</v>
      </c>
      <c r="E1408">
        <v>0</v>
      </c>
      <c r="F1408" t="s">
        <v>1603</v>
      </c>
      <c r="N1408" t="str" cm="1">
        <f t="array" ref="N1408">IF(MOD(ROW()-ROW($B$2),16)=0,INDEX($M$2:$M$1000,(ROW()-ROW($B$2))/16+1),"")</f>
        <v/>
      </c>
    </row>
    <row r="1409" spans="2:14" x14ac:dyDescent="0.3">
      <c r="B1409" t="s">
        <v>2173</v>
      </c>
      <c r="C1409" t="s">
        <v>3591</v>
      </c>
      <c r="D1409" t="s">
        <v>1604</v>
      </c>
      <c r="E1409">
        <v>0</v>
      </c>
      <c r="F1409" t="s">
        <v>1604</v>
      </c>
      <c r="N1409" t="str" cm="1">
        <f t="array" ref="N1409">IF(MOD(ROW()-ROW($B$2),16)=0,INDEX($M$2:$M$1000,(ROW()-ROW($B$2))/16+1),"")</f>
        <v/>
      </c>
    </row>
    <row r="1410" spans="2:14" x14ac:dyDescent="0.3">
      <c r="B1410" t="s">
        <v>2173</v>
      </c>
      <c r="C1410" t="s">
        <v>3592</v>
      </c>
      <c r="D1410" t="s">
        <v>1645</v>
      </c>
      <c r="E1410">
        <v>0</v>
      </c>
      <c r="F1410" t="s">
        <v>1645</v>
      </c>
      <c r="N1410" t="str" cm="1">
        <f t="array" ref="N1410">IF(MOD(ROW()-ROW($B$2),16)=0,INDEX($M$2:$M$1000,(ROW()-ROW($B$2))/16+1),"")</f>
        <v>Фиксированное число 88 (0)</v>
      </c>
    </row>
    <row r="1411" spans="2:14" x14ac:dyDescent="0.3">
      <c r="B1411" t="s">
        <v>2173</v>
      </c>
      <c r="C1411" t="s">
        <v>3593</v>
      </c>
      <c r="D1411" t="s">
        <v>1646</v>
      </c>
      <c r="E1411">
        <v>0</v>
      </c>
      <c r="F1411" t="s">
        <v>1646</v>
      </c>
      <c r="N1411" t="str" cm="1">
        <f t="array" ref="N1411">IF(MOD(ROW()-ROW($B$2),16)=0,INDEX($M$2:$M$1000,(ROW()-ROW($B$2))/16+1),"")</f>
        <v/>
      </c>
    </row>
    <row r="1412" spans="2:14" x14ac:dyDescent="0.3">
      <c r="B1412" t="s">
        <v>2173</v>
      </c>
      <c r="C1412" t="s">
        <v>3594</v>
      </c>
      <c r="D1412" t="s">
        <v>1647</v>
      </c>
      <c r="E1412">
        <v>0</v>
      </c>
      <c r="F1412" t="s">
        <v>1647</v>
      </c>
      <c r="N1412" t="str" cm="1">
        <f t="array" ref="N1412">IF(MOD(ROW()-ROW($B$2),16)=0,INDEX($M$2:$M$1000,(ROW()-ROW($B$2))/16+1),"")</f>
        <v/>
      </c>
    </row>
    <row r="1413" spans="2:14" x14ac:dyDescent="0.3">
      <c r="B1413" t="s">
        <v>2173</v>
      </c>
      <c r="C1413" t="s">
        <v>3595</v>
      </c>
      <c r="D1413" t="s">
        <v>1648</v>
      </c>
      <c r="E1413">
        <v>0</v>
      </c>
      <c r="F1413" t="s">
        <v>1648</v>
      </c>
      <c r="N1413" t="str" cm="1">
        <f t="array" ref="N1413">IF(MOD(ROW()-ROW($B$2),16)=0,INDEX($M$2:$M$1000,(ROW()-ROW($B$2))/16+1),"")</f>
        <v/>
      </c>
    </row>
    <row r="1414" spans="2:14" x14ac:dyDescent="0.3">
      <c r="B1414" t="s">
        <v>2173</v>
      </c>
      <c r="C1414" t="s">
        <v>3596</v>
      </c>
      <c r="D1414" t="s">
        <v>1649</v>
      </c>
      <c r="E1414">
        <v>0</v>
      </c>
      <c r="F1414" t="s">
        <v>1649</v>
      </c>
      <c r="N1414" t="str" cm="1">
        <f t="array" ref="N1414">IF(MOD(ROW()-ROW($B$2),16)=0,INDEX($M$2:$M$1000,(ROW()-ROW($B$2))/16+1),"")</f>
        <v/>
      </c>
    </row>
    <row r="1415" spans="2:14" x14ac:dyDescent="0.3">
      <c r="B1415" t="s">
        <v>2173</v>
      </c>
      <c r="C1415" t="s">
        <v>3597</v>
      </c>
      <c r="D1415" t="s">
        <v>1650</v>
      </c>
      <c r="E1415">
        <v>0</v>
      </c>
      <c r="F1415" t="s">
        <v>1650</v>
      </c>
      <c r="N1415" t="str" cm="1">
        <f t="array" ref="N1415">IF(MOD(ROW()-ROW($B$2),16)=0,INDEX($M$2:$M$1000,(ROW()-ROW($B$2))/16+1),"")</f>
        <v/>
      </c>
    </row>
    <row r="1416" spans="2:14" x14ac:dyDescent="0.3">
      <c r="B1416" t="s">
        <v>2173</v>
      </c>
      <c r="C1416" t="s">
        <v>3598</v>
      </c>
      <c r="D1416" t="s">
        <v>1651</v>
      </c>
      <c r="E1416">
        <v>0</v>
      </c>
      <c r="F1416" t="s">
        <v>1651</v>
      </c>
      <c r="N1416" t="str" cm="1">
        <f t="array" ref="N1416">IF(MOD(ROW()-ROW($B$2),16)=0,INDEX($M$2:$M$1000,(ROW()-ROW($B$2))/16+1),"")</f>
        <v/>
      </c>
    </row>
    <row r="1417" spans="2:14" x14ac:dyDescent="0.3">
      <c r="B1417" t="s">
        <v>2173</v>
      </c>
      <c r="C1417" t="s">
        <v>3599</v>
      </c>
      <c r="D1417" t="s">
        <v>1652</v>
      </c>
      <c r="E1417">
        <v>0</v>
      </c>
      <c r="F1417" t="s">
        <v>1652</v>
      </c>
      <c r="N1417" t="str" cm="1">
        <f t="array" ref="N1417">IF(MOD(ROW()-ROW($B$2),16)=0,INDEX($M$2:$M$1000,(ROW()-ROW($B$2))/16+1),"")</f>
        <v/>
      </c>
    </row>
    <row r="1418" spans="2:14" x14ac:dyDescent="0.3">
      <c r="B1418" t="s">
        <v>2173</v>
      </c>
      <c r="C1418" t="s">
        <v>3600</v>
      </c>
      <c r="D1418" t="s">
        <v>1653</v>
      </c>
      <c r="E1418">
        <v>0</v>
      </c>
      <c r="F1418" t="s">
        <v>1653</v>
      </c>
      <c r="N1418" t="str" cm="1">
        <f t="array" ref="N1418">IF(MOD(ROW()-ROW($B$2),16)=0,INDEX($M$2:$M$1000,(ROW()-ROW($B$2))/16+1),"")</f>
        <v/>
      </c>
    </row>
    <row r="1419" spans="2:14" x14ac:dyDescent="0.3">
      <c r="B1419" t="s">
        <v>2173</v>
      </c>
      <c r="C1419" t="s">
        <v>3601</v>
      </c>
      <c r="D1419" t="s">
        <v>1654</v>
      </c>
      <c r="E1419">
        <v>0</v>
      </c>
      <c r="F1419" t="s">
        <v>1654</v>
      </c>
      <c r="N1419" t="str" cm="1">
        <f t="array" ref="N1419">IF(MOD(ROW()-ROW($B$2),16)=0,INDEX($M$2:$M$1000,(ROW()-ROW($B$2))/16+1),"")</f>
        <v/>
      </c>
    </row>
    <row r="1420" spans="2:14" x14ac:dyDescent="0.3">
      <c r="B1420" t="s">
        <v>2173</v>
      </c>
      <c r="C1420" t="s">
        <v>3602</v>
      </c>
      <c r="D1420" t="s">
        <v>1655</v>
      </c>
      <c r="E1420">
        <v>0</v>
      </c>
      <c r="F1420" t="s">
        <v>1655</v>
      </c>
      <c r="N1420" t="str" cm="1">
        <f t="array" ref="N1420">IF(MOD(ROW()-ROW($B$2),16)=0,INDEX($M$2:$M$1000,(ROW()-ROW($B$2))/16+1),"")</f>
        <v/>
      </c>
    </row>
    <row r="1421" spans="2:14" x14ac:dyDescent="0.3">
      <c r="B1421" t="s">
        <v>2173</v>
      </c>
      <c r="C1421" t="s">
        <v>3603</v>
      </c>
      <c r="D1421" t="s">
        <v>1656</v>
      </c>
      <c r="E1421">
        <v>0</v>
      </c>
      <c r="F1421" t="s">
        <v>1656</v>
      </c>
      <c r="N1421" t="str" cm="1">
        <f t="array" ref="N1421">IF(MOD(ROW()-ROW($B$2),16)=0,INDEX($M$2:$M$1000,(ROW()-ROW($B$2))/16+1),"")</f>
        <v/>
      </c>
    </row>
    <row r="1422" spans="2:14" x14ac:dyDescent="0.3">
      <c r="B1422" t="s">
        <v>2173</v>
      </c>
      <c r="C1422" t="s">
        <v>3604</v>
      </c>
      <c r="D1422" t="s">
        <v>1657</v>
      </c>
      <c r="E1422">
        <v>0</v>
      </c>
      <c r="F1422" t="s">
        <v>1657</v>
      </c>
      <c r="N1422" t="str" cm="1">
        <f t="array" ref="N1422">IF(MOD(ROW()-ROW($B$2),16)=0,INDEX($M$2:$M$1000,(ROW()-ROW($B$2))/16+1),"")</f>
        <v/>
      </c>
    </row>
    <row r="1423" spans="2:14" x14ac:dyDescent="0.3">
      <c r="B1423" t="s">
        <v>2173</v>
      </c>
      <c r="C1423" t="s">
        <v>3605</v>
      </c>
      <c r="D1423" t="s">
        <v>1658</v>
      </c>
      <c r="E1423">
        <v>0</v>
      </c>
      <c r="F1423" t="s">
        <v>1658</v>
      </c>
      <c r="N1423" t="str" cm="1">
        <f t="array" ref="N1423">IF(MOD(ROW()-ROW($B$2),16)=0,INDEX($M$2:$M$1000,(ROW()-ROW($B$2))/16+1),"")</f>
        <v/>
      </c>
    </row>
    <row r="1424" spans="2:14" x14ac:dyDescent="0.3">
      <c r="B1424" t="s">
        <v>2173</v>
      </c>
      <c r="C1424" t="s">
        <v>3606</v>
      </c>
      <c r="D1424" t="s">
        <v>1659</v>
      </c>
      <c r="E1424">
        <v>0</v>
      </c>
      <c r="F1424" t="s">
        <v>1659</v>
      </c>
      <c r="N1424" t="str" cm="1">
        <f t="array" ref="N1424">IF(MOD(ROW()-ROW($B$2),16)=0,INDEX($M$2:$M$1000,(ROW()-ROW($B$2))/16+1),"")</f>
        <v/>
      </c>
    </row>
    <row r="1425" spans="2:14" x14ac:dyDescent="0.3">
      <c r="B1425" t="s">
        <v>2173</v>
      </c>
      <c r="C1425" t="s">
        <v>3607</v>
      </c>
      <c r="D1425" t="s">
        <v>1660</v>
      </c>
      <c r="E1425">
        <v>0</v>
      </c>
      <c r="F1425" t="s">
        <v>1660</v>
      </c>
      <c r="N1425" t="str" cm="1">
        <f t="array" ref="N1425">IF(MOD(ROW()-ROW($B$2),16)=0,INDEX($M$2:$M$1000,(ROW()-ROW($B$2))/16+1),"")</f>
        <v/>
      </c>
    </row>
    <row r="1426" spans="2:14" x14ac:dyDescent="0.3">
      <c r="B1426" t="s">
        <v>2173</v>
      </c>
      <c r="C1426" t="s">
        <v>3608</v>
      </c>
      <c r="D1426" t="s">
        <v>1661</v>
      </c>
      <c r="E1426">
        <v>0</v>
      </c>
      <c r="F1426" t="s">
        <v>1661</v>
      </c>
      <c r="N1426" t="str" cm="1">
        <f t="array" ref="N1426">IF(MOD(ROW()-ROW($B$2),16)=0,INDEX($M$2:$M$1000,(ROW()-ROW($B$2))/16+1),"")</f>
        <v>Фиксированное число 89 (0)</v>
      </c>
    </row>
    <row r="1427" spans="2:14" x14ac:dyDescent="0.3">
      <c r="B1427" t="s">
        <v>2173</v>
      </c>
      <c r="C1427" t="s">
        <v>3609</v>
      </c>
      <c r="D1427" t="s">
        <v>1662</v>
      </c>
      <c r="E1427">
        <v>0</v>
      </c>
      <c r="F1427" t="s">
        <v>1662</v>
      </c>
      <c r="N1427" t="str" cm="1">
        <f t="array" ref="N1427">IF(MOD(ROW()-ROW($B$2),16)=0,INDEX($M$2:$M$1000,(ROW()-ROW($B$2))/16+1),"")</f>
        <v/>
      </c>
    </row>
    <row r="1428" spans="2:14" x14ac:dyDescent="0.3">
      <c r="B1428" t="s">
        <v>2173</v>
      </c>
      <c r="C1428" t="s">
        <v>3610</v>
      </c>
      <c r="D1428" t="s">
        <v>1663</v>
      </c>
      <c r="E1428">
        <v>0</v>
      </c>
      <c r="F1428" t="s">
        <v>1663</v>
      </c>
      <c r="N1428" t="str" cm="1">
        <f t="array" ref="N1428">IF(MOD(ROW()-ROW($B$2),16)=0,INDEX($M$2:$M$1000,(ROW()-ROW($B$2))/16+1),"")</f>
        <v/>
      </c>
    </row>
    <row r="1429" spans="2:14" x14ac:dyDescent="0.3">
      <c r="B1429" t="s">
        <v>2173</v>
      </c>
      <c r="C1429" t="s">
        <v>3611</v>
      </c>
      <c r="D1429" t="s">
        <v>1664</v>
      </c>
      <c r="E1429">
        <v>0</v>
      </c>
      <c r="F1429" t="s">
        <v>1664</v>
      </c>
      <c r="N1429" t="str" cm="1">
        <f t="array" ref="N1429">IF(MOD(ROW()-ROW($B$2),16)=0,INDEX($M$2:$M$1000,(ROW()-ROW($B$2))/16+1),"")</f>
        <v/>
      </c>
    </row>
    <row r="1430" spans="2:14" x14ac:dyDescent="0.3">
      <c r="B1430" t="s">
        <v>2173</v>
      </c>
      <c r="C1430" t="s">
        <v>3612</v>
      </c>
      <c r="D1430" t="s">
        <v>1665</v>
      </c>
      <c r="E1430">
        <v>0</v>
      </c>
      <c r="F1430" t="s">
        <v>1665</v>
      </c>
      <c r="N1430" t="str" cm="1">
        <f t="array" ref="N1430">IF(MOD(ROW()-ROW($B$2),16)=0,INDEX($M$2:$M$1000,(ROW()-ROW($B$2))/16+1),"")</f>
        <v/>
      </c>
    </row>
    <row r="1431" spans="2:14" x14ac:dyDescent="0.3">
      <c r="B1431" t="s">
        <v>2173</v>
      </c>
      <c r="C1431" t="s">
        <v>3613</v>
      </c>
      <c r="D1431" t="s">
        <v>1666</v>
      </c>
      <c r="E1431">
        <v>0</v>
      </c>
      <c r="F1431" t="s">
        <v>1666</v>
      </c>
      <c r="N1431" t="str" cm="1">
        <f t="array" ref="N1431">IF(MOD(ROW()-ROW($B$2),16)=0,INDEX($M$2:$M$1000,(ROW()-ROW($B$2))/16+1),"")</f>
        <v/>
      </c>
    </row>
    <row r="1432" spans="2:14" x14ac:dyDescent="0.3">
      <c r="B1432" t="s">
        <v>2173</v>
      </c>
      <c r="C1432" t="s">
        <v>3614</v>
      </c>
      <c r="D1432" t="s">
        <v>1667</v>
      </c>
      <c r="E1432">
        <v>0</v>
      </c>
      <c r="F1432" t="s">
        <v>1667</v>
      </c>
      <c r="N1432" t="str" cm="1">
        <f t="array" ref="N1432">IF(MOD(ROW()-ROW($B$2),16)=0,INDEX($M$2:$M$1000,(ROW()-ROW($B$2))/16+1),"")</f>
        <v/>
      </c>
    </row>
    <row r="1433" spans="2:14" x14ac:dyDescent="0.3">
      <c r="B1433" t="s">
        <v>2173</v>
      </c>
      <c r="C1433" t="s">
        <v>3615</v>
      </c>
      <c r="D1433" t="s">
        <v>1668</v>
      </c>
      <c r="E1433">
        <v>0</v>
      </c>
      <c r="F1433" t="s">
        <v>1668</v>
      </c>
      <c r="N1433" t="str" cm="1">
        <f t="array" ref="N1433">IF(MOD(ROW()-ROW($B$2),16)=0,INDEX($M$2:$M$1000,(ROW()-ROW($B$2))/16+1),"")</f>
        <v/>
      </c>
    </row>
    <row r="1434" spans="2:14" x14ac:dyDescent="0.3">
      <c r="B1434" t="s">
        <v>2173</v>
      </c>
      <c r="C1434" t="s">
        <v>3616</v>
      </c>
      <c r="D1434" t="s">
        <v>1669</v>
      </c>
      <c r="E1434">
        <v>0</v>
      </c>
      <c r="F1434" t="s">
        <v>1669</v>
      </c>
      <c r="N1434" t="str" cm="1">
        <f t="array" ref="N1434">IF(MOD(ROW()-ROW($B$2),16)=0,INDEX($M$2:$M$1000,(ROW()-ROW($B$2))/16+1),"")</f>
        <v/>
      </c>
    </row>
    <row r="1435" spans="2:14" x14ac:dyDescent="0.3">
      <c r="B1435" t="s">
        <v>2173</v>
      </c>
      <c r="C1435" t="s">
        <v>3617</v>
      </c>
      <c r="D1435" t="s">
        <v>1670</v>
      </c>
      <c r="E1435">
        <v>0</v>
      </c>
      <c r="F1435" t="s">
        <v>1670</v>
      </c>
      <c r="N1435" t="str" cm="1">
        <f t="array" ref="N1435">IF(MOD(ROW()-ROW($B$2),16)=0,INDEX($M$2:$M$1000,(ROW()-ROW($B$2))/16+1),"")</f>
        <v/>
      </c>
    </row>
    <row r="1436" spans="2:14" x14ac:dyDescent="0.3">
      <c r="B1436" t="s">
        <v>2173</v>
      </c>
      <c r="C1436" t="s">
        <v>3618</v>
      </c>
      <c r="D1436" t="s">
        <v>1671</v>
      </c>
      <c r="E1436">
        <v>0</v>
      </c>
      <c r="F1436" t="s">
        <v>1671</v>
      </c>
      <c r="N1436" t="str" cm="1">
        <f t="array" ref="N1436">IF(MOD(ROW()-ROW($B$2),16)=0,INDEX($M$2:$M$1000,(ROW()-ROW($B$2))/16+1),"")</f>
        <v/>
      </c>
    </row>
    <row r="1437" spans="2:14" x14ac:dyDescent="0.3">
      <c r="B1437" t="s">
        <v>2173</v>
      </c>
      <c r="C1437" t="s">
        <v>3619</v>
      </c>
      <c r="D1437" t="s">
        <v>1672</v>
      </c>
      <c r="E1437">
        <v>0</v>
      </c>
      <c r="F1437" t="s">
        <v>1672</v>
      </c>
      <c r="N1437" t="str" cm="1">
        <f t="array" ref="N1437">IF(MOD(ROW()-ROW($B$2),16)=0,INDEX($M$2:$M$1000,(ROW()-ROW($B$2))/16+1),"")</f>
        <v/>
      </c>
    </row>
    <row r="1438" spans="2:14" x14ac:dyDescent="0.3">
      <c r="B1438" t="s">
        <v>2173</v>
      </c>
      <c r="C1438" t="s">
        <v>3620</v>
      </c>
      <c r="D1438" t="s">
        <v>1673</v>
      </c>
      <c r="E1438">
        <v>0</v>
      </c>
      <c r="F1438" t="s">
        <v>1673</v>
      </c>
      <c r="N1438" t="str" cm="1">
        <f t="array" ref="N1438">IF(MOD(ROW()-ROW($B$2),16)=0,INDEX($M$2:$M$1000,(ROW()-ROW($B$2))/16+1),"")</f>
        <v/>
      </c>
    </row>
    <row r="1439" spans="2:14" x14ac:dyDescent="0.3">
      <c r="B1439" t="s">
        <v>2173</v>
      </c>
      <c r="C1439" t="s">
        <v>3621</v>
      </c>
      <c r="D1439" t="s">
        <v>1674</v>
      </c>
      <c r="E1439">
        <v>0</v>
      </c>
      <c r="F1439" t="s">
        <v>1674</v>
      </c>
      <c r="N1439" t="str" cm="1">
        <f t="array" ref="N1439">IF(MOD(ROW()-ROW($B$2),16)=0,INDEX($M$2:$M$1000,(ROW()-ROW($B$2))/16+1),"")</f>
        <v/>
      </c>
    </row>
    <row r="1440" spans="2:14" x14ac:dyDescent="0.3">
      <c r="B1440" t="s">
        <v>2173</v>
      </c>
      <c r="C1440" t="s">
        <v>3622</v>
      </c>
      <c r="D1440" t="s">
        <v>1675</v>
      </c>
      <c r="E1440">
        <v>0</v>
      </c>
      <c r="F1440" t="s">
        <v>1675</v>
      </c>
      <c r="N1440" t="str" cm="1">
        <f t="array" ref="N1440">IF(MOD(ROW()-ROW($B$2),16)=0,INDEX($M$2:$M$1000,(ROW()-ROW($B$2))/16+1),"")</f>
        <v/>
      </c>
    </row>
    <row r="1441" spans="2:14" x14ac:dyDescent="0.3">
      <c r="B1441" t="s">
        <v>2173</v>
      </c>
      <c r="C1441" t="s">
        <v>3623</v>
      </c>
      <c r="D1441" t="s">
        <v>1676</v>
      </c>
      <c r="E1441">
        <v>0</v>
      </c>
      <c r="F1441" t="s">
        <v>1676</v>
      </c>
      <c r="N1441" t="str" cm="1">
        <f t="array" ref="N1441">IF(MOD(ROW()-ROW($B$2),16)=0,INDEX($M$2:$M$1000,(ROW()-ROW($B$2))/16+1),"")</f>
        <v/>
      </c>
    </row>
    <row r="1442" spans="2:14" x14ac:dyDescent="0.3">
      <c r="B1442" t="s">
        <v>2173</v>
      </c>
      <c r="C1442" t="s">
        <v>3624</v>
      </c>
      <c r="D1442" t="s">
        <v>1677</v>
      </c>
      <c r="E1442">
        <v>0</v>
      </c>
      <c r="F1442" t="s">
        <v>1677</v>
      </c>
      <c r="N1442" t="str" cm="1">
        <f t="array" ref="N1442">IF(MOD(ROW()-ROW($B$2),16)=0,INDEX($M$2:$M$1000,(ROW()-ROW($B$2))/16+1),"")</f>
        <v>Фиксированное число 90 (0)</v>
      </c>
    </row>
    <row r="1443" spans="2:14" x14ac:dyDescent="0.3">
      <c r="B1443" t="s">
        <v>2173</v>
      </c>
      <c r="C1443" t="s">
        <v>3625</v>
      </c>
      <c r="D1443" t="s">
        <v>1678</v>
      </c>
      <c r="E1443">
        <v>0</v>
      </c>
      <c r="F1443" t="s">
        <v>1678</v>
      </c>
      <c r="N1443" t="str" cm="1">
        <f t="array" ref="N1443">IF(MOD(ROW()-ROW($B$2),16)=0,INDEX($M$2:$M$1000,(ROW()-ROW($B$2))/16+1),"")</f>
        <v/>
      </c>
    </row>
    <row r="1444" spans="2:14" x14ac:dyDescent="0.3">
      <c r="B1444" t="s">
        <v>2173</v>
      </c>
      <c r="C1444" t="s">
        <v>3626</v>
      </c>
      <c r="D1444" t="s">
        <v>1679</v>
      </c>
      <c r="E1444">
        <v>0</v>
      </c>
      <c r="F1444" t="s">
        <v>1679</v>
      </c>
      <c r="N1444" t="str" cm="1">
        <f t="array" ref="N1444">IF(MOD(ROW()-ROW($B$2),16)=0,INDEX($M$2:$M$1000,(ROW()-ROW($B$2))/16+1),"")</f>
        <v/>
      </c>
    </row>
    <row r="1445" spans="2:14" x14ac:dyDescent="0.3">
      <c r="B1445" t="s">
        <v>2173</v>
      </c>
      <c r="C1445" t="s">
        <v>3627</v>
      </c>
      <c r="D1445" t="s">
        <v>1680</v>
      </c>
      <c r="E1445">
        <v>0</v>
      </c>
      <c r="F1445" t="s">
        <v>1680</v>
      </c>
      <c r="N1445" t="str" cm="1">
        <f t="array" ref="N1445">IF(MOD(ROW()-ROW($B$2),16)=0,INDEX($M$2:$M$1000,(ROW()-ROW($B$2))/16+1),"")</f>
        <v/>
      </c>
    </row>
    <row r="1446" spans="2:14" x14ac:dyDescent="0.3">
      <c r="B1446" t="s">
        <v>2173</v>
      </c>
      <c r="C1446" t="s">
        <v>3628</v>
      </c>
      <c r="D1446" t="s">
        <v>1681</v>
      </c>
      <c r="E1446">
        <v>0</v>
      </c>
      <c r="F1446" t="s">
        <v>1681</v>
      </c>
      <c r="N1446" t="str" cm="1">
        <f t="array" ref="N1446">IF(MOD(ROW()-ROW($B$2),16)=0,INDEX($M$2:$M$1000,(ROW()-ROW($B$2))/16+1),"")</f>
        <v/>
      </c>
    </row>
    <row r="1447" spans="2:14" x14ac:dyDescent="0.3">
      <c r="B1447" t="s">
        <v>2173</v>
      </c>
      <c r="C1447" t="s">
        <v>3629</v>
      </c>
      <c r="D1447" t="s">
        <v>1682</v>
      </c>
      <c r="E1447">
        <v>0</v>
      </c>
      <c r="F1447" t="s">
        <v>1682</v>
      </c>
      <c r="N1447" t="str" cm="1">
        <f t="array" ref="N1447">IF(MOD(ROW()-ROW($B$2),16)=0,INDEX($M$2:$M$1000,(ROW()-ROW($B$2))/16+1),"")</f>
        <v/>
      </c>
    </row>
    <row r="1448" spans="2:14" x14ac:dyDescent="0.3">
      <c r="B1448" t="s">
        <v>2173</v>
      </c>
      <c r="C1448" t="s">
        <v>3630</v>
      </c>
      <c r="D1448" t="s">
        <v>1683</v>
      </c>
      <c r="E1448">
        <v>0</v>
      </c>
      <c r="F1448" t="s">
        <v>1683</v>
      </c>
      <c r="N1448" t="str" cm="1">
        <f t="array" ref="N1448">IF(MOD(ROW()-ROW($B$2),16)=0,INDEX($M$2:$M$1000,(ROW()-ROW($B$2))/16+1),"")</f>
        <v/>
      </c>
    </row>
    <row r="1449" spans="2:14" x14ac:dyDescent="0.3">
      <c r="B1449" t="s">
        <v>2173</v>
      </c>
      <c r="C1449" t="s">
        <v>3631</v>
      </c>
      <c r="D1449" t="s">
        <v>1684</v>
      </c>
      <c r="E1449">
        <v>0</v>
      </c>
      <c r="F1449" t="s">
        <v>1684</v>
      </c>
      <c r="N1449" t="str" cm="1">
        <f t="array" ref="N1449">IF(MOD(ROW()-ROW($B$2),16)=0,INDEX($M$2:$M$1000,(ROW()-ROW($B$2))/16+1),"")</f>
        <v/>
      </c>
    </row>
    <row r="1450" spans="2:14" x14ac:dyDescent="0.3">
      <c r="B1450" t="s">
        <v>2173</v>
      </c>
      <c r="C1450" t="s">
        <v>3632</v>
      </c>
      <c r="D1450" t="s">
        <v>1685</v>
      </c>
      <c r="E1450">
        <v>0</v>
      </c>
      <c r="F1450" t="s">
        <v>1685</v>
      </c>
      <c r="N1450" t="str" cm="1">
        <f t="array" ref="N1450">IF(MOD(ROW()-ROW($B$2),16)=0,INDEX($M$2:$M$1000,(ROW()-ROW($B$2))/16+1),"")</f>
        <v/>
      </c>
    </row>
    <row r="1451" spans="2:14" x14ac:dyDescent="0.3">
      <c r="B1451" t="s">
        <v>2173</v>
      </c>
      <c r="C1451" t="s">
        <v>3633</v>
      </c>
      <c r="D1451" t="s">
        <v>1686</v>
      </c>
      <c r="E1451">
        <v>0</v>
      </c>
      <c r="F1451" t="s">
        <v>1686</v>
      </c>
      <c r="N1451" t="str" cm="1">
        <f t="array" ref="N1451">IF(MOD(ROW()-ROW($B$2),16)=0,INDEX($M$2:$M$1000,(ROW()-ROW($B$2))/16+1),"")</f>
        <v/>
      </c>
    </row>
    <row r="1452" spans="2:14" x14ac:dyDescent="0.3">
      <c r="B1452" t="s">
        <v>2173</v>
      </c>
      <c r="C1452" t="s">
        <v>3634</v>
      </c>
      <c r="D1452" t="s">
        <v>1687</v>
      </c>
      <c r="E1452">
        <v>0</v>
      </c>
      <c r="F1452" t="s">
        <v>1687</v>
      </c>
      <c r="N1452" t="str" cm="1">
        <f t="array" ref="N1452">IF(MOD(ROW()-ROW($B$2),16)=0,INDEX($M$2:$M$1000,(ROW()-ROW($B$2))/16+1),"")</f>
        <v/>
      </c>
    </row>
    <row r="1453" spans="2:14" x14ac:dyDescent="0.3">
      <c r="B1453" t="s">
        <v>2173</v>
      </c>
      <c r="C1453" t="s">
        <v>3635</v>
      </c>
      <c r="D1453" t="s">
        <v>1688</v>
      </c>
      <c r="E1453">
        <v>0</v>
      </c>
      <c r="F1453" t="s">
        <v>1688</v>
      </c>
      <c r="N1453" t="str" cm="1">
        <f t="array" ref="N1453">IF(MOD(ROW()-ROW($B$2),16)=0,INDEX($M$2:$M$1000,(ROW()-ROW($B$2))/16+1),"")</f>
        <v/>
      </c>
    </row>
    <row r="1454" spans="2:14" x14ac:dyDescent="0.3">
      <c r="B1454" t="s">
        <v>2173</v>
      </c>
      <c r="C1454" t="s">
        <v>3636</v>
      </c>
      <c r="D1454" t="s">
        <v>1689</v>
      </c>
      <c r="E1454">
        <v>0</v>
      </c>
      <c r="F1454" t="s">
        <v>1689</v>
      </c>
      <c r="N1454" t="str" cm="1">
        <f t="array" ref="N1454">IF(MOD(ROW()-ROW($B$2),16)=0,INDEX($M$2:$M$1000,(ROW()-ROW($B$2))/16+1),"")</f>
        <v/>
      </c>
    </row>
    <row r="1455" spans="2:14" x14ac:dyDescent="0.3">
      <c r="B1455" t="s">
        <v>2173</v>
      </c>
      <c r="C1455" t="s">
        <v>3637</v>
      </c>
      <c r="D1455" t="s">
        <v>1690</v>
      </c>
      <c r="E1455">
        <v>0</v>
      </c>
      <c r="F1455" t="s">
        <v>1690</v>
      </c>
      <c r="N1455" t="str" cm="1">
        <f t="array" ref="N1455">IF(MOD(ROW()-ROW($B$2),16)=0,INDEX($M$2:$M$1000,(ROW()-ROW($B$2))/16+1),"")</f>
        <v/>
      </c>
    </row>
    <row r="1456" spans="2:14" x14ac:dyDescent="0.3">
      <c r="B1456" t="s">
        <v>2173</v>
      </c>
      <c r="C1456" t="s">
        <v>3638</v>
      </c>
      <c r="D1456" t="s">
        <v>1691</v>
      </c>
      <c r="E1456">
        <v>0</v>
      </c>
      <c r="F1456" t="s">
        <v>1691</v>
      </c>
      <c r="N1456" t="str" cm="1">
        <f t="array" ref="N1456">IF(MOD(ROW()-ROW($B$2),16)=0,INDEX($M$2:$M$1000,(ROW()-ROW($B$2))/16+1),"")</f>
        <v/>
      </c>
    </row>
    <row r="1457" spans="2:14" x14ac:dyDescent="0.3">
      <c r="B1457" t="s">
        <v>2173</v>
      </c>
      <c r="C1457" t="s">
        <v>3639</v>
      </c>
      <c r="D1457" t="s">
        <v>1692</v>
      </c>
      <c r="E1457">
        <v>0</v>
      </c>
      <c r="F1457" t="s">
        <v>1692</v>
      </c>
      <c r="N1457" t="str" cm="1">
        <f t="array" ref="N1457">IF(MOD(ROW()-ROW($B$2),16)=0,INDEX($M$2:$M$1000,(ROW()-ROW($B$2))/16+1),"")</f>
        <v/>
      </c>
    </row>
    <row r="1458" spans="2:14" x14ac:dyDescent="0.3">
      <c r="B1458" t="s">
        <v>2173</v>
      </c>
      <c r="C1458" t="s">
        <v>3640</v>
      </c>
      <c r="D1458" t="s">
        <v>1693</v>
      </c>
      <c r="E1458">
        <v>0</v>
      </c>
      <c r="F1458" t="s">
        <v>1693</v>
      </c>
      <c r="N1458" t="str" cm="1">
        <f t="array" ref="N1458">IF(MOD(ROW()-ROW($B$2),16)=0,INDEX($M$2:$M$1000,(ROW()-ROW($B$2))/16+1),"")</f>
        <v>Фиксированное число 91 (0)</v>
      </c>
    </row>
    <row r="1459" spans="2:14" x14ac:dyDescent="0.3">
      <c r="B1459" t="s">
        <v>2173</v>
      </c>
      <c r="C1459" t="s">
        <v>3641</v>
      </c>
      <c r="D1459" t="s">
        <v>1694</v>
      </c>
      <c r="E1459">
        <v>0</v>
      </c>
      <c r="F1459" t="s">
        <v>1694</v>
      </c>
      <c r="N1459" t="str" cm="1">
        <f t="array" ref="N1459">IF(MOD(ROW()-ROW($B$2),16)=0,INDEX($M$2:$M$1000,(ROW()-ROW($B$2))/16+1),"")</f>
        <v/>
      </c>
    </row>
    <row r="1460" spans="2:14" x14ac:dyDescent="0.3">
      <c r="B1460" t="s">
        <v>2173</v>
      </c>
      <c r="C1460" t="s">
        <v>3642</v>
      </c>
      <c r="D1460" t="s">
        <v>1695</v>
      </c>
      <c r="E1460">
        <v>0</v>
      </c>
      <c r="F1460" t="s">
        <v>1695</v>
      </c>
      <c r="N1460" t="str" cm="1">
        <f t="array" ref="N1460">IF(MOD(ROW()-ROW($B$2),16)=0,INDEX($M$2:$M$1000,(ROW()-ROW($B$2))/16+1),"")</f>
        <v/>
      </c>
    </row>
    <row r="1461" spans="2:14" x14ac:dyDescent="0.3">
      <c r="B1461" t="s">
        <v>2173</v>
      </c>
      <c r="C1461" t="s">
        <v>3643</v>
      </c>
      <c r="D1461" t="s">
        <v>1696</v>
      </c>
      <c r="E1461">
        <v>0</v>
      </c>
      <c r="F1461" t="s">
        <v>1696</v>
      </c>
      <c r="N1461" t="str" cm="1">
        <f t="array" ref="N1461">IF(MOD(ROW()-ROW($B$2),16)=0,INDEX($M$2:$M$1000,(ROW()-ROW($B$2))/16+1),"")</f>
        <v/>
      </c>
    </row>
    <row r="1462" spans="2:14" x14ac:dyDescent="0.3">
      <c r="B1462" t="s">
        <v>2173</v>
      </c>
      <c r="C1462" t="s">
        <v>3644</v>
      </c>
      <c r="D1462" t="s">
        <v>1697</v>
      </c>
      <c r="E1462">
        <v>0</v>
      </c>
      <c r="F1462" t="s">
        <v>1697</v>
      </c>
      <c r="N1462" t="str" cm="1">
        <f t="array" ref="N1462">IF(MOD(ROW()-ROW($B$2),16)=0,INDEX($M$2:$M$1000,(ROW()-ROW($B$2))/16+1),"")</f>
        <v/>
      </c>
    </row>
    <row r="1463" spans="2:14" x14ac:dyDescent="0.3">
      <c r="B1463" t="s">
        <v>2173</v>
      </c>
      <c r="C1463" t="s">
        <v>3645</v>
      </c>
      <c r="D1463" t="s">
        <v>1698</v>
      </c>
      <c r="E1463">
        <v>0</v>
      </c>
      <c r="F1463" t="s">
        <v>1698</v>
      </c>
      <c r="N1463" t="str" cm="1">
        <f t="array" ref="N1463">IF(MOD(ROW()-ROW($B$2),16)=0,INDEX($M$2:$M$1000,(ROW()-ROW($B$2))/16+1),"")</f>
        <v/>
      </c>
    </row>
    <row r="1464" spans="2:14" x14ac:dyDescent="0.3">
      <c r="B1464" t="s">
        <v>2173</v>
      </c>
      <c r="C1464" t="s">
        <v>3646</v>
      </c>
      <c r="D1464" t="s">
        <v>1699</v>
      </c>
      <c r="E1464">
        <v>0</v>
      </c>
      <c r="F1464" t="s">
        <v>1699</v>
      </c>
      <c r="N1464" t="str" cm="1">
        <f t="array" ref="N1464">IF(MOD(ROW()-ROW($B$2),16)=0,INDEX($M$2:$M$1000,(ROW()-ROW($B$2))/16+1),"")</f>
        <v/>
      </c>
    </row>
    <row r="1465" spans="2:14" x14ac:dyDescent="0.3">
      <c r="B1465" t="s">
        <v>2173</v>
      </c>
      <c r="C1465" t="s">
        <v>3647</v>
      </c>
      <c r="D1465" t="s">
        <v>1700</v>
      </c>
      <c r="E1465">
        <v>0</v>
      </c>
      <c r="F1465" t="s">
        <v>1700</v>
      </c>
      <c r="N1465" t="str" cm="1">
        <f t="array" ref="N1465">IF(MOD(ROW()-ROW($B$2),16)=0,INDEX($M$2:$M$1000,(ROW()-ROW($B$2))/16+1),"")</f>
        <v/>
      </c>
    </row>
    <row r="1466" spans="2:14" x14ac:dyDescent="0.3">
      <c r="B1466" t="s">
        <v>2173</v>
      </c>
      <c r="C1466" t="s">
        <v>3648</v>
      </c>
      <c r="D1466" t="s">
        <v>1701</v>
      </c>
      <c r="E1466">
        <v>0</v>
      </c>
      <c r="F1466" t="s">
        <v>1701</v>
      </c>
      <c r="N1466" t="str" cm="1">
        <f t="array" ref="N1466">IF(MOD(ROW()-ROW($B$2),16)=0,INDEX($M$2:$M$1000,(ROW()-ROW($B$2))/16+1),"")</f>
        <v/>
      </c>
    </row>
    <row r="1467" spans="2:14" x14ac:dyDescent="0.3">
      <c r="B1467" t="s">
        <v>2173</v>
      </c>
      <c r="C1467" t="s">
        <v>3649</v>
      </c>
      <c r="D1467" t="s">
        <v>1702</v>
      </c>
      <c r="E1467">
        <v>0</v>
      </c>
      <c r="F1467" t="s">
        <v>1702</v>
      </c>
      <c r="N1467" t="str" cm="1">
        <f t="array" ref="N1467">IF(MOD(ROW()-ROW($B$2),16)=0,INDEX($M$2:$M$1000,(ROW()-ROW($B$2))/16+1),"")</f>
        <v/>
      </c>
    </row>
    <row r="1468" spans="2:14" x14ac:dyDescent="0.3">
      <c r="B1468" t="s">
        <v>2173</v>
      </c>
      <c r="C1468" t="s">
        <v>3650</v>
      </c>
      <c r="D1468" t="s">
        <v>1703</v>
      </c>
      <c r="E1468">
        <v>0</v>
      </c>
      <c r="F1468" t="s">
        <v>1703</v>
      </c>
      <c r="N1468" t="str" cm="1">
        <f t="array" ref="N1468">IF(MOD(ROW()-ROW($B$2),16)=0,INDEX($M$2:$M$1000,(ROW()-ROW($B$2))/16+1),"")</f>
        <v/>
      </c>
    </row>
    <row r="1469" spans="2:14" x14ac:dyDescent="0.3">
      <c r="B1469" t="s">
        <v>2173</v>
      </c>
      <c r="C1469" t="s">
        <v>3651</v>
      </c>
      <c r="D1469" t="s">
        <v>1704</v>
      </c>
      <c r="E1469">
        <v>0</v>
      </c>
      <c r="F1469" t="s">
        <v>1704</v>
      </c>
      <c r="N1469" t="str" cm="1">
        <f t="array" ref="N1469">IF(MOD(ROW()-ROW($B$2),16)=0,INDEX($M$2:$M$1000,(ROW()-ROW($B$2))/16+1),"")</f>
        <v/>
      </c>
    </row>
    <row r="1470" spans="2:14" x14ac:dyDescent="0.3">
      <c r="B1470" t="s">
        <v>2173</v>
      </c>
      <c r="C1470" t="s">
        <v>3652</v>
      </c>
      <c r="D1470" t="s">
        <v>1705</v>
      </c>
      <c r="E1470">
        <v>0</v>
      </c>
      <c r="F1470" t="s">
        <v>1705</v>
      </c>
      <c r="N1470" t="str" cm="1">
        <f t="array" ref="N1470">IF(MOD(ROW()-ROW($B$2),16)=0,INDEX($M$2:$M$1000,(ROW()-ROW($B$2))/16+1),"")</f>
        <v/>
      </c>
    </row>
    <row r="1471" spans="2:14" x14ac:dyDescent="0.3">
      <c r="B1471" t="s">
        <v>2173</v>
      </c>
      <c r="C1471" t="s">
        <v>3653</v>
      </c>
      <c r="D1471" t="s">
        <v>1706</v>
      </c>
      <c r="E1471">
        <v>0</v>
      </c>
      <c r="F1471" t="s">
        <v>1706</v>
      </c>
      <c r="N1471" t="str" cm="1">
        <f t="array" ref="N1471">IF(MOD(ROW()-ROW($B$2),16)=0,INDEX($M$2:$M$1000,(ROW()-ROW($B$2))/16+1),"")</f>
        <v/>
      </c>
    </row>
    <row r="1472" spans="2:14" x14ac:dyDescent="0.3">
      <c r="B1472" t="s">
        <v>2173</v>
      </c>
      <c r="C1472" t="s">
        <v>3654</v>
      </c>
      <c r="D1472" t="s">
        <v>1707</v>
      </c>
      <c r="E1472">
        <v>0</v>
      </c>
      <c r="F1472" t="s">
        <v>1707</v>
      </c>
      <c r="N1472" t="str" cm="1">
        <f t="array" ref="N1472">IF(MOD(ROW()-ROW($B$2),16)=0,INDEX($M$2:$M$1000,(ROW()-ROW($B$2))/16+1),"")</f>
        <v/>
      </c>
    </row>
    <row r="1473" spans="2:14" x14ac:dyDescent="0.3">
      <c r="B1473" t="s">
        <v>2173</v>
      </c>
      <c r="C1473" t="s">
        <v>3655</v>
      </c>
      <c r="D1473" t="s">
        <v>1708</v>
      </c>
      <c r="E1473">
        <v>0</v>
      </c>
      <c r="F1473" t="s">
        <v>1708</v>
      </c>
      <c r="N1473" t="str" cm="1">
        <f t="array" ref="N1473">IF(MOD(ROW()-ROW($B$2),16)=0,INDEX($M$2:$M$1000,(ROW()-ROW($B$2))/16+1),"")</f>
        <v/>
      </c>
    </row>
    <row r="1474" spans="2:14" x14ac:dyDescent="0.3">
      <c r="B1474" t="s">
        <v>2173</v>
      </c>
      <c r="C1474" t="s">
        <v>3656</v>
      </c>
      <c r="D1474" t="s">
        <v>1709</v>
      </c>
      <c r="E1474">
        <v>0</v>
      </c>
      <c r="F1474" t="s">
        <v>1709</v>
      </c>
      <c r="N1474" t="str" cm="1">
        <f t="array" ref="N1474">IF(MOD(ROW()-ROW($B$2),16)=0,INDEX($M$2:$M$1000,(ROW()-ROW($B$2))/16+1),"")</f>
        <v>Фиксированное число 92 (0)</v>
      </c>
    </row>
    <row r="1475" spans="2:14" x14ac:dyDescent="0.3">
      <c r="B1475" t="s">
        <v>2173</v>
      </c>
      <c r="C1475" t="s">
        <v>3657</v>
      </c>
      <c r="D1475" t="s">
        <v>1710</v>
      </c>
      <c r="E1475">
        <v>0</v>
      </c>
      <c r="F1475" t="s">
        <v>1710</v>
      </c>
      <c r="N1475" t="str" cm="1">
        <f t="array" ref="N1475">IF(MOD(ROW()-ROW($B$2),16)=0,INDEX($M$2:$M$1000,(ROW()-ROW($B$2))/16+1),"")</f>
        <v/>
      </c>
    </row>
    <row r="1476" spans="2:14" x14ac:dyDescent="0.3">
      <c r="B1476" t="s">
        <v>2173</v>
      </c>
      <c r="C1476" t="s">
        <v>3658</v>
      </c>
      <c r="D1476" t="s">
        <v>1711</v>
      </c>
      <c r="E1476">
        <v>0</v>
      </c>
      <c r="F1476" t="s">
        <v>1711</v>
      </c>
      <c r="N1476" t="str" cm="1">
        <f t="array" ref="N1476">IF(MOD(ROW()-ROW($B$2),16)=0,INDEX($M$2:$M$1000,(ROW()-ROW($B$2))/16+1),"")</f>
        <v/>
      </c>
    </row>
    <row r="1477" spans="2:14" x14ac:dyDescent="0.3">
      <c r="B1477" t="s">
        <v>2173</v>
      </c>
      <c r="C1477" t="s">
        <v>3659</v>
      </c>
      <c r="D1477" t="s">
        <v>1712</v>
      </c>
      <c r="E1477">
        <v>0</v>
      </c>
      <c r="F1477" t="s">
        <v>1712</v>
      </c>
      <c r="N1477" t="str" cm="1">
        <f t="array" ref="N1477">IF(MOD(ROW()-ROW($B$2),16)=0,INDEX($M$2:$M$1000,(ROW()-ROW($B$2))/16+1),"")</f>
        <v/>
      </c>
    </row>
    <row r="1478" spans="2:14" x14ac:dyDescent="0.3">
      <c r="B1478" t="s">
        <v>2173</v>
      </c>
      <c r="C1478" t="s">
        <v>3660</v>
      </c>
      <c r="D1478" t="s">
        <v>1713</v>
      </c>
      <c r="E1478">
        <v>0</v>
      </c>
      <c r="F1478" t="s">
        <v>1713</v>
      </c>
      <c r="N1478" t="str" cm="1">
        <f t="array" ref="N1478">IF(MOD(ROW()-ROW($B$2),16)=0,INDEX($M$2:$M$1000,(ROW()-ROW($B$2))/16+1),"")</f>
        <v/>
      </c>
    </row>
    <row r="1479" spans="2:14" x14ac:dyDescent="0.3">
      <c r="B1479" t="s">
        <v>2173</v>
      </c>
      <c r="C1479" t="s">
        <v>3661</v>
      </c>
      <c r="D1479" t="s">
        <v>1714</v>
      </c>
      <c r="E1479">
        <v>0</v>
      </c>
      <c r="F1479" t="s">
        <v>1714</v>
      </c>
      <c r="N1479" t="str" cm="1">
        <f t="array" ref="N1479">IF(MOD(ROW()-ROW($B$2),16)=0,INDEX($M$2:$M$1000,(ROW()-ROW($B$2))/16+1),"")</f>
        <v/>
      </c>
    </row>
    <row r="1480" spans="2:14" x14ac:dyDescent="0.3">
      <c r="B1480" t="s">
        <v>2173</v>
      </c>
      <c r="C1480" t="s">
        <v>3662</v>
      </c>
      <c r="D1480" t="s">
        <v>1715</v>
      </c>
      <c r="E1480">
        <v>0</v>
      </c>
      <c r="F1480" t="s">
        <v>1715</v>
      </c>
      <c r="N1480" t="str" cm="1">
        <f t="array" ref="N1480">IF(MOD(ROW()-ROW($B$2),16)=0,INDEX($M$2:$M$1000,(ROW()-ROW($B$2))/16+1),"")</f>
        <v/>
      </c>
    </row>
    <row r="1481" spans="2:14" x14ac:dyDescent="0.3">
      <c r="B1481" t="s">
        <v>2173</v>
      </c>
      <c r="C1481" t="s">
        <v>3663</v>
      </c>
      <c r="D1481" t="s">
        <v>1716</v>
      </c>
      <c r="E1481">
        <v>0</v>
      </c>
      <c r="F1481" t="s">
        <v>1716</v>
      </c>
      <c r="N1481" t="str" cm="1">
        <f t="array" ref="N1481">IF(MOD(ROW()-ROW($B$2),16)=0,INDEX($M$2:$M$1000,(ROW()-ROW($B$2))/16+1),"")</f>
        <v/>
      </c>
    </row>
    <row r="1482" spans="2:14" x14ac:dyDescent="0.3">
      <c r="B1482" t="s">
        <v>2173</v>
      </c>
      <c r="C1482" t="s">
        <v>3664</v>
      </c>
      <c r="D1482" t="s">
        <v>1717</v>
      </c>
      <c r="E1482">
        <v>0</v>
      </c>
      <c r="F1482" t="s">
        <v>1717</v>
      </c>
      <c r="N1482" t="str" cm="1">
        <f t="array" ref="N1482">IF(MOD(ROW()-ROW($B$2),16)=0,INDEX($M$2:$M$1000,(ROW()-ROW($B$2))/16+1),"")</f>
        <v/>
      </c>
    </row>
    <row r="1483" spans="2:14" x14ac:dyDescent="0.3">
      <c r="B1483" t="s">
        <v>2173</v>
      </c>
      <c r="C1483" t="s">
        <v>3665</v>
      </c>
      <c r="D1483" t="s">
        <v>1718</v>
      </c>
      <c r="E1483">
        <v>0</v>
      </c>
      <c r="F1483" t="s">
        <v>1718</v>
      </c>
      <c r="N1483" t="str" cm="1">
        <f t="array" ref="N1483">IF(MOD(ROW()-ROW($B$2),16)=0,INDEX($M$2:$M$1000,(ROW()-ROW($B$2))/16+1),"")</f>
        <v/>
      </c>
    </row>
    <row r="1484" spans="2:14" x14ac:dyDescent="0.3">
      <c r="B1484" t="s">
        <v>2173</v>
      </c>
      <c r="C1484" t="s">
        <v>3666</v>
      </c>
      <c r="D1484" t="s">
        <v>1719</v>
      </c>
      <c r="E1484">
        <v>0</v>
      </c>
      <c r="F1484" t="s">
        <v>1719</v>
      </c>
      <c r="N1484" t="str" cm="1">
        <f t="array" ref="N1484">IF(MOD(ROW()-ROW($B$2),16)=0,INDEX($M$2:$M$1000,(ROW()-ROW($B$2))/16+1),"")</f>
        <v/>
      </c>
    </row>
    <row r="1485" spans="2:14" x14ac:dyDescent="0.3">
      <c r="B1485" t="s">
        <v>2173</v>
      </c>
      <c r="C1485" t="s">
        <v>3667</v>
      </c>
      <c r="D1485" t="s">
        <v>1720</v>
      </c>
      <c r="E1485">
        <v>0</v>
      </c>
      <c r="F1485" t="s">
        <v>1720</v>
      </c>
      <c r="N1485" t="str" cm="1">
        <f t="array" ref="N1485">IF(MOD(ROW()-ROW($B$2),16)=0,INDEX($M$2:$M$1000,(ROW()-ROW($B$2))/16+1),"")</f>
        <v/>
      </c>
    </row>
    <row r="1486" spans="2:14" x14ac:dyDescent="0.3">
      <c r="B1486" t="s">
        <v>2173</v>
      </c>
      <c r="C1486" t="s">
        <v>3668</v>
      </c>
      <c r="D1486" t="s">
        <v>1721</v>
      </c>
      <c r="E1486">
        <v>0</v>
      </c>
      <c r="F1486" t="s">
        <v>1721</v>
      </c>
      <c r="N1486" t="str" cm="1">
        <f t="array" ref="N1486">IF(MOD(ROW()-ROW($B$2),16)=0,INDEX($M$2:$M$1000,(ROW()-ROW($B$2))/16+1),"")</f>
        <v/>
      </c>
    </row>
    <row r="1487" spans="2:14" x14ac:dyDescent="0.3">
      <c r="B1487" t="s">
        <v>2173</v>
      </c>
      <c r="C1487" t="s">
        <v>3669</v>
      </c>
      <c r="D1487" t="s">
        <v>1722</v>
      </c>
      <c r="E1487">
        <v>0</v>
      </c>
      <c r="F1487" t="s">
        <v>1722</v>
      </c>
      <c r="N1487" t="str" cm="1">
        <f t="array" ref="N1487">IF(MOD(ROW()-ROW($B$2),16)=0,INDEX($M$2:$M$1000,(ROW()-ROW($B$2))/16+1),"")</f>
        <v/>
      </c>
    </row>
    <row r="1488" spans="2:14" x14ac:dyDescent="0.3">
      <c r="B1488" t="s">
        <v>2173</v>
      </c>
      <c r="C1488" t="s">
        <v>3670</v>
      </c>
      <c r="D1488" t="s">
        <v>1723</v>
      </c>
      <c r="E1488">
        <v>0</v>
      </c>
      <c r="F1488" t="s">
        <v>1723</v>
      </c>
      <c r="N1488" t="str" cm="1">
        <f t="array" ref="N1488">IF(MOD(ROW()-ROW($B$2),16)=0,INDEX($M$2:$M$1000,(ROW()-ROW($B$2))/16+1),"")</f>
        <v/>
      </c>
    </row>
    <row r="1489" spans="2:14" x14ac:dyDescent="0.3">
      <c r="B1489" t="s">
        <v>2173</v>
      </c>
      <c r="C1489" t="s">
        <v>3671</v>
      </c>
      <c r="D1489" t="s">
        <v>1724</v>
      </c>
      <c r="E1489">
        <v>0</v>
      </c>
      <c r="F1489" t="s">
        <v>1724</v>
      </c>
      <c r="N1489" t="str" cm="1">
        <f t="array" ref="N1489">IF(MOD(ROW()-ROW($B$2),16)=0,INDEX($M$2:$M$1000,(ROW()-ROW($B$2))/16+1),"")</f>
        <v/>
      </c>
    </row>
    <row r="1490" spans="2:14" x14ac:dyDescent="0.3">
      <c r="B1490" t="s">
        <v>2173</v>
      </c>
      <c r="C1490" t="s">
        <v>3672</v>
      </c>
      <c r="D1490" t="s">
        <v>1725</v>
      </c>
      <c r="E1490">
        <v>0</v>
      </c>
      <c r="F1490" t="s">
        <v>1725</v>
      </c>
      <c r="N1490" t="str" cm="1">
        <f t="array" ref="N1490">IF(MOD(ROW()-ROW($B$2),16)=0,INDEX($M$2:$M$1000,(ROW()-ROW($B$2))/16+1),"")</f>
        <v>Фиксированное число 93 (0)</v>
      </c>
    </row>
    <row r="1491" spans="2:14" x14ac:dyDescent="0.3">
      <c r="B1491" t="s">
        <v>2173</v>
      </c>
      <c r="C1491" t="s">
        <v>3673</v>
      </c>
      <c r="D1491" t="s">
        <v>1726</v>
      </c>
      <c r="E1491">
        <v>0</v>
      </c>
      <c r="F1491" t="s">
        <v>1726</v>
      </c>
      <c r="N1491" t="str" cm="1">
        <f t="array" ref="N1491">IF(MOD(ROW()-ROW($B$2),16)=0,INDEX($M$2:$M$1000,(ROW()-ROW($B$2))/16+1),"")</f>
        <v/>
      </c>
    </row>
    <row r="1492" spans="2:14" x14ac:dyDescent="0.3">
      <c r="B1492" t="s">
        <v>2173</v>
      </c>
      <c r="C1492" t="s">
        <v>3674</v>
      </c>
      <c r="D1492" t="s">
        <v>1727</v>
      </c>
      <c r="E1492">
        <v>0</v>
      </c>
      <c r="F1492" t="s">
        <v>1727</v>
      </c>
      <c r="N1492" t="str" cm="1">
        <f t="array" ref="N1492">IF(MOD(ROW()-ROW($B$2),16)=0,INDEX($M$2:$M$1000,(ROW()-ROW($B$2))/16+1),"")</f>
        <v/>
      </c>
    </row>
    <row r="1493" spans="2:14" x14ac:dyDescent="0.3">
      <c r="B1493" t="s">
        <v>2173</v>
      </c>
      <c r="C1493" t="s">
        <v>3675</v>
      </c>
      <c r="D1493" t="s">
        <v>1728</v>
      </c>
      <c r="E1493">
        <v>0</v>
      </c>
      <c r="F1493" t="s">
        <v>1728</v>
      </c>
      <c r="N1493" t="str" cm="1">
        <f t="array" ref="N1493">IF(MOD(ROW()-ROW($B$2),16)=0,INDEX($M$2:$M$1000,(ROW()-ROW($B$2))/16+1),"")</f>
        <v/>
      </c>
    </row>
    <row r="1494" spans="2:14" x14ac:dyDescent="0.3">
      <c r="B1494" t="s">
        <v>2173</v>
      </c>
      <c r="C1494" t="s">
        <v>3676</v>
      </c>
      <c r="D1494" t="s">
        <v>1729</v>
      </c>
      <c r="E1494">
        <v>0</v>
      </c>
      <c r="F1494" t="s">
        <v>1729</v>
      </c>
      <c r="N1494" t="str" cm="1">
        <f t="array" ref="N1494">IF(MOD(ROW()-ROW($B$2),16)=0,INDEX($M$2:$M$1000,(ROW()-ROW($B$2))/16+1),"")</f>
        <v/>
      </c>
    </row>
    <row r="1495" spans="2:14" x14ac:dyDescent="0.3">
      <c r="B1495" t="s">
        <v>2173</v>
      </c>
      <c r="C1495" t="s">
        <v>3677</v>
      </c>
      <c r="D1495" t="s">
        <v>1730</v>
      </c>
      <c r="E1495">
        <v>0</v>
      </c>
      <c r="F1495" t="s">
        <v>1730</v>
      </c>
      <c r="N1495" t="str" cm="1">
        <f t="array" ref="N1495">IF(MOD(ROW()-ROW($B$2),16)=0,INDEX($M$2:$M$1000,(ROW()-ROW($B$2))/16+1),"")</f>
        <v/>
      </c>
    </row>
    <row r="1496" spans="2:14" x14ac:dyDescent="0.3">
      <c r="B1496" t="s">
        <v>2173</v>
      </c>
      <c r="C1496" t="s">
        <v>3678</v>
      </c>
      <c r="D1496" t="s">
        <v>1731</v>
      </c>
      <c r="E1496">
        <v>0</v>
      </c>
      <c r="F1496" t="s">
        <v>1731</v>
      </c>
      <c r="N1496" t="str" cm="1">
        <f t="array" ref="N1496">IF(MOD(ROW()-ROW($B$2),16)=0,INDEX($M$2:$M$1000,(ROW()-ROW($B$2))/16+1),"")</f>
        <v/>
      </c>
    </row>
    <row r="1497" spans="2:14" x14ac:dyDescent="0.3">
      <c r="B1497" t="s">
        <v>2173</v>
      </c>
      <c r="C1497" t="s">
        <v>3679</v>
      </c>
      <c r="D1497" t="s">
        <v>1732</v>
      </c>
      <c r="E1497">
        <v>0</v>
      </c>
      <c r="F1497" t="s">
        <v>1732</v>
      </c>
      <c r="N1497" t="str" cm="1">
        <f t="array" ref="N1497">IF(MOD(ROW()-ROW($B$2),16)=0,INDEX($M$2:$M$1000,(ROW()-ROW($B$2))/16+1),"")</f>
        <v/>
      </c>
    </row>
    <row r="1498" spans="2:14" x14ac:dyDescent="0.3">
      <c r="B1498" t="s">
        <v>2173</v>
      </c>
      <c r="C1498" t="s">
        <v>3680</v>
      </c>
      <c r="D1498" t="s">
        <v>1733</v>
      </c>
      <c r="E1498">
        <v>0</v>
      </c>
      <c r="F1498" t="s">
        <v>1733</v>
      </c>
      <c r="N1498" t="str" cm="1">
        <f t="array" ref="N1498">IF(MOD(ROW()-ROW($B$2),16)=0,INDEX($M$2:$M$1000,(ROW()-ROW($B$2))/16+1),"")</f>
        <v/>
      </c>
    </row>
    <row r="1499" spans="2:14" x14ac:dyDescent="0.3">
      <c r="B1499" t="s">
        <v>2173</v>
      </c>
      <c r="C1499" t="s">
        <v>3681</v>
      </c>
      <c r="D1499" t="s">
        <v>1734</v>
      </c>
      <c r="E1499">
        <v>0</v>
      </c>
      <c r="F1499" t="s">
        <v>1734</v>
      </c>
      <c r="N1499" t="str" cm="1">
        <f t="array" ref="N1499">IF(MOD(ROW()-ROW($B$2),16)=0,INDEX($M$2:$M$1000,(ROW()-ROW($B$2))/16+1),"")</f>
        <v/>
      </c>
    </row>
    <row r="1500" spans="2:14" x14ac:dyDescent="0.3">
      <c r="B1500" t="s">
        <v>2173</v>
      </c>
      <c r="C1500" t="s">
        <v>3682</v>
      </c>
      <c r="D1500" t="s">
        <v>1735</v>
      </c>
      <c r="E1500">
        <v>0</v>
      </c>
      <c r="F1500" t="s">
        <v>1735</v>
      </c>
      <c r="N1500" t="str" cm="1">
        <f t="array" ref="N1500">IF(MOD(ROW()-ROW($B$2),16)=0,INDEX($M$2:$M$1000,(ROW()-ROW($B$2))/16+1),"")</f>
        <v/>
      </c>
    </row>
    <row r="1501" spans="2:14" x14ac:dyDescent="0.3">
      <c r="B1501" t="s">
        <v>2173</v>
      </c>
      <c r="C1501" t="s">
        <v>3683</v>
      </c>
      <c r="D1501" t="s">
        <v>1736</v>
      </c>
      <c r="E1501">
        <v>0</v>
      </c>
      <c r="F1501" t="s">
        <v>1736</v>
      </c>
      <c r="N1501" t="str" cm="1">
        <f t="array" ref="N1501">IF(MOD(ROW()-ROW($B$2),16)=0,INDEX($M$2:$M$1000,(ROW()-ROW($B$2))/16+1),"")</f>
        <v/>
      </c>
    </row>
    <row r="1502" spans="2:14" x14ac:dyDescent="0.3">
      <c r="B1502" t="s">
        <v>2173</v>
      </c>
      <c r="C1502" t="s">
        <v>3684</v>
      </c>
      <c r="D1502" t="s">
        <v>1737</v>
      </c>
      <c r="E1502">
        <v>0</v>
      </c>
      <c r="F1502" t="s">
        <v>1737</v>
      </c>
      <c r="N1502" t="str" cm="1">
        <f t="array" ref="N1502">IF(MOD(ROW()-ROW($B$2),16)=0,INDEX($M$2:$M$1000,(ROW()-ROW($B$2))/16+1),"")</f>
        <v/>
      </c>
    </row>
    <row r="1503" spans="2:14" x14ac:dyDescent="0.3">
      <c r="B1503" t="s">
        <v>2173</v>
      </c>
      <c r="C1503" t="s">
        <v>3685</v>
      </c>
      <c r="D1503" t="s">
        <v>1738</v>
      </c>
      <c r="E1503">
        <v>0</v>
      </c>
      <c r="F1503" t="s">
        <v>1738</v>
      </c>
      <c r="N1503" t="str" cm="1">
        <f t="array" ref="N1503">IF(MOD(ROW()-ROW($B$2),16)=0,INDEX($M$2:$M$1000,(ROW()-ROW($B$2))/16+1),"")</f>
        <v/>
      </c>
    </row>
    <row r="1504" spans="2:14" x14ac:dyDescent="0.3">
      <c r="B1504" t="s">
        <v>2173</v>
      </c>
      <c r="C1504" t="s">
        <v>3686</v>
      </c>
      <c r="D1504" t="s">
        <v>1739</v>
      </c>
      <c r="E1504">
        <v>0</v>
      </c>
      <c r="F1504" t="s">
        <v>1739</v>
      </c>
      <c r="N1504" t="str" cm="1">
        <f t="array" ref="N1504">IF(MOD(ROW()-ROW($B$2),16)=0,INDEX($M$2:$M$1000,(ROW()-ROW($B$2))/16+1),"")</f>
        <v/>
      </c>
    </row>
    <row r="1505" spans="2:14" x14ac:dyDescent="0.3">
      <c r="B1505" t="s">
        <v>2173</v>
      </c>
      <c r="C1505" t="s">
        <v>3687</v>
      </c>
      <c r="D1505" t="s">
        <v>1740</v>
      </c>
      <c r="E1505">
        <v>0</v>
      </c>
      <c r="F1505" t="s">
        <v>1740</v>
      </c>
      <c r="N1505" t="str" cm="1">
        <f t="array" ref="N1505">IF(MOD(ROW()-ROW($B$2),16)=0,INDEX($M$2:$M$1000,(ROW()-ROW($B$2))/16+1),"")</f>
        <v/>
      </c>
    </row>
    <row r="1506" spans="2:14" x14ac:dyDescent="0.3">
      <c r="B1506" t="s">
        <v>2173</v>
      </c>
      <c r="C1506" t="s">
        <v>3688</v>
      </c>
      <c r="D1506" t="s">
        <v>1741</v>
      </c>
      <c r="E1506">
        <v>0</v>
      </c>
      <c r="F1506" t="s">
        <v>1741</v>
      </c>
      <c r="N1506" t="str" cm="1">
        <f t="array" ref="N1506">IF(MOD(ROW()-ROW($B$2),16)=0,INDEX($M$2:$M$1000,(ROW()-ROW($B$2))/16+1),"")</f>
        <v>Фиксированное число 94 (0)</v>
      </c>
    </row>
    <row r="1507" spans="2:14" x14ac:dyDescent="0.3">
      <c r="B1507" t="s">
        <v>2173</v>
      </c>
      <c r="C1507" t="s">
        <v>3689</v>
      </c>
      <c r="D1507" t="s">
        <v>1742</v>
      </c>
      <c r="E1507">
        <v>0</v>
      </c>
      <c r="F1507" t="s">
        <v>1742</v>
      </c>
      <c r="N1507" t="str" cm="1">
        <f t="array" ref="N1507">IF(MOD(ROW()-ROW($B$2),16)=0,INDEX($M$2:$M$1000,(ROW()-ROW($B$2))/16+1),"")</f>
        <v/>
      </c>
    </row>
    <row r="1508" spans="2:14" x14ac:dyDescent="0.3">
      <c r="B1508" t="s">
        <v>2173</v>
      </c>
      <c r="C1508" t="s">
        <v>3690</v>
      </c>
      <c r="D1508" t="s">
        <v>1743</v>
      </c>
      <c r="E1508">
        <v>0</v>
      </c>
      <c r="F1508" t="s">
        <v>1743</v>
      </c>
      <c r="N1508" t="str" cm="1">
        <f t="array" ref="N1508">IF(MOD(ROW()-ROW($B$2),16)=0,INDEX($M$2:$M$1000,(ROW()-ROW($B$2))/16+1),"")</f>
        <v/>
      </c>
    </row>
    <row r="1509" spans="2:14" x14ac:dyDescent="0.3">
      <c r="B1509" t="s">
        <v>2173</v>
      </c>
      <c r="C1509" t="s">
        <v>3691</v>
      </c>
      <c r="D1509" t="s">
        <v>1744</v>
      </c>
      <c r="E1509">
        <v>0</v>
      </c>
      <c r="F1509" t="s">
        <v>1744</v>
      </c>
      <c r="N1509" t="str" cm="1">
        <f t="array" ref="N1509">IF(MOD(ROW()-ROW($B$2),16)=0,INDEX($M$2:$M$1000,(ROW()-ROW($B$2))/16+1),"")</f>
        <v/>
      </c>
    </row>
    <row r="1510" spans="2:14" x14ac:dyDescent="0.3">
      <c r="B1510" t="s">
        <v>2173</v>
      </c>
      <c r="C1510" t="s">
        <v>3692</v>
      </c>
      <c r="D1510" t="s">
        <v>1745</v>
      </c>
      <c r="E1510">
        <v>0</v>
      </c>
      <c r="F1510" t="s">
        <v>1745</v>
      </c>
      <c r="N1510" t="str" cm="1">
        <f t="array" ref="N1510">IF(MOD(ROW()-ROW($B$2),16)=0,INDEX($M$2:$M$1000,(ROW()-ROW($B$2))/16+1),"")</f>
        <v/>
      </c>
    </row>
    <row r="1511" spans="2:14" x14ac:dyDescent="0.3">
      <c r="B1511" t="s">
        <v>2173</v>
      </c>
      <c r="C1511" t="s">
        <v>3693</v>
      </c>
      <c r="D1511" t="s">
        <v>1746</v>
      </c>
      <c r="E1511">
        <v>0</v>
      </c>
      <c r="F1511" t="s">
        <v>1746</v>
      </c>
      <c r="N1511" t="str" cm="1">
        <f t="array" ref="N1511">IF(MOD(ROW()-ROW($B$2),16)=0,INDEX($M$2:$M$1000,(ROW()-ROW($B$2))/16+1),"")</f>
        <v/>
      </c>
    </row>
    <row r="1512" spans="2:14" x14ac:dyDescent="0.3">
      <c r="B1512" t="s">
        <v>2173</v>
      </c>
      <c r="C1512" t="s">
        <v>3694</v>
      </c>
      <c r="D1512" t="s">
        <v>1747</v>
      </c>
      <c r="E1512">
        <v>0</v>
      </c>
      <c r="F1512" t="s">
        <v>1747</v>
      </c>
      <c r="N1512" t="str" cm="1">
        <f t="array" ref="N1512">IF(MOD(ROW()-ROW($B$2),16)=0,INDEX($M$2:$M$1000,(ROW()-ROW($B$2))/16+1),"")</f>
        <v/>
      </c>
    </row>
    <row r="1513" spans="2:14" x14ac:dyDescent="0.3">
      <c r="B1513" t="s">
        <v>2173</v>
      </c>
      <c r="C1513" t="s">
        <v>3695</v>
      </c>
      <c r="D1513" t="s">
        <v>1748</v>
      </c>
      <c r="E1513">
        <v>0</v>
      </c>
      <c r="F1513" t="s">
        <v>1748</v>
      </c>
      <c r="N1513" t="str" cm="1">
        <f t="array" ref="N1513">IF(MOD(ROW()-ROW($B$2),16)=0,INDEX($M$2:$M$1000,(ROW()-ROW($B$2))/16+1),"")</f>
        <v/>
      </c>
    </row>
    <row r="1514" spans="2:14" x14ac:dyDescent="0.3">
      <c r="B1514" t="s">
        <v>2173</v>
      </c>
      <c r="C1514" t="s">
        <v>3696</v>
      </c>
      <c r="D1514" t="s">
        <v>1749</v>
      </c>
      <c r="E1514">
        <v>0</v>
      </c>
      <c r="F1514" t="s">
        <v>1749</v>
      </c>
      <c r="N1514" t="str" cm="1">
        <f t="array" ref="N1514">IF(MOD(ROW()-ROW($B$2),16)=0,INDEX($M$2:$M$1000,(ROW()-ROW($B$2))/16+1),"")</f>
        <v/>
      </c>
    </row>
    <row r="1515" spans="2:14" x14ac:dyDescent="0.3">
      <c r="B1515" t="s">
        <v>2173</v>
      </c>
      <c r="C1515" t="s">
        <v>3697</v>
      </c>
      <c r="D1515" t="s">
        <v>1750</v>
      </c>
      <c r="E1515">
        <v>0</v>
      </c>
      <c r="F1515" t="s">
        <v>1750</v>
      </c>
      <c r="N1515" t="str" cm="1">
        <f t="array" ref="N1515">IF(MOD(ROW()-ROW($B$2),16)=0,INDEX($M$2:$M$1000,(ROW()-ROW($B$2))/16+1),"")</f>
        <v/>
      </c>
    </row>
    <row r="1516" spans="2:14" x14ac:dyDescent="0.3">
      <c r="B1516" t="s">
        <v>2173</v>
      </c>
      <c r="C1516" t="s">
        <v>3698</v>
      </c>
      <c r="D1516" t="s">
        <v>1751</v>
      </c>
      <c r="E1516">
        <v>0</v>
      </c>
      <c r="F1516" t="s">
        <v>1751</v>
      </c>
      <c r="N1516" t="str" cm="1">
        <f t="array" ref="N1516">IF(MOD(ROW()-ROW($B$2),16)=0,INDEX($M$2:$M$1000,(ROW()-ROW($B$2))/16+1),"")</f>
        <v/>
      </c>
    </row>
    <row r="1517" spans="2:14" x14ac:dyDescent="0.3">
      <c r="B1517" t="s">
        <v>2173</v>
      </c>
      <c r="C1517" t="s">
        <v>3699</v>
      </c>
      <c r="D1517" t="s">
        <v>1752</v>
      </c>
      <c r="E1517">
        <v>0</v>
      </c>
      <c r="F1517" t="s">
        <v>1752</v>
      </c>
      <c r="N1517" t="str" cm="1">
        <f t="array" ref="N1517">IF(MOD(ROW()-ROW($B$2),16)=0,INDEX($M$2:$M$1000,(ROW()-ROW($B$2))/16+1),"")</f>
        <v/>
      </c>
    </row>
    <row r="1518" spans="2:14" x14ac:dyDescent="0.3">
      <c r="B1518" t="s">
        <v>2173</v>
      </c>
      <c r="C1518" t="s">
        <v>3700</v>
      </c>
      <c r="D1518" t="s">
        <v>1753</v>
      </c>
      <c r="E1518">
        <v>0</v>
      </c>
      <c r="F1518" t="s">
        <v>1753</v>
      </c>
      <c r="N1518" t="str" cm="1">
        <f t="array" ref="N1518">IF(MOD(ROW()-ROW($B$2),16)=0,INDEX($M$2:$M$1000,(ROW()-ROW($B$2))/16+1),"")</f>
        <v/>
      </c>
    </row>
    <row r="1519" spans="2:14" x14ac:dyDescent="0.3">
      <c r="B1519" t="s">
        <v>2173</v>
      </c>
      <c r="C1519" t="s">
        <v>3701</v>
      </c>
      <c r="D1519" t="s">
        <v>1754</v>
      </c>
      <c r="E1519">
        <v>0</v>
      </c>
      <c r="F1519" t="s">
        <v>1754</v>
      </c>
      <c r="N1519" t="str" cm="1">
        <f t="array" ref="N1519">IF(MOD(ROW()-ROW($B$2),16)=0,INDEX($M$2:$M$1000,(ROW()-ROW($B$2))/16+1),"")</f>
        <v/>
      </c>
    </row>
    <row r="1520" spans="2:14" x14ac:dyDescent="0.3">
      <c r="B1520" t="s">
        <v>2173</v>
      </c>
      <c r="C1520" t="s">
        <v>3702</v>
      </c>
      <c r="D1520" t="s">
        <v>1755</v>
      </c>
      <c r="E1520">
        <v>0</v>
      </c>
      <c r="F1520" t="s">
        <v>1755</v>
      </c>
      <c r="N1520" t="str" cm="1">
        <f t="array" ref="N1520">IF(MOD(ROW()-ROW($B$2),16)=0,INDEX($M$2:$M$1000,(ROW()-ROW($B$2))/16+1),"")</f>
        <v/>
      </c>
    </row>
    <row r="1521" spans="2:14" x14ac:dyDescent="0.3">
      <c r="B1521" t="s">
        <v>2173</v>
      </c>
      <c r="C1521" t="s">
        <v>3703</v>
      </c>
      <c r="D1521" t="s">
        <v>1756</v>
      </c>
      <c r="E1521">
        <v>0</v>
      </c>
      <c r="F1521" t="s">
        <v>1756</v>
      </c>
      <c r="N1521" t="str" cm="1">
        <f t="array" ref="N1521">IF(MOD(ROW()-ROW($B$2),16)=0,INDEX($M$2:$M$1000,(ROW()-ROW($B$2))/16+1),"")</f>
        <v/>
      </c>
    </row>
    <row r="1522" spans="2:14" x14ac:dyDescent="0.3">
      <c r="B1522" t="s">
        <v>2173</v>
      </c>
      <c r="C1522" t="s">
        <v>3704</v>
      </c>
      <c r="D1522" t="s">
        <v>1757</v>
      </c>
      <c r="E1522">
        <v>0</v>
      </c>
      <c r="F1522" t="s">
        <v>1757</v>
      </c>
      <c r="N1522" t="str" cm="1">
        <f t="array" ref="N1522">IF(MOD(ROW()-ROW($B$2),16)=0,INDEX($M$2:$M$1000,(ROW()-ROW($B$2))/16+1),"")</f>
        <v>Фиксированное число 95 (0)</v>
      </c>
    </row>
    <row r="1523" spans="2:14" x14ac:dyDescent="0.3">
      <c r="B1523" t="s">
        <v>2173</v>
      </c>
      <c r="C1523" t="s">
        <v>3705</v>
      </c>
      <c r="D1523" t="s">
        <v>1758</v>
      </c>
      <c r="E1523">
        <v>0</v>
      </c>
      <c r="F1523" t="s">
        <v>1758</v>
      </c>
      <c r="N1523" t="str" cm="1">
        <f t="array" ref="N1523">IF(MOD(ROW()-ROW($B$2),16)=0,INDEX($M$2:$M$1000,(ROW()-ROW($B$2))/16+1),"")</f>
        <v/>
      </c>
    </row>
    <row r="1524" spans="2:14" x14ac:dyDescent="0.3">
      <c r="B1524" t="s">
        <v>2173</v>
      </c>
      <c r="C1524" t="s">
        <v>3706</v>
      </c>
      <c r="D1524" t="s">
        <v>1759</v>
      </c>
      <c r="E1524">
        <v>0</v>
      </c>
      <c r="F1524" t="s">
        <v>1759</v>
      </c>
      <c r="N1524" t="str" cm="1">
        <f t="array" ref="N1524">IF(MOD(ROW()-ROW($B$2),16)=0,INDEX($M$2:$M$1000,(ROW()-ROW($B$2))/16+1),"")</f>
        <v/>
      </c>
    </row>
    <row r="1525" spans="2:14" x14ac:dyDescent="0.3">
      <c r="B1525" t="s">
        <v>2173</v>
      </c>
      <c r="C1525" t="s">
        <v>3707</v>
      </c>
      <c r="D1525" t="s">
        <v>1760</v>
      </c>
      <c r="E1525">
        <v>0</v>
      </c>
      <c r="F1525" t="s">
        <v>1760</v>
      </c>
      <c r="N1525" t="str" cm="1">
        <f t="array" ref="N1525">IF(MOD(ROW()-ROW($B$2),16)=0,INDEX($M$2:$M$1000,(ROW()-ROW($B$2))/16+1),"")</f>
        <v/>
      </c>
    </row>
    <row r="1526" spans="2:14" x14ac:dyDescent="0.3">
      <c r="B1526" t="s">
        <v>2173</v>
      </c>
      <c r="C1526" t="s">
        <v>3708</v>
      </c>
      <c r="D1526" t="s">
        <v>1761</v>
      </c>
      <c r="E1526">
        <v>0</v>
      </c>
      <c r="F1526" t="s">
        <v>1761</v>
      </c>
      <c r="N1526" t="str" cm="1">
        <f t="array" ref="N1526">IF(MOD(ROW()-ROW($B$2),16)=0,INDEX($M$2:$M$1000,(ROW()-ROW($B$2))/16+1),"")</f>
        <v/>
      </c>
    </row>
    <row r="1527" spans="2:14" x14ac:dyDescent="0.3">
      <c r="B1527" t="s">
        <v>2173</v>
      </c>
      <c r="C1527" t="s">
        <v>3709</v>
      </c>
      <c r="D1527" t="s">
        <v>1762</v>
      </c>
      <c r="E1527">
        <v>0</v>
      </c>
      <c r="F1527" t="s">
        <v>1762</v>
      </c>
      <c r="N1527" t="str" cm="1">
        <f t="array" ref="N1527">IF(MOD(ROW()-ROW($B$2),16)=0,INDEX($M$2:$M$1000,(ROW()-ROW($B$2))/16+1),"")</f>
        <v/>
      </c>
    </row>
    <row r="1528" spans="2:14" x14ac:dyDescent="0.3">
      <c r="B1528" t="s">
        <v>2173</v>
      </c>
      <c r="C1528" t="s">
        <v>3710</v>
      </c>
      <c r="D1528" t="s">
        <v>1763</v>
      </c>
      <c r="E1528">
        <v>0</v>
      </c>
      <c r="F1528" t="s">
        <v>1763</v>
      </c>
      <c r="N1528" t="str" cm="1">
        <f t="array" ref="N1528">IF(MOD(ROW()-ROW($B$2),16)=0,INDEX($M$2:$M$1000,(ROW()-ROW($B$2))/16+1),"")</f>
        <v/>
      </c>
    </row>
    <row r="1529" spans="2:14" x14ac:dyDescent="0.3">
      <c r="B1529" t="s">
        <v>2173</v>
      </c>
      <c r="C1529" t="s">
        <v>3711</v>
      </c>
      <c r="D1529" t="s">
        <v>1764</v>
      </c>
      <c r="E1529">
        <v>0</v>
      </c>
      <c r="F1529" t="s">
        <v>1764</v>
      </c>
      <c r="N1529" t="str" cm="1">
        <f t="array" ref="N1529">IF(MOD(ROW()-ROW($B$2),16)=0,INDEX($M$2:$M$1000,(ROW()-ROW($B$2))/16+1),"")</f>
        <v/>
      </c>
    </row>
    <row r="1530" spans="2:14" x14ac:dyDescent="0.3">
      <c r="B1530" t="s">
        <v>2173</v>
      </c>
      <c r="C1530" t="s">
        <v>3712</v>
      </c>
      <c r="D1530" t="s">
        <v>1765</v>
      </c>
      <c r="E1530">
        <v>0</v>
      </c>
      <c r="F1530" t="s">
        <v>1765</v>
      </c>
      <c r="N1530" t="str" cm="1">
        <f t="array" ref="N1530">IF(MOD(ROW()-ROW($B$2),16)=0,INDEX($M$2:$M$1000,(ROW()-ROW($B$2))/16+1),"")</f>
        <v/>
      </c>
    </row>
    <row r="1531" spans="2:14" x14ac:dyDescent="0.3">
      <c r="B1531" t="s">
        <v>2173</v>
      </c>
      <c r="C1531" t="s">
        <v>3713</v>
      </c>
      <c r="D1531" t="s">
        <v>1766</v>
      </c>
      <c r="E1531">
        <v>0</v>
      </c>
      <c r="F1531" t="s">
        <v>1766</v>
      </c>
      <c r="N1531" t="str" cm="1">
        <f t="array" ref="N1531">IF(MOD(ROW()-ROW($B$2),16)=0,INDEX($M$2:$M$1000,(ROW()-ROW($B$2))/16+1),"")</f>
        <v/>
      </c>
    </row>
    <row r="1532" spans="2:14" x14ac:dyDescent="0.3">
      <c r="B1532" t="s">
        <v>2173</v>
      </c>
      <c r="C1532" t="s">
        <v>3714</v>
      </c>
      <c r="D1532" t="s">
        <v>1767</v>
      </c>
      <c r="E1532">
        <v>0</v>
      </c>
      <c r="F1532" t="s">
        <v>1767</v>
      </c>
      <c r="N1532" t="str" cm="1">
        <f t="array" ref="N1532">IF(MOD(ROW()-ROW($B$2),16)=0,INDEX($M$2:$M$1000,(ROW()-ROW($B$2))/16+1),"")</f>
        <v/>
      </c>
    </row>
    <row r="1533" spans="2:14" x14ac:dyDescent="0.3">
      <c r="B1533" t="s">
        <v>2173</v>
      </c>
      <c r="C1533" t="s">
        <v>3715</v>
      </c>
      <c r="D1533" t="s">
        <v>1768</v>
      </c>
      <c r="E1533">
        <v>0</v>
      </c>
      <c r="F1533" t="s">
        <v>1768</v>
      </c>
      <c r="N1533" t="str" cm="1">
        <f t="array" ref="N1533">IF(MOD(ROW()-ROW($B$2),16)=0,INDEX($M$2:$M$1000,(ROW()-ROW($B$2))/16+1),"")</f>
        <v/>
      </c>
    </row>
    <row r="1534" spans="2:14" x14ac:dyDescent="0.3">
      <c r="B1534" t="s">
        <v>2173</v>
      </c>
      <c r="C1534" t="s">
        <v>3716</v>
      </c>
      <c r="D1534" t="s">
        <v>1769</v>
      </c>
      <c r="E1534">
        <v>0</v>
      </c>
      <c r="F1534" t="s">
        <v>1769</v>
      </c>
      <c r="N1534" t="str" cm="1">
        <f t="array" ref="N1534">IF(MOD(ROW()-ROW($B$2),16)=0,INDEX($M$2:$M$1000,(ROW()-ROW($B$2))/16+1),"")</f>
        <v/>
      </c>
    </row>
    <row r="1535" spans="2:14" x14ac:dyDescent="0.3">
      <c r="B1535" t="s">
        <v>2173</v>
      </c>
      <c r="C1535" t="s">
        <v>3717</v>
      </c>
      <c r="D1535" t="s">
        <v>1770</v>
      </c>
      <c r="E1535">
        <v>0</v>
      </c>
      <c r="F1535" t="s">
        <v>1770</v>
      </c>
      <c r="N1535" t="str" cm="1">
        <f t="array" ref="N1535">IF(MOD(ROW()-ROW($B$2),16)=0,INDEX($M$2:$M$1000,(ROW()-ROW($B$2))/16+1),"")</f>
        <v/>
      </c>
    </row>
    <row r="1536" spans="2:14" x14ac:dyDescent="0.3">
      <c r="B1536" t="s">
        <v>2173</v>
      </c>
      <c r="C1536" t="s">
        <v>3718</v>
      </c>
      <c r="D1536" t="s">
        <v>1771</v>
      </c>
      <c r="E1536">
        <v>0</v>
      </c>
      <c r="F1536" t="s">
        <v>1771</v>
      </c>
      <c r="N1536" t="str" cm="1">
        <f t="array" ref="N1536">IF(MOD(ROW()-ROW($B$2),16)=0,INDEX($M$2:$M$1000,(ROW()-ROW($B$2))/16+1),"")</f>
        <v/>
      </c>
    </row>
    <row r="1537" spans="2:14" x14ac:dyDescent="0.3">
      <c r="B1537" t="s">
        <v>2173</v>
      </c>
      <c r="C1537" t="s">
        <v>3719</v>
      </c>
      <c r="D1537" t="s">
        <v>1772</v>
      </c>
      <c r="E1537">
        <v>0</v>
      </c>
      <c r="F1537" t="s">
        <v>1772</v>
      </c>
      <c r="N1537" t="str" cm="1">
        <f t="array" ref="N1537">IF(MOD(ROW()-ROW($B$2),16)=0,INDEX($M$2:$M$1000,(ROW()-ROW($B$2))/16+1),"")</f>
        <v/>
      </c>
    </row>
    <row r="1538" spans="2:14" x14ac:dyDescent="0.3">
      <c r="B1538" t="s">
        <v>2173</v>
      </c>
      <c r="C1538" t="s">
        <v>3720</v>
      </c>
      <c r="D1538" t="s">
        <v>1773</v>
      </c>
      <c r="E1538">
        <v>0</v>
      </c>
      <c r="F1538" t="s">
        <v>1773</v>
      </c>
      <c r="N1538" t="str" cm="1">
        <f t="array" ref="N1538">IF(MOD(ROW()-ROW($B$2),16)=0,INDEX($M$2:$M$1000,(ROW()-ROW($B$2))/16+1),"")</f>
        <v>Фиксированное число 96 (0)</v>
      </c>
    </row>
    <row r="1539" spans="2:14" x14ac:dyDescent="0.3">
      <c r="B1539" t="s">
        <v>2173</v>
      </c>
      <c r="C1539" t="s">
        <v>3721</v>
      </c>
      <c r="D1539" t="s">
        <v>1774</v>
      </c>
      <c r="E1539">
        <v>0</v>
      </c>
      <c r="F1539" t="s">
        <v>1774</v>
      </c>
      <c r="N1539" t="str" cm="1">
        <f t="array" ref="N1539">IF(MOD(ROW()-ROW($B$2),16)=0,INDEX($M$2:$M$1000,(ROW()-ROW($B$2))/16+1),"")</f>
        <v/>
      </c>
    </row>
    <row r="1540" spans="2:14" x14ac:dyDescent="0.3">
      <c r="B1540" t="s">
        <v>2173</v>
      </c>
      <c r="C1540" t="s">
        <v>3722</v>
      </c>
      <c r="D1540" t="s">
        <v>1775</v>
      </c>
      <c r="E1540">
        <v>0</v>
      </c>
      <c r="F1540" t="s">
        <v>1775</v>
      </c>
      <c r="N1540" t="str" cm="1">
        <f t="array" ref="N1540">IF(MOD(ROW()-ROW($B$2),16)=0,INDEX($M$2:$M$1000,(ROW()-ROW($B$2))/16+1),"")</f>
        <v/>
      </c>
    </row>
    <row r="1541" spans="2:14" x14ac:dyDescent="0.3">
      <c r="B1541" t="s">
        <v>2173</v>
      </c>
      <c r="C1541" t="s">
        <v>3723</v>
      </c>
      <c r="D1541" t="s">
        <v>1776</v>
      </c>
      <c r="E1541">
        <v>0</v>
      </c>
      <c r="F1541" t="s">
        <v>1776</v>
      </c>
      <c r="N1541" t="str" cm="1">
        <f t="array" ref="N1541">IF(MOD(ROW()-ROW($B$2),16)=0,INDEX($M$2:$M$1000,(ROW()-ROW($B$2))/16+1),"")</f>
        <v/>
      </c>
    </row>
    <row r="1542" spans="2:14" x14ac:dyDescent="0.3">
      <c r="B1542" t="s">
        <v>2173</v>
      </c>
      <c r="C1542" t="s">
        <v>3724</v>
      </c>
      <c r="D1542" t="s">
        <v>1777</v>
      </c>
      <c r="E1542">
        <v>0</v>
      </c>
      <c r="F1542" t="s">
        <v>1777</v>
      </c>
      <c r="N1542" t="str" cm="1">
        <f t="array" ref="N1542">IF(MOD(ROW()-ROW($B$2),16)=0,INDEX($M$2:$M$1000,(ROW()-ROW($B$2))/16+1),"")</f>
        <v/>
      </c>
    </row>
    <row r="1543" spans="2:14" x14ac:dyDescent="0.3">
      <c r="B1543" t="s">
        <v>2173</v>
      </c>
      <c r="C1543" t="s">
        <v>3725</v>
      </c>
      <c r="D1543" t="s">
        <v>1778</v>
      </c>
      <c r="E1543">
        <v>0</v>
      </c>
      <c r="F1543" t="s">
        <v>1778</v>
      </c>
      <c r="N1543" t="str" cm="1">
        <f t="array" ref="N1543">IF(MOD(ROW()-ROW($B$2),16)=0,INDEX($M$2:$M$1000,(ROW()-ROW($B$2))/16+1),"")</f>
        <v/>
      </c>
    </row>
    <row r="1544" spans="2:14" x14ac:dyDescent="0.3">
      <c r="B1544" t="s">
        <v>2173</v>
      </c>
      <c r="C1544" t="s">
        <v>3726</v>
      </c>
      <c r="D1544" t="s">
        <v>1779</v>
      </c>
      <c r="E1544">
        <v>0</v>
      </c>
      <c r="F1544" t="s">
        <v>1779</v>
      </c>
      <c r="N1544" t="str" cm="1">
        <f t="array" ref="N1544">IF(MOD(ROW()-ROW($B$2),16)=0,INDEX($M$2:$M$1000,(ROW()-ROW($B$2))/16+1),"")</f>
        <v/>
      </c>
    </row>
    <row r="1545" spans="2:14" x14ac:dyDescent="0.3">
      <c r="B1545" t="s">
        <v>2173</v>
      </c>
      <c r="C1545" t="s">
        <v>3727</v>
      </c>
      <c r="D1545" t="s">
        <v>1780</v>
      </c>
      <c r="E1545">
        <v>0</v>
      </c>
      <c r="F1545" t="s">
        <v>1780</v>
      </c>
      <c r="N1545" t="str" cm="1">
        <f t="array" ref="N1545">IF(MOD(ROW()-ROW($B$2),16)=0,INDEX($M$2:$M$1000,(ROW()-ROW($B$2))/16+1),"")</f>
        <v/>
      </c>
    </row>
    <row r="1546" spans="2:14" x14ac:dyDescent="0.3">
      <c r="B1546" t="s">
        <v>2173</v>
      </c>
      <c r="C1546" t="s">
        <v>3728</v>
      </c>
      <c r="D1546" t="s">
        <v>1781</v>
      </c>
      <c r="E1546">
        <v>0</v>
      </c>
      <c r="F1546" t="s">
        <v>1781</v>
      </c>
      <c r="N1546" t="str" cm="1">
        <f t="array" ref="N1546">IF(MOD(ROW()-ROW($B$2),16)=0,INDEX($M$2:$M$1000,(ROW()-ROW($B$2))/16+1),"")</f>
        <v/>
      </c>
    </row>
    <row r="1547" spans="2:14" x14ac:dyDescent="0.3">
      <c r="B1547" t="s">
        <v>2173</v>
      </c>
      <c r="C1547" t="s">
        <v>3729</v>
      </c>
      <c r="D1547" t="s">
        <v>1782</v>
      </c>
      <c r="E1547">
        <v>0</v>
      </c>
      <c r="F1547" t="s">
        <v>1782</v>
      </c>
      <c r="N1547" t="str" cm="1">
        <f t="array" ref="N1547">IF(MOD(ROW()-ROW($B$2),16)=0,INDEX($M$2:$M$1000,(ROW()-ROW($B$2))/16+1),"")</f>
        <v/>
      </c>
    </row>
    <row r="1548" spans="2:14" x14ac:dyDescent="0.3">
      <c r="B1548" t="s">
        <v>2173</v>
      </c>
      <c r="C1548" t="s">
        <v>3730</v>
      </c>
      <c r="D1548" t="s">
        <v>1783</v>
      </c>
      <c r="E1548">
        <v>0</v>
      </c>
      <c r="F1548" t="s">
        <v>1783</v>
      </c>
      <c r="N1548" t="str" cm="1">
        <f t="array" ref="N1548">IF(MOD(ROW()-ROW($B$2),16)=0,INDEX($M$2:$M$1000,(ROW()-ROW($B$2))/16+1),"")</f>
        <v/>
      </c>
    </row>
    <row r="1549" spans="2:14" x14ac:dyDescent="0.3">
      <c r="B1549" t="s">
        <v>2173</v>
      </c>
      <c r="C1549" t="s">
        <v>3731</v>
      </c>
      <c r="D1549" t="s">
        <v>1784</v>
      </c>
      <c r="E1549">
        <v>0</v>
      </c>
      <c r="F1549" t="s">
        <v>1784</v>
      </c>
      <c r="N1549" t="str" cm="1">
        <f t="array" ref="N1549">IF(MOD(ROW()-ROW($B$2),16)=0,INDEX($M$2:$M$1000,(ROW()-ROW($B$2))/16+1),"")</f>
        <v/>
      </c>
    </row>
    <row r="1550" spans="2:14" x14ac:dyDescent="0.3">
      <c r="B1550" t="s">
        <v>2173</v>
      </c>
      <c r="C1550" t="s">
        <v>3732</v>
      </c>
      <c r="D1550" t="s">
        <v>1785</v>
      </c>
      <c r="E1550">
        <v>0</v>
      </c>
      <c r="F1550" t="s">
        <v>1785</v>
      </c>
      <c r="N1550" t="str" cm="1">
        <f t="array" ref="N1550">IF(MOD(ROW()-ROW($B$2),16)=0,INDEX($M$2:$M$1000,(ROW()-ROW($B$2))/16+1),"")</f>
        <v/>
      </c>
    </row>
    <row r="1551" spans="2:14" x14ac:dyDescent="0.3">
      <c r="B1551" t="s">
        <v>2173</v>
      </c>
      <c r="C1551" t="s">
        <v>3733</v>
      </c>
      <c r="D1551" t="s">
        <v>1786</v>
      </c>
      <c r="E1551">
        <v>0</v>
      </c>
      <c r="F1551" t="s">
        <v>1786</v>
      </c>
      <c r="N1551" t="str" cm="1">
        <f t="array" ref="N1551">IF(MOD(ROW()-ROW($B$2),16)=0,INDEX($M$2:$M$1000,(ROW()-ROW($B$2))/16+1),"")</f>
        <v/>
      </c>
    </row>
    <row r="1552" spans="2:14" x14ac:dyDescent="0.3">
      <c r="B1552" t="s">
        <v>2173</v>
      </c>
      <c r="C1552" t="s">
        <v>3734</v>
      </c>
      <c r="D1552" t="s">
        <v>1787</v>
      </c>
      <c r="E1552">
        <v>0</v>
      </c>
      <c r="F1552" t="s">
        <v>1787</v>
      </c>
      <c r="N1552" t="str" cm="1">
        <f t="array" ref="N1552">IF(MOD(ROW()-ROW($B$2),16)=0,INDEX($M$2:$M$1000,(ROW()-ROW($B$2))/16+1),"")</f>
        <v/>
      </c>
    </row>
    <row r="1553" spans="2:14" x14ac:dyDescent="0.3">
      <c r="B1553" t="s">
        <v>2173</v>
      </c>
      <c r="C1553" t="s">
        <v>3735</v>
      </c>
      <c r="D1553" t="s">
        <v>1788</v>
      </c>
      <c r="E1553">
        <v>0</v>
      </c>
      <c r="F1553" t="s">
        <v>1788</v>
      </c>
      <c r="N1553" t="str" cm="1">
        <f t="array" ref="N1553">IF(MOD(ROW()-ROW($B$2),16)=0,INDEX($M$2:$M$1000,(ROW()-ROW($B$2))/16+1),"")</f>
        <v/>
      </c>
    </row>
    <row r="1554" spans="2:14" x14ac:dyDescent="0.3">
      <c r="B1554" t="s">
        <v>2173</v>
      </c>
      <c r="C1554" t="s">
        <v>3736</v>
      </c>
      <c r="D1554" t="s">
        <v>1789</v>
      </c>
      <c r="E1554">
        <v>0</v>
      </c>
      <c r="F1554" t="s">
        <v>1789</v>
      </c>
      <c r="N1554" t="str" cm="1">
        <f t="array" ref="N1554">IF(MOD(ROW()-ROW($B$2),16)=0,INDEX($M$2:$M$1000,(ROW()-ROW($B$2))/16+1),"")</f>
        <v>Фиксированное число 97 (0)</v>
      </c>
    </row>
    <row r="1555" spans="2:14" x14ac:dyDescent="0.3">
      <c r="B1555" t="s">
        <v>2173</v>
      </c>
      <c r="C1555" t="s">
        <v>3737</v>
      </c>
      <c r="D1555" t="s">
        <v>1790</v>
      </c>
      <c r="E1555">
        <v>0</v>
      </c>
      <c r="F1555" t="s">
        <v>1790</v>
      </c>
      <c r="N1555" t="str" cm="1">
        <f t="array" ref="N1555">IF(MOD(ROW()-ROW($B$2),16)=0,INDEX($M$2:$M$1000,(ROW()-ROW($B$2))/16+1),"")</f>
        <v/>
      </c>
    </row>
    <row r="1556" spans="2:14" x14ac:dyDescent="0.3">
      <c r="B1556" t="s">
        <v>2173</v>
      </c>
      <c r="C1556" t="s">
        <v>3738</v>
      </c>
      <c r="D1556" t="s">
        <v>1791</v>
      </c>
      <c r="E1556">
        <v>0</v>
      </c>
      <c r="F1556" t="s">
        <v>1791</v>
      </c>
      <c r="N1556" t="str" cm="1">
        <f t="array" ref="N1556">IF(MOD(ROW()-ROW($B$2),16)=0,INDEX($M$2:$M$1000,(ROW()-ROW($B$2))/16+1),"")</f>
        <v/>
      </c>
    </row>
    <row r="1557" spans="2:14" x14ac:dyDescent="0.3">
      <c r="B1557" t="s">
        <v>2173</v>
      </c>
      <c r="C1557" t="s">
        <v>3739</v>
      </c>
      <c r="D1557" t="s">
        <v>1792</v>
      </c>
      <c r="E1557">
        <v>0</v>
      </c>
      <c r="F1557" t="s">
        <v>1792</v>
      </c>
      <c r="N1557" t="str" cm="1">
        <f t="array" ref="N1557">IF(MOD(ROW()-ROW($B$2),16)=0,INDEX($M$2:$M$1000,(ROW()-ROW($B$2))/16+1),"")</f>
        <v/>
      </c>
    </row>
    <row r="1558" spans="2:14" x14ac:dyDescent="0.3">
      <c r="B1558" t="s">
        <v>2173</v>
      </c>
      <c r="C1558" t="s">
        <v>3740</v>
      </c>
      <c r="D1558" t="s">
        <v>1793</v>
      </c>
      <c r="E1558">
        <v>0</v>
      </c>
      <c r="F1558" t="s">
        <v>1793</v>
      </c>
      <c r="N1558" t="str" cm="1">
        <f t="array" ref="N1558">IF(MOD(ROW()-ROW($B$2),16)=0,INDEX($M$2:$M$1000,(ROW()-ROW($B$2))/16+1),"")</f>
        <v/>
      </c>
    </row>
    <row r="1559" spans="2:14" x14ac:dyDescent="0.3">
      <c r="B1559" t="s">
        <v>2173</v>
      </c>
      <c r="C1559" t="s">
        <v>3741</v>
      </c>
      <c r="D1559" t="s">
        <v>1794</v>
      </c>
      <c r="E1559">
        <v>0</v>
      </c>
      <c r="F1559" t="s">
        <v>1794</v>
      </c>
      <c r="N1559" t="str" cm="1">
        <f t="array" ref="N1559">IF(MOD(ROW()-ROW($B$2),16)=0,INDEX($M$2:$M$1000,(ROW()-ROW($B$2))/16+1),"")</f>
        <v/>
      </c>
    </row>
    <row r="1560" spans="2:14" x14ac:dyDescent="0.3">
      <c r="B1560" t="s">
        <v>2173</v>
      </c>
      <c r="C1560" t="s">
        <v>3742</v>
      </c>
      <c r="D1560" t="s">
        <v>1795</v>
      </c>
      <c r="E1560">
        <v>0</v>
      </c>
      <c r="F1560" t="s">
        <v>1795</v>
      </c>
      <c r="N1560" t="str" cm="1">
        <f t="array" ref="N1560">IF(MOD(ROW()-ROW($B$2),16)=0,INDEX($M$2:$M$1000,(ROW()-ROW($B$2))/16+1),"")</f>
        <v/>
      </c>
    </row>
    <row r="1561" spans="2:14" x14ac:dyDescent="0.3">
      <c r="B1561" t="s">
        <v>2173</v>
      </c>
      <c r="C1561" t="s">
        <v>3743</v>
      </c>
      <c r="D1561" t="s">
        <v>1796</v>
      </c>
      <c r="E1561">
        <v>0</v>
      </c>
      <c r="F1561" t="s">
        <v>1796</v>
      </c>
      <c r="N1561" t="str" cm="1">
        <f t="array" ref="N1561">IF(MOD(ROW()-ROW($B$2),16)=0,INDEX($M$2:$M$1000,(ROW()-ROW($B$2))/16+1),"")</f>
        <v/>
      </c>
    </row>
    <row r="1562" spans="2:14" x14ac:dyDescent="0.3">
      <c r="B1562" t="s">
        <v>2173</v>
      </c>
      <c r="C1562" t="s">
        <v>3744</v>
      </c>
      <c r="D1562" t="s">
        <v>1797</v>
      </c>
      <c r="E1562">
        <v>0</v>
      </c>
      <c r="F1562" t="s">
        <v>1797</v>
      </c>
      <c r="N1562" t="str" cm="1">
        <f t="array" ref="N1562">IF(MOD(ROW()-ROW($B$2),16)=0,INDEX($M$2:$M$1000,(ROW()-ROW($B$2))/16+1),"")</f>
        <v/>
      </c>
    </row>
    <row r="1563" spans="2:14" x14ac:dyDescent="0.3">
      <c r="B1563" t="s">
        <v>2173</v>
      </c>
      <c r="C1563" t="s">
        <v>3745</v>
      </c>
      <c r="D1563" t="s">
        <v>1798</v>
      </c>
      <c r="E1563">
        <v>0</v>
      </c>
      <c r="F1563" t="s">
        <v>1798</v>
      </c>
      <c r="N1563" t="str" cm="1">
        <f t="array" ref="N1563">IF(MOD(ROW()-ROW($B$2),16)=0,INDEX($M$2:$M$1000,(ROW()-ROW($B$2))/16+1),"")</f>
        <v/>
      </c>
    </row>
    <row r="1564" spans="2:14" x14ac:dyDescent="0.3">
      <c r="B1564" t="s">
        <v>2173</v>
      </c>
      <c r="C1564" t="s">
        <v>3746</v>
      </c>
      <c r="D1564" t="s">
        <v>1799</v>
      </c>
      <c r="E1564">
        <v>0</v>
      </c>
      <c r="F1564" t="s">
        <v>1799</v>
      </c>
      <c r="N1564" t="str" cm="1">
        <f t="array" ref="N1564">IF(MOD(ROW()-ROW($B$2),16)=0,INDEX($M$2:$M$1000,(ROW()-ROW($B$2))/16+1),"")</f>
        <v/>
      </c>
    </row>
    <row r="1565" spans="2:14" x14ac:dyDescent="0.3">
      <c r="B1565" t="s">
        <v>2173</v>
      </c>
      <c r="C1565" t="s">
        <v>3747</v>
      </c>
      <c r="D1565" t="s">
        <v>1800</v>
      </c>
      <c r="E1565">
        <v>0</v>
      </c>
      <c r="F1565" t="s">
        <v>1800</v>
      </c>
      <c r="N1565" t="str" cm="1">
        <f t="array" ref="N1565">IF(MOD(ROW()-ROW($B$2),16)=0,INDEX($M$2:$M$1000,(ROW()-ROW($B$2))/16+1),"")</f>
        <v/>
      </c>
    </row>
    <row r="1566" spans="2:14" x14ac:dyDescent="0.3">
      <c r="B1566" t="s">
        <v>2173</v>
      </c>
      <c r="C1566" t="s">
        <v>3748</v>
      </c>
      <c r="D1566" t="s">
        <v>1801</v>
      </c>
      <c r="E1566">
        <v>0</v>
      </c>
      <c r="F1566" t="s">
        <v>1801</v>
      </c>
      <c r="N1566" t="str" cm="1">
        <f t="array" ref="N1566">IF(MOD(ROW()-ROW($B$2),16)=0,INDEX($M$2:$M$1000,(ROW()-ROW($B$2))/16+1),"")</f>
        <v/>
      </c>
    </row>
    <row r="1567" spans="2:14" x14ac:dyDescent="0.3">
      <c r="B1567" t="s">
        <v>2173</v>
      </c>
      <c r="C1567" t="s">
        <v>3749</v>
      </c>
      <c r="D1567" t="s">
        <v>1802</v>
      </c>
      <c r="E1567">
        <v>0</v>
      </c>
      <c r="F1567" t="s">
        <v>1802</v>
      </c>
      <c r="N1567" t="str" cm="1">
        <f t="array" ref="N1567">IF(MOD(ROW()-ROW($B$2),16)=0,INDEX($M$2:$M$1000,(ROW()-ROW($B$2))/16+1),"")</f>
        <v/>
      </c>
    </row>
    <row r="1568" spans="2:14" x14ac:dyDescent="0.3">
      <c r="B1568" t="s">
        <v>2173</v>
      </c>
      <c r="C1568" t="s">
        <v>3750</v>
      </c>
      <c r="D1568" t="s">
        <v>1803</v>
      </c>
      <c r="E1568">
        <v>0</v>
      </c>
      <c r="F1568" t="s">
        <v>1803</v>
      </c>
      <c r="N1568" t="str" cm="1">
        <f t="array" ref="N1568">IF(MOD(ROW()-ROW($B$2),16)=0,INDEX($M$2:$M$1000,(ROW()-ROW($B$2))/16+1),"")</f>
        <v/>
      </c>
    </row>
    <row r="1569" spans="2:14" x14ac:dyDescent="0.3">
      <c r="B1569" t="s">
        <v>2173</v>
      </c>
      <c r="C1569" t="s">
        <v>3751</v>
      </c>
      <c r="D1569" t="s">
        <v>1804</v>
      </c>
      <c r="E1569">
        <v>0</v>
      </c>
      <c r="F1569" t="s">
        <v>1804</v>
      </c>
      <c r="N1569" t="str" cm="1">
        <f t="array" ref="N1569">IF(MOD(ROW()-ROW($B$2),16)=0,INDEX($M$2:$M$1000,(ROW()-ROW($B$2))/16+1),"")</f>
        <v/>
      </c>
    </row>
    <row r="1570" spans="2:14" x14ac:dyDescent="0.3">
      <c r="B1570" t="s">
        <v>2173</v>
      </c>
      <c r="C1570" t="s">
        <v>3752</v>
      </c>
      <c r="D1570" t="s">
        <v>1805</v>
      </c>
      <c r="E1570">
        <v>0</v>
      </c>
      <c r="F1570" t="s">
        <v>1805</v>
      </c>
      <c r="N1570" t="str" cm="1">
        <f t="array" ref="N1570">IF(MOD(ROW()-ROW($B$2),16)=0,INDEX($M$2:$M$1000,(ROW()-ROW($B$2))/16+1),"")</f>
        <v>Фиксированное число 98 (0)</v>
      </c>
    </row>
    <row r="1571" spans="2:14" x14ac:dyDescent="0.3">
      <c r="B1571" t="s">
        <v>2173</v>
      </c>
      <c r="C1571" t="s">
        <v>3753</v>
      </c>
      <c r="D1571" t="s">
        <v>1806</v>
      </c>
      <c r="E1571">
        <v>0</v>
      </c>
      <c r="F1571" t="s">
        <v>1806</v>
      </c>
      <c r="N1571" t="str" cm="1">
        <f t="array" ref="N1571">IF(MOD(ROW()-ROW($B$2),16)=0,INDEX($M$2:$M$1000,(ROW()-ROW($B$2))/16+1),"")</f>
        <v/>
      </c>
    </row>
    <row r="1572" spans="2:14" x14ac:dyDescent="0.3">
      <c r="B1572" t="s">
        <v>2173</v>
      </c>
      <c r="C1572" t="s">
        <v>3754</v>
      </c>
      <c r="D1572" t="s">
        <v>1807</v>
      </c>
      <c r="E1572">
        <v>0</v>
      </c>
      <c r="F1572" t="s">
        <v>1807</v>
      </c>
      <c r="N1572" t="str" cm="1">
        <f t="array" ref="N1572">IF(MOD(ROW()-ROW($B$2),16)=0,INDEX($M$2:$M$1000,(ROW()-ROW($B$2))/16+1),"")</f>
        <v/>
      </c>
    </row>
    <row r="1573" spans="2:14" x14ac:dyDescent="0.3">
      <c r="B1573" t="s">
        <v>2173</v>
      </c>
      <c r="C1573" t="s">
        <v>3755</v>
      </c>
      <c r="D1573" t="s">
        <v>1808</v>
      </c>
      <c r="E1573">
        <v>0</v>
      </c>
      <c r="F1573" t="s">
        <v>1808</v>
      </c>
      <c r="N1573" t="str" cm="1">
        <f t="array" ref="N1573">IF(MOD(ROW()-ROW($B$2),16)=0,INDEX($M$2:$M$1000,(ROW()-ROW($B$2))/16+1),"")</f>
        <v/>
      </c>
    </row>
    <row r="1574" spans="2:14" x14ac:dyDescent="0.3">
      <c r="B1574" t="s">
        <v>2173</v>
      </c>
      <c r="C1574" t="s">
        <v>3756</v>
      </c>
      <c r="D1574" t="s">
        <v>1809</v>
      </c>
      <c r="E1574">
        <v>0</v>
      </c>
      <c r="F1574" t="s">
        <v>1809</v>
      </c>
      <c r="N1574" t="str" cm="1">
        <f t="array" ref="N1574">IF(MOD(ROW()-ROW($B$2),16)=0,INDEX($M$2:$M$1000,(ROW()-ROW($B$2))/16+1),"")</f>
        <v/>
      </c>
    </row>
    <row r="1575" spans="2:14" x14ac:dyDescent="0.3">
      <c r="B1575" t="s">
        <v>2173</v>
      </c>
      <c r="C1575" t="s">
        <v>3757</v>
      </c>
      <c r="D1575" t="s">
        <v>1810</v>
      </c>
      <c r="E1575">
        <v>0</v>
      </c>
      <c r="F1575" t="s">
        <v>1810</v>
      </c>
      <c r="N1575" t="str" cm="1">
        <f t="array" ref="N1575">IF(MOD(ROW()-ROW($B$2),16)=0,INDEX($M$2:$M$1000,(ROW()-ROW($B$2))/16+1),"")</f>
        <v/>
      </c>
    </row>
    <row r="1576" spans="2:14" x14ac:dyDescent="0.3">
      <c r="B1576" t="s">
        <v>2173</v>
      </c>
      <c r="C1576" t="s">
        <v>3758</v>
      </c>
      <c r="D1576" t="s">
        <v>1811</v>
      </c>
      <c r="E1576">
        <v>0</v>
      </c>
      <c r="F1576" t="s">
        <v>1811</v>
      </c>
      <c r="N1576" t="str" cm="1">
        <f t="array" ref="N1576">IF(MOD(ROW()-ROW($B$2),16)=0,INDEX($M$2:$M$1000,(ROW()-ROW($B$2))/16+1),"")</f>
        <v/>
      </c>
    </row>
    <row r="1577" spans="2:14" x14ac:dyDescent="0.3">
      <c r="B1577" t="s">
        <v>2173</v>
      </c>
      <c r="C1577" t="s">
        <v>3759</v>
      </c>
      <c r="D1577" t="s">
        <v>1812</v>
      </c>
      <c r="E1577">
        <v>0</v>
      </c>
      <c r="F1577" t="s">
        <v>1812</v>
      </c>
      <c r="N1577" t="str" cm="1">
        <f t="array" ref="N1577">IF(MOD(ROW()-ROW($B$2),16)=0,INDEX($M$2:$M$1000,(ROW()-ROW($B$2))/16+1),"")</f>
        <v/>
      </c>
    </row>
    <row r="1578" spans="2:14" x14ac:dyDescent="0.3">
      <c r="B1578" t="s">
        <v>2173</v>
      </c>
      <c r="C1578" t="s">
        <v>3760</v>
      </c>
      <c r="D1578" t="s">
        <v>1813</v>
      </c>
      <c r="E1578">
        <v>0</v>
      </c>
      <c r="F1578" t="s">
        <v>1813</v>
      </c>
      <c r="N1578" t="str" cm="1">
        <f t="array" ref="N1578">IF(MOD(ROW()-ROW($B$2),16)=0,INDEX($M$2:$M$1000,(ROW()-ROW($B$2))/16+1),"")</f>
        <v/>
      </c>
    </row>
    <row r="1579" spans="2:14" x14ac:dyDescent="0.3">
      <c r="B1579" t="s">
        <v>2173</v>
      </c>
      <c r="C1579" t="s">
        <v>3761</v>
      </c>
      <c r="D1579" t="s">
        <v>1814</v>
      </c>
      <c r="E1579">
        <v>0</v>
      </c>
      <c r="F1579" t="s">
        <v>1814</v>
      </c>
      <c r="N1579" t="str" cm="1">
        <f t="array" ref="N1579">IF(MOD(ROW()-ROW($B$2),16)=0,INDEX($M$2:$M$1000,(ROW()-ROW($B$2))/16+1),"")</f>
        <v/>
      </c>
    </row>
    <row r="1580" spans="2:14" x14ac:dyDescent="0.3">
      <c r="B1580" t="s">
        <v>2173</v>
      </c>
      <c r="C1580" t="s">
        <v>3762</v>
      </c>
      <c r="D1580" t="s">
        <v>1815</v>
      </c>
      <c r="E1580">
        <v>0</v>
      </c>
      <c r="F1580" t="s">
        <v>1815</v>
      </c>
      <c r="N1580" t="str" cm="1">
        <f t="array" ref="N1580">IF(MOD(ROW()-ROW($B$2),16)=0,INDEX($M$2:$M$1000,(ROW()-ROW($B$2))/16+1),"")</f>
        <v/>
      </c>
    </row>
    <row r="1581" spans="2:14" x14ac:dyDescent="0.3">
      <c r="B1581" t="s">
        <v>2173</v>
      </c>
      <c r="C1581" t="s">
        <v>3763</v>
      </c>
      <c r="D1581" t="s">
        <v>1816</v>
      </c>
      <c r="E1581">
        <v>0</v>
      </c>
      <c r="F1581" t="s">
        <v>1816</v>
      </c>
      <c r="N1581" t="str" cm="1">
        <f t="array" ref="N1581">IF(MOD(ROW()-ROW($B$2),16)=0,INDEX($M$2:$M$1000,(ROW()-ROW($B$2))/16+1),"")</f>
        <v/>
      </c>
    </row>
    <row r="1582" spans="2:14" x14ac:dyDescent="0.3">
      <c r="B1582" t="s">
        <v>2173</v>
      </c>
      <c r="C1582" t="s">
        <v>3764</v>
      </c>
      <c r="D1582" t="s">
        <v>1817</v>
      </c>
      <c r="E1582">
        <v>0</v>
      </c>
      <c r="F1582" t="s">
        <v>1817</v>
      </c>
      <c r="N1582" t="str" cm="1">
        <f t="array" ref="N1582">IF(MOD(ROW()-ROW($B$2),16)=0,INDEX($M$2:$M$1000,(ROW()-ROW($B$2))/16+1),"")</f>
        <v/>
      </c>
    </row>
    <row r="1583" spans="2:14" x14ac:dyDescent="0.3">
      <c r="B1583" t="s">
        <v>2173</v>
      </c>
      <c r="C1583" t="s">
        <v>3765</v>
      </c>
      <c r="D1583" t="s">
        <v>1818</v>
      </c>
      <c r="E1583">
        <v>0</v>
      </c>
      <c r="F1583" t="s">
        <v>1818</v>
      </c>
      <c r="N1583" t="str" cm="1">
        <f t="array" ref="N1583">IF(MOD(ROW()-ROW($B$2),16)=0,INDEX($M$2:$M$1000,(ROW()-ROW($B$2))/16+1),"")</f>
        <v/>
      </c>
    </row>
    <row r="1584" spans="2:14" x14ac:dyDescent="0.3">
      <c r="B1584" t="s">
        <v>2173</v>
      </c>
      <c r="C1584" t="s">
        <v>3766</v>
      </c>
      <c r="D1584" t="s">
        <v>1819</v>
      </c>
      <c r="E1584">
        <v>0</v>
      </c>
      <c r="F1584" t="s">
        <v>1819</v>
      </c>
      <c r="N1584" t="str" cm="1">
        <f t="array" ref="N1584">IF(MOD(ROW()-ROW($B$2),16)=0,INDEX($M$2:$M$1000,(ROW()-ROW($B$2))/16+1),"")</f>
        <v/>
      </c>
    </row>
    <row r="1585" spans="2:14" x14ac:dyDescent="0.3">
      <c r="B1585" t="s">
        <v>2173</v>
      </c>
      <c r="C1585" t="s">
        <v>3767</v>
      </c>
      <c r="D1585" t="s">
        <v>1820</v>
      </c>
      <c r="E1585">
        <v>0</v>
      </c>
      <c r="F1585" t="s">
        <v>1820</v>
      </c>
      <c r="N1585" t="str" cm="1">
        <f t="array" ref="N1585">IF(MOD(ROW()-ROW($B$2),16)=0,INDEX($M$2:$M$1000,(ROW()-ROW($B$2))/16+1),"")</f>
        <v/>
      </c>
    </row>
    <row r="1586" spans="2:14" x14ac:dyDescent="0.3">
      <c r="B1586" t="s">
        <v>2173</v>
      </c>
      <c r="C1586" t="s">
        <v>3768</v>
      </c>
      <c r="D1586" t="s">
        <v>1821</v>
      </c>
      <c r="E1586">
        <v>0</v>
      </c>
      <c r="F1586" t="s">
        <v>1821</v>
      </c>
      <c r="N1586" t="str" cm="1">
        <f t="array" ref="N1586">IF(MOD(ROW()-ROW($B$2),16)=0,INDEX($M$2:$M$1000,(ROW()-ROW($B$2))/16+1),"")</f>
        <v>Фиксированное число 99 (0)</v>
      </c>
    </row>
    <row r="1587" spans="2:14" x14ac:dyDescent="0.3">
      <c r="B1587" t="s">
        <v>2173</v>
      </c>
      <c r="C1587" t="s">
        <v>3769</v>
      </c>
      <c r="D1587" t="s">
        <v>1822</v>
      </c>
      <c r="E1587">
        <v>0</v>
      </c>
      <c r="F1587" t="s">
        <v>1822</v>
      </c>
      <c r="N1587" t="str" cm="1">
        <f t="array" ref="N1587">IF(MOD(ROW()-ROW($B$2),16)=0,INDEX($M$2:$M$1000,(ROW()-ROW($B$2))/16+1),"")</f>
        <v/>
      </c>
    </row>
    <row r="1588" spans="2:14" x14ac:dyDescent="0.3">
      <c r="B1588" t="s">
        <v>2173</v>
      </c>
      <c r="C1588" t="s">
        <v>3770</v>
      </c>
      <c r="D1588" t="s">
        <v>1823</v>
      </c>
      <c r="E1588">
        <v>0</v>
      </c>
      <c r="F1588" t="s">
        <v>1823</v>
      </c>
      <c r="N1588" t="str" cm="1">
        <f t="array" ref="N1588">IF(MOD(ROW()-ROW($B$2),16)=0,INDEX($M$2:$M$1000,(ROW()-ROW($B$2))/16+1),"")</f>
        <v/>
      </c>
    </row>
    <row r="1589" spans="2:14" x14ac:dyDescent="0.3">
      <c r="B1589" t="s">
        <v>2173</v>
      </c>
      <c r="C1589" t="s">
        <v>3771</v>
      </c>
      <c r="D1589" t="s">
        <v>1824</v>
      </c>
      <c r="E1589">
        <v>0</v>
      </c>
      <c r="F1589" t="s">
        <v>1824</v>
      </c>
      <c r="N1589" t="str" cm="1">
        <f t="array" ref="N1589">IF(MOD(ROW()-ROW($B$2),16)=0,INDEX($M$2:$M$1000,(ROW()-ROW($B$2))/16+1),"")</f>
        <v/>
      </c>
    </row>
    <row r="1590" spans="2:14" x14ac:dyDescent="0.3">
      <c r="B1590" t="s">
        <v>2173</v>
      </c>
      <c r="C1590" t="s">
        <v>3772</v>
      </c>
      <c r="D1590" t="s">
        <v>1825</v>
      </c>
      <c r="E1590">
        <v>0</v>
      </c>
      <c r="F1590" t="s">
        <v>1825</v>
      </c>
      <c r="N1590" t="str" cm="1">
        <f t="array" ref="N1590">IF(MOD(ROW()-ROW($B$2),16)=0,INDEX($M$2:$M$1000,(ROW()-ROW($B$2))/16+1),"")</f>
        <v/>
      </c>
    </row>
    <row r="1591" spans="2:14" x14ac:dyDescent="0.3">
      <c r="B1591" t="s">
        <v>2173</v>
      </c>
      <c r="C1591" t="s">
        <v>3773</v>
      </c>
      <c r="D1591" t="s">
        <v>1826</v>
      </c>
      <c r="E1591">
        <v>0</v>
      </c>
      <c r="F1591" t="s">
        <v>1826</v>
      </c>
      <c r="N1591" t="str" cm="1">
        <f t="array" ref="N1591">IF(MOD(ROW()-ROW($B$2),16)=0,INDEX($M$2:$M$1000,(ROW()-ROW($B$2))/16+1),"")</f>
        <v/>
      </c>
    </row>
    <row r="1592" spans="2:14" x14ac:dyDescent="0.3">
      <c r="B1592" t="s">
        <v>2173</v>
      </c>
      <c r="C1592" t="s">
        <v>3774</v>
      </c>
      <c r="D1592" t="s">
        <v>1827</v>
      </c>
      <c r="E1592">
        <v>0</v>
      </c>
      <c r="F1592" t="s">
        <v>1827</v>
      </c>
      <c r="N1592" t="str" cm="1">
        <f t="array" ref="N1592">IF(MOD(ROW()-ROW($B$2),16)=0,INDEX($M$2:$M$1000,(ROW()-ROW($B$2))/16+1),"")</f>
        <v/>
      </c>
    </row>
    <row r="1593" spans="2:14" x14ac:dyDescent="0.3">
      <c r="B1593" t="s">
        <v>2173</v>
      </c>
      <c r="C1593" t="s">
        <v>3775</v>
      </c>
      <c r="D1593" t="s">
        <v>1828</v>
      </c>
      <c r="E1593">
        <v>0</v>
      </c>
      <c r="F1593" t="s">
        <v>1828</v>
      </c>
      <c r="N1593" t="str" cm="1">
        <f t="array" ref="N1593">IF(MOD(ROW()-ROW($B$2),16)=0,INDEX($M$2:$M$1000,(ROW()-ROW($B$2))/16+1),"")</f>
        <v/>
      </c>
    </row>
    <row r="1594" spans="2:14" x14ac:dyDescent="0.3">
      <c r="B1594" t="s">
        <v>2173</v>
      </c>
      <c r="C1594" t="s">
        <v>3776</v>
      </c>
      <c r="D1594" t="s">
        <v>1829</v>
      </c>
      <c r="E1594">
        <v>0</v>
      </c>
      <c r="F1594" t="s">
        <v>1829</v>
      </c>
      <c r="N1594" t="str" cm="1">
        <f t="array" ref="N1594">IF(MOD(ROW()-ROW($B$2),16)=0,INDEX($M$2:$M$1000,(ROW()-ROW($B$2))/16+1),"")</f>
        <v/>
      </c>
    </row>
    <row r="1595" spans="2:14" x14ac:dyDescent="0.3">
      <c r="B1595" t="s">
        <v>2173</v>
      </c>
      <c r="C1595" t="s">
        <v>3777</v>
      </c>
      <c r="D1595" t="s">
        <v>1830</v>
      </c>
      <c r="E1595">
        <v>0</v>
      </c>
      <c r="F1595" t="s">
        <v>1830</v>
      </c>
      <c r="N1595" t="str" cm="1">
        <f t="array" ref="N1595">IF(MOD(ROW()-ROW($B$2),16)=0,INDEX($M$2:$M$1000,(ROW()-ROW($B$2))/16+1),"")</f>
        <v/>
      </c>
    </row>
    <row r="1596" spans="2:14" x14ac:dyDescent="0.3">
      <c r="B1596" t="s">
        <v>2173</v>
      </c>
      <c r="C1596" t="s">
        <v>3778</v>
      </c>
      <c r="D1596" t="s">
        <v>1831</v>
      </c>
      <c r="E1596">
        <v>0</v>
      </c>
      <c r="F1596" t="s">
        <v>1831</v>
      </c>
      <c r="N1596" t="str" cm="1">
        <f t="array" ref="N1596">IF(MOD(ROW()-ROW($B$2),16)=0,INDEX($M$2:$M$1000,(ROW()-ROW($B$2))/16+1),"")</f>
        <v/>
      </c>
    </row>
    <row r="1597" spans="2:14" x14ac:dyDescent="0.3">
      <c r="B1597" t="s">
        <v>2173</v>
      </c>
      <c r="C1597" t="s">
        <v>3779</v>
      </c>
      <c r="D1597" t="s">
        <v>1832</v>
      </c>
      <c r="E1597">
        <v>0</v>
      </c>
      <c r="F1597" t="s">
        <v>1832</v>
      </c>
      <c r="N1597" t="str" cm="1">
        <f t="array" ref="N1597">IF(MOD(ROW()-ROW($B$2),16)=0,INDEX($M$2:$M$1000,(ROW()-ROW($B$2))/16+1),"")</f>
        <v/>
      </c>
    </row>
    <row r="1598" spans="2:14" x14ac:dyDescent="0.3">
      <c r="B1598" t="s">
        <v>2173</v>
      </c>
      <c r="C1598" t="s">
        <v>3780</v>
      </c>
      <c r="D1598" t="s">
        <v>1833</v>
      </c>
      <c r="E1598">
        <v>0</v>
      </c>
      <c r="F1598" t="s">
        <v>1833</v>
      </c>
      <c r="N1598" t="str" cm="1">
        <f t="array" ref="N1598">IF(MOD(ROW()-ROW($B$2),16)=0,INDEX($M$2:$M$1000,(ROW()-ROW($B$2))/16+1),"")</f>
        <v/>
      </c>
    </row>
    <row r="1599" spans="2:14" x14ac:dyDescent="0.3">
      <c r="B1599" t="s">
        <v>2173</v>
      </c>
      <c r="C1599" t="s">
        <v>3781</v>
      </c>
      <c r="D1599" t="s">
        <v>1834</v>
      </c>
      <c r="E1599">
        <v>0</v>
      </c>
      <c r="F1599" t="s">
        <v>1834</v>
      </c>
      <c r="N1599" t="str" cm="1">
        <f t="array" ref="N1599">IF(MOD(ROW()-ROW($B$2),16)=0,INDEX($M$2:$M$1000,(ROW()-ROW($B$2))/16+1),"")</f>
        <v/>
      </c>
    </row>
    <row r="1600" spans="2:14" x14ac:dyDescent="0.3">
      <c r="B1600" t="s">
        <v>2173</v>
      </c>
      <c r="C1600" t="s">
        <v>3782</v>
      </c>
      <c r="D1600" t="s">
        <v>1835</v>
      </c>
      <c r="E1600">
        <v>0</v>
      </c>
      <c r="F1600" t="s">
        <v>1835</v>
      </c>
      <c r="N1600" t="str" cm="1">
        <f t="array" ref="N1600">IF(MOD(ROW()-ROW($B$2),16)=0,INDEX($M$2:$M$1000,(ROW()-ROW($B$2))/16+1),"")</f>
        <v/>
      </c>
    </row>
    <row r="1601" spans="2:14" x14ac:dyDescent="0.3">
      <c r="B1601" t="s">
        <v>2173</v>
      </c>
      <c r="C1601" t="s">
        <v>3783</v>
      </c>
      <c r="D1601" t="s">
        <v>1836</v>
      </c>
      <c r="E1601">
        <v>0</v>
      </c>
      <c r="F1601" t="s">
        <v>1836</v>
      </c>
      <c r="N1601" t="str" cm="1">
        <f t="array" ref="N1601">IF(MOD(ROW()-ROW($B$2),16)=0,INDEX($M$2:$M$1000,(ROW()-ROW($B$2))/16+1),"")</f>
        <v/>
      </c>
    </row>
    <row r="1602" spans="2:14" x14ac:dyDescent="0.3">
      <c r="B1602" t="s">
        <v>2173</v>
      </c>
      <c r="C1602" t="s">
        <v>3784</v>
      </c>
      <c r="D1602" t="s">
        <v>1837</v>
      </c>
      <c r="E1602">
        <v>0</v>
      </c>
      <c r="F1602" t="s">
        <v>1837</v>
      </c>
      <c r="N1602" t="str" cm="1">
        <f t="array" ref="N1602">IF(MOD(ROW()-ROW($B$2),16)=0,INDEX($M$2:$M$1000,(ROW()-ROW($B$2))/16+1),"")</f>
        <v>Фиксированное число 100 (0)</v>
      </c>
    </row>
    <row r="1603" spans="2:14" x14ac:dyDescent="0.3">
      <c r="B1603" t="s">
        <v>2173</v>
      </c>
      <c r="C1603" t="s">
        <v>3785</v>
      </c>
      <c r="D1603" t="s">
        <v>1838</v>
      </c>
      <c r="E1603">
        <v>0</v>
      </c>
      <c r="F1603" t="s">
        <v>1838</v>
      </c>
      <c r="N1603" t="str" cm="1">
        <f t="array" ref="N1603">IF(MOD(ROW()-ROW($B$2),16)=0,INDEX($M$2:$M$1000,(ROW()-ROW($B$2))/16+1),"")</f>
        <v/>
      </c>
    </row>
    <row r="1604" spans="2:14" x14ac:dyDescent="0.3">
      <c r="B1604" t="s">
        <v>2173</v>
      </c>
      <c r="C1604" t="s">
        <v>3786</v>
      </c>
      <c r="D1604" t="s">
        <v>1839</v>
      </c>
      <c r="E1604">
        <v>0</v>
      </c>
      <c r="F1604" t="s">
        <v>1839</v>
      </c>
      <c r="N1604" t="str" cm="1">
        <f t="array" ref="N1604">IF(MOD(ROW()-ROW($B$2),16)=0,INDEX($M$2:$M$1000,(ROW()-ROW($B$2))/16+1),"")</f>
        <v/>
      </c>
    </row>
    <row r="1605" spans="2:14" x14ac:dyDescent="0.3">
      <c r="B1605" t="s">
        <v>2173</v>
      </c>
      <c r="C1605" t="s">
        <v>3787</v>
      </c>
      <c r="D1605" t="s">
        <v>1840</v>
      </c>
      <c r="E1605">
        <v>0</v>
      </c>
      <c r="F1605" t="s">
        <v>1840</v>
      </c>
      <c r="N1605" t="str" cm="1">
        <f t="array" ref="N1605">IF(MOD(ROW()-ROW($B$2),16)=0,INDEX($M$2:$M$1000,(ROW()-ROW($B$2))/16+1),"")</f>
        <v/>
      </c>
    </row>
    <row r="1606" spans="2:14" x14ac:dyDescent="0.3">
      <c r="B1606" t="s">
        <v>2173</v>
      </c>
      <c r="C1606" t="s">
        <v>3788</v>
      </c>
      <c r="D1606" t="s">
        <v>1841</v>
      </c>
      <c r="E1606">
        <v>0</v>
      </c>
      <c r="F1606" t="s">
        <v>1841</v>
      </c>
      <c r="N1606" t="str" cm="1">
        <f t="array" ref="N1606">IF(MOD(ROW()-ROW($B$2),16)=0,INDEX($M$2:$M$1000,(ROW()-ROW($B$2))/16+1),"")</f>
        <v/>
      </c>
    </row>
    <row r="1607" spans="2:14" x14ac:dyDescent="0.3">
      <c r="B1607" t="s">
        <v>2173</v>
      </c>
      <c r="C1607" t="s">
        <v>3789</v>
      </c>
      <c r="D1607" t="s">
        <v>1842</v>
      </c>
      <c r="E1607">
        <v>0</v>
      </c>
      <c r="F1607" t="s">
        <v>1842</v>
      </c>
      <c r="N1607" t="str" cm="1">
        <f t="array" ref="N1607">IF(MOD(ROW()-ROW($B$2),16)=0,INDEX($M$2:$M$1000,(ROW()-ROW($B$2))/16+1),"")</f>
        <v/>
      </c>
    </row>
    <row r="1608" spans="2:14" x14ac:dyDescent="0.3">
      <c r="B1608" t="s">
        <v>2173</v>
      </c>
      <c r="C1608" t="s">
        <v>3790</v>
      </c>
      <c r="D1608" t="s">
        <v>1843</v>
      </c>
      <c r="E1608">
        <v>0</v>
      </c>
      <c r="F1608" t="s">
        <v>1843</v>
      </c>
      <c r="N1608" t="str" cm="1">
        <f t="array" ref="N1608">IF(MOD(ROW()-ROW($B$2),16)=0,INDEX($M$2:$M$1000,(ROW()-ROW($B$2))/16+1),"")</f>
        <v/>
      </c>
    </row>
    <row r="1609" spans="2:14" x14ac:dyDescent="0.3">
      <c r="B1609" t="s">
        <v>2173</v>
      </c>
      <c r="C1609" t="s">
        <v>3791</v>
      </c>
      <c r="D1609" t="s">
        <v>1844</v>
      </c>
      <c r="E1609">
        <v>0</v>
      </c>
      <c r="F1609" t="s">
        <v>1844</v>
      </c>
      <c r="N1609" t="str" cm="1">
        <f t="array" ref="N1609">IF(MOD(ROW()-ROW($B$2),16)=0,INDEX($M$2:$M$1000,(ROW()-ROW($B$2))/16+1),"")</f>
        <v/>
      </c>
    </row>
    <row r="1610" spans="2:14" x14ac:dyDescent="0.3">
      <c r="B1610" t="s">
        <v>2173</v>
      </c>
      <c r="C1610" t="s">
        <v>3792</v>
      </c>
      <c r="D1610" t="s">
        <v>1845</v>
      </c>
      <c r="E1610">
        <v>0</v>
      </c>
      <c r="F1610" t="s">
        <v>1845</v>
      </c>
      <c r="N1610" t="str" cm="1">
        <f t="array" ref="N1610">IF(MOD(ROW()-ROW($B$2),16)=0,INDEX($M$2:$M$1000,(ROW()-ROW($B$2))/16+1),"")</f>
        <v/>
      </c>
    </row>
    <row r="1611" spans="2:14" x14ac:dyDescent="0.3">
      <c r="B1611" t="s">
        <v>2173</v>
      </c>
      <c r="C1611" t="s">
        <v>3793</v>
      </c>
      <c r="D1611" t="s">
        <v>1846</v>
      </c>
      <c r="E1611">
        <v>0</v>
      </c>
      <c r="F1611" t="s">
        <v>1846</v>
      </c>
      <c r="N1611" t="str" cm="1">
        <f t="array" ref="N1611">IF(MOD(ROW()-ROW($B$2),16)=0,INDEX($M$2:$M$1000,(ROW()-ROW($B$2))/16+1),"")</f>
        <v/>
      </c>
    </row>
    <row r="1612" spans="2:14" x14ac:dyDescent="0.3">
      <c r="B1612" t="s">
        <v>2173</v>
      </c>
      <c r="C1612" t="s">
        <v>3794</v>
      </c>
      <c r="D1612" t="s">
        <v>1847</v>
      </c>
      <c r="E1612">
        <v>0</v>
      </c>
      <c r="F1612" t="s">
        <v>1847</v>
      </c>
      <c r="N1612" t="str" cm="1">
        <f t="array" ref="N1612">IF(MOD(ROW()-ROW($B$2),16)=0,INDEX($M$2:$M$1000,(ROW()-ROW($B$2))/16+1),"")</f>
        <v/>
      </c>
    </row>
    <row r="1613" spans="2:14" x14ac:dyDescent="0.3">
      <c r="B1613" t="s">
        <v>2173</v>
      </c>
      <c r="C1613" t="s">
        <v>3795</v>
      </c>
      <c r="D1613" t="s">
        <v>1848</v>
      </c>
      <c r="E1613">
        <v>0</v>
      </c>
      <c r="F1613" t="s">
        <v>1848</v>
      </c>
      <c r="N1613" t="str" cm="1">
        <f t="array" ref="N1613">IF(MOD(ROW()-ROW($B$2),16)=0,INDEX($M$2:$M$1000,(ROW()-ROW($B$2))/16+1),"")</f>
        <v/>
      </c>
    </row>
    <row r="1614" spans="2:14" x14ac:dyDescent="0.3">
      <c r="B1614" t="s">
        <v>2173</v>
      </c>
      <c r="C1614" t="s">
        <v>3796</v>
      </c>
      <c r="D1614" t="s">
        <v>1849</v>
      </c>
      <c r="E1614">
        <v>0</v>
      </c>
      <c r="F1614" t="s">
        <v>1849</v>
      </c>
      <c r="N1614" t="str" cm="1">
        <f t="array" ref="N1614">IF(MOD(ROW()-ROW($B$2),16)=0,INDEX($M$2:$M$1000,(ROW()-ROW($B$2))/16+1),"")</f>
        <v/>
      </c>
    </row>
    <row r="1615" spans="2:14" x14ac:dyDescent="0.3">
      <c r="B1615" t="s">
        <v>2173</v>
      </c>
      <c r="C1615" t="s">
        <v>3797</v>
      </c>
      <c r="D1615" t="s">
        <v>1850</v>
      </c>
      <c r="E1615">
        <v>0</v>
      </c>
      <c r="F1615" t="s">
        <v>1850</v>
      </c>
      <c r="N1615" t="str" cm="1">
        <f t="array" ref="N1615">IF(MOD(ROW()-ROW($B$2),16)=0,INDEX($M$2:$M$1000,(ROW()-ROW($B$2))/16+1),"")</f>
        <v/>
      </c>
    </row>
    <row r="1616" spans="2:14" x14ac:dyDescent="0.3">
      <c r="B1616" t="s">
        <v>2173</v>
      </c>
      <c r="C1616" t="s">
        <v>3798</v>
      </c>
      <c r="D1616" t="s">
        <v>1851</v>
      </c>
      <c r="E1616">
        <v>0</v>
      </c>
      <c r="F1616" t="s">
        <v>1851</v>
      </c>
      <c r="N1616" t="str" cm="1">
        <f t="array" ref="N1616">IF(MOD(ROW()-ROW($B$2),16)=0,INDEX($M$2:$M$1000,(ROW()-ROW($B$2))/16+1),"")</f>
        <v/>
      </c>
    </row>
    <row r="1617" spans="2:14" x14ac:dyDescent="0.3">
      <c r="B1617" t="s">
        <v>2173</v>
      </c>
      <c r="C1617" t="s">
        <v>3799</v>
      </c>
      <c r="D1617" t="s">
        <v>1852</v>
      </c>
      <c r="E1617">
        <v>0</v>
      </c>
      <c r="F1617" t="s">
        <v>1852</v>
      </c>
      <c r="N1617" t="str" cm="1">
        <f t="array" ref="N1617">IF(MOD(ROW()-ROW($B$2),16)=0,INDEX($M$2:$M$1000,(ROW()-ROW($B$2))/16+1),"")</f>
        <v/>
      </c>
    </row>
    <row r="1618" spans="2:14" x14ac:dyDescent="0.3">
      <c r="B1618" t="s">
        <v>2173</v>
      </c>
      <c r="C1618" t="s">
        <v>3800</v>
      </c>
      <c r="D1618" t="s">
        <v>1853</v>
      </c>
      <c r="E1618">
        <v>0</v>
      </c>
      <c r="F1618" t="s">
        <v>1853</v>
      </c>
      <c r="N1618" t="str" cm="1">
        <f t="array" ref="N1618">IF(MOD(ROW()-ROW($B$2),16)=0,INDEX($M$2:$M$1000,(ROW()-ROW($B$2))/16+1),"")</f>
        <v>Фиксированное число 101 (0)</v>
      </c>
    </row>
    <row r="1619" spans="2:14" x14ac:dyDescent="0.3">
      <c r="B1619" t="s">
        <v>2173</v>
      </c>
      <c r="C1619" t="s">
        <v>3801</v>
      </c>
      <c r="D1619" t="s">
        <v>1854</v>
      </c>
      <c r="E1619">
        <v>0</v>
      </c>
      <c r="F1619" t="s">
        <v>1854</v>
      </c>
      <c r="N1619" t="str" cm="1">
        <f t="array" ref="N1619">IF(MOD(ROW()-ROW($B$2),16)=0,INDEX($M$2:$M$1000,(ROW()-ROW($B$2))/16+1),"")</f>
        <v/>
      </c>
    </row>
    <row r="1620" spans="2:14" x14ac:dyDescent="0.3">
      <c r="B1620" t="s">
        <v>2173</v>
      </c>
      <c r="C1620" t="s">
        <v>3802</v>
      </c>
      <c r="D1620" t="s">
        <v>1855</v>
      </c>
      <c r="E1620">
        <v>0</v>
      </c>
      <c r="F1620" t="s">
        <v>1855</v>
      </c>
      <c r="N1620" t="str" cm="1">
        <f t="array" ref="N1620">IF(MOD(ROW()-ROW($B$2),16)=0,INDEX($M$2:$M$1000,(ROW()-ROW($B$2))/16+1),"")</f>
        <v/>
      </c>
    </row>
    <row r="1621" spans="2:14" x14ac:dyDescent="0.3">
      <c r="B1621" t="s">
        <v>2173</v>
      </c>
      <c r="C1621" t="s">
        <v>3803</v>
      </c>
      <c r="D1621" t="s">
        <v>1856</v>
      </c>
      <c r="E1621">
        <v>0</v>
      </c>
      <c r="F1621" t="s">
        <v>1856</v>
      </c>
      <c r="N1621" t="str" cm="1">
        <f t="array" ref="N1621">IF(MOD(ROW()-ROW($B$2),16)=0,INDEX($M$2:$M$1000,(ROW()-ROW($B$2))/16+1),"")</f>
        <v/>
      </c>
    </row>
    <row r="1622" spans="2:14" x14ac:dyDescent="0.3">
      <c r="B1622" t="s">
        <v>2173</v>
      </c>
      <c r="C1622" t="s">
        <v>3804</v>
      </c>
      <c r="D1622" t="s">
        <v>1857</v>
      </c>
      <c r="E1622">
        <v>0</v>
      </c>
      <c r="F1622" t="s">
        <v>1857</v>
      </c>
      <c r="N1622" t="str" cm="1">
        <f t="array" ref="N1622">IF(MOD(ROW()-ROW($B$2),16)=0,INDEX($M$2:$M$1000,(ROW()-ROW($B$2))/16+1),"")</f>
        <v/>
      </c>
    </row>
    <row r="1623" spans="2:14" x14ac:dyDescent="0.3">
      <c r="B1623" t="s">
        <v>2173</v>
      </c>
      <c r="C1623" t="s">
        <v>3805</v>
      </c>
      <c r="D1623" t="s">
        <v>1858</v>
      </c>
      <c r="E1623">
        <v>0</v>
      </c>
      <c r="F1623" t="s">
        <v>1858</v>
      </c>
      <c r="N1623" t="str" cm="1">
        <f t="array" ref="N1623">IF(MOD(ROW()-ROW($B$2),16)=0,INDEX($M$2:$M$1000,(ROW()-ROW($B$2))/16+1),"")</f>
        <v/>
      </c>
    </row>
    <row r="1624" spans="2:14" x14ac:dyDescent="0.3">
      <c r="B1624" t="s">
        <v>2173</v>
      </c>
      <c r="C1624" t="s">
        <v>3806</v>
      </c>
      <c r="D1624" t="s">
        <v>1859</v>
      </c>
      <c r="E1624">
        <v>0</v>
      </c>
      <c r="F1624" t="s">
        <v>1859</v>
      </c>
      <c r="N1624" t="str" cm="1">
        <f t="array" ref="N1624">IF(MOD(ROW()-ROW($B$2),16)=0,INDEX($M$2:$M$1000,(ROW()-ROW($B$2))/16+1),"")</f>
        <v/>
      </c>
    </row>
    <row r="1625" spans="2:14" x14ac:dyDescent="0.3">
      <c r="B1625" t="s">
        <v>2173</v>
      </c>
      <c r="C1625" t="s">
        <v>3807</v>
      </c>
      <c r="D1625" t="s">
        <v>1860</v>
      </c>
      <c r="E1625">
        <v>0</v>
      </c>
      <c r="F1625" t="s">
        <v>1860</v>
      </c>
      <c r="N1625" t="str" cm="1">
        <f t="array" ref="N1625">IF(MOD(ROW()-ROW($B$2),16)=0,INDEX($M$2:$M$1000,(ROW()-ROW($B$2))/16+1),"")</f>
        <v/>
      </c>
    </row>
    <row r="1626" spans="2:14" x14ac:dyDescent="0.3">
      <c r="B1626" t="s">
        <v>2173</v>
      </c>
      <c r="C1626" t="s">
        <v>3808</v>
      </c>
      <c r="D1626" t="s">
        <v>1861</v>
      </c>
      <c r="E1626">
        <v>0</v>
      </c>
      <c r="F1626" t="s">
        <v>1861</v>
      </c>
      <c r="N1626" t="str" cm="1">
        <f t="array" ref="N1626">IF(MOD(ROW()-ROW($B$2),16)=0,INDEX($M$2:$M$1000,(ROW()-ROW($B$2))/16+1),"")</f>
        <v/>
      </c>
    </row>
    <row r="1627" spans="2:14" x14ac:dyDescent="0.3">
      <c r="B1627" t="s">
        <v>2173</v>
      </c>
      <c r="C1627" t="s">
        <v>3809</v>
      </c>
      <c r="D1627" t="s">
        <v>1862</v>
      </c>
      <c r="E1627">
        <v>0</v>
      </c>
      <c r="F1627" t="s">
        <v>1862</v>
      </c>
      <c r="N1627" t="str" cm="1">
        <f t="array" ref="N1627">IF(MOD(ROW()-ROW($B$2),16)=0,INDEX($M$2:$M$1000,(ROW()-ROW($B$2))/16+1),"")</f>
        <v/>
      </c>
    </row>
    <row r="1628" spans="2:14" x14ac:dyDescent="0.3">
      <c r="B1628" t="s">
        <v>2173</v>
      </c>
      <c r="C1628" t="s">
        <v>3810</v>
      </c>
      <c r="D1628" t="s">
        <v>1863</v>
      </c>
      <c r="E1628">
        <v>0</v>
      </c>
      <c r="F1628" t="s">
        <v>1863</v>
      </c>
      <c r="N1628" t="str" cm="1">
        <f t="array" ref="N1628">IF(MOD(ROW()-ROW($B$2),16)=0,INDEX($M$2:$M$1000,(ROW()-ROW($B$2))/16+1),"")</f>
        <v/>
      </c>
    </row>
    <row r="1629" spans="2:14" x14ac:dyDescent="0.3">
      <c r="B1629" t="s">
        <v>2173</v>
      </c>
      <c r="C1629" t="s">
        <v>3811</v>
      </c>
      <c r="D1629" t="s">
        <v>1864</v>
      </c>
      <c r="E1629">
        <v>0</v>
      </c>
      <c r="F1629" t="s">
        <v>1864</v>
      </c>
      <c r="N1629" t="str" cm="1">
        <f t="array" ref="N1629">IF(MOD(ROW()-ROW($B$2),16)=0,INDEX($M$2:$M$1000,(ROW()-ROW($B$2))/16+1),"")</f>
        <v/>
      </c>
    </row>
    <row r="1630" spans="2:14" x14ac:dyDescent="0.3">
      <c r="B1630" t="s">
        <v>2173</v>
      </c>
      <c r="C1630" t="s">
        <v>3812</v>
      </c>
      <c r="D1630" t="s">
        <v>1865</v>
      </c>
      <c r="E1630">
        <v>0</v>
      </c>
      <c r="F1630" t="s">
        <v>1865</v>
      </c>
      <c r="N1630" t="str" cm="1">
        <f t="array" ref="N1630">IF(MOD(ROW()-ROW($B$2),16)=0,INDEX($M$2:$M$1000,(ROW()-ROW($B$2))/16+1),"")</f>
        <v/>
      </c>
    </row>
    <row r="1631" spans="2:14" x14ac:dyDescent="0.3">
      <c r="B1631" t="s">
        <v>2173</v>
      </c>
      <c r="C1631" t="s">
        <v>3813</v>
      </c>
      <c r="D1631" t="s">
        <v>1866</v>
      </c>
      <c r="E1631">
        <v>0</v>
      </c>
      <c r="F1631" t="s">
        <v>1866</v>
      </c>
      <c r="N1631" t="str" cm="1">
        <f t="array" ref="N1631">IF(MOD(ROW()-ROW($B$2),16)=0,INDEX($M$2:$M$1000,(ROW()-ROW($B$2))/16+1),"")</f>
        <v/>
      </c>
    </row>
    <row r="1632" spans="2:14" x14ac:dyDescent="0.3">
      <c r="B1632" t="s">
        <v>2173</v>
      </c>
      <c r="C1632" t="s">
        <v>3814</v>
      </c>
      <c r="D1632" t="s">
        <v>1867</v>
      </c>
      <c r="E1632">
        <v>0</v>
      </c>
      <c r="F1632" t="s">
        <v>1867</v>
      </c>
      <c r="N1632" t="str" cm="1">
        <f t="array" ref="N1632">IF(MOD(ROW()-ROW($B$2),16)=0,INDEX($M$2:$M$1000,(ROW()-ROW($B$2))/16+1),"")</f>
        <v/>
      </c>
    </row>
    <row r="1633" spans="2:14" x14ac:dyDescent="0.3">
      <c r="B1633" t="s">
        <v>2173</v>
      </c>
      <c r="C1633" t="s">
        <v>3815</v>
      </c>
      <c r="D1633" t="s">
        <v>1868</v>
      </c>
      <c r="E1633">
        <v>0</v>
      </c>
      <c r="F1633" t="s">
        <v>1868</v>
      </c>
      <c r="N1633" t="str" cm="1">
        <f t="array" ref="N1633">IF(MOD(ROW()-ROW($B$2),16)=0,INDEX($M$2:$M$1000,(ROW()-ROW($B$2))/16+1),"")</f>
        <v/>
      </c>
    </row>
    <row r="1634" spans="2:14" x14ac:dyDescent="0.3">
      <c r="B1634" t="s">
        <v>2173</v>
      </c>
      <c r="C1634" t="s">
        <v>3816</v>
      </c>
      <c r="D1634" t="s">
        <v>1869</v>
      </c>
      <c r="E1634">
        <v>0</v>
      </c>
      <c r="F1634" t="s">
        <v>1869</v>
      </c>
      <c r="N1634" t="str" cm="1">
        <f t="array" ref="N1634">IF(MOD(ROW()-ROW($B$2),16)=0,INDEX($M$2:$M$1000,(ROW()-ROW($B$2))/16+1),"")</f>
        <v>Фиксированное число 102 (0)</v>
      </c>
    </row>
    <row r="1635" spans="2:14" x14ac:dyDescent="0.3">
      <c r="B1635" t="s">
        <v>2173</v>
      </c>
      <c r="C1635" t="s">
        <v>3817</v>
      </c>
      <c r="D1635" t="s">
        <v>1870</v>
      </c>
      <c r="E1635">
        <v>0</v>
      </c>
      <c r="F1635" t="s">
        <v>1870</v>
      </c>
      <c r="N1635" t="str" cm="1">
        <f t="array" ref="N1635">IF(MOD(ROW()-ROW($B$2),16)=0,INDEX($M$2:$M$1000,(ROW()-ROW($B$2))/16+1),"")</f>
        <v/>
      </c>
    </row>
    <row r="1636" spans="2:14" x14ac:dyDescent="0.3">
      <c r="B1636" t="s">
        <v>2173</v>
      </c>
      <c r="C1636" t="s">
        <v>3818</v>
      </c>
      <c r="D1636" t="s">
        <v>1871</v>
      </c>
      <c r="E1636">
        <v>0</v>
      </c>
      <c r="F1636" t="s">
        <v>1871</v>
      </c>
      <c r="N1636" t="str" cm="1">
        <f t="array" ref="N1636">IF(MOD(ROW()-ROW($B$2),16)=0,INDEX($M$2:$M$1000,(ROW()-ROW($B$2))/16+1),"")</f>
        <v/>
      </c>
    </row>
    <row r="1637" spans="2:14" x14ac:dyDescent="0.3">
      <c r="B1637" t="s">
        <v>2173</v>
      </c>
      <c r="C1637" t="s">
        <v>3819</v>
      </c>
      <c r="D1637" t="s">
        <v>1872</v>
      </c>
      <c r="E1637">
        <v>0</v>
      </c>
      <c r="F1637" t="s">
        <v>1872</v>
      </c>
      <c r="N1637" t="str" cm="1">
        <f t="array" ref="N1637">IF(MOD(ROW()-ROW($B$2),16)=0,INDEX($M$2:$M$1000,(ROW()-ROW($B$2))/16+1),"")</f>
        <v/>
      </c>
    </row>
    <row r="1638" spans="2:14" x14ac:dyDescent="0.3">
      <c r="B1638" t="s">
        <v>2173</v>
      </c>
      <c r="C1638" t="s">
        <v>3820</v>
      </c>
      <c r="D1638" t="s">
        <v>1873</v>
      </c>
      <c r="E1638">
        <v>0</v>
      </c>
      <c r="F1638" t="s">
        <v>1873</v>
      </c>
      <c r="N1638" t="str" cm="1">
        <f t="array" ref="N1638">IF(MOD(ROW()-ROW($B$2),16)=0,INDEX($M$2:$M$1000,(ROW()-ROW($B$2))/16+1),"")</f>
        <v/>
      </c>
    </row>
    <row r="1639" spans="2:14" x14ac:dyDescent="0.3">
      <c r="B1639" t="s">
        <v>2173</v>
      </c>
      <c r="C1639" t="s">
        <v>3821</v>
      </c>
      <c r="D1639" t="s">
        <v>1874</v>
      </c>
      <c r="E1639">
        <v>0</v>
      </c>
      <c r="F1639" t="s">
        <v>1874</v>
      </c>
      <c r="N1639" t="str" cm="1">
        <f t="array" ref="N1639">IF(MOD(ROW()-ROW($B$2),16)=0,INDEX($M$2:$M$1000,(ROW()-ROW($B$2))/16+1),"")</f>
        <v/>
      </c>
    </row>
    <row r="1640" spans="2:14" x14ac:dyDescent="0.3">
      <c r="B1640" t="s">
        <v>2173</v>
      </c>
      <c r="C1640" t="s">
        <v>3822</v>
      </c>
      <c r="D1640" t="s">
        <v>1875</v>
      </c>
      <c r="E1640">
        <v>0</v>
      </c>
      <c r="F1640" t="s">
        <v>1875</v>
      </c>
      <c r="N1640" t="str" cm="1">
        <f t="array" ref="N1640">IF(MOD(ROW()-ROW($B$2),16)=0,INDEX($M$2:$M$1000,(ROW()-ROW($B$2))/16+1),"")</f>
        <v/>
      </c>
    </row>
    <row r="1641" spans="2:14" x14ac:dyDescent="0.3">
      <c r="B1641" t="s">
        <v>2173</v>
      </c>
      <c r="C1641" t="s">
        <v>3823</v>
      </c>
      <c r="D1641" t="s">
        <v>1876</v>
      </c>
      <c r="E1641">
        <v>0</v>
      </c>
      <c r="F1641" t="s">
        <v>1876</v>
      </c>
      <c r="N1641" t="str" cm="1">
        <f t="array" ref="N1641">IF(MOD(ROW()-ROW($B$2),16)=0,INDEX($M$2:$M$1000,(ROW()-ROW($B$2))/16+1),"")</f>
        <v/>
      </c>
    </row>
    <row r="1642" spans="2:14" x14ac:dyDescent="0.3">
      <c r="B1642" t="s">
        <v>2173</v>
      </c>
      <c r="C1642" t="s">
        <v>3824</v>
      </c>
      <c r="D1642" t="s">
        <v>1877</v>
      </c>
      <c r="E1642">
        <v>0</v>
      </c>
      <c r="F1642" t="s">
        <v>1877</v>
      </c>
      <c r="N1642" t="str" cm="1">
        <f t="array" ref="N1642">IF(MOD(ROW()-ROW($B$2),16)=0,INDEX($M$2:$M$1000,(ROW()-ROW($B$2))/16+1),"")</f>
        <v/>
      </c>
    </row>
    <row r="1643" spans="2:14" x14ac:dyDescent="0.3">
      <c r="B1643" t="s">
        <v>2173</v>
      </c>
      <c r="C1643" t="s">
        <v>3825</v>
      </c>
      <c r="D1643" t="s">
        <v>1878</v>
      </c>
      <c r="E1643">
        <v>0</v>
      </c>
      <c r="F1643" t="s">
        <v>1878</v>
      </c>
      <c r="N1643" t="str" cm="1">
        <f t="array" ref="N1643">IF(MOD(ROW()-ROW($B$2),16)=0,INDEX($M$2:$M$1000,(ROW()-ROW($B$2))/16+1),"")</f>
        <v/>
      </c>
    </row>
    <row r="1644" spans="2:14" x14ac:dyDescent="0.3">
      <c r="B1644" t="s">
        <v>2173</v>
      </c>
      <c r="C1644" t="s">
        <v>3826</v>
      </c>
      <c r="D1644" t="s">
        <v>1879</v>
      </c>
      <c r="E1644">
        <v>0</v>
      </c>
      <c r="F1644" t="s">
        <v>1879</v>
      </c>
      <c r="N1644" t="str" cm="1">
        <f t="array" ref="N1644">IF(MOD(ROW()-ROW($B$2),16)=0,INDEX($M$2:$M$1000,(ROW()-ROW($B$2))/16+1),"")</f>
        <v/>
      </c>
    </row>
    <row r="1645" spans="2:14" x14ac:dyDescent="0.3">
      <c r="B1645" t="s">
        <v>2173</v>
      </c>
      <c r="C1645" t="s">
        <v>3827</v>
      </c>
      <c r="D1645" t="s">
        <v>1880</v>
      </c>
      <c r="E1645">
        <v>0</v>
      </c>
      <c r="F1645" t="s">
        <v>1880</v>
      </c>
      <c r="N1645" t="str" cm="1">
        <f t="array" ref="N1645">IF(MOD(ROW()-ROW($B$2),16)=0,INDEX($M$2:$M$1000,(ROW()-ROW($B$2))/16+1),"")</f>
        <v/>
      </c>
    </row>
    <row r="1646" spans="2:14" x14ac:dyDescent="0.3">
      <c r="B1646" t="s">
        <v>2173</v>
      </c>
      <c r="C1646" t="s">
        <v>3828</v>
      </c>
      <c r="D1646" t="s">
        <v>1881</v>
      </c>
      <c r="E1646">
        <v>0</v>
      </c>
      <c r="F1646" t="s">
        <v>1881</v>
      </c>
      <c r="N1646" t="str" cm="1">
        <f t="array" ref="N1646">IF(MOD(ROW()-ROW($B$2),16)=0,INDEX($M$2:$M$1000,(ROW()-ROW($B$2))/16+1),"")</f>
        <v/>
      </c>
    </row>
    <row r="1647" spans="2:14" x14ac:dyDescent="0.3">
      <c r="B1647" t="s">
        <v>2173</v>
      </c>
      <c r="C1647" t="s">
        <v>3829</v>
      </c>
      <c r="D1647" t="s">
        <v>1882</v>
      </c>
      <c r="E1647">
        <v>0</v>
      </c>
      <c r="F1647" t="s">
        <v>1882</v>
      </c>
      <c r="N1647" t="str" cm="1">
        <f t="array" ref="N1647">IF(MOD(ROW()-ROW($B$2),16)=0,INDEX($M$2:$M$1000,(ROW()-ROW($B$2))/16+1),"")</f>
        <v/>
      </c>
    </row>
    <row r="1648" spans="2:14" x14ac:dyDescent="0.3">
      <c r="B1648" t="s">
        <v>2173</v>
      </c>
      <c r="C1648" t="s">
        <v>3830</v>
      </c>
      <c r="D1648" t="s">
        <v>1883</v>
      </c>
      <c r="E1648">
        <v>0</v>
      </c>
      <c r="F1648" t="s">
        <v>1883</v>
      </c>
      <c r="N1648" t="str" cm="1">
        <f t="array" ref="N1648">IF(MOD(ROW()-ROW($B$2),16)=0,INDEX($M$2:$M$1000,(ROW()-ROW($B$2))/16+1),"")</f>
        <v/>
      </c>
    </row>
    <row r="1649" spans="2:14" x14ac:dyDescent="0.3">
      <c r="B1649" t="s">
        <v>2173</v>
      </c>
      <c r="C1649" t="s">
        <v>3831</v>
      </c>
      <c r="D1649" t="s">
        <v>1884</v>
      </c>
      <c r="E1649">
        <v>0</v>
      </c>
      <c r="F1649" t="s">
        <v>1884</v>
      </c>
      <c r="N1649" t="str" cm="1">
        <f t="array" ref="N1649">IF(MOD(ROW()-ROW($B$2),16)=0,INDEX($M$2:$M$1000,(ROW()-ROW($B$2))/16+1),"")</f>
        <v/>
      </c>
    </row>
    <row r="1650" spans="2:14" x14ac:dyDescent="0.3">
      <c r="B1650" t="s">
        <v>2173</v>
      </c>
      <c r="C1650" t="s">
        <v>3832</v>
      </c>
      <c r="D1650" t="s">
        <v>1885</v>
      </c>
      <c r="E1650">
        <v>0</v>
      </c>
      <c r="F1650" t="s">
        <v>1885</v>
      </c>
      <c r="N1650" t="str" cm="1">
        <f t="array" ref="N1650">IF(MOD(ROW()-ROW($B$2),16)=0,INDEX($M$2:$M$1000,(ROW()-ROW($B$2))/16+1),"")</f>
        <v>Фиксированное число 103 (0)</v>
      </c>
    </row>
    <row r="1651" spans="2:14" x14ac:dyDescent="0.3">
      <c r="B1651" t="s">
        <v>2173</v>
      </c>
      <c r="C1651" t="s">
        <v>3833</v>
      </c>
      <c r="D1651" t="s">
        <v>1886</v>
      </c>
      <c r="E1651">
        <v>0</v>
      </c>
      <c r="F1651" t="s">
        <v>1886</v>
      </c>
      <c r="N1651" t="str" cm="1">
        <f t="array" ref="N1651">IF(MOD(ROW()-ROW($B$2),16)=0,INDEX($M$2:$M$1000,(ROW()-ROW($B$2))/16+1),"")</f>
        <v/>
      </c>
    </row>
    <row r="1652" spans="2:14" x14ac:dyDescent="0.3">
      <c r="B1652" t="s">
        <v>2173</v>
      </c>
      <c r="C1652" t="s">
        <v>3834</v>
      </c>
      <c r="D1652" t="s">
        <v>1887</v>
      </c>
      <c r="E1652">
        <v>0</v>
      </c>
      <c r="F1652" t="s">
        <v>1887</v>
      </c>
      <c r="N1652" t="str" cm="1">
        <f t="array" ref="N1652">IF(MOD(ROW()-ROW($B$2),16)=0,INDEX($M$2:$M$1000,(ROW()-ROW($B$2))/16+1),"")</f>
        <v/>
      </c>
    </row>
    <row r="1653" spans="2:14" x14ac:dyDescent="0.3">
      <c r="B1653" t="s">
        <v>2173</v>
      </c>
      <c r="C1653" t="s">
        <v>3835</v>
      </c>
      <c r="D1653" t="s">
        <v>1888</v>
      </c>
      <c r="E1653">
        <v>0</v>
      </c>
      <c r="F1653" t="s">
        <v>1888</v>
      </c>
      <c r="N1653" t="str" cm="1">
        <f t="array" ref="N1653">IF(MOD(ROW()-ROW($B$2),16)=0,INDEX($M$2:$M$1000,(ROW()-ROW($B$2))/16+1),"")</f>
        <v/>
      </c>
    </row>
    <row r="1654" spans="2:14" x14ac:dyDescent="0.3">
      <c r="B1654" t="s">
        <v>2173</v>
      </c>
      <c r="C1654" t="s">
        <v>3836</v>
      </c>
      <c r="D1654" t="s">
        <v>1889</v>
      </c>
      <c r="E1654">
        <v>0</v>
      </c>
      <c r="F1654" t="s">
        <v>1889</v>
      </c>
      <c r="N1654" t="str" cm="1">
        <f t="array" ref="N1654">IF(MOD(ROW()-ROW($B$2),16)=0,INDEX($M$2:$M$1000,(ROW()-ROW($B$2))/16+1),"")</f>
        <v/>
      </c>
    </row>
    <row r="1655" spans="2:14" x14ac:dyDescent="0.3">
      <c r="B1655" t="s">
        <v>2173</v>
      </c>
      <c r="C1655" t="s">
        <v>3837</v>
      </c>
      <c r="D1655" t="s">
        <v>1890</v>
      </c>
      <c r="E1655">
        <v>0</v>
      </c>
      <c r="F1655" t="s">
        <v>1890</v>
      </c>
      <c r="N1655" t="str" cm="1">
        <f t="array" ref="N1655">IF(MOD(ROW()-ROW($B$2),16)=0,INDEX($M$2:$M$1000,(ROW()-ROW($B$2))/16+1),"")</f>
        <v/>
      </c>
    </row>
    <row r="1656" spans="2:14" x14ac:dyDescent="0.3">
      <c r="B1656" t="s">
        <v>2173</v>
      </c>
      <c r="C1656" t="s">
        <v>3838</v>
      </c>
      <c r="D1656" t="s">
        <v>1891</v>
      </c>
      <c r="E1656">
        <v>0</v>
      </c>
      <c r="F1656" t="s">
        <v>1891</v>
      </c>
      <c r="N1656" t="str" cm="1">
        <f t="array" ref="N1656">IF(MOD(ROW()-ROW($B$2),16)=0,INDEX($M$2:$M$1000,(ROW()-ROW($B$2))/16+1),"")</f>
        <v/>
      </c>
    </row>
    <row r="1657" spans="2:14" x14ac:dyDescent="0.3">
      <c r="B1657" t="s">
        <v>2173</v>
      </c>
      <c r="C1657" t="s">
        <v>3839</v>
      </c>
      <c r="D1657" t="s">
        <v>1892</v>
      </c>
      <c r="E1657">
        <v>0</v>
      </c>
      <c r="F1657" t="s">
        <v>1892</v>
      </c>
      <c r="N1657" t="str" cm="1">
        <f t="array" ref="N1657">IF(MOD(ROW()-ROW($B$2),16)=0,INDEX($M$2:$M$1000,(ROW()-ROW($B$2))/16+1),"")</f>
        <v/>
      </c>
    </row>
    <row r="1658" spans="2:14" x14ac:dyDescent="0.3">
      <c r="B1658" t="s">
        <v>2173</v>
      </c>
      <c r="C1658" t="s">
        <v>3840</v>
      </c>
      <c r="D1658" t="s">
        <v>1893</v>
      </c>
      <c r="E1658">
        <v>0</v>
      </c>
      <c r="F1658" t="s">
        <v>1893</v>
      </c>
      <c r="N1658" t="str" cm="1">
        <f t="array" ref="N1658">IF(MOD(ROW()-ROW($B$2),16)=0,INDEX($M$2:$M$1000,(ROW()-ROW($B$2))/16+1),"")</f>
        <v/>
      </c>
    </row>
    <row r="1659" spans="2:14" x14ac:dyDescent="0.3">
      <c r="B1659" t="s">
        <v>2173</v>
      </c>
      <c r="C1659" t="s">
        <v>3841</v>
      </c>
      <c r="D1659" t="s">
        <v>1894</v>
      </c>
      <c r="E1659">
        <v>0</v>
      </c>
      <c r="F1659" t="s">
        <v>1894</v>
      </c>
      <c r="N1659" t="str" cm="1">
        <f t="array" ref="N1659">IF(MOD(ROW()-ROW($B$2),16)=0,INDEX($M$2:$M$1000,(ROW()-ROW($B$2))/16+1),"")</f>
        <v/>
      </c>
    </row>
    <row r="1660" spans="2:14" x14ac:dyDescent="0.3">
      <c r="B1660" t="s">
        <v>2173</v>
      </c>
      <c r="C1660" t="s">
        <v>3842</v>
      </c>
      <c r="D1660" t="s">
        <v>1895</v>
      </c>
      <c r="E1660">
        <v>0</v>
      </c>
      <c r="F1660" t="s">
        <v>1895</v>
      </c>
      <c r="N1660" t="str" cm="1">
        <f t="array" ref="N1660">IF(MOD(ROW()-ROW($B$2),16)=0,INDEX($M$2:$M$1000,(ROW()-ROW($B$2))/16+1),"")</f>
        <v/>
      </c>
    </row>
    <row r="1661" spans="2:14" x14ac:dyDescent="0.3">
      <c r="B1661" t="s">
        <v>2173</v>
      </c>
      <c r="C1661" t="s">
        <v>3843</v>
      </c>
      <c r="D1661" t="s">
        <v>1896</v>
      </c>
      <c r="E1661">
        <v>0</v>
      </c>
      <c r="F1661" t="s">
        <v>1896</v>
      </c>
      <c r="N1661" t="str" cm="1">
        <f t="array" ref="N1661">IF(MOD(ROW()-ROW($B$2),16)=0,INDEX($M$2:$M$1000,(ROW()-ROW($B$2))/16+1),"")</f>
        <v/>
      </c>
    </row>
    <row r="1662" spans="2:14" x14ac:dyDescent="0.3">
      <c r="B1662" t="s">
        <v>2173</v>
      </c>
      <c r="C1662" t="s">
        <v>3844</v>
      </c>
      <c r="D1662" t="s">
        <v>1897</v>
      </c>
      <c r="E1662">
        <v>0</v>
      </c>
      <c r="F1662" t="s">
        <v>1897</v>
      </c>
      <c r="N1662" t="str" cm="1">
        <f t="array" ref="N1662">IF(MOD(ROW()-ROW($B$2),16)=0,INDEX($M$2:$M$1000,(ROW()-ROW($B$2))/16+1),"")</f>
        <v/>
      </c>
    </row>
    <row r="1663" spans="2:14" x14ac:dyDescent="0.3">
      <c r="B1663" t="s">
        <v>2173</v>
      </c>
      <c r="C1663" t="s">
        <v>3845</v>
      </c>
      <c r="D1663" t="s">
        <v>1898</v>
      </c>
      <c r="E1663">
        <v>0</v>
      </c>
      <c r="F1663" t="s">
        <v>1898</v>
      </c>
      <c r="N1663" t="str" cm="1">
        <f t="array" ref="N1663">IF(MOD(ROW()-ROW($B$2),16)=0,INDEX($M$2:$M$1000,(ROW()-ROW($B$2))/16+1),"")</f>
        <v/>
      </c>
    </row>
    <row r="1664" spans="2:14" x14ac:dyDescent="0.3">
      <c r="B1664" t="s">
        <v>2173</v>
      </c>
      <c r="C1664" t="s">
        <v>3846</v>
      </c>
      <c r="D1664" t="s">
        <v>1899</v>
      </c>
      <c r="E1664">
        <v>0</v>
      </c>
      <c r="F1664" t="s">
        <v>1899</v>
      </c>
      <c r="N1664" t="str" cm="1">
        <f t="array" ref="N1664">IF(MOD(ROW()-ROW($B$2),16)=0,INDEX($M$2:$M$1000,(ROW()-ROW($B$2))/16+1),"")</f>
        <v/>
      </c>
    </row>
    <row r="1665" spans="2:14" x14ac:dyDescent="0.3">
      <c r="B1665" t="s">
        <v>2173</v>
      </c>
      <c r="C1665" t="s">
        <v>3847</v>
      </c>
      <c r="D1665" t="s">
        <v>1900</v>
      </c>
      <c r="E1665">
        <v>0</v>
      </c>
      <c r="F1665" t="s">
        <v>1900</v>
      </c>
      <c r="N1665" t="str" cm="1">
        <f t="array" ref="N1665">IF(MOD(ROW()-ROW($B$2),16)=0,INDEX($M$2:$M$1000,(ROW()-ROW($B$2))/16+1),"")</f>
        <v/>
      </c>
    </row>
    <row r="1666" spans="2:14" x14ac:dyDescent="0.3">
      <c r="B1666" t="s">
        <v>2173</v>
      </c>
      <c r="C1666" t="s">
        <v>3848</v>
      </c>
      <c r="D1666" t="s">
        <v>1901</v>
      </c>
      <c r="E1666">
        <v>0</v>
      </c>
      <c r="F1666" t="s">
        <v>1901</v>
      </c>
      <c r="N1666" t="str" cm="1">
        <f t="array" ref="N1666">IF(MOD(ROW()-ROW($B$2),16)=0,INDEX($M$2:$M$1000,(ROW()-ROW($B$2))/16+1),"")</f>
        <v>Фиксированное число 104 (0)</v>
      </c>
    </row>
    <row r="1667" spans="2:14" x14ac:dyDescent="0.3">
      <c r="B1667" t="s">
        <v>2173</v>
      </c>
      <c r="C1667" t="s">
        <v>3849</v>
      </c>
      <c r="D1667" t="s">
        <v>1902</v>
      </c>
      <c r="E1667">
        <v>0</v>
      </c>
      <c r="F1667" t="s">
        <v>1902</v>
      </c>
      <c r="N1667" t="str" cm="1">
        <f t="array" ref="N1667">IF(MOD(ROW()-ROW($B$2),16)=0,INDEX($M$2:$M$1000,(ROW()-ROW($B$2))/16+1),"")</f>
        <v/>
      </c>
    </row>
    <row r="1668" spans="2:14" x14ac:dyDescent="0.3">
      <c r="B1668" t="s">
        <v>2173</v>
      </c>
      <c r="C1668" t="s">
        <v>3850</v>
      </c>
      <c r="D1668" t="s">
        <v>1903</v>
      </c>
      <c r="E1668">
        <v>0</v>
      </c>
      <c r="F1668" t="s">
        <v>1903</v>
      </c>
      <c r="N1668" t="str" cm="1">
        <f t="array" ref="N1668">IF(MOD(ROW()-ROW($B$2),16)=0,INDEX($M$2:$M$1000,(ROW()-ROW($B$2))/16+1),"")</f>
        <v/>
      </c>
    </row>
    <row r="1669" spans="2:14" x14ac:dyDescent="0.3">
      <c r="B1669" t="s">
        <v>2173</v>
      </c>
      <c r="C1669" t="s">
        <v>3851</v>
      </c>
      <c r="D1669" t="s">
        <v>1904</v>
      </c>
      <c r="E1669">
        <v>0</v>
      </c>
      <c r="F1669" t="s">
        <v>1904</v>
      </c>
      <c r="N1669" t="str" cm="1">
        <f t="array" ref="N1669">IF(MOD(ROW()-ROW($B$2),16)=0,INDEX($M$2:$M$1000,(ROW()-ROW($B$2))/16+1),"")</f>
        <v/>
      </c>
    </row>
    <row r="1670" spans="2:14" x14ac:dyDescent="0.3">
      <c r="B1670" t="s">
        <v>2173</v>
      </c>
      <c r="C1670" t="s">
        <v>3852</v>
      </c>
      <c r="D1670" t="s">
        <v>1905</v>
      </c>
      <c r="E1670">
        <v>0</v>
      </c>
      <c r="F1670" t="s">
        <v>1905</v>
      </c>
      <c r="N1670" t="str" cm="1">
        <f t="array" ref="N1670">IF(MOD(ROW()-ROW($B$2),16)=0,INDEX($M$2:$M$1000,(ROW()-ROW($B$2))/16+1),"")</f>
        <v/>
      </c>
    </row>
    <row r="1671" spans="2:14" x14ac:dyDescent="0.3">
      <c r="B1671" t="s">
        <v>2173</v>
      </c>
      <c r="C1671" t="s">
        <v>3853</v>
      </c>
      <c r="D1671" t="s">
        <v>1906</v>
      </c>
      <c r="E1671">
        <v>0</v>
      </c>
      <c r="F1671" t="s">
        <v>1906</v>
      </c>
      <c r="N1671" t="str" cm="1">
        <f t="array" ref="N1671">IF(MOD(ROW()-ROW($B$2),16)=0,INDEX($M$2:$M$1000,(ROW()-ROW($B$2))/16+1),"")</f>
        <v/>
      </c>
    </row>
    <row r="1672" spans="2:14" x14ac:dyDescent="0.3">
      <c r="B1672" t="s">
        <v>2173</v>
      </c>
      <c r="C1672" t="s">
        <v>3854</v>
      </c>
      <c r="D1672" t="s">
        <v>1907</v>
      </c>
      <c r="E1672">
        <v>0</v>
      </c>
      <c r="F1672" t="s">
        <v>1907</v>
      </c>
      <c r="N1672" t="str" cm="1">
        <f t="array" ref="N1672">IF(MOD(ROW()-ROW($B$2),16)=0,INDEX($M$2:$M$1000,(ROW()-ROW($B$2))/16+1),"")</f>
        <v/>
      </c>
    </row>
    <row r="1673" spans="2:14" x14ac:dyDescent="0.3">
      <c r="B1673" t="s">
        <v>2173</v>
      </c>
      <c r="C1673" t="s">
        <v>3855</v>
      </c>
      <c r="D1673" t="s">
        <v>1908</v>
      </c>
      <c r="E1673">
        <v>0</v>
      </c>
      <c r="F1673" t="s">
        <v>1908</v>
      </c>
      <c r="N1673" t="str" cm="1">
        <f t="array" ref="N1673">IF(MOD(ROW()-ROW($B$2),16)=0,INDEX($M$2:$M$1000,(ROW()-ROW($B$2))/16+1),"")</f>
        <v/>
      </c>
    </row>
    <row r="1674" spans="2:14" x14ac:dyDescent="0.3">
      <c r="B1674" t="s">
        <v>2173</v>
      </c>
      <c r="C1674" t="s">
        <v>3856</v>
      </c>
      <c r="D1674" t="s">
        <v>1909</v>
      </c>
      <c r="E1674">
        <v>0</v>
      </c>
      <c r="F1674" t="s">
        <v>1909</v>
      </c>
      <c r="N1674" t="str" cm="1">
        <f t="array" ref="N1674">IF(MOD(ROW()-ROW($B$2),16)=0,INDEX($M$2:$M$1000,(ROW()-ROW($B$2))/16+1),"")</f>
        <v/>
      </c>
    </row>
    <row r="1675" spans="2:14" x14ac:dyDescent="0.3">
      <c r="B1675" t="s">
        <v>2173</v>
      </c>
      <c r="C1675" t="s">
        <v>3857</v>
      </c>
      <c r="D1675" t="s">
        <v>1910</v>
      </c>
      <c r="E1675">
        <v>0</v>
      </c>
      <c r="F1675" t="s">
        <v>1910</v>
      </c>
      <c r="N1675" t="str" cm="1">
        <f t="array" ref="N1675">IF(MOD(ROW()-ROW($B$2),16)=0,INDEX($M$2:$M$1000,(ROW()-ROW($B$2))/16+1),"")</f>
        <v/>
      </c>
    </row>
    <row r="1676" spans="2:14" x14ac:dyDescent="0.3">
      <c r="B1676" t="s">
        <v>2173</v>
      </c>
      <c r="C1676" t="s">
        <v>3858</v>
      </c>
      <c r="D1676" t="s">
        <v>1911</v>
      </c>
      <c r="E1676">
        <v>0</v>
      </c>
      <c r="F1676" t="s">
        <v>1911</v>
      </c>
      <c r="N1676" t="str" cm="1">
        <f t="array" ref="N1676">IF(MOD(ROW()-ROW($B$2),16)=0,INDEX($M$2:$M$1000,(ROW()-ROW($B$2))/16+1),"")</f>
        <v/>
      </c>
    </row>
    <row r="1677" spans="2:14" x14ac:dyDescent="0.3">
      <c r="B1677" t="s">
        <v>2173</v>
      </c>
      <c r="C1677" t="s">
        <v>3859</v>
      </c>
      <c r="D1677" t="s">
        <v>1912</v>
      </c>
      <c r="E1677">
        <v>0</v>
      </c>
      <c r="F1677" t="s">
        <v>1912</v>
      </c>
      <c r="N1677" t="str" cm="1">
        <f t="array" ref="N1677">IF(MOD(ROW()-ROW($B$2),16)=0,INDEX($M$2:$M$1000,(ROW()-ROW($B$2))/16+1),"")</f>
        <v/>
      </c>
    </row>
    <row r="1678" spans="2:14" x14ac:dyDescent="0.3">
      <c r="B1678" t="s">
        <v>2173</v>
      </c>
      <c r="C1678" t="s">
        <v>3860</v>
      </c>
      <c r="D1678" t="s">
        <v>1913</v>
      </c>
      <c r="E1678">
        <v>0</v>
      </c>
      <c r="F1678" t="s">
        <v>1913</v>
      </c>
      <c r="N1678" t="str" cm="1">
        <f t="array" ref="N1678">IF(MOD(ROW()-ROW($B$2),16)=0,INDEX($M$2:$M$1000,(ROW()-ROW($B$2))/16+1),"")</f>
        <v/>
      </c>
    </row>
    <row r="1679" spans="2:14" x14ac:dyDescent="0.3">
      <c r="B1679" t="s">
        <v>2173</v>
      </c>
      <c r="C1679" t="s">
        <v>3861</v>
      </c>
      <c r="D1679" t="s">
        <v>1914</v>
      </c>
      <c r="E1679">
        <v>0</v>
      </c>
      <c r="F1679" t="s">
        <v>1914</v>
      </c>
      <c r="N1679" t="str" cm="1">
        <f t="array" ref="N1679">IF(MOD(ROW()-ROW($B$2),16)=0,INDEX($M$2:$M$1000,(ROW()-ROW($B$2))/16+1),"")</f>
        <v/>
      </c>
    </row>
    <row r="1680" spans="2:14" x14ac:dyDescent="0.3">
      <c r="B1680" t="s">
        <v>2173</v>
      </c>
      <c r="C1680" t="s">
        <v>3862</v>
      </c>
      <c r="D1680" t="s">
        <v>1915</v>
      </c>
      <c r="E1680">
        <v>0</v>
      </c>
      <c r="F1680" t="s">
        <v>1915</v>
      </c>
      <c r="N1680" t="str" cm="1">
        <f t="array" ref="N1680">IF(MOD(ROW()-ROW($B$2),16)=0,INDEX($M$2:$M$1000,(ROW()-ROW($B$2))/16+1),"")</f>
        <v/>
      </c>
    </row>
    <row r="1681" spans="2:14" x14ac:dyDescent="0.3">
      <c r="B1681" t="s">
        <v>2173</v>
      </c>
      <c r="C1681" t="s">
        <v>3863</v>
      </c>
      <c r="D1681" t="s">
        <v>1916</v>
      </c>
      <c r="E1681">
        <v>0</v>
      </c>
      <c r="F1681" t="s">
        <v>1916</v>
      </c>
      <c r="N1681" t="str" cm="1">
        <f t="array" ref="N1681">IF(MOD(ROW()-ROW($B$2),16)=0,INDEX($M$2:$M$1000,(ROW()-ROW($B$2))/16+1),"")</f>
        <v/>
      </c>
    </row>
    <row r="1682" spans="2:14" x14ac:dyDescent="0.3">
      <c r="B1682" t="s">
        <v>2173</v>
      </c>
      <c r="C1682" t="s">
        <v>3864</v>
      </c>
      <c r="D1682" t="s">
        <v>1917</v>
      </c>
      <c r="E1682">
        <v>0</v>
      </c>
      <c r="F1682" t="s">
        <v>1917</v>
      </c>
      <c r="N1682" t="str" cm="1">
        <f t="array" ref="N1682">IF(MOD(ROW()-ROW($B$2),16)=0,INDEX($M$2:$M$1000,(ROW()-ROW($B$2))/16+1),"")</f>
        <v>Фиксированное число 105 (0)</v>
      </c>
    </row>
    <row r="1683" spans="2:14" x14ac:dyDescent="0.3">
      <c r="B1683" t="s">
        <v>2173</v>
      </c>
      <c r="C1683" t="s">
        <v>3865</v>
      </c>
      <c r="D1683" t="s">
        <v>1918</v>
      </c>
      <c r="E1683">
        <v>0</v>
      </c>
      <c r="F1683" t="s">
        <v>1918</v>
      </c>
      <c r="N1683" t="str" cm="1">
        <f t="array" ref="N1683">IF(MOD(ROW()-ROW($B$2),16)=0,INDEX($M$2:$M$1000,(ROW()-ROW($B$2))/16+1),"")</f>
        <v/>
      </c>
    </row>
    <row r="1684" spans="2:14" x14ac:dyDescent="0.3">
      <c r="B1684" t="s">
        <v>2173</v>
      </c>
      <c r="C1684" t="s">
        <v>3866</v>
      </c>
      <c r="D1684" t="s">
        <v>1919</v>
      </c>
      <c r="E1684">
        <v>0</v>
      </c>
      <c r="F1684" t="s">
        <v>1919</v>
      </c>
      <c r="N1684" t="str" cm="1">
        <f t="array" ref="N1684">IF(MOD(ROW()-ROW($B$2),16)=0,INDEX($M$2:$M$1000,(ROW()-ROW($B$2))/16+1),"")</f>
        <v/>
      </c>
    </row>
    <row r="1685" spans="2:14" x14ac:dyDescent="0.3">
      <c r="B1685" t="s">
        <v>2173</v>
      </c>
      <c r="C1685" t="s">
        <v>3867</v>
      </c>
      <c r="D1685" t="s">
        <v>1920</v>
      </c>
      <c r="E1685">
        <v>0</v>
      </c>
      <c r="F1685" t="s">
        <v>1920</v>
      </c>
      <c r="N1685" t="str" cm="1">
        <f t="array" ref="N1685">IF(MOD(ROW()-ROW($B$2),16)=0,INDEX($M$2:$M$1000,(ROW()-ROW($B$2))/16+1),"")</f>
        <v/>
      </c>
    </row>
    <row r="1686" spans="2:14" x14ac:dyDescent="0.3">
      <c r="B1686" t="s">
        <v>2173</v>
      </c>
      <c r="C1686" t="s">
        <v>3868</v>
      </c>
      <c r="D1686" t="s">
        <v>1921</v>
      </c>
      <c r="E1686">
        <v>0</v>
      </c>
      <c r="F1686" t="s">
        <v>1921</v>
      </c>
      <c r="N1686" t="str" cm="1">
        <f t="array" ref="N1686">IF(MOD(ROW()-ROW($B$2),16)=0,INDEX($M$2:$M$1000,(ROW()-ROW($B$2))/16+1),"")</f>
        <v/>
      </c>
    </row>
    <row r="1687" spans="2:14" x14ac:dyDescent="0.3">
      <c r="B1687" t="s">
        <v>2173</v>
      </c>
      <c r="C1687" t="s">
        <v>3869</v>
      </c>
      <c r="D1687" t="s">
        <v>1922</v>
      </c>
      <c r="E1687">
        <v>0</v>
      </c>
      <c r="F1687" t="s">
        <v>1922</v>
      </c>
      <c r="N1687" t="str" cm="1">
        <f t="array" ref="N1687">IF(MOD(ROW()-ROW($B$2),16)=0,INDEX($M$2:$M$1000,(ROW()-ROW($B$2))/16+1),"")</f>
        <v/>
      </c>
    </row>
    <row r="1688" spans="2:14" x14ac:dyDescent="0.3">
      <c r="B1688" t="s">
        <v>2173</v>
      </c>
      <c r="C1688" t="s">
        <v>3870</v>
      </c>
      <c r="D1688" t="s">
        <v>1923</v>
      </c>
      <c r="E1688">
        <v>0</v>
      </c>
      <c r="F1688" t="s">
        <v>1923</v>
      </c>
      <c r="N1688" t="str" cm="1">
        <f t="array" ref="N1688">IF(MOD(ROW()-ROW($B$2),16)=0,INDEX($M$2:$M$1000,(ROW()-ROW($B$2))/16+1),"")</f>
        <v/>
      </c>
    </row>
    <row r="1689" spans="2:14" x14ac:dyDescent="0.3">
      <c r="B1689" t="s">
        <v>2173</v>
      </c>
      <c r="C1689" t="s">
        <v>3871</v>
      </c>
      <c r="D1689" t="s">
        <v>1924</v>
      </c>
      <c r="E1689">
        <v>0</v>
      </c>
      <c r="F1689" t="s">
        <v>1924</v>
      </c>
      <c r="N1689" t="str" cm="1">
        <f t="array" ref="N1689">IF(MOD(ROW()-ROW($B$2),16)=0,INDEX($M$2:$M$1000,(ROW()-ROW($B$2))/16+1),"")</f>
        <v/>
      </c>
    </row>
    <row r="1690" spans="2:14" x14ac:dyDescent="0.3">
      <c r="B1690" t="s">
        <v>2173</v>
      </c>
      <c r="C1690" t="s">
        <v>3872</v>
      </c>
      <c r="D1690" t="s">
        <v>1925</v>
      </c>
      <c r="E1690">
        <v>0</v>
      </c>
      <c r="F1690" t="s">
        <v>1925</v>
      </c>
      <c r="N1690" t="str" cm="1">
        <f t="array" ref="N1690">IF(MOD(ROW()-ROW($B$2),16)=0,INDEX($M$2:$M$1000,(ROW()-ROW($B$2))/16+1),"")</f>
        <v/>
      </c>
    </row>
    <row r="1691" spans="2:14" x14ac:dyDescent="0.3">
      <c r="B1691" t="s">
        <v>2173</v>
      </c>
      <c r="C1691" t="s">
        <v>3873</v>
      </c>
      <c r="D1691" t="s">
        <v>1926</v>
      </c>
      <c r="E1691">
        <v>0</v>
      </c>
      <c r="F1691" t="s">
        <v>1926</v>
      </c>
      <c r="N1691" t="str" cm="1">
        <f t="array" ref="N1691">IF(MOD(ROW()-ROW($B$2),16)=0,INDEX($M$2:$M$1000,(ROW()-ROW($B$2))/16+1),"")</f>
        <v/>
      </c>
    </row>
    <row r="1692" spans="2:14" x14ac:dyDescent="0.3">
      <c r="B1692" t="s">
        <v>2173</v>
      </c>
      <c r="C1692" t="s">
        <v>3874</v>
      </c>
      <c r="D1692" t="s">
        <v>1927</v>
      </c>
      <c r="E1692">
        <v>0</v>
      </c>
      <c r="F1692" t="s">
        <v>1927</v>
      </c>
      <c r="N1692" t="str" cm="1">
        <f t="array" ref="N1692">IF(MOD(ROW()-ROW($B$2),16)=0,INDEX($M$2:$M$1000,(ROW()-ROW($B$2))/16+1),"")</f>
        <v/>
      </c>
    </row>
    <row r="1693" spans="2:14" x14ac:dyDescent="0.3">
      <c r="B1693" t="s">
        <v>2173</v>
      </c>
      <c r="C1693" t="s">
        <v>3875</v>
      </c>
      <c r="D1693" t="s">
        <v>1928</v>
      </c>
      <c r="E1693">
        <v>0</v>
      </c>
      <c r="F1693" t="s">
        <v>1928</v>
      </c>
      <c r="N1693" t="str" cm="1">
        <f t="array" ref="N1693">IF(MOD(ROW()-ROW($B$2),16)=0,INDEX($M$2:$M$1000,(ROW()-ROW($B$2))/16+1),"")</f>
        <v/>
      </c>
    </row>
    <row r="1694" spans="2:14" x14ac:dyDescent="0.3">
      <c r="B1694" t="s">
        <v>2173</v>
      </c>
      <c r="C1694" t="s">
        <v>3876</v>
      </c>
      <c r="D1694" t="s">
        <v>1929</v>
      </c>
      <c r="E1694">
        <v>0</v>
      </c>
      <c r="F1694" t="s">
        <v>1929</v>
      </c>
      <c r="N1694" t="str" cm="1">
        <f t="array" ref="N1694">IF(MOD(ROW()-ROW($B$2),16)=0,INDEX($M$2:$M$1000,(ROW()-ROW($B$2))/16+1),"")</f>
        <v/>
      </c>
    </row>
    <row r="1695" spans="2:14" x14ac:dyDescent="0.3">
      <c r="B1695" t="s">
        <v>2173</v>
      </c>
      <c r="C1695" t="s">
        <v>3877</v>
      </c>
      <c r="D1695" t="s">
        <v>1930</v>
      </c>
      <c r="E1695">
        <v>0</v>
      </c>
      <c r="F1695" t="s">
        <v>1930</v>
      </c>
      <c r="N1695" t="str" cm="1">
        <f t="array" ref="N1695">IF(MOD(ROW()-ROW($B$2),16)=0,INDEX($M$2:$M$1000,(ROW()-ROW($B$2))/16+1),"")</f>
        <v/>
      </c>
    </row>
    <row r="1696" spans="2:14" x14ac:dyDescent="0.3">
      <c r="B1696" t="s">
        <v>2173</v>
      </c>
      <c r="C1696" t="s">
        <v>3878</v>
      </c>
      <c r="D1696" t="s">
        <v>1931</v>
      </c>
      <c r="E1696">
        <v>0</v>
      </c>
      <c r="F1696" t="s">
        <v>1931</v>
      </c>
      <c r="N1696" t="str" cm="1">
        <f t="array" ref="N1696">IF(MOD(ROW()-ROW($B$2),16)=0,INDEX($M$2:$M$1000,(ROW()-ROW($B$2))/16+1),"")</f>
        <v/>
      </c>
    </row>
    <row r="1697" spans="2:14" x14ac:dyDescent="0.3">
      <c r="B1697" t="s">
        <v>2173</v>
      </c>
      <c r="C1697" t="s">
        <v>3879</v>
      </c>
      <c r="D1697" t="s">
        <v>1932</v>
      </c>
      <c r="E1697">
        <v>0</v>
      </c>
      <c r="F1697" t="s">
        <v>1932</v>
      </c>
      <c r="N1697" t="str" cm="1">
        <f t="array" ref="N1697">IF(MOD(ROW()-ROW($B$2),16)=0,INDEX($M$2:$M$1000,(ROW()-ROW($B$2))/16+1),"")</f>
        <v/>
      </c>
    </row>
    <row r="1698" spans="2:14" x14ac:dyDescent="0.3">
      <c r="B1698" t="s">
        <v>2173</v>
      </c>
      <c r="C1698" t="s">
        <v>3880</v>
      </c>
      <c r="D1698" t="s">
        <v>1933</v>
      </c>
      <c r="E1698">
        <v>0</v>
      </c>
      <c r="F1698" t="s">
        <v>1933</v>
      </c>
      <c r="N1698" t="str" cm="1">
        <f t="array" ref="N1698">IF(MOD(ROW()-ROW($B$2),16)=0,INDEX($M$2:$M$1000,(ROW()-ROW($B$2))/16+1),"")</f>
        <v>Фиксированное число 106 (0)</v>
      </c>
    </row>
    <row r="1699" spans="2:14" x14ac:dyDescent="0.3">
      <c r="B1699" t="s">
        <v>2173</v>
      </c>
      <c r="C1699" t="s">
        <v>3881</v>
      </c>
      <c r="D1699" t="s">
        <v>1934</v>
      </c>
      <c r="E1699">
        <v>0</v>
      </c>
      <c r="F1699" t="s">
        <v>1934</v>
      </c>
      <c r="N1699" t="str" cm="1">
        <f t="array" ref="N1699">IF(MOD(ROW()-ROW($B$2),16)=0,INDEX($M$2:$M$1000,(ROW()-ROW($B$2))/16+1),"")</f>
        <v/>
      </c>
    </row>
    <row r="1700" spans="2:14" x14ac:dyDescent="0.3">
      <c r="B1700" t="s">
        <v>2173</v>
      </c>
      <c r="C1700" t="s">
        <v>3882</v>
      </c>
      <c r="D1700" t="s">
        <v>1935</v>
      </c>
      <c r="E1700">
        <v>0</v>
      </c>
      <c r="F1700" t="s">
        <v>1935</v>
      </c>
      <c r="N1700" t="str" cm="1">
        <f t="array" ref="N1700">IF(MOD(ROW()-ROW($B$2),16)=0,INDEX($M$2:$M$1000,(ROW()-ROW($B$2))/16+1),"")</f>
        <v/>
      </c>
    </row>
    <row r="1701" spans="2:14" x14ac:dyDescent="0.3">
      <c r="B1701" t="s">
        <v>2173</v>
      </c>
      <c r="C1701" t="s">
        <v>3883</v>
      </c>
      <c r="D1701" t="s">
        <v>1936</v>
      </c>
      <c r="E1701">
        <v>0</v>
      </c>
      <c r="F1701" t="s">
        <v>1936</v>
      </c>
      <c r="N1701" t="str" cm="1">
        <f t="array" ref="N1701">IF(MOD(ROW()-ROW($B$2),16)=0,INDEX($M$2:$M$1000,(ROW()-ROW($B$2))/16+1),"")</f>
        <v/>
      </c>
    </row>
    <row r="1702" spans="2:14" x14ac:dyDescent="0.3">
      <c r="B1702" t="s">
        <v>2173</v>
      </c>
      <c r="C1702" t="s">
        <v>3884</v>
      </c>
      <c r="D1702" t="s">
        <v>1937</v>
      </c>
      <c r="E1702">
        <v>0</v>
      </c>
      <c r="F1702" t="s">
        <v>1937</v>
      </c>
      <c r="N1702" t="str" cm="1">
        <f t="array" ref="N1702">IF(MOD(ROW()-ROW($B$2),16)=0,INDEX($M$2:$M$1000,(ROW()-ROW($B$2))/16+1),"")</f>
        <v/>
      </c>
    </row>
    <row r="1703" spans="2:14" x14ac:dyDescent="0.3">
      <c r="B1703" t="s">
        <v>2173</v>
      </c>
      <c r="C1703" t="s">
        <v>3885</v>
      </c>
      <c r="D1703" t="s">
        <v>1938</v>
      </c>
      <c r="E1703">
        <v>0</v>
      </c>
      <c r="F1703" t="s">
        <v>1938</v>
      </c>
      <c r="N1703" t="str" cm="1">
        <f t="array" ref="N1703">IF(MOD(ROW()-ROW($B$2),16)=0,INDEX($M$2:$M$1000,(ROW()-ROW($B$2))/16+1),"")</f>
        <v/>
      </c>
    </row>
    <row r="1704" spans="2:14" x14ac:dyDescent="0.3">
      <c r="B1704" t="s">
        <v>2173</v>
      </c>
      <c r="C1704" t="s">
        <v>3886</v>
      </c>
      <c r="D1704" t="s">
        <v>1939</v>
      </c>
      <c r="E1704">
        <v>0</v>
      </c>
      <c r="F1704" t="s">
        <v>1939</v>
      </c>
      <c r="N1704" t="str" cm="1">
        <f t="array" ref="N1704">IF(MOD(ROW()-ROW($B$2),16)=0,INDEX($M$2:$M$1000,(ROW()-ROW($B$2))/16+1),"")</f>
        <v/>
      </c>
    </row>
    <row r="1705" spans="2:14" x14ac:dyDescent="0.3">
      <c r="B1705" t="s">
        <v>2173</v>
      </c>
      <c r="C1705" t="s">
        <v>3887</v>
      </c>
      <c r="D1705" t="s">
        <v>1940</v>
      </c>
      <c r="E1705">
        <v>0</v>
      </c>
      <c r="F1705" t="s">
        <v>1940</v>
      </c>
      <c r="N1705" t="str" cm="1">
        <f t="array" ref="N1705">IF(MOD(ROW()-ROW($B$2),16)=0,INDEX($M$2:$M$1000,(ROW()-ROW($B$2))/16+1),"")</f>
        <v/>
      </c>
    </row>
    <row r="1706" spans="2:14" x14ac:dyDescent="0.3">
      <c r="B1706" t="s">
        <v>2173</v>
      </c>
      <c r="C1706" t="s">
        <v>3888</v>
      </c>
      <c r="D1706" t="s">
        <v>1941</v>
      </c>
      <c r="E1706">
        <v>0</v>
      </c>
      <c r="F1706" t="s">
        <v>1941</v>
      </c>
      <c r="N1706" t="str" cm="1">
        <f t="array" ref="N1706">IF(MOD(ROW()-ROW($B$2),16)=0,INDEX($M$2:$M$1000,(ROW()-ROW($B$2))/16+1),"")</f>
        <v/>
      </c>
    </row>
    <row r="1707" spans="2:14" x14ac:dyDescent="0.3">
      <c r="B1707" t="s">
        <v>2173</v>
      </c>
      <c r="C1707" t="s">
        <v>3889</v>
      </c>
      <c r="D1707" t="s">
        <v>1942</v>
      </c>
      <c r="E1707">
        <v>0</v>
      </c>
      <c r="F1707" t="s">
        <v>1942</v>
      </c>
      <c r="N1707" t="str" cm="1">
        <f t="array" ref="N1707">IF(MOD(ROW()-ROW($B$2),16)=0,INDEX($M$2:$M$1000,(ROW()-ROW($B$2))/16+1),"")</f>
        <v/>
      </c>
    </row>
    <row r="1708" spans="2:14" x14ac:dyDescent="0.3">
      <c r="B1708" t="s">
        <v>2173</v>
      </c>
      <c r="C1708" t="s">
        <v>3890</v>
      </c>
      <c r="D1708" t="s">
        <v>1943</v>
      </c>
      <c r="E1708">
        <v>0</v>
      </c>
      <c r="F1708" t="s">
        <v>1943</v>
      </c>
      <c r="N1708" t="str" cm="1">
        <f t="array" ref="N1708">IF(MOD(ROW()-ROW($B$2),16)=0,INDEX($M$2:$M$1000,(ROW()-ROW($B$2))/16+1),"")</f>
        <v/>
      </c>
    </row>
    <row r="1709" spans="2:14" x14ac:dyDescent="0.3">
      <c r="B1709" t="s">
        <v>2173</v>
      </c>
      <c r="C1709" t="s">
        <v>3891</v>
      </c>
      <c r="D1709" t="s">
        <v>1944</v>
      </c>
      <c r="E1709">
        <v>0</v>
      </c>
      <c r="F1709" t="s">
        <v>1944</v>
      </c>
      <c r="N1709" t="str" cm="1">
        <f t="array" ref="N1709">IF(MOD(ROW()-ROW($B$2),16)=0,INDEX($M$2:$M$1000,(ROW()-ROW($B$2))/16+1),"")</f>
        <v/>
      </c>
    </row>
    <row r="1710" spans="2:14" x14ac:dyDescent="0.3">
      <c r="B1710" t="s">
        <v>2173</v>
      </c>
      <c r="C1710" t="s">
        <v>3892</v>
      </c>
      <c r="D1710" t="s">
        <v>1945</v>
      </c>
      <c r="E1710">
        <v>0</v>
      </c>
      <c r="F1710" t="s">
        <v>1945</v>
      </c>
      <c r="N1710" t="str" cm="1">
        <f t="array" ref="N1710">IF(MOD(ROW()-ROW($B$2),16)=0,INDEX($M$2:$M$1000,(ROW()-ROW($B$2))/16+1),"")</f>
        <v/>
      </c>
    </row>
    <row r="1711" spans="2:14" x14ac:dyDescent="0.3">
      <c r="B1711" t="s">
        <v>2173</v>
      </c>
      <c r="C1711" t="s">
        <v>3893</v>
      </c>
      <c r="D1711" t="s">
        <v>1946</v>
      </c>
      <c r="E1711">
        <v>0</v>
      </c>
      <c r="F1711" t="s">
        <v>1946</v>
      </c>
      <c r="N1711" t="str" cm="1">
        <f t="array" ref="N1711">IF(MOD(ROW()-ROW($B$2),16)=0,INDEX($M$2:$M$1000,(ROW()-ROW($B$2))/16+1),"")</f>
        <v/>
      </c>
    </row>
    <row r="1712" spans="2:14" x14ac:dyDescent="0.3">
      <c r="B1712" t="s">
        <v>2173</v>
      </c>
      <c r="C1712" t="s">
        <v>3894</v>
      </c>
      <c r="D1712" t="s">
        <v>1947</v>
      </c>
      <c r="E1712">
        <v>0</v>
      </c>
      <c r="F1712" t="s">
        <v>1947</v>
      </c>
      <c r="N1712" t="str" cm="1">
        <f t="array" ref="N1712">IF(MOD(ROW()-ROW($B$2),16)=0,INDEX($M$2:$M$1000,(ROW()-ROW($B$2))/16+1),"")</f>
        <v/>
      </c>
    </row>
    <row r="1713" spans="2:14" x14ac:dyDescent="0.3">
      <c r="B1713" t="s">
        <v>2173</v>
      </c>
      <c r="C1713" t="s">
        <v>3895</v>
      </c>
      <c r="D1713" t="s">
        <v>1948</v>
      </c>
      <c r="E1713">
        <v>0</v>
      </c>
      <c r="F1713" t="s">
        <v>1948</v>
      </c>
      <c r="N1713" t="str" cm="1">
        <f t="array" ref="N1713">IF(MOD(ROW()-ROW($B$2),16)=0,INDEX($M$2:$M$1000,(ROW()-ROW($B$2))/16+1),"")</f>
        <v/>
      </c>
    </row>
    <row r="1714" spans="2:14" x14ac:dyDescent="0.3">
      <c r="B1714" t="s">
        <v>2173</v>
      </c>
      <c r="C1714" t="s">
        <v>3896</v>
      </c>
      <c r="D1714" t="s">
        <v>1949</v>
      </c>
      <c r="E1714">
        <v>0</v>
      </c>
      <c r="F1714" t="s">
        <v>1949</v>
      </c>
      <c r="N1714" t="str" cm="1">
        <f t="array" ref="N1714">IF(MOD(ROW()-ROW($B$2),16)=0,INDEX($M$2:$M$1000,(ROW()-ROW($B$2))/16+1),"")</f>
        <v>Фиксированное число 107 (0)</v>
      </c>
    </row>
    <row r="1715" spans="2:14" x14ac:dyDescent="0.3">
      <c r="B1715" t="s">
        <v>2173</v>
      </c>
      <c r="C1715" t="s">
        <v>3897</v>
      </c>
      <c r="D1715" t="s">
        <v>1950</v>
      </c>
      <c r="E1715">
        <v>0</v>
      </c>
      <c r="F1715" t="s">
        <v>1950</v>
      </c>
      <c r="N1715" t="str" cm="1">
        <f t="array" ref="N1715">IF(MOD(ROW()-ROW($B$2),16)=0,INDEX($M$2:$M$1000,(ROW()-ROW($B$2))/16+1),"")</f>
        <v/>
      </c>
    </row>
    <row r="1716" spans="2:14" x14ac:dyDescent="0.3">
      <c r="B1716" t="s">
        <v>2173</v>
      </c>
      <c r="C1716" t="s">
        <v>3898</v>
      </c>
      <c r="D1716" t="s">
        <v>1951</v>
      </c>
      <c r="E1716">
        <v>0</v>
      </c>
      <c r="F1716" t="s">
        <v>1951</v>
      </c>
      <c r="N1716" t="str" cm="1">
        <f t="array" ref="N1716">IF(MOD(ROW()-ROW($B$2),16)=0,INDEX($M$2:$M$1000,(ROW()-ROW($B$2))/16+1),"")</f>
        <v/>
      </c>
    </row>
    <row r="1717" spans="2:14" x14ac:dyDescent="0.3">
      <c r="B1717" t="s">
        <v>2173</v>
      </c>
      <c r="C1717" t="s">
        <v>3899</v>
      </c>
      <c r="D1717" t="s">
        <v>1952</v>
      </c>
      <c r="E1717">
        <v>0</v>
      </c>
      <c r="F1717" t="s">
        <v>1952</v>
      </c>
      <c r="N1717" t="str" cm="1">
        <f t="array" ref="N1717">IF(MOD(ROW()-ROW($B$2),16)=0,INDEX($M$2:$M$1000,(ROW()-ROW($B$2))/16+1),"")</f>
        <v/>
      </c>
    </row>
    <row r="1718" spans="2:14" x14ac:dyDescent="0.3">
      <c r="B1718" t="s">
        <v>2173</v>
      </c>
      <c r="C1718" t="s">
        <v>3900</v>
      </c>
      <c r="D1718" t="s">
        <v>1953</v>
      </c>
      <c r="E1718">
        <v>0</v>
      </c>
      <c r="F1718" t="s">
        <v>1953</v>
      </c>
      <c r="N1718" t="str" cm="1">
        <f t="array" ref="N1718">IF(MOD(ROW()-ROW($B$2),16)=0,INDEX($M$2:$M$1000,(ROW()-ROW($B$2))/16+1),"")</f>
        <v/>
      </c>
    </row>
    <row r="1719" spans="2:14" x14ac:dyDescent="0.3">
      <c r="B1719" t="s">
        <v>2173</v>
      </c>
      <c r="C1719" t="s">
        <v>3901</v>
      </c>
      <c r="D1719" t="s">
        <v>1954</v>
      </c>
      <c r="E1719">
        <v>0</v>
      </c>
      <c r="F1719" t="s">
        <v>1954</v>
      </c>
      <c r="N1719" t="str" cm="1">
        <f t="array" ref="N1719">IF(MOD(ROW()-ROW($B$2),16)=0,INDEX($M$2:$M$1000,(ROW()-ROW($B$2))/16+1),"")</f>
        <v/>
      </c>
    </row>
    <row r="1720" spans="2:14" x14ac:dyDescent="0.3">
      <c r="B1720" t="s">
        <v>2173</v>
      </c>
      <c r="C1720" t="s">
        <v>3902</v>
      </c>
      <c r="D1720" t="s">
        <v>1955</v>
      </c>
      <c r="E1720">
        <v>0</v>
      </c>
      <c r="F1720" t="s">
        <v>1955</v>
      </c>
      <c r="N1720" t="str" cm="1">
        <f t="array" ref="N1720">IF(MOD(ROW()-ROW($B$2),16)=0,INDEX($M$2:$M$1000,(ROW()-ROW($B$2))/16+1),"")</f>
        <v/>
      </c>
    </row>
    <row r="1721" spans="2:14" x14ac:dyDescent="0.3">
      <c r="B1721" t="s">
        <v>2173</v>
      </c>
      <c r="C1721" t="s">
        <v>3903</v>
      </c>
      <c r="D1721" t="s">
        <v>1956</v>
      </c>
      <c r="E1721">
        <v>0</v>
      </c>
      <c r="F1721" t="s">
        <v>1956</v>
      </c>
      <c r="N1721" t="str" cm="1">
        <f t="array" ref="N1721">IF(MOD(ROW()-ROW($B$2),16)=0,INDEX($M$2:$M$1000,(ROW()-ROW($B$2))/16+1),"")</f>
        <v/>
      </c>
    </row>
    <row r="1722" spans="2:14" x14ac:dyDescent="0.3">
      <c r="B1722" t="s">
        <v>2173</v>
      </c>
      <c r="C1722" t="s">
        <v>3904</v>
      </c>
      <c r="D1722" t="s">
        <v>1957</v>
      </c>
      <c r="E1722">
        <v>0</v>
      </c>
      <c r="F1722" t="s">
        <v>1957</v>
      </c>
      <c r="N1722" t="str" cm="1">
        <f t="array" ref="N1722">IF(MOD(ROW()-ROW($B$2),16)=0,INDEX($M$2:$M$1000,(ROW()-ROW($B$2))/16+1),"")</f>
        <v/>
      </c>
    </row>
    <row r="1723" spans="2:14" x14ac:dyDescent="0.3">
      <c r="B1723" t="s">
        <v>2173</v>
      </c>
      <c r="C1723" t="s">
        <v>3905</v>
      </c>
      <c r="D1723" t="s">
        <v>1958</v>
      </c>
      <c r="E1723">
        <v>0</v>
      </c>
      <c r="F1723" t="s">
        <v>1958</v>
      </c>
      <c r="N1723" t="str" cm="1">
        <f t="array" ref="N1723">IF(MOD(ROW()-ROW($B$2),16)=0,INDEX($M$2:$M$1000,(ROW()-ROW($B$2))/16+1),"")</f>
        <v/>
      </c>
    </row>
    <row r="1724" spans="2:14" x14ac:dyDescent="0.3">
      <c r="B1724" t="s">
        <v>2173</v>
      </c>
      <c r="C1724" t="s">
        <v>3906</v>
      </c>
      <c r="D1724" t="s">
        <v>1959</v>
      </c>
      <c r="E1724">
        <v>0</v>
      </c>
      <c r="F1724" t="s">
        <v>1959</v>
      </c>
      <c r="N1724" t="str" cm="1">
        <f t="array" ref="N1724">IF(MOD(ROW()-ROW($B$2),16)=0,INDEX($M$2:$M$1000,(ROW()-ROW($B$2))/16+1),"")</f>
        <v/>
      </c>
    </row>
    <row r="1725" spans="2:14" x14ac:dyDescent="0.3">
      <c r="B1725" t="s">
        <v>2173</v>
      </c>
      <c r="C1725" t="s">
        <v>3907</v>
      </c>
      <c r="D1725" t="s">
        <v>1960</v>
      </c>
      <c r="E1725">
        <v>0</v>
      </c>
      <c r="F1725" t="s">
        <v>1960</v>
      </c>
      <c r="N1725" t="str" cm="1">
        <f t="array" ref="N1725">IF(MOD(ROW()-ROW($B$2),16)=0,INDEX($M$2:$M$1000,(ROW()-ROW($B$2))/16+1),"")</f>
        <v/>
      </c>
    </row>
    <row r="1726" spans="2:14" x14ac:dyDescent="0.3">
      <c r="B1726" t="s">
        <v>2173</v>
      </c>
      <c r="C1726" t="s">
        <v>3908</v>
      </c>
      <c r="D1726" t="s">
        <v>1961</v>
      </c>
      <c r="E1726">
        <v>0</v>
      </c>
      <c r="F1726" t="s">
        <v>1961</v>
      </c>
      <c r="N1726" t="str" cm="1">
        <f t="array" ref="N1726">IF(MOD(ROW()-ROW($B$2),16)=0,INDEX($M$2:$M$1000,(ROW()-ROW($B$2))/16+1),"")</f>
        <v/>
      </c>
    </row>
    <row r="1727" spans="2:14" x14ac:dyDescent="0.3">
      <c r="B1727" t="s">
        <v>2173</v>
      </c>
      <c r="C1727" t="s">
        <v>3909</v>
      </c>
      <c r="D1727" t="s">
        <v>1962</v>
      </c>
      <c r="E1727">
        <v>0</v>
      </c>
      <c r="F1727" t="s">
        <v>1962</v>
      </c>
      <c r="N1727" t="str" cm="1">
        <f t="array" ref="N1727">IF(MOD(ROW()-ROW($B$2),16)=0,INDEX($M$2:$M$1000,(ROW()-ROW($B$2))/16+1),"")</f>
        <v/>
      </c>
    </row>
    <row r="1728" spans="2:14" x14ac:dyDescent="0.3">
      <c r="B1728" t="s">
        <v>2173</v>
      </c>
      <c r="C1728" t="s">
        <v>3910</v>
      </c>
      <c r="D1728" t="s">
        <v>1963</v>
      </c>
      <c r="E1728">
        <v>0</v>
      </c>
      <c r="F1728" t="s">
        <v>1963</v>
      </c>
      <c r="N1728" t="str" cm="1">
        <f t="array" ref="N1728">IF(MOD(ROW()-ROW($B$2),16)=0,INDEX($M$2:$M$1000,(ROW()-ROW($B$2))/16+1),"")</f>
        <v/>
      </c>
    </row>
    <row r="1729" spans="2:14" x14ac:dyDescent="0.3">
      <c r="B1729" t="s">
        <v>2173</v>
      </c>
      <c r="C1729" t="s">
        <v>3911</v>
      </c>
      <c r="D1729" t="s">
        <v>1964</v>
      </c>
      <c r="E1729">
        <v>0</v>
      </c>
      <c r="F1729" t="s">
        <v>1964</v>
      </c>
      <c r="N1729" t="str" cm="1">
        <f t="array" ref="N1729">IF(MOD(ROW()-ROW($B$2),16)=0,INDEX($M$2:$M$1000,(ROW()-ROW($B$2))/16+1),"")</f>
        <v/>
      </c>
    </row>
    <row r="1730" spans="2:14" x14ac:dyDescent="0.3">
      <c r="B1730" t="s">
        <v>2173</v>
      </c>
      <c r="C1730" t="s">
        <v>3912</v>
      </c>
      <c r="D1730" t="s">
        <v>1965</v>
      </c>
      <c r="E1730">
        <v>0</v>
      </c>
      <c r="F1730" t="s">
        <v>1965</v>
      </c>
      <c r="N1730" t="str" cm="1">
        <f t="array" ref="N1730">IF(MOD(ROW()-ROW($B$2),16)=0,INDEX($M$2:$M$1000,(ROW()-ROW($B$2))/16+1),"")</f>
        <v>Фиксированное число 108 (0)</v>
      </c>
    </row>
    <row r="1731" spans="2:14" x14ac:dyDescent="0.3">
      <c r="B1731" t="s">
        <v>2173</v>
      </c>
      <c r="C1731" t="s">
        <v>3913</v>
      </c>
      <c r="D1731" t="s">
        <v>1966</v>
      </c>
      <c r="E1731">
        <v>0</v>
      </c>
      <c r="F1731" t="s">
        <v>1966</v>
      </c>
      <c r="N1731" t="str" cm="1">
        <f t="array" ref="N1731">IF(MOD(ROW()-ROW($B$2),16)=0,INDEX($M$2:$M$1000,(ROW()-ROW($B$2))/16+1),"")</f>
        <v/>
      </c>
    </row>
    <row r="1732" spans="2:14" x14ac:dyDescent="0.3">
      <c r="B1732" t="s">
        <v>2173</v>
      </c>
      <c r="C1732" t="s">
        <v>3914</v>
      </c>
      <c r="D1732" t="s">
        <v>1967</v>
      </c>
      <c r="E1732">
        <v>0</v>
      </c>
      <c r="F1732" t="s">
        <v>1967</v>
      </c>
      <c r="N1732" t="str" cm="1">
        <f t="array" ref="N1732">IF(MOD(ROW()-ROW($B$2),16)=0,INDEX($M$2:$M$1000,(ROW()-ROW($B$2))/16+1),"")</f>
        <v/>
      </c>
    </row>
    <row r="1733" spans="2:14" x14ac:dyDescent="0.3">
      <c r="B1733" t="s">
        <v>2173</v>
      </c>
      <c r="C1733" t="s">
        <v>3915</v>
      </c>
      <c r="D1733" t="s">
        <v>1968</v>
      </c>
      <c r="E1733">
        <v>0</v>
      </c>
      <c r="F1733" t="s">
        <v>1968</v>
      </c>
      <c r="N1733" t="str" cm="1">
        <f t="array" ref="N1733">IF(MOD(ROW()-ROW($B$2),16)=0,INDEX($M$2:$M$1000,(ROW()-ROW($B$2))/16+1),"")</f>
        <v/>
      </c>
    </row>
    <row r="1734" spans="2:14" x14ac:dyDescent="0.3">
      <c r="B1734" t="s">
        <v>2173</v>
      </c>
      <c r="C1734" t="s">
        <v>3916</v>
      </c>
      <c r="D1734" t="s">
        <v>1969</v>
      </c>
      <c r="E1734">
        <v>0</v>
      </c>
      <c r="F1734" t="s">
        <v>1969</v>
      </c>
      <c r="N1734" t="str" cm="1">
        <f t="array" ref="N1734">IF(MOD(ROW()-ROW($B$2),16)=0,INDEX($M$2:$M$1000,(ROW()-ROW($B$2))/16+1),"")</f>
        <v/>
      </c>
    </row>
    <row r="1735" spans="2:14" x14ac:dyDescent="0.3">
      <c r="B1735" t="s">
        <v>2173</v>
      </c>
      <c r="C1735" t="s">
        <v>3917</v>
      </c>
      <c r="D1735" t="s">
        <v>1970</v>
      </c>
      <c r="E1735">
        <v>0</v>
      </c>
      <c r="F1735" t="s">
        <v>1970</v>
      </c>
      <c r="N1735" t="str" cm="1">
        <f t="array" ref="N1735">IF(MOD(ROW()-ROW($B$2),16)=0,INDEX($M$2:$M$1000,(ROW()-ROW($B$2))/16+1),"")</f>
        <v/>
      </c>
    </row>
    <row r="1736" spans="2:14" x14ac:dyDescent="0.3">
      <c r="B1736" t="s">
        <v>2173</v>
      </c>
      <c r="C1736" t="s">
        <v>3918</v>
      </c>
      <c r="D1736" t="s">
        <v>1971</v>
      </c>
      <c r="E1736">
        <v>0</v>
      </c>
      <c r="F1736" t="s">
        <v>1971</v>
      </c>
      <c r="N1736" t="str" cm="1">
        <f t="array" ref="N1736">IF(MOD(ROW()-ROW($B$2),16)=0,INDEX($M$2:$M$1000,(ROW()-ROW($B$2))/16+1),"")</f>
        <v/>
      </c>
    </row>
    <row r="1737" spans="2:14" x14ac:dyDescent="0.3">
      <c r="B1737" t="s">
        <v>2173</v>
      </c>
      <c r="C1737" t="s">
        <v>3919</v>
      </c>
      <c r="D1737" t="s">
        <v>1972</v>
      </c>
      <c r="E1737">
        <v>0</v>
      </c>
      <c r="F1737" t="s">
        <v>1972</v>
      </c>
      <c r="N1737" t="str" cm="1">
        <f t="array" ref="N1737">IF(MOD(ROW()-ROW($B$2),16)=0,INDEX($M$2:$M$1000,(ROW()-ROW($B$2))/16+1),"")</f>
        <v/>
      </c>
    </row>
    <row r="1738" spans="2:14" x14ac:dyDescent="0.3">
      <c r="B1738" t="s">
        <v>2173</v>
      </c>
      <c r="C1738" t="s">
        <v>3920</v>
      </c>
      <c r="D1738" t="s">
        <v>1973</v>
      </c>
      <c r="E1738">
        <v>0</v>
      </c>
      <c r="F1738" t="s">
        <v>1973</v>
      </c>
      <c r="N1738" t="str" cm="1">
        <f t="array" ref="N1738">IF(MOD(ROW()-ROW($B$2),16)=0,INDEX($M$2:$M$1000,(ROW()-ROW($B$2))/16+1),"")</f>
        <v/>
      </c>
    </row>
    <row r="1739" spans="2:14" x14ac:dyDescent="0.3">
      <c r="B1739" t="s">
        <v>2173</v>
      </c>
      <c r="C1739" t="s">
        <v>3921</v>
      </c>
      <c r="D1739" t="s">
        <v>1974</v>
      </c>
      <c r="E1739">
        <v>0</v>
      </c>
      <c r="F1739" t="s">
        <v>1974</v>
      </c>
      <c r="N1739" t="str" cm="1">
        <f t="array" ref="N1739">IF(MOD(ROW()-ROW($B$2),16)=0,INDEX($M$2:$M$1000,(ROW()-ROW($B$2))/16+1),"")</f>
        <v/>
      </c>
    </row>
    <row r="1740" spans="2:14" x14ac:dyDescent="0.3">
      <c r="B1740" t="s">
        <v>2173</v>
      </c>
      <c r="C1740" t="s">
        <v>3922</v>
      </c>
      <c r="D1740" t="s">
        <v>1975</v>
      </c>
      <c r="E1740">
        <v>0</v>
      </c>
      <c r="F1740" t="s">
        <v>1975</v>
      </c>
      <c r="N1740" t="str" cm="1">
        <f t="array" ref="N1740">IF(MOD(ROW()-ROW($B$2),16)=0,INDEX($M$2:$M$1000,(ROW()-ROW($B$2))/16+1),"")</f>
        <v/>
      </c>
    </row>
    <row r="1741" spans="2:14" x14ac:dyDescent="0.3">
      <c r="B1741" t="s">
        <v>2173</v>
      </c>
      <c r="C1741" t="s">
        <v>3923</v>
      </c>
      <c r="D1741" t="s">
        <v>1976</v>
      </c>
      <c r="E1741">
        <v>0</v>
      </c>
      <c r="F1741" t="s">
        <v>1976</v>
      </c>
      <c r="N1741" t="str" cm="1">
        <f t="array" ref="N1741">IF(MOD(ROW()-ROW($B$2),16)=0,INDEX($M$2:$M$1000,(ROW()-ROW($B$2))/16+1),"")</f>
        <v/>
      </c>
    </row>
    <row r="1742" spans="2:14" x14ac:dyDescent="0.3">
      <c r="B1742" t="s">
        <v>2173</v>
      </c>
      <c r="C1742" t="s">
        <v>3924</v>
      </c>
      <c r="D1742" t="s">
        <v>1977</v>
      </c>
      <c r="E1742">
        <v>0</v>
      </c>
      <c r="F1742" t="s">
        <v>1977</v>
      </c>
      <c r="N1742" t="str" cm="1">
        <f t="array" ref="N1742">IF(MOD(ROW()-ROW($B$2),16)=0,INDEX($M$2:$M$1000,(ROW()-ROW($B$2))/16+1),"")</f>
        <v/>
      </c>
    </row>
    <row r="1743" spans="2:14" x14ac:dyDescent="0.3">
      <c r="B1743" t="s">
        <v>2173</v>
      </c>
      <c r="C1743" t="s">
        <v>3925</v>
      </c>
      <c r="D1743" t="s">
        <v>1978</v>
      </c>
      <c r="E1743">
        <v>0</v>
      </c>
      <c r="F1743" t="s">
        <v>1978</v>
      </c>
      <c r="N1743" t="str" cm="1">
        <f t="array" ref="N1743">IF(MOD(ROW()-ROW($B$2),16)=0,INDEX($M$2:$M$1000,(ROW()-ROW($B$2))/16+1),"")</f>
        <v/>
      </c>
    </row>
    <row r="1744" spans="2:14" x14ac:dyDescent="0.3">
      <c r="B1744" t="s">
        <v>2173</v>
      </c>
      <c r="C1744" t="s">
        <v>3926</v>
      </c>
      <c r="D1744" t="s">
        <v>1979</v>
      </c>
      <c r="E1744">
        <v>0</v>
      </c>
      <c r="F1744" t="s">
        <v>1979</v>
      </c>
      <c r="N1744" t="str" cm="1">
        <f t="array" ref="N1744">IF(MOD(ROW()-ROW($B$2),16)=0,INDEX($M$2:$M$1000,(ROW()-ROW($B$2))/16+1),"")</f>
        <v/>
      </c>
    </row>
    <row r="1745" spans="2:14" x14ac:dyDescent="0.3">
      <c r="B1745" t="s">
        <v>2173</v>
      </c>
      <c r="C1745" t="s">
        <v>3927</v>
      </c>
      <c r="D1745" t="s">
        <v>1980</v>
      </c>
      <c r="E1745">
        <v>0</v>
      </c>
      <c r="F1745" t="s">
        <v>1980</v>
      </c>
      <c r="N1745" t="str" cm="1">
        <f t="array" ref="N1745">IF(MOD(ROW()-ROW($B$2),16)=0,INDEX($M$2:$M$1000,(ROW()-ROW($B$2))/16+1),"")</f>
        <v/>
      </c>
    </row>
    <row r="1746" spans="2:14" x14ac:dyDescent="0.3">
      <c r="B1746" t="s">
        <v>2173</v>
      </c>
      <c r="C1746" t="s">
        <v>3928</v>
      </c>
      <c r="D1746" t="s">
        <v>1981</v>
      </c>
      <c r="E1746">
        <v>0</v>
      </c>
      <c r="F1746" t="s">
        <v>1981</v>
      </c>
      <c r="N1746" t="str" cm="1">
        <f t="array" ref="N1746">IF(MOD(ROW()-ROW($B$2),16)=0,INDEX($M$2:$M$1000,(ROW()-ROW($B$2))/16+1),"")</f>
        <v>Фиксированное число 109 (0)</v>
      </c>
    </row>
    <row r="1747" spans="2:14" x14ac:dyDescent="0.3">
      <c r="B1747" t="s">
        <v>2173</v>
      </c>
      <c r="C1747" t="s">
        <v>3929</v>
      </c>
      <c r="D1747" t="s">
        <v>1982</v>
      </c>
      <c r="E1747">
        <v>0</v>
      </c>
      <c r="F1747" t="s">
        <v>1982</v>
      </c>
      <c r="N1747" t="str" cm="1">
        <f t="array" ref="N1747">IF(MOD(ROW()-ROW($B$2),16)=0,INDEX($M$2:$M$1000,(ROW()-ROW($B$2))/16+1),"")</f>
        <v/>
      </c>
    </row>
    <row r="1748" spans="2:14" x14ac:dyDescent="0.3">
      <c r="B1748" t="s">
        <v>2173</v>
      </c>
      <c r="C1748" t="s">
        <v>3930</v>
      </c>
      <c r="D1748" t="s">
        <v>1983</v>
      </c>
      <c r="E1748">
        <v>0</v>
      </c>
      <c r="F1748" t="s">
        <v>1983</v>
      </c>
      <c r="N1748" t="str" cm="1">
        <f t="array" ref="N1748">IF(MOD(ROW()-ROW($B$2),16)=0,INDEX($M$2:$M$1000,(ROW()-ROW($B$2))/16+1),"")</f>
        <v/>
      </c>
    </row>
    <row r="1749" spans="2:14" x14ac:dyDescent="0.3">
      <c r="B1749" t="s">
        <v>2173</v>
      </c>
      <c r="C1749" t="s">
        <v>3931</v>
      </c>
      <c r="D1749" t="s">
        <v>1984</v>
      </c>
      <c r="E1749">
        <v>0</v>
      </c>
      <c r="F1749" t="s">
        <v>1984</v>
      </c>
      <c r="N1749" t="str" cm="1">
        <f t="array" ref="N1749">IF(MOD(ROW()-ROW($B$2),16)=0,INDEX($M$2:$M$1000,(ROW()-ROW($B$2))/16+1),"")</f>
        <v/>
      </c>
    </row>
    <row r="1750" spans="2:14" x14ac:dyDescent="0.3">
      <c r="B1750" t="s">
        <v>2173</v>
      </c>
      <c r="C1750" t="s">
        <v>3932</v>
      </c>
      <c r="D1750" t="s">
        <v>1985</v>
      </c>
      <c r="E1750">
        <v>0</v>
      </c>
      <c r="F1750" t="s">
        <v>1985</v>
      </c>
      <c r="N1750" t="str" cm="1">
        <f t="array" ref="N1750">IF(MOD(ROW()-ROW($B$2),16)=0,INDEX($M$2:$M$1000,(ROW()-ROW($B$2))/16+1),"")</f>
        <v/>
      </c>
    </row>
    <row r="1751" spans="2:14" x14ac:dyDescent="0.3">
      <c r="B1751" t="s">
        <v>2173</v>
      </c>
      <c r="C1751" t="s">
        <v>3933</v>
      </c>
      <c r="D1751" t="s">
        <v>1986</v>
      </c>
      <c r="E1751">
        <v>0</v>
      </c>
      <c r="F1751" t="s">
        <v>1986</v>
      </c>
      <c r="N1751" t="str" cm="1">
        <f t="array" ref="N1751">IF(MOD(ROW()-ROW($B$2),16)=0,INDEX($M$2:$M$1000,(ROW()-ROW($B$2))/16+1),"")</f>
        <v/>
      </c>
    </row>
    <row r="1752" spans="2:14" x14ac:dyDescent="0.3">
      <c r="B1752" t="s">
        <v>2173</v>
      </c>
      <c r="C1752" t="s">
        <v>3934</v>
      </c>
      <c r="D1752" t="s">
        <v>1987</v>
      </c>
      <c r="E1752">
        <v>0</v>
      </c>
      <c r="F1752" t="s">
        <v>1987</v>
      </c>
      <c r="N1752" t="str" cm="1">
        <f t="array" ref="N1752">IF(MOD(ROW()-ROW($B$2),16)=0,INDEX($M$2:$M$1000,(ROW()-ROW($B$2))/16+1),"")</f>
        <v/>
      </c>
    </row>
    <row r="1753" spans="2:14" x14ac:dyDescent="0.3">
      <c r="B1753" t="s">
        <v>2173</v>
      </c>
      <c r="C1753" t="s">
        <v>3935</v>
      </c>
      <c r="D1753" t="s">
        <v>1988</v>
      </c>
      <c r="E1753">
        <v>0</v>
      </c>
      <c r="F1753" t="s">
        <v>1988</v>
      </c>
      <c r="N1753" t="str" cm="1">
        <f t="array" ref="N1753">IF(MOD(ROW()-ROW($B$2),16)=0,INDEX($M$2:$M$1000,(ROW()-ROW($B$2))/16+1),"")</f>
        <v/>
      </c>
    </row>
    <row r="1754" spans="2:14" x14ac:dyDescent="0.3">
      <c r="B1754" t="s">
        <v>2173</v>
      </c>
      <c r="C1754" t="s">
        <v>3936</v>
      </c>
      <c r="D1754" t="s">
        <v>1989</v>
      </c>
      <c r="E1754">
        <v>0</v>
      </c>
      <c r="F1754" t="s">
        <v>1989</v>
      </c>
      <c r="N1754" t="str" cm="1">
        <f t="array" ref="N1754">IF(MOD(ROW()-ROW($B$2),16)=0,INDEX($M$2:$M$1000,(ROW()-ROW($B$2))/16+1),"")</f>
        <v/>
      </c>
    </row>
    <row r="1755" spans="2:14" x14ac:dyDescent="0.3">
      <c r="B1755" t="s">
        <v>2173</v>
      </c>
      <c r="C1755" t="s">
        <v>3937</v>
      </c>
      <c r="D1755" t="s">
        <v>1990</v>
      </c>
      <c r="E1755">
        <v>0</v>
      </c>
      <c r="F1755" t="s">
        <v>1990</v>
      </c>
      <c r="N1755" t="str" cm="1">
        <f t="array" ref="N1755">IF(MOD(ROW()-ROW($B$2),16)=0,INDEX($M$2:$M$1000,(ROW()-ROW($B$2))/16+1),"")</f>
        <v/>
      </c>
    </row>
    <row r="1756" spans="2:14" x14ac:dyDescent="0.3">
      <c r="B1756" t="s">
        <v>2173</v>
      </c>
      <c r="C1756" t="s">
        <v>3938</v>
      </c>
      <c r="D1756" t="s">
        <v>1991</v>
      </c>
      <c r="E1756">
        <v>0</v>
      </c>
      <c r="F1756" t="s">
        <v>1991</v>
      </c>
      <c r="N1756" t="str" cm="1">
        <f t="array" ref="N1756">IF(MOD(ROW()-ROW($B$2),16)=0,INDEX($M$2:$M$1000,(ROW()-ROW($B$2))/16+1),"")</f>
        <v/>
      </c>
    </row>
    <row r="1757" spans="2:14" x14ac:dyDescent="0.3">
      <c r="B1757" t="s">
        <v>2173</v>
      </c>
      <c r="C1757" t="s">
        <v>3939</v>
      </c>
      <c r="D1757" t="s">
        <v>1992</v>
      </c>
      <c r="E1757">
        <v>0</v>
      </c>
      <c r="F1757" t="s">
        <v>1992</v>
      </c>
      <c r="N1757" t="str" cm="1">
        <f t="array" ref="N1757">IF(MOD(ROW()-ROW($B$2),16)=0,INDEX($M$2:$M$1000,(ROW()-ROW($B$2))/16+1),"")</f>
        <v/>
      </c>
    </row>
    <row r="1758" spans="2:14" x14ac:dyDescent="0.3">
      <c r="B1758" t="s">
        <v>2173</v>
      </c>
      <c r="C1758" t="s">
        <v>3940</v>
      </c>
      <c r="D1758" t="s">
        <v>1993</v>
      </c>
      <c r="E1758">
        <v>0</v>
      </c>
      <c r="F1758" t="s">
        <v>1993</v>
      </c>
      <c r="N1758" t="str" cm="1">
        <f t="array" ref="N1758">IF(MOD(ROW()-ROW($B$2),16)=0,INDEX($M$2:$M$1000,(ROW()-ROW($B$2))/16+1),"")</f>
        <v/>
      </c>
    </row>
    <row r="1759" spans="2:14" x14ac:dyDescent="0.3">
      <c r="B1759" t="s">
        <v>2173</v>
      </c>
      <c r="C1759" t="s">
        <v>3941</v>
      </c>
      <c r="D1759" t="s">
        <v>1994</v>
      </c>
      <c r="E1759">
        <v>0</v>
      </c>
      <c r="F1759" t="s">
        <v>1994</v>
      </c>
      <c r="N1759" t="str" cm="1">
        <f t="array" ref="N1759">IF(MOD(ROW()-ROW($B$2),16)=0,INDEX($M$2:$M$1000,(ROW()-ROW($B$2))/16+1),"")</f>
        <v/>
      </c>
    </row>
    <row r="1760" spans="2:14" x14ac:dyDescent="0.3">
      <c r="B1760" t="s">
        <v>2173</v>
      </c>
      <c r="C1760" t="s">
        <v>3942</v>
      </c>
      <c r="D1760" t="s">
        <v>1995</v>
      </c>
      <c r="E1760">
        <v>0</v>
      </c>
      <c r="F1760" t="s">
        <v>1995</v>
      </c>
      <c r="N1760" t="str" cm="1">
        <f t="array" ref="N1760">IF(MOD(ROW()-ROW($B$2),16)=0,INDEX($M$2:$M$1000,(ROW()-ROW($B$2))/16+1),"")</f>
        <v/>
      </c>
    </row>
    <row r="1761" spans="2:14" x14ac:dyDescent="0.3">
      <c r="B1761" t="s">
        <v>2173</v>
      </c>
      <c r="C1761" t="s">
        <v>3943</v>
      </c>
      <c r="D1761" t="s">
        <v>1996</v>
      </c>
      <c r="E1761">
        <v>0</v>
      </c>
      <c r="F1761" t="s">
        <v>1996</v>
      </c>
      <c r="N1761" t="str" cm="1">
        <f t="array" ref="N1761">IF(MOD(ROW()-ROW($B$2),16)=0,INDEX($M$2:$M$1000,(ROW()-ROW($B$2))/16+1),"")</f>
        <v/>
      </c>
    </row>
    <row r="1762" spans="2:14" x14ac:dyDescent="0.3">
      <c r="B1762" t="s">
        <v>2173</v>
      </c>
      <c r="C1762" t="s">
        <v>3944</v>
      </c>
      <c r="D1762" t="s">
        <v>1997</v>
      </c>
      <c r="E1762">
        <v>0</v>
      </c>
      <c r="F1762" t="s">
        <v>1997</v>
      </c>
      <c r="N1762" t="str" cm="1">
        <f t="array" ref="N1762">IF(MOD(ROW()-ROW($B$2),16)=0,INDEX($M$2:$M$1000,(ROW()-ROW($B$2))/16+1),"")</f>
        <v>Фиксированное число 110 (0)</v>
      </c>
    </row>
    <row r="1763" spans="2:14" x14ac:dyDescent="0.3">
      <c r="B1763" t="s">
        <v>2173</v>
      </c>
      <c r="C1763" t="s">
        <v>3945</v>
      </c>
      <c r="D1763" t="s">
        <v>1998</v>
      </c>
      <c r="E1763">
        <v>0</v>
      </c>
      <c r="F1763" t="s">
        <v>1998</v>
      </c>
      <c r="N1763" t="str" cm="1">
        <f t="array" ref="N1763">IF(MOD(ROW()-ROW($B$2),16)=0,INDEX($M$2:$M$1000,(ROW()-ROW($B$2))/16+1),"")</f>
        <v/>
      </c>
    </row>
    <row r="1764" spans="2:14" x14ac:dyDescent="0.3">
      <c r="B1764" t="s">
        <v>2173</v>
      </c>
      <c r="C1764" t="s">
        <v>3946</v>
      </c>
      <c r="D1764" t="s">
        <v>1999</v>
      </c>
      <c r="E1764">
        <v>0</v>
      </c>
      <c r="F1764" t="s">
        <v>1999</v>
      </c>
      <c r="N1764" t="str" cm="1">
        <f t="array" ref="N1764">IF(MOD(ROW()-ROW($B$2),16)=0,INDEX($M$2:$M$1000,(ROW()-ROW($B$2))/16+1),"")</f>
        <v/>
      </c>
    </row>
    <row r="1765" spans="2:14" x14ac:dyDescent="0.3">
      <c r="B1765" t="s">
        <v>2173</v>
      </c>
      <c r="C1765" t="s">
        <v>3947</v>
      </c>
      <c r="D1765" t="s">
        <v>2000</v>
      </c>
      <c r="E1765">
        <v>0</v>
      </c>
      <c r="F1765" t="s">
        <v>2000</v>
      </c>
      <c r="N1765" t="str" cm="1">
        <f t="array" ref="N1765">IF(MOD(ROW()-ROW($B$2),16)=0,INDEX($M$2:$M$1000,(ROW()-ROW($B$2))/16+1),"")</f>
        <v/>
      </c>
    </row>
    <row r="1766" spans="2:14" x14ac:dyDescent="0.3">
      <c r="B1766" t="s">
        <v>2173</v>
      </c>
      <c r="C1766" t="s">
        <v>3948</v>
      </c>
      <c r="D1766" t="s">
        <v>2001</v>
      </c>
      <c r="E1766">
        <v>0</v>
      </c>
      <c r="F1766" t="s">
        <v>2001</v>
      </c>
      <c r="N1766" t="str" cm="1">
        <f t="array" ref="N1766">IF(MOD(ROW()-ROW($B$2),16)=0,INDEX($M$2:$M$1000,(ROW()-ROW($B$2))/16+1),"")</f>
        <v/>
      </c>
    </row>
    <row r="1767" spans="2:14" x14ac:dyDescent="0.3">
      <c r="B1767" t="s">
        <v>2173</v>
      </c>
      <c r="C1767" t="s">
        <v>3949</v>
      </c>
      <c r="D1767" t="s">
        <v>2002</v>
      </c>
      <c r="E1767">
        <v>0</v>
      </c>
      <c r="F1767" t="s">
        <v>2002</v>
      </c>
      <c r="N1767" t="str" cm="1">
        <f t="array" ref="N1767">IF(MOD(ROW()-ROW($B$2),16)=0,INDEX($M$2:$M$1000,(ROW()-ROW($B$2))/16+1),"")</f>
        <v/>
      </c>
    </row>
    <row r="1768" spans="2:14" x14ac:dyDescent="0.3">
      <c r="B1768" t="s">
        <v>2173</v>
      </c>
      <c r="C1768" t="s">
        <v>3950</v>
      </c>
      <c r="D1768" t="s">
        <v>2003</v>
      </c>
      <c r="E1768">
        <v>0</v>
      </c>
      <c r="F1768" t="s">
        <v>2003</v>
      </c>
      <c r="N1768" t="str" cm="1">
        <f t="array" ref="N1768">IF(MOD(ROW()-ROW($B$2),16)=0,INDEX($M$2:$M$1000,(ROW()-ROW($B$2))/16+1),"")</f>
        <v/>
      </c>
    </row>
    <row r="1769" spans="2:14" x14ac:dyDescent="0.3">
      <c r="B1769" t="s">
        <v>2173</v>
      </c>
      <c r="C1769" t="s">
        <v>3951</v>
      </c>
      <c r="D1769" t="s">
        <v>2004</v>
      </c>
      <c r="E1769">
        <v>0</v>
      </c>
      <c r="F1769" t="s">
        <v>2004</v>
      </c>
      <c r="N1769" t="str" cm="1">
        <f t="array" ref="N1769">IF(MOD(ROW()-ROW($B$2),16)=0,INDEX($M$2:$M$1000,(ROW()-ROW($B$2))/16+1),"")</f>
        <v/>
      </c>
    </row>
    <row r="1770" spans="2:14" x14ac:dyDescent="0.3">
      <c r="B1770" t="s">
        <v>2173</v>
      </c>
      <c r="C1770" t="s">
        <v>3952</v>
      </c>
      <c r="D1770" t="s">
        <v>2005</v>
      </c>
      <c r="E1770">
        <v>0</v>
      </c>
      <c r="F1770" t="s">
        <v>2005</v>
      </c>
      <c r="N1770" t="str" cm="1">
        <f t="array" ref="N1770">IF(MOD(ROW()-ROW($B$2),16)=0,INDEX($M$2:$M$1000,(ROW()-ROW($B$2))/16+1),"")</f>
        <v/>
      </c>
    </row>
    <row r="1771" spans="2:14" x14ac:dyDescent="0.3">
      <c r="B1771" t="s">
        <v>2173</v>
      </c>
      <c r="C1771" t="s">
        <v>3953</v>
      </c>
      <c r="D1771" t="s">
        <v>2006</v>
      </c>
      <c r="E1771">
        <v>0</v>
      </c>
      <c r="F1771" t="s">
        <v>2006</v>
      </c>
      <c r="N1771" t="str" cm="1">
        <f t="array" ref="N1771">IF(MOD(ROW()-ROW($B$2),16)=0,INDEX($M$2:$M$1000,(ROW()-ROW($B$2))/16+1),"")</f>
        <v/>
      </c>
    </row>
    <row r="1772" spans="2:14" x14ac:dyDescent="0.3">
      <c r="B1772" t="s">
        <v>2173</v>
      </c>
      <c r="C1772" t="s">
        <v>3954</v>
      </c>
      <c r="D1772" t="s">
        <v>2007</v>
      </c>
      <c r="E1772">
        <v>0</v>
      </c>
      <c r="F1772" t="s">
        <v>2007</v>
      </c>
      <c r="N1772" t="str" cm="1">
        <f t="array" ref="N1772">IF(MOD(ROW()-ROW($B$2),16)=0,INDEX($M$2:$M$1000,(ROW()-ROW($B$2))/16+1),"")</f>
        <v/>
      </c>
    </row>
    <row r="1773" spans="2:14" x14ac:dyDescent="0.3">
      <c r="B1773" t="s">
        <v>2173</v>
      </c>
      <c r="C1773" t="s">
        <v>3955</v>
      </c>
      <c r="D1773" t="s">
        <v>2008</v>
      </c>
      <c r="E1773">
        <v>0</v>
      </c>
      <c r="F1773" t="s">
        <v>2008</v>
      </c>
      <c r="N1773" t="str" cm="1">
        <f t="array" ref="N1773">IF(MOD(ROW()-ROW($B$2),16)=0,INDEX($M$2:$M$1000,(ROW()-ROW($B$2))/16+1),"")</f>
        <v/>
      </c>
    </row>
    <row r="1774" spans="2:14" x14ac:dyDescent="0.3">
      <c r="B1774" t="s">
        <v>2173</v>
      </c>
      <c r="C1774" t="s">
        <v>3956</v>
      </c>
      <c r="D1774" t="s">
        <v>2009</v>
      </c>
      <c r="E1774">
        <v>0</v>
      </c>
      <c r="F1774" t="s">
        <v>2009</v>
      </c>
      <c r="N1774" t="str" cm="1">
        <f t="array" ref="N1774">IF(MOD(ROW()-ROW($B$2),16)=0,INDEX($M$2:$M$1000,(ROW()-ROW($B$2))/16+1),"")</f>
        <v/>
      </c>
    </row>
    <row r="1775" spans="2:14" x14ac:dyDescent="0.3">
      <c r="B1775" t="s">
        <v>2173</v>
      </c>
      <c r="C1775" t="s">
        <v>3957</v>
      </c>
      <c r="D1775" t="s">
        <v>2010</v>
      </c>
      <c r="E1775">
        <v>0</v>
      </c>
      <c r="F1775" t="s">
        <v>2010</v>
      </c>
      <c r="N1775" t="str" cm="1">
        <f t="array" ref="N1775">IF(MOD(ROW()-ROW($B$2),16)=0,INDEX($M$2:$M$1000,(ROW()-ROW($B$2))/16+1),"")</f>
        <v/>
      </c>
    </row>
    <row r="1776" spans="2:14" x14ac:dyDescent="0.3">
      <c r="B1776" t="s">
        <v>2173</v>
      </c>
      <c r="C1776" t="s">
        <v>3958</v>
      </c>
      <c r="D1776" t="s">
        <v>2011</v>
      </c>
      <c r="E1776">
        <v>0</v>
      </c>
      <c r="F1776" t="s">
        <v>2011</v>
      </c>
      <c r="N1776" t="str" cm="1">
        <f t="array" ref="N1776">IF(MOD(ROW()-ROW($B$2),16)=0,INDEX($M$2:$M$1000,(ROW()-ROW($B$2))/16+1),"")</f>
        <v/>
      </c>
    </row>
    <row r="1777" spans="2:14" x14ac:dyDescent="0.3">
      <c r="B1777" t="s">
        <v>2173</v>
      </c>
      <c r="C1777" t="s">
        <v>3959</v>
      </c>
      <c r="D1777" t="s">
        <v>2012</v>
      </c>
      <c r="E1777">
        <v>0</v>
      </c>
      <c r="F1777" t="s">
        <v>2012</v>
      </c>
      <c r="N1777" t="str" cm="1">
        <f t="array" ref="N1777">IF(MOD(ROW()-ROW($B$2),16)=0,INDEX($M$2:$M$1000,(ROW()-ROW($B$2))/16+1),"")</f>
        <v/>
      </c>
    </row>
    <row r="1778" spans="2:14" x14ac:dyDescent="0.3">
      <c r="B1778" t="s">
        <v>2173</v>
      </c>
      <c r="C1778" t="s">
        <v>3960</v>
      </c>
      <c r="D1778" t="s">
        <v>2013</v>
      </c>
      <c r="E1778">
        <v>0</v>
      </c>
      <c r="F1778" t="s">
        <v>2013</v>
      </c>
      <c r="N1778" t="str" cm="1">
        <f t="array" ref="N1778">IF(MOD(ROW()-ROW($B$2),16)=0,INDEX($M$2:$M$1000,(ROW()-ROW($B$2))/16+1),"")</f>
        <v>Фиксированное число 111 (0)</v>
      </c>
    </row>
    <row r="1779" spans="2:14" x14ac:dyDescent="0.3">
      <c r="B1779" t="s">
        <v>2173</v>
      </c>
      <c r="C1779" t="s">
        <v>3961</v>
      </c>
      <c r="D1779" t="s">
        <v>2014</v>
      </c>
      <c r="E1779">
        <v>0</v>
      </c>
      <c r="F1779" t="s">
        <v>2014</v>
      </c>
      <c r="N1779" t="str" cm="1">
        <f t="array" ref="N1779">IF(MOD(ROW()-ROW($B$2),16)=0,INDEX($M$2:$M$1000,(ROW()-ROW($B$2))/16+1),"")</f>
        <v/>
      </c>
    </row>
    <row r="1780" spans="2:14" x14ac:dyDescent="0.3">
      <c r="B1780" t="s">
        <v>2173</v>
      </c>
      <c r="C1780" t="s">
        <v>3962</v>
      </c>
      <c r="D1780" t="s">
        <v>2015</v>
      </c>
      <c r="E1780">
        <v>0</v>
      </c>
      <c r="F1780" t="s">
        <v>2015</v>
      </c>
      <c r="N1780" t="str" cm="1">
        <f t="array" ref="N1780">IF(MOD(ROW()-ROW($B$2),16)=0,INDEX($M$2:$M$1000,(ROW()-ROW($B$2))/16+1),"")</f>
        <v/>
      </c>
    </row>
    <row r="1781" spans="2:14" x14ac:dyDescent="0.3">
      <c r="B1781" t="s">
        <v>2173</v>
      </c>
      <c r="C1781" t="s">
        <v>3963</v>
      </c>
      <c r="D1781" t="s">
        <v>2016</v>
      </c>
      <c r="E1781">
        <v>0</v>
      </c>
      <c r="F1781" t="s">
        <v>2016</v>
      </c>
      <c r="N1781" t="str" cm="1">
        <f t="array" ref="N1781">IF(MOD(ROW()-ROW($B$2),16)=0,INDEX($M$2:$M$1000,(ROW()-ROW($B$2))/16+1),"")</f>
        <v/>
      </c>
    </row>
    <row r="1782" spans="2:14" x14ac:dyDescent="0.3">
      <c r="B1782" t="s">
        <v>2173</v>
      </c>
      <c r="C1782" t="s">
        <v>3964</v>
      </c>
      <c r="D1782" t="s">
        <v>2017</v>
      </c>
      <c r="E1782">
        <v>0</v>
      </c>
      <c r="F1782" t="s">
        <v>2017</v>
      </c>
      <c r="N1782" t="str" cm="1">
        <f t="array" ref="N1782">IF(MOD(ROW()-ROW($B$2),16)=0,INDEX($M$2:$M$1000,(ROW()-ROW($B$2))/16+1),"")</f>
        <v/>
      </c>
    </row>
    <row r="1783" spans="2:14" x14ac:dyDescent="0.3">
      <c r="B1783" t="s">
        <v>2173</v>
      </c>
      <c r="C1783" t="s">
        <v>3965</v>
      </c>
      <c r="D1783" t="s">
        <v>2018</v>
      </c>
      <c r="E1783">
        <v>0</v>
      </c>
      <c r="F1783" t="s">
        <v>2018</v>
      </c>
      <c r="N1783" t="str" cm="1">
        <f t="array" ref="N1783">IF(MOD(ROW()-ROW($B$2),16)=0,INDEX($M$2:$M$1000,(ROW()-ROW($B$2))/16+1),"")</f>
        <v/>
      </c>
    </row>
    <row r="1784" spans="2:14" x14ac:dyDescent="0.3">
      <c r="B1784" t="s">
        <v>2173</v>
      </c>
      <c r="C1784" t="s">
        <v>3966</v>
      </c>
      <c r="D1784" t="s">
        <v>2019</v>
      </c>
      <c r="E1784">
        <v>0</v>
      </c>
      <c r="F1784" t="s">
        <v>2019</v>
      </c>
      <c r="N1784" t="str" cm="1">
        <f t="array" ref="N1784">IF(MOD(ROW()-ROW($B$2),16)=0,INDEX($M$2:$M$1000,(ROW()-ROW($B$2))/16+1),"")</f>
        <v/>
      </c>
    </row>
    <row r="1785" spans="2:14" x14ac:dyDescent="0.3">
      <c r="B1785" t="s">
        <v>2173</v>
      </c>
      <c r="C1785" t="s">
        <v>3967</v>
      </c>
      <c r="D1785" t="s">
        <v>2020</v>
      </c>
      <c r="E1785">
        <v>0</v>
      </c>
      <c r="F1785" t="s">
        <v>2020</v>
      </c>
      <c r="N1785" t="str" cm="1">
        <f t="array" ref="N1785">IF(MOD(ROW()-ROW($B$2),16)=0,INDEX($M$2:$M$1000,(ROW()-ROW($B$2))/16+1),"")</f>
        <v/>
      </c>
    </row>
    <row r="1786" spans="2:14" x14ac:dyDescent="0.3">
      <c r="B1786" t="s">
        <v>2173</v>
      </c>
      <c r="C1786" t="s">
        <v>3968</v>
      </c>
      <c r="D1786" t="s">
        <v>2021</v>
      </c>
      <c r="E1786">
        <v>0</v>
      </c>
      <c r="F1786" t="s">
        <v>2021</v>
      </c>
      <c r="N1786" t="str" cm="1">
        <f t="array" ref="N1786">IF(MOD(ROW()-ROW($B$2),16)=0,INDEX($M$2:$M$1000,(ROW()-ROW($B$2))/16+1),"")</f>
        <v/>
      </c>
    </row>
    <row r="1787" spans="2:14" x14ac:dyDescent="0.3">
      <c r="B1787" t="s">
        <v>2173</v>
      </c>
      <c r="C1787" t="s">
        <v>3969</v>
      </c>
      <c r="D1787" t="s">
        <v>2022</v>
      </c>
      <c r="E1787">
        <v>0</v>
      </c>
      <c r="F1787" t="s">
        <v>2022</v>
      </c>
      <c r="N1787" t="str" cm="1">
        <f t="array" ref="N1787">IF(MOD(ROW()-ROW($B$2),16)=0,INDEX($M$2:$M$1000,(ROW()-ROW($B$2))/16+1),"")</f>
        <v/>
      </c>
    </row>
    <row r="1788" spans="2:14" x14ac:dyDescent="0.3">
      <c r="B1788" t="s">
        <v>2173</v>
      </c>
      <c r="C1788" t="s">
        <v>3970</v>
      </c>
      <c r="D1788" t="s">
        <v>2023</v>
      </c>
      <c r="E1788">
        <v>0</v>
      </c>
      <c r="F1788" t="s">
        <v>2023</v>
      </c>
      <c r="N1788" t="str" cm="1">
        <f t="array" ref="N1788">IF(MOD(ROW()-ROW($B$2),16)=0,INDEX($M$2:$M$1000,(ROW()-ROW($B$2))/16+1),"")</f>
        <v/>
      </c>
    </row>
    <row r="1789" spans="2:14" x14ac:dyDescent="0.3">
      <c r="B1789" t="s">
        <v>2173</v>
      </c>
      <c r="C1789" t="s">
        <v>3971</v>
      </c>
      <c r="D1789" t="s">
        <v>2024</v>
      </c>
      <c r="E1789">
        <v>0</v>
      </c>
      <c r="F1789" t="s">
        <v>2024</v>
      </c>
      <c r="N1789" t="str" cm="1">
        <f t="array" ref="N1789">IF(MOD(ROW()-ROW($B$2),16)=0,INDEX($M$2:$M$1000,(ROW()-ROW($B$2))/16+1),"")</f>
        <v/>
      </c>
    </row>
    <row r="1790" spans="2:14" x14ac:dyDescent="0.3">
      <c r="B1790" t="s">
        <v>2173</v>
      </c>
      <c r="C1790" t="s">
        <v>3972</v>
      </c>
      <c r="D1790" t="s">
        <v>2025</v>
      </c>
      <c r="E1790">
        <v>0</v>
      </c>
      <c r="F1790" t="s">
        <v>2025</v>
      </c>
      <c r="N1790" t="str" cm="1">
        <f t="array" ref="N1790">IF(MOD(ROW()-ROW($B$2),16)=0,INDEX($M$2:$M$1000,(ROW()-ROW($B$2))/16+1),"")</f>
        <v/>
      </c>
    </row>
    <row r="1791" spans="2:14" x14ac:dyDescent="0.3">
      <c r="B1791" t="s">
        <v>2173</v>
      </c>
      <c r="C1791" t="s">
        <v>3973</v>
      </c>
      <c r="D1791" t="s">
        <v>2026</v>
      </c>
      <c r="E1791">
        <v>0</v>
      </c>
      <c r="F1791" t="s">
        <v>2026</v>
      </c>
      <c r="N1791" t="str" cm="1">
        <f t="array" ref="N1791">IF(MOD(ROW()-ROW($B$2),16)=0,INDEX($M$2:$M$1000,(ROW()-ROW($B$2))/16+1),"")</f>
        <v/>
      </c>
    </row>
    <row r="1792" spans="2:14" x14ac:dyDescent="0.3">
      <c r="B1792" t="s">
        <v>2173</v>
      </c>
      <c r="C1792" t="s">
        <v>3974</v>
      </c>
      <c r="D1792" t="s">
        <v>2027</v>
      </c>
      <c r="E1792">
        <v>0</v>
      </c>
      <c r="F1792" t="s">
        <v>2027</v>
      </c>
      <c r="N1792" t="str" cm="1">
        <f t="array" ref="N1792">IF(MOD(ROW()-ROW($B$2),16)=0,INDEX($M$2:$M$1000,(ROW()-ROW($B$2))/16+1),"")</f>
        <v/>
      </c>
    </row>
    <row r="1793" spans="2:14" x14ac:dyDescent="0.3">
      <c r="B1793" t="s">
        <v>2173</v>
      </c>
      <c r="C1793" t="s">
        <v>3975</v>
      </c>
      <c r="D1793" t="s">
        <v>2028</v>
      </c>
      <c r="E1793">
        <v>0</v>
      </c>
      <c r="F1793" t="s">
        <v>2028</v>
      </c>
      <c r="N1793" t="str" cm="1">
        <f t="array" ref="N1793">IF(MOD(ROW()-ROW($B$2),16)=0,INDEX($M$2:$M$1000,(ROW()-ROW($B$2))/16+1),"")</f>
        <v/>
      </c>
    </row>
    <row r="1794" spans="2:14" x14ac:dyDescent="0.3">
      <c r="B1794" t="s">
        <v>2173</v>
      </c>
      <c r="C1794" t="s">
        <v>3976</v>
      </c>
      <c r="D1794" t="s">
        <v>2029</v>
      </c>
      <c r="E1794">
        <v>0</v>
      </c>
      <c r="F1794" t="s">
        <v>2029</v>
      </c>
      <c r="N1794" t="str" cm="1">
        <f t="array" ref="N1794">IF(MOD(ROW()-ROW($B$2),16)=0,INDEX($M$2:$M$1000,(ROW()-ROW($B$2))/16+1),"")</f>
        <v>Фиксированное число 112 (0)</v>
      </c>
    </row>
    <row r="1795" spans="2:14" x14ac:dyDescent="0.3">
      <c r="B1795" t="s">
        <v>2173</v>
      </c>
      <c r="C1795" t="s">
        <v>3977</v>
      </c>
      <c r="D1795" t="s">
        <v>2030</v>
      </c>
      <c r="E1795">
        <v>0</v>
      </c>
      <c r="F1795" t="s">
        <v>2030</v>
      </c>
      <c r="N1795" t="str" cm="1">
        <f t="array" ref="N1795">IF(MOD(ROW()-ROW($B$2),16)=0,INDEX($M$2:$M$1000,(ROW()-ROW($B$2))/16+1),"")</f>
        <v/>
      </c>
    </row>
    <row r="1796" spans="2:14" x14ac:dyDescent="0.3">
      <c r="B1796" t="s">
        <v>2173</v>
      </c>
      <c r="C1796" t="s">
        <v>3978</v>
      </c>
      <c r="D1796" t="s">
        <v>2031</v>
      </c>
      <c r="E1796">
        <v>0</v>
      </c>
      <c r="F1796" t="s">
        <v>2031</v>
      </c>
      <c r="N1796" t="str" cm="1">
        <f t="array" ref="N1796">IF(MOD(ROW()-ROW($B$2),16)=0,INDEX($M$2:$M$1000,(ROW()-ROW($B$2))/16+1),"")</f>
        <v/>
      </c>
    </row>
    <row r="1797" spans="2:14" x14ac:dyDescent="0.3">
      <c r="B1797" t="s">
        <v>2173</v>
      </c>
      <c r="C1797" t="s">
        <v>3979</v>
      </c>
      <c r="D1797" t="s">
        <v>2032</v>
      </c>
      <c r="E1797">
        <v>0</v>
      </c>
      <c r="F1797" t="s">
        <v>2032</v>
      </c>
      <c r="N1797" t="str" cm="1">
        <f t="array" ref="N1797">IF(MOD(ROW()-ROW($B$2),16)=0,INDEX($M$2:$M$1000,(ROW()-ROW($B$2))/16+1),"")</f>
        <v/>
      </c>
    </row>
    <row r="1798" spans="2:14" x14ac:dyDescent="0.3">
      <c r="B1798" t="s">
        <v>2173</v>
      </c>
      <c r="C1798" t="s">
        <v>3980</v>
      </c>
      <c r="D1798" t="s">
        <v>2033</v>
      </c>
      <c r="E1798">
        <v>0</v>
      </c>
      <c r="F1798" t="s">
        <v>2033</v>
      </c>
      <c r="N1798" t="str" cm="1">
        <f t="array" ref="N1798">IF(MOD(ROW()-ROW($B$2),16)=0,INDEX($M$2:$M$1000,(ROW()-ROW($B$2))/16+1),"")</f>
        <v/>
      </c>
    </row>
    <row r="1799" spans="2:14" x14ac:dyDescent="0.3">
      <c r="B1799" t="s">
        <v>2173</v>
      </c>
      <c r="C1799" t="s">
        <v>3981</v>
      </c>
      <c r="D1799" t="s">
        <v>2034</v>
      </c>
      <c r="E1799">
        <v>0</v>
      </c>
      <c r="F1799" t="s">
        <v>2034</v>
      </c>
      <c r="N1799" t="str" cm="1">
        <f t="array" ref="N1799">IF(MOD(ROW()-ROW($B$2),16)=0,INDEX($M$2:$M$1000,(ROW()-ROW($B$2))/16+1),"")</f>
        <v/>
      </c>
    </row>
    <row r="1800" spans="2:14" x14ac:dyDescent="0.3">
      <c r="B1800" t="s">
        <v>2173</v>
      </c>
      <c r="C1800" t="s">
        <v>3982</v>
      </c>
      <c r="D1800" t="s">
        <v>2035</v>
      </c>
      <c r="E1800">
        <v>0</v>
      </c>
      <c r="F1800" t="s">
        <v>2035</v>
      </c>
      <c r="N1800" t="str" cm="1">
        <f t="array" ref="N1800">IF(MOD(ROW()-ROW($B$2),16)=0,INDEX($M$2:$M$1000,(ROW()-ROW($B$2))/16+1),"")</f>
        <v/>
      </c>
    </row>
    <row r="1801" spans="2:14" x14ac:dyDescent="0.3">
      <c r="B1801" t="s">
        <v>2173</v>
      </c>
      <c r="C1801" t="s">
        <v>3983</v>
      </c>
      <c r="D1801" t="s">
        <v>2036</v>
      </c>
      <c r="E1801">
        <v>0</v>
      </c>
      <c r="F1801" t="s">
        <v>2036</v>
      </c>
      <c r="N1801" t="str" cm="1">
        <f t="array" ref="N1801">IF(MOD(ROW()-ROW($B$2),16)=0,INDEX($M$2:$M$1000,(ROW()-ROW($B$2))/16+1),"")</f>
        <v/>
      </c>
    </row>
    <row r="1802" spans="2:14" x14ac:dyDescent="0.3">
      <c r="B1802" t="s">
        <v>2173</v>
      </c>
      <c r="C1802" t="s">
        <v>3984</v>
      </c>
      <c r="D1802" t="s">
        <v>2037</v>
      </c>
      <c r="E1802">
        <v>0</v>
      </c>
      <c r="F1802" t="s">
        <v>2037</v>
      </c>
      <c r="N1802" t="str" cm="1">
        <f t="array" ref="N1802">IF(MOD(ROW()-ROW($B$2),16)=0,INDEX($M$2:$M$1000,(ROW()-ROW($B$2))/16+1),"")</f>
        <v/>
      </c>
    </row>
    <row r="1803" spans="2:14" x14ac:dyDescent="0.3">
      <c r="B1803" t="s">
        <v>2173</v>
      </c>
      <c r="C1803" t="s">
        <v>3985</v>
      </c>
      <c r="D1803" t="s">
        <v>2038</v>
      </c>
      <c r="E1803">
        <v>0</v>
      </c>
      <c r="F1803" t="s">
        <v>2038</v>
      </c>
      <c r="N1803" t="str" cm="1">
        <f t="array" ref="N1803">IF(MOD(ROW()-ROW($B$2),16)=0,INDEX($M$2:$M$1000,(ROW()-ROW($B$2))/16+1),"")</f>
        <v/>
      </c>
    </row>
    <row r="1804" spans="2:14" x14ac:dyDescent="0.3">
      <c r="B1804" t="s">
        <v>2173</v>
      </c>
      <c r="C1804" t="s">
        <v>3986</v>
      </c>
      <c r="D1804" t="s">
        <v>2039</v>
      </c>
      <c r="E1804">
        <v>0</v>
      </c>
      <c r="F1804" t="s">
        <v>2039</v>
      </c>
      <c r="N1804" t="str" cm="1">
        <f t="array" ref="N1804">IF(MOD(ROW()-ROW($B$2),16)=0,INDEX($M$2:$M$1000,(ROW()-ROW($B$2))/16+1),"")</f>
        <v/>
      </c>
    </row>
    <row r="1805" spans="2:14" x14ac:dyDescent="0.3">
      <c r="B1805" t="s">
        <v>2173</v>
      </c>
      <c r="C1805" t="s">
        <v>3987</v>
      </c>
      <c r="D1805" t="s">
        <v>2040</v>
      </c>
      <c r="E1805">
        <v>0</v>
      </c>
      <c r="F1805" t="s">
        <v>2040</v>
      </c>
      <c r="N1805" t="str" cm="1">
        <f t="array" ref="N1805">IF(MOD(ROW()-ROW($B$2),16)=0,INDEX($M$2:$M$1000,(ROW()-ROW($B$2))/16+1),"")</f>
        <v/>
      </c>
    </row>
    <row r="1806" spans="2:14" x14ac:dyDescent="0.3">
      <c r="B1806" t="s">
        <v>2173</v>
      </c>
      <c r="C1806" t="s">
        <v>3988</v>
      </c>
      <c r="D1806" t="s">
        <v>2041</v>
      </c>
      <c r="E1806">
        <v>0</v>
      </c>
      <c r="F1806" t="s">
        <v>2041</v>
      </c>
      <c r="N1806" t="str" cm="1">
        <f t="array" ref="N1806">IF(MOD(ROW()-ROW($B$2),16)=0,INDEX($M$2:$M$1000,(ROW()-ROW($B$2))/16+1),"")</f>
        <v/>
      </c>
    </row>
    <row r="1807" spans="2:14" x14ac:dyDescent="0.3">
      <c r="B1807" t="s">
        <v>2173</v>
      </c>
      <c r="C1807" t="s">
        <v>3989</v>
      </c>
      <c r="D1807" t="s">
        <v>2042</v>
      </c>
      <c r="E1807">
        <v>0</v>
      </c>
      <c r="F1807" t="s">
        <v>2042</v>
      </c>
      <c r="N1807" t="str" cm="1">
        <f t="array" ref="N1807">IF(MOD(ROW()-ROW($B$2),16)=0,INDEX($M$2:$M$1000,(ROW()-ROW($B$2))/16+1),"")</f>
        <v/>
      </c>
    </row>
    <row r="1808" spans="2:14" x14ac:dyDescent="0.3">
      <c r="B1808" t="s">
        <v>2173</v>
      </c>
      <c r="C1808" t="s">
        <v>3990</v>
      </c>
      <c r="D1808" t="s">
        <v>2043</v>
      </c>
      <c r="E1808">
        <v>0</v>
      </c>
      <c r="F1808" t="s">
        <v>2043</v>
      </c>
      <c r="N1808" t="str" cm="1">
        <f t="array" ref="N1808">IF(MOD(ROW()-ROW($B$2),16)=0,INDEX($M$2:$M$1000,(ROW()-ROW($B$2))/16+1),"")</f>
        <v/>
      </c>
    </row>
    <row r="1809" spans="2:14" x14ac:dyDescent="0.3">
      <c r="B1809" t="s">
        <v>2173</v>
      </c>
      <c r="C1809" t="s">
        <v>3991</v>
      </c>
      <c r="D1809" t="s">
        <v>2044</v>
      </c>
      <c r="E1809">
        <v>0</v>
      </c>
      <c r="F1809" t="s">
        <v>2044</v>
      </c>
      <c r="N1809" t="str" cm="1">
        <f t="array" ref="N1809">IF(MOD(ROW()-ROW($B$2),16)=0,INDEX($M$2:$M$1000,(ROW()-ROW($B$2))/16+1),"")</f>
        <v/>
      </c>
    </row>
    <row r="1810" spans="2:14" x14ac:dyDescent="0.3">
      <c r="B1810" t="s">
        <v>2173</v>
      </c>
      <c r="C1810" t="s">
        <v>3992</v>
      </c>
      <c r="D1810" t="s">
        <v>2045</v>
      </c>
      <c r="E1810">
        <v>0</v>
      </c>
      <c r="F1810" t="s">
        <v>2045</v>
      </c>
      <c r="N1810" t="str" cm="1">
        <f t="array" ref="N1810">IF(MOD(ROW()-ROW($B$2),16)=0,INDEX($M$2:$M$1000,(ROW()-ROW($B$2))/16+1),"")</f>
        <v>Фиксированное число 113 (0)</v>
      </c>
    </row>
    <row r="1811" spans="2:14" x14ac:dyDescent="0.3">
      <c r="B1811" t="s">
        <v>2173</v>
      </c>
      <c r="C1811" t="s">
        <v>3993</v>
      </c>
      <c r="D1811" t="s">
        <v>2046</v>
      </c>
      <c r="E1811">
        <v>0</v>
      </c>
      <c r="F1811" t="s">
        <v>2046</v>
      </c>
      <c r="N1811" t="str" cm="1">
        <f t="array" ref="N1811">IF(MOD(ROW()-ROW($B$2),16)=0,INDEX($M$2:$M$1000,(ROW()-ROW($B$2))/16+1),"")</f>
        <v/>
      </c>
    </row>
    <row r="1812" spans="2:14" x14ac:dyDescent="0.3">
      <c r="B1812" t="s">
        <v>2173</v>
      </c>
      <c r="C1812" t="s">
        <v>3994</v>
      </c>
      <c r="D1812" t="s">
        <v>2047</v>
      </c>
      <c r="E1812">
        <v>0</v>
      </c>
      <c r="F1812" t="s">
        <v>2047</v>
      </c>
      <c r="N1812" t="str" cm="1">
        <f t="array" ref="N1812">IF(MOD(ROW()-ROW($B$2),16)=0,INDEX($M$2:$M$1000,(ROW()-ROW($B$2))/16+1),"")</f>
        <v/>
      </c>
    </row>
    <row r="1813" spans="2:14" x14ac:dyDescent="0.3">
      <c r="B1813" t="s">
        <v>2173</v>
      </c>
      <c r="C1813" t="s">
        <v>3995</v>
      </c>
      <c r="D1813" t="s">
        <v>2048</v>
      </c>
      <c r="E1813">
        <v>0</v>
      </c>
      <c r="F1813" t="s">
        <v>2048</v>
      </c>
      <c r="N1813" t="str" cm="1">
        <f t="array" ref="N1813">IF(MOD(ROW()-ROW($B$2),16)=0,INDEX($M$2:$M$1000,(ROW()-ROW($B$2))/16+1),"")</f>
        <v/>
      </c>
    </row>
    <row r="1814" spans="2:14" x14ac:dyDescent="0.3">
      <c r="B1814" t="s">
        <v>2173</v>
      </c>
      <c r="C1814" t="s">
        <v>3996</v>
      </c>
      <c r="D1814" t="s">
        <v>2049</v>
      </c>
      <c r="E1814">
        <v>0</v>
      </c>
      <c r="F1814" t="s">
        <v>2049</v>
      </c>
      <c r="N1814" t="str" cm="1">
        <f t="array" ref="N1814">IF(MOD(ROW()-ROW($B$2),16)=0,INDEX($M$2:$M$1000,(ROW()-ROW($B$2))/16+1),"")</f>
        <v/>
      </c>
    </row>
    <row r="1815" spans="2:14" x14ac:dyDescent="0.3">
      <c r="B1815" t="s">
        <v>2173</v>
      </c>
      <c r="C1815" t="s">
        <v>3997</v>
      </c>
      <c r="D1815" t="s">
        <v>2050</v>
      </c>
      <c r="E1815">
        <v>0</v>
      </c>
      <c r="F1815" t="s">
        <v>2050</v>
      </c>
      <c r="N1815" t="str" cm="1">
        <f t="array" ref="N1815">IF(MOD(ROW()-ROW($B$2),16)=0,INDEX($M$2:$M$1000,(ROW()-ROW($B$2))/16+1),"")</f>
        <v/>
      </c>
    </row>
    <row r="1816" spans="2:14" x14ac:dyDescent="0.3">
      <c r="B1816" t="s">
        <v>2173</v>
      </c>
      <c r="C1816" t="s">
        <v>3998</v>
      </c>
      <c r="D1816" t="s">
        <v>2051</v>
      </c>
      <c r="E1816">
        <v>0</v>
      </c>
      <c r="F1816" t="s">
        <v>2051</v>
      </c>
      <c r="N1816" t="str" cm="1">
        <f t="array" ref="N1816">IF(MOD(ROW()-ROW($B$2),16)=0,INDEX($M$2:$M$1000,(ROW()-ROW($B$2))/16+1),"")</f>
        <v/>
      </c>
    </row>
    <row r="1817" spans="2:14" x14ac:dyDescent="0.3">
      <c r="B1817" t="s">
        <v>2173</v>
      </c>
      <c r="C1817" t="s">
        <v>3999</v>
      </c>
      <c r="D1817" t="s">
        <v>2052</v>
      </c>
      <c r="E1817">
        <v>0</v>
      </c>
      <c r="F1817" t="s">
        <v>2052</v>
      </c>
      <c r="N1817" t="str" cm="1">
        <f t="array" ref="N1817">IF(MOD(ROW()-ROW($B$2),16)=0,INDEX($M$2:$M$1000,(ROW()-ROW($B$2))/16+1),"")</f>
        <v/>
      </c>
    </row>
    <row r="1818" spans="2:14" x14ac:dyDescent="0.3">
      <c r="B1818" t="s">
        <v>2173</v>
      </c>
      <c r="C1818" t="s">
        <v>4000</v>
      </c>
      <c r="D1818" t="s">
        <v>2053</v>
      </c>
      <c r="E1818">
        <v>0</v>
      </c>
      <c r="F1818" t="s">
        <v>2053</v>
      </c>
      <c r="N1818" t="str" cm="1">
        <f t="array" ref="N1818">IF(MOD(ROW()-ROW($B$2),16)=0,INDEX($M$2:$M$1000,(ROW()-ROW($B$2))/16+1),"")</f>
        <v/>
      </c>
    </row>
    <row r="1819" spans="2:14" x14ac:dyDescent="0.3">
      <c r="B1819" t="s">
        <v>2173</v>
      </c>
      <c r="C1819" t="s">
        <v>4001</v>
      </c>
      <c r="D1819" t="s">
        <v>2054</v>
      </c>
      <c r="E1819">
        <v>0</v>
      </c>
      <c r="F1819" t="s">
        <v>2054</v>
      </c>
      <c r="N1819" t="str" cm="1">
        <f t="array" ref="N1819">IF(MOD(ROW()-ROW($B$2),16)=0,INDEX($M$2:$M$1000,(ROW()-ROW($B$2))/16+1),"")</f>
        <v/>
      </c>
    </row>
    <row r="1820" spans="2:14" x14ac:dyDescent="0.3">
      <c r="B1820" t="s">
        <v>2173</v>
      </c>
      <c r="C1820" t="s">
        <v>4002</v>
      </c>
      <c r="D1820" t="s">
        <v>2055</v>
      </c>
      <c r="E1820">
        <v>0</v>
      </c>
      <c r="F1820" t="s">
        <v>2055</v>
      </c>
      <c r="N1820" t="str" cm="1">
        <f t="array" ref="N1820">IF(MOD(ROW()-ROW($B$2),16)=0,INDEX($M$2:$M$1000,(ROW()-ROW($B$2))/16+1),"")</f>
        <v/>
      </c>
    </row>
    <row r="1821" spans="2:14" x14ac:dyDescent="0.3">
      <c r="B1821" t="s">
        <v>2173</v>
      </c>
      <c r="C1821" t="s">
        <v>4003</v>
      </c>
      <c r="D1821" t="s">
        <v>2056</v>
      </c>
      <c r="E1821">
        <v>0</v>
      </c>
      <c r="F1821" t="s">
        <v>2056</v>
      </c>
      <c r="N1821" t="str" cm="1">
        <f t="array" ref="N1821">IF(MOD(ROW()-ROW($B$2),16)=0,INDEX($M$2:$M$1000,(ROW()-ROW($B$2))/16+1),"")</f>
        <v/>
      </c>
    </row>
    <row r="1822" spans="2:14" x14ac:dyDescent="0.3">
      <c r="B1822" t="s">
        <v>2173</v>
      </c>
      <c r="C1822" t="s">
        <v>4004</v>
      </c>
      <c r="D1822" t="s">
        <v>2057</v>
      </c>
      <c r="E1822">
        <v>0</v>
      </c>
      <c r="F1822" t="s">
        <v>2057</v>
      </c>
      <c r="N1822" t="str" cm="1">
        <f t="array" ref="N1822">IF(MOD(ROW()-ROW($B$2),16)=0,INDEX($M$2:$M$1000,(ROW()-ROW($B$2))/16+1),"")</f>
        <v/>
      </c>
    </row>
    <row r="1823" spans="2:14" x14ac:dyDescent="0.3">
      <c r="B1823" t="s">
        <v>2173</v>
      </c>
      <c r="C1823" t="s">
        <v>4005</v>
      </c>
      <c r="D1823" t="s">
        <v>2058</v>
      </c>
      <c r="E1823">
        <v>0</v>
      </c>
      <c r="F1823" t="s">
        <v>2058</v>
      </c>
      <c r="N1823" t="str" cm="1">
        <f t="array" ref="N1823">IF(MOD(ROW()-ROW($B$2),16)=0,INDEX($M$2:$M$1000,(ROW()-ROW($B$2))/16+1),"")</f>
        <v/>
      </c>
    </row>
    <row r="1824" spans="2:14" x14ac:dyDescent="0.3">
      <c r="B1824" t="s">
        <v>2173</v>
      </c>
      <c r="C1824" t="s">
        <v>4006</v>
      </c>
      <c r="D1824" t="s">
        <v>2059</v>
      </c>
      <c r="E1824">
        <v>0</v>
      </c>
      <c r="F1824" t="s">
        <v>2059</v>
      </c>
      <c r="N1824" t="str" cm="1">
        <f t="array" ref="N1824">IF(MOD(ROW()-ROW($B$2),16)=0,INDEX($M$2:$M$1000,(ROW()-ROW($B$2))/16+1),"")</f>
        <v/>
      </c>
    </row>
    <row r="1825" spans="2:14" x14ac:dyDescent="0.3">
      <c r="B1825" t="s">
        <v>2173</v>
      </c>
      <c r="C1825" t="s">
        <v>4007</v>
      </c>
      <c r="D1825" t="s">
        <v>2060</v>
      </c>
      <c r="E1825">
        <v>0</v>
      </c>
      <c r="F1825" t="s">
        <v>2060</v>
      </c>
      <c r="N1825" t="str" cm="1">
        <f t="array" ref="N1825">IF(MOD(ROW()-ROW($B$2),16)=0,INDEX($M$2:$M$1000,(ROW()-ROW($B$2))/16+1),"")</f>
        <v/>
      </c>
    </row>
    <row r="1826" spans="2:14" x14ac:dyDescent="0.3">
      <c r="B1826" t="s">
        <v>2173</v>
      </c>
      <c r="C1826" t="s">
        <v>4008</v>
      </c>
      <c r="D1826" t="s">
        <v>2061</v>
      </c>
      <c r="E1826">
        <v>0</v>
      </c>
      <c r="F1826" t="s">
        <v>2061</v>
      </c>
      <c r="N1826" t="str" cm="1">
        <f t="array" ref="N1826">IF(MOD(ROW()-ROW($B$2),16)=0,INDEX($M$2:$M$1000,(ROW()-ROW($B$2))/16+1),"")</f>
        <v>Фиксированное число 114 (0)</v>
      </c>
    </row>
    <row r="1827" spans="2:14" x14ac:dyDescent="0.3">
      <c r="B1827" t="s">
        <v>2173</v>
      </c>
      <c r="C1827" t="s">
        <v>4009</v>
      </c>
      <c r="D1827" t="s">
        <v>2062</v>
      </c>
      <c r="E1827">
        <v>0</v>
      </c>
      <c r="F1827" t="s">
        <v>2062</v>
      </c>
      <c r="N1827" t="str" cm="1">
        <f t="array" ref="N1827">IF(MOD(ROW()-ROW($B$2),16)=0,INDEX($M$2:$M$1000,(ROW()-ROW($B$2))/16+1),"")</f>
        <v/>
      </c>
    </row>
    <row r="1828" spans="2:14" x14ac:dyDescent="0.3">
      <c r="B1828" t="s">
        <v>2173</v>
      </c>
      <c r="C1828" t="s">
        <v>4010</v>
      </c>
      <c r="D1828" t="s">
        <v>2063</v>
      </c>
      <c r="E1828">
        <v>0</v>
      </c>
      <c r="F1828" t="s">
        <v>2063</v>
      </c>
      <c r="N1828" t="str" cm="1">
        <f t="array" ref="N1828">IF(MOD(ROW()-ROW($B$2),16)=0,INDEX($M$2:$M$1000,(ROW()-ROW($B$2))/16+1),"")</f>
        <v/>
      </c>
    </row>
    <row r="1829" spans="2:14" x14ac:dyDescent="0.3">
      <c r="B1829" t="s">
        <v>2173</v>
      </c>
      <c r="C1829" t="s">
        <v>4011</v>
      </c>
      <c r="D1829" t="s">
        <v>2064</v>
      </c>
      <c r="E1829">
        <v>0</v>
      </c>
      <c r="F1829" t="s">
        <v>2064</v>
      </c>
      <c r="N1829" t="str" cm="1">
        <f t="array" ref="N1829">IF(MOD(ROW()-ROW($B$2),16)=0,INDEX($M$2:$M$1000,(ROW()-ROW($B$2))/16+1),"")</f>
        <v/>
      </c>
    </row>
    <row r="1830" spans="2:14" x14ac:dyDescent="0.3">
      <c r="B1830" t="s">
        <v>2173</v>
      </c>
      <c r="C1830" t="s">
        <v>4012</v>
      </c>
      <c r="D1830" t="s">
        <v>2065</v>
      </c>
      <c r="E1830">
        <v>0</v>
      </c>
      <c r="F1830" t="s">
        <v>2065</v>
      </c>
      <c r="N1830" t="str" cm="1">
        <f t="array" ref="N1830">IF(MOD(ROW()-ROW($B$2),16)=0,INDEX($M$2:$M$1000,(ROW()-ROW($B$2))/16+1),"")</f>
        <v/>
      </c>
    </row>
    <row r="1831" spans="2:14" x14ac:dyDescent="0.3">
      <c r="B1831" t="s">
        <v>2173</v>
      </c>
      <c r="C1831" t="s">
        <v>4013</v>
      </c>
      <c r="D1831" t="s">
        <v>2066</v>
      </c>
      <c r="E1831">
        <v>0</v>
      </c>
      <c r="F1831" t="s">
        <v>2066</v>
      </c>
      <c r="N1831" t="str" cm="1">
        <f t="array" ref="N1831">IF(MOD(ROW()-ROW($B$2),16)=0,INDEX($M$2:$M$1000,(ROW()-ROW($B$2))/16+1),"")</f>
        <v/>
      </c>
    </row>
    <row r="1832" spans="2:14" x14ac:dyDescent="0.3">
      <c r="B1832" t="s">
        <v>2173</v>
      </c>
      <c r="C1832" t="s">
        <v>4014</v>
      </c>
      <c r="D1832" t="s">
        <v>2067</v>
      </c>
      <c r="E1832">
        <v>0</v>
      </c>
      <c r="F1832" t="s">
        <v>2067</v>
      </c>
      <c r="N1832" t="str" cm="1">
        <f t="array" ref="N1832">IF(MOD(ROW()-ROW($B$2),16)=0,INDEX($M$2:$M$1000,(ROW()-ROW($B$2))/16+1),"")</f>
        <v/>
      </c>
    </row>
    <row r="1833" spans="2:14" x14ac:dyDescent="0.3">
      <c r="B1833" t="s">
        <v>2173</v>
      </c>
      <c r="C1833" t="s">
        <v>4015</v>
      </c>
      <c r="D1833" t="s">
        <v>2068</v>
      </c>
      <c r="E1833">
        <v>0</v>
      </c>
      <c r="F1833" t="s">
        <v>2068</v>
      </c>
      <c r="N1833" t="str" cm="1">
        <f t="array" ref="N1833">IF(MOD(ROW()-ROW($B$2),16)=0,INDEX($M$2:$M$1000,(ROW()-ROW($B$2))/16+1),"")</f>
        <v/>
      </c>
    </row>
    <row r="1834" spans="2:14" x14ac:dyDescent="0.3">
      <c r="B1834" t="s">
        <v>2173</v>
      </c>
      <c r="C1834" t="s">
        <v>4016</v>
      </c>
      <c r="D1834" t="s">
        <v>2069</v>
      </c>
      <c r="E1834">
        <v>0</v>
      </c>
      <c r="F1834" t="s">
        <v>2069</v>
      </c>
      <c r="N1834" t="str" cm="1">
        <f t="array" ref="N1834">IF(MOD(ROW()-ROW($B$2),16)=0,INDEX($M$2:$M$1000,(ROW()-ROW($B$2))/16+1),"")</f>
        <v/>
      </c>
    </row>
    <row r="1835" spans="2:14" x14ac:dyDescent="0.3">
      <c r="B1835" t="s">
        <v>2173</v>
      </c>
      <c r="C1835" t="s">
        <v>4017</v>
      </c>
      <c r="D1835" t="s">
        <v>2070</v>
      </c>
      <c r="E1835">
        <v>0</v>
      </c>
      <c r="F1835" t="s">
        <v>2070</v>
      </c>
      <c r="N1835" t="str" cm="1">
        <f t="array" ref="N1835">IF(MOD(ROW()-ROW($B$2),16)=0,INDEX($M$2:$M$1000,(ROW()-ROW($B$2))/16+1),"")</f>
        <v/>
      </c>
    </row>
    <row r="1836" spans="2:14" x14ac:dyDescent="0.3">
      <c r="B1836" t="s">
        <v>2173</v>
      </c>
      <c r="C1836" t="s">
        <v>4018</v>
      </c>
      <c r="D1836" t="s">
        <v>2071</v>
      </c>
      <c r="E1836">
        <v>0</v>
      </c>
      <c r="F1836" t="s">
        <v>2071</v>
      </c>
      <c r="N1836" t="str" cm="1">
        <f t="array" ref="N1836">IF(MOD(ROW()-ROW($B$2),16)=0,INDEX($M$2:$M$1000,(ROW()-ROW($B$2))/16+1),"")</f>
        <v/>
      </c>
    </row>
    <row r="1837" spans="2:14" x14ac:dyDescent="0.3">
      <c r="B1837" t="s">
        <v>2173</v>
      </c>
      <c r="C1837" t="s">
        <v>4019</v>
      </c>
      <c r="D1837" t="s">
        <v>2072</v>
      </c>
      <c r="E1837">
        <v>0</v>
      </c>
      <c r="F1837" t="s">
        <v>2072</v>
      </c>
      <c r="N1837" t="str" cm="1">
        <f t="array" ref="N1837">IF(MOD(ROW()-ROW($B$2),16)=0,INDEX($M$2:$M$1000,(ROW()-ROW($B$2))/16+1),"")</f>
        <v/>
      </c>
    </row>
    <row r="1838" spans="2:14" x14ac:dyDescent="0.3">
      <c r="B1838" t="s">
        <v>2173</v>
      </c>
      <c r="C1838" t="s">
        <v>4020</v>
      </c>
      <c r="D1838" t="s">
        <v>2073</v>
      </c>
      <c r="E1838">
        <v>0</v>
      </c>
      <c r="F1838" t="s">
        <v>2073</v>
      </c>
      <c r="N1838" t="str" cm="1">
        <f t="array" ref="N1838">IF(MOD(ROW()-ROW($B$2),16)=0,INDEX($M$2:$M$1000,(ROW()-ROW($B$2))/16+1),"")</f>
        <v/>
      </c>
    </row>
    <row r="1839" spans="2:14" x14ac:dyDescent="0.3">
      <c r="B1839" t="s">
        <v>2173</v>
      </c>
      <c r="C1839" t="s">
        <v>4021</v>
      </c>
      <c r="D1839" t="s">
        <v>2074</v>
      </c>
      <c r="E1839">
        <v>0</v>
      </c>
      <c r="F1839" t="s">
        <v>2074</v>
      </c>
      <c r="N1839" t="str" cm="1">
        <f t="array" ref="N1839">IF(MOD(ROW()-ROW($B$2),16)=0,INDEX($M$2:$M$1000,(ROW()-ROW($B$2))/16+1),"")</f>
        <v/>
      </c>
    </row>
    <row r="1840" spans="2:14" x14ac:dyDescent="0.3">
      <c r="B1840" t="s">
        <v>2173</v>
      </c>
      <c r="C1840" t="s">
        <v>4022</v>
      </c>
      <c r="D1840" t="s">
        <v>2075</v>
      </c>
      <c r="E1840">
        <v>0</v>
      </c>
      <c r="F1840" t="s">
        <v>2075</v>
      </c>
      <c r="N1840" t="str" cm="1">
        <f t="array" ref="N1840">IF(MOD(ROW()-ROW($B$2),16)=0,INDEX($M$2:$M$1000,(ROW()-ROW($B$2))/16+1),"")</f>
        <v/>
      </c>
    </row>
    <row r="1841" spans="2:14" x14ac:dyDescent="0.3">
      <c r="B1841" t="s">
        <v>2173</v>
      </c>
      <c r="C1841" t="s">
        <v>4023</v>
      </c>
      <c r="D1841" t="s">
        <v>2076</v>
      </c>
      <c r="E1841">
        <v>0</v>
      </c>
      <c r="F1841" t="s">
        <v>2076</v>
      </c>
      <c r="N1841" t="str" cm="1">
        <f t="array" ref="N1841">IF(MOD(ROW()-ROW($B$2),16)=0,INDEX($M$2:$M$1000,(ROW()-ROW($B$2))/16+1),"")</f>
        <v/>
      </c>
    </row>
    <row r="1842" spans="2:14" x14ac:dyDescent="0.3">
      <c r="B1842" t="s">
        <v>2173</v>
      </c>
      <c r="C1842" t="s">
        <v>4024</v>
      </c>
      <c r="D1842" t="s">
        <v>2077</v>
      </c>
      <c r="E1842">
        <v>0</v>
      </c>
      <c r="F1842" t="s">
        <v>2077</v>
      </c>
      <c r="N1842" t="str" cm="1">
        <f t="array" ref="N1842">IF(MOD(ROW()-ROW($B$2),16)=0,INDEX($M$2:$M$1000,(ROW()-ROW($B$2))/16+1),"")</f>
        <v>Фиксированное число 115 (0)</v>
      </c>
    </row>
    <row r="1843" spans="2:14" x14ac:dyDescent="0.3">
      <c r="B1843" t="s">
        <v>2173</v>
      </c>
      <c r="C1843" t="s">
        <v>4025</v>
      </c>
      <c r="D1843" t="s">
        <v>2078</v>
      </c>
      <c r="E1843">
        <v>0</v>
      </c>
      <c r="F1843" t="s">
        <v>2078</v>
      </c>
      <c r="N1843" t="str" cm="1">
        <f t="array" ref="N1843">IF(MOD(ROW()-ROW($B$2),16)=0,INDEX($M$2:$M$1000,(ROW()-ROW($B$2))/16+1),"")</f>
        <v/>
      </c>
    </row>
    <row r="1844" spans="2:14" x14ac:dyDescent="0.3">
      <c r="B1844" t="s">
        <v>2173</v>
      </c>
      <c r="C1844" t="s">
        <v>4026</v>
      </c>
      <c r="D1844" t="s">
        <v>2079</v>
      </c>
      <c r="E1844">
        <v>0</v>
      </c>
      <c r="F1844" t="s">
        <v>2079</v>
      </c>
      <c r="N1844" t="str" cm="1">
        <f t="array" ref="N1844">IF(MOD(ROW()-ROW($B$2),16)=0,INDEX($M$2:$M$1000,(ROW()-ROW($B$2))/16+1),"")</f>
        <v/>
      </c>
    </row>
    <row r="1845" spans="2:14" x14ac:dyDescent="0.3">
      <c r="B1845" t="s">
        <v>2173</v>
      </c>
      <c r="C1845" t="s">
        <v>4027</v>
      </c>
      <c r="D1845" t="s">
        <v>2080</v>
      </c>
      <c r="E1845">
        <v>0</v>
      </c>
      <c r="F1845" t="s">
        <v>2080</v>
      </c>
      <c r="N1845" t="str" cm="1">
        <f t="array" ref="N1845">IF(MOD(ROW()-ROW($B$2),16)=0,INDEX($M$2:$M$1000,(ROW()-ROW($B$2))/16+1),"")</f>
        <v/>
      </c>
    </row>
    <row r="1846" spans="2:14" x14ac:dyDescent="0.3">
      <c r="B1846" t="s">
        <v>2173</v>
      </c>
      <c r="C1846" t="s">
        <v>4028</v>
      </c>
      <c r="D1846" t="s">
        <v>2081</v>
      </c>
      <c r="E1846">
        <v>0</v>
      </c>
      <c r="F1846" t="s">
        <v>2081</v>
      </c>
      <c r="N1846" t="str" cm="1">
        <f t="array" ref="N1846">IF(MOD(ROW()-ROW($B$2),16)=0,INDEX($M$2:$M$1000,(ROW()-ROW($B$2))/16+1),"")</f>
        <v/>
      </c>
    </row>
    <row r="1847" spans="2:14" x14ac:dyDescent="0.3">
      <c r="B1847" t="s">
        <v>2173</v>
      </c>
      <c r="C1847" t="s">
        <v>4029</v>
      </c>
      <c r="D1847" t="s">
        <v>2082</v>
      </c>
      <c r="E1847">
        <v>0</v>
      </c>
      <c r="F1847" t="s">
        <v>2082</v>
      </c>
      <c r="N1847" t="str" cm="1">
        <f t="array" ref="N1847">IF(MOD(ROW()-ROW($B$2),16)=0,INDEX($M$2:$M$1000,(ROW()-ROW($B$2))/16+1),"")</f>
        <v/>
      </c>
    </row>
    <row r="1848" spans="2:14" x14ac:dyDescent="0.3">
      <c r="B1848" t="s">
        <v>2173</v>
      </c>
      <c r="C1848" t="s">
        <v>4030</v>
      </c>
      <c r="D1848" t="s">
        <v>2083</v>
      </c>
      <c r="E1848">
        <v>0</v>
      </c>
      <c r="F1848" t="s">
        <v>2083</v>
      </c>
      <c r="N1848" t="str" cm="1">
        <f t="array" ref="N1848">IF(MOD(ROW()-ROW($B$2),16)=0,INDEX($M$2:$M$1000,(ROW()-ROW($B$2))/16+1),"")</f>
        <v/>
      </c>
    </row>
    <row r="1849" spans="2:14" x14ac:dyDescent="0.3">
      <c r="B1849" t="s">
        <v>2173</v>
      </c>
      <c r="C1849" t="s">
        <v>4031</v>
      </c>
      <c r="D1849" t="s">
        <v>2084</v>
      </c>
      <c r="E1849">
        <v>0</v>
      </c>
      <c r="F1849" t="s">
        <v>2084</v>
      </c>
      <c r="N1849" t="str" cm="1">
        <f t="array" ref="N1849">IF(MOD(ROW()-ROW($B$2),16)=0,INDEX($M$2:$M$1000,(ROW()-ROW($B$2))/16+1),"")</f>
        <v/>
      </c>
    </row>
    <row r="1850" spans="2:14" x14ac:dyDescent="0.3">
      <c r="B1850" t="s">
        <v>2173</v>
      </c>
      <c r="C1850" t="s">
        <v>4032</v>
      </c>
      <c r="D1850" t="s">
        <v>2085</v>
      </c>
      <c r="E1850">
        <v>0</v>
      </c>
      <c r="F1850" t="s">
        <v>2085</v>
      </c>
      <c r="N1850" t="str" cm="1">
        <f t="array" ref="N1850">IF(MOD(ROW()-ROW($B$2),16)=0,INDEX($M$2:$M$1000,(ROW()-ROW($B$2))/16+1),"")</f>
        <v/>
      </c>
    </row>
    <row r="1851" spans="2:14" x14ac:dyDescent="0.3">
      <c r="B1851" t="s">
        <v>2173</v>
      </c>
      <c r="C1851" t="s">
        <v>4033</v>
      </c>
      <c r="D1851" t="s">
        <v>2086</v>
      </c>
      <c r="E1851">
        <v>0</v>
      </c>
      <c r="F1851" t="s">
        <v>2086</v>
      </c>
      <c r="N1851" t="str" cm="1">
        <f t="array" ref="N1851">IF(MOD(ROW()-ROW($B$2),16)=0,INDEX($M$2:$M$1000,(ROW()-ROW($B$2))/16+1),"")</f>
        <v/>
      </c>
    </row>
    <row r="1852" spans="2:14" x14ac:dyDescent="0.3">
      <c r="B1852" t="s">
        <v>2173</v>
      </c>
      <c r="C1852" t="s">
        <v>4034</v>
      </c>
      <c r="D1852" t="s">
        <v>2087</v>
      </c>
      <c r="E1852">
        <v>0</v>
      </c>
      <c r="F1852" t="s">
        <v>2087</v>
      </c>
      <c r="N1852" t="str" cm="1">
        <f t="array" ref="N1852">IF(MOD(ROW()-ROW($B$2),16)=0,INDEX($M$2:$M$1000,(ROW()-ROW($B$2))/16+1),"")</f>
        <v/>
      </c>
    </row>
    <row r="1853" spans="2:14" x14ac:dyDescent="0.3">
      <c r="B1853" t="s">
        <v>2173</v>
      </c>
      <c r="C1853" t="s">
        <v>4035</v>
      </c>
      <c r="D1853" t="s">
        <v>2088</v>
      </c>
      <c r="E1853">
        <v>0</v>
      </c>
      <c r="F1853" t="s">
        <v>2088</v>
      </c>
      <c r="N1853" t="str" cm="1">
        <f t="array" ref="N1853">IF(MOD(ROW()-ROW($B$2),16)=0,INDEX($M$2:$M$1000,(ROW()-ROW($B$2))/16+1),"")</f>
        <v/>
      </c>
    </row>
    <row r="1854" spans="2:14" x14ac:dyDescent="0.3">
      <c r="B1854" t="s">
        <v>2173</v>
      </c>
      <c r="C1854" t="s">
        <v>4036</v>
      </c>
      <c r="D1854" t="s">
        <v>2089</v>
      </c>
      <c r="E1854">
        <v>0</v>
      </c>
      <c r="F1854" t="s">
        <v>2089</v>
      </c>
      <c r="N1854" t="str" cm="1">
        <f t="array" ref="N1854">IF(MOD(ROW()-ROW($B$2),16)=0,INDEX($M$2:$M$1000,(ROW()-ROW($B$2))/16+1),"")</f>
        <v/>
      </c>
    </row>
    <row r="1855" spans="2:14" x14ac:dyDescent="0.3">
      <c r="B1855" t="s">
        <v>2173</v>
      </c>
      <c r="C1855" t="s">
        <v>4037</v>
      </c>
      <c r="D1855" t="s">
        <v>2090</v>
      </c>
      <c r="E1855">
        <v>0</v>
      </c>
      <c r="F1855" t="s">
        <v>2090</v>
      </c>
      <c r="N1855" t="str" cm="1">
        <f t="array" ref="N1855">IF(MOD(ROW()-ROW($B$2),16)=0,INDEX($M$2:$M$1000,(ROW()-ROW($B$2))/16+1),"")</f>
        <v/>
      </c>
    </row>
    <row r="1856" spans="2:14" x14ac:dyDescent="0.3">
      <c r="B1856" t="s">
        <v>2173</v>
      </c>
      <c r="C1856" t="s">
        <v>4038</v>
      </c>
      <c r="D1856" t="s">
        <v>2091</v>
      </c>
      <c r="E1856">
        <v>0</v>
      </c>
      <c r="F1856" t="s">
        <v>2091</v>
      </c>
      <c r="N1856" t="str" cm="1">
        <f t="array" ref="N1856">IF(MOD(ROW()-ROW($B$2),16)=0,INDEX($M$2:$M$1000,(ROW()-ROW($B$2))/16+1),"")</f>
        <v/>
      </c>
    </row>
    <row r="1857" spans="2:14" x14ac:dyDescent="0.3">
      <c r="B1857" t="s">
        <v>2173</v>
      </c>
      <c r="C1857" t="s">
        <v>4039</v>
      </c>
      <c r="D1857" t="s">
        <v>2092</v>
      </c>
      <c r="E1857">
        <v>0</v>
      </c>
      <c r="F1857" t="s">
        <v>2092</v>
      </c>
      <c r="N1857" t="str" cm="1">
        <f t="array" ref="N1857">IF(MOD(ROW()-ROW($B$2),16)=0,INDEX($M$2:$M$1000,(ROW()-ROW($B$2))/16+1),"")</f>
        <v/>
      </c>
    </row>
    <row r="1858" spans="2:14" x14ac:dyDescent="0.3">
      <c r="B1858" t="s">
        <v>2173</v>
      </c>
      <c r="C1858" t="s">
        <v>4040</v>
      </c>
      <c r="D1858" t="s">
        <v>2093</v>
      </c>
      <c r="E1858">
        <v>0</v>
      </c>
      <c r="F1858" t="s">
        <v>2093</v>
      </c>
      <c r="N1858" t="str" cm="1">
        <f t="array" ref="N1858">IF(MOD(ROW()-ROW($B$2),16)=0,INDEX($M$2:$M$1000,(ROW()-ROW($B$2))/16+1),"")</f>
        <v>Фиксированное число 116 (0)</v>
      </c>
    </row>
    <row r="1859" spans="2:14" x14ac:dyDescent="0.3">
      <c r="B1859" t="s">
        <v>2173</v>
      </c>
      <c r="C1859" t="s">
        <v>4041</v>
      </c>
      <c r="D1859" t="s">
        <v>2094</v>
      </c>
      <c r="E1859">
        <v>0</v>
      </c>
      <c r="F1859" t="s">
        <v>2094</v>
      </c>
      <c r="N1859" t="str" cm="1">
        <f t="array" ref="N1859">IF(MOD(ROW()-ROW($B$2),16)=0,INDEX($M$2:$M$1000,(ROW()-ROW($B$2))/16+1),"")</f>
        <v/>
      </c>
    </row>
    <row r="1860" spans="2:14" x14ac:dyDescent="0.3">
      <c r="B1860" t="s">
        <v>2173</v>
      </c>
      <c r="C1860" t="s">
        <v>4042</v>
      </c>
      <c r="D1860" t="s">
        <v>2095</v>
      </c>
      <c r="E1860">
        <v>0</v>
      </c>
      <c r="F1860" t="s">
        <v>2095</v>
      </c>
      <c r="N1860" t="str" cm="1">
        <f t="array" ref="N1860">IF(MOD(ROW()-ROW($B$2),16)=0,INDEX($M$2:$M$1000,(ROW()-ROW($B$2))/16+1),"")</f>
        <v/>
      </c>
    </row>
    <row r="1861" spans="2:14" x14ac:dyDescent="0.3">
      <c r="B1861" t="s">
        <v>2173</v>
      </c>
      <c r="C1861" t="s">
        <v>4043</v>
      </c>
      <c r="D1861" t="s">
        <v>2096</v>
      </c>
      <c r="E1861">
        <v>0</v>
      </c>
      <c r="F1861" t="s">
        <v>2096</v>
      </c>
      <c r="N1861" t="str" cm="1">
        <f t="array" ref="N1861">IF(MOD(ROW()-ROW($B$2),16)=0,INDEX($M$2:$M$1000,(ROW()-ROW($B$2))/16+1),"")</f>
        <v/>
      </c>
    </row>
    <row r="1862" spans="2:14" x14ac:dyDescent="0.3">
      <c r="B1862" t="s">
        <v>2173</v>
      </c>
      <c r="C1862" t="s">
        <v>4044</v>
      </c>
      <c r="D1862" t="s">
        <v>2097</v>
      </c>
      <c r="E1862">
        <v>0</v>
      </c>
      <c r="F1862" t="s">
        <v>2097</v>
      </c>
      <c r="N1862" t="str" cm="1">
        <f t="array" ref="N1862">IF(MOD(ROW()-ROW($B$2),16)=0,INDEX($M$2:$M$1000,(ROW()-ROW($B$2))/16+1),"")</f>
        <v/>
      </c>
    </row>
    <row r="1863" spans="2:14" x14ac:dyDescent="0.3">
      <c r="B1863" t="s">
        <v>2173</v>
      </c>
      <c r="C1863" t="s">
        <v>4045</v>
      </c>
      <c r="D1863" t="s">
        <v>2098</v>
      </c>
      <c r="E1863">
        <v>0</v>
      </c>
      <c r="F1863" t="s">
        <v>2098</v>
      </c>
      <c r="N1863" t="str" cm="1">
        <f t="array" ref="N1863">IF(MOD(ROW()-ROW($B$2),16)=0,INDEX($M$2:$M$1000,(ROW()-ROW($B$2))/16+1),"")</f>
        <v/>
      </c>
    </row>
    <row r="1864" spans="2:14" x14ac:dyDescent="0.3">
      <c r="B1864" t="s">
        <v>2173</v>
      </c>
      <c r="C1864" t="s">
        <v>4046</v>
      </c>
      <c r="D1864" t="s">
        <v>2099</v>
      </c>
      <c r="E1864">
        <v>0</v>
      </c>
      <c r="F1864" t="s">
        <v>2099</v>
      </c>
      <c r="N1864" t="str" cm="1">
        <f t="array" ref="N1864">IF(MOD(ROW()-ROW($B$2),16)=0,INDEX($M$2:$M$1000,(ROW()-ROW($B$2))/16+1),"")</f>
        <v/>
      </c>
    </row>
    <row r="1865" spans="2:14" x14ac:dyDescent="0.3">
      <c r="B1865" t="s">
        <v>2173</v>
      </c>
      <c r="C1865" t="s">
        <v>4047</v>
      </c>
      <c r="D1865" t="s">
        <v>2100</v>
      </c>
      <c r="E1865">
        <v>0</v>
      </c>
      <c r="F1865" t="s">
        <v>2100</v>
      </c>
      <c r="N1865" t="str" cm="1">
        <f t="array" ref="N1865">IF(MOD(ROW()-ROW($B$2),16)=0,INDEX($M$2:$M$1000,(ROW()-ROW($B$2))/16+1),"")</f>
        <v/>
      </c>
    </row>
    <row r="1866" spans="2:14" x14ac:dyDescent="0.3">
      <c r="B1866" t="s">
        <v>2173</v>
      </c>
      <c r="C1866" t="s">
        <v>4048</v>
      </c>
      <c r="D1866" t="s">
        <v>2101</v>
      </c>
      <c r="E1866">
        <v>0</v>
      </c>
      <c r="F1866" t="s">
        <v>2101</v>
      </c>
      <c r="N1866" t="str" cm="1">
        <f t="array" ref="N1866">IF(MOD(ROW()-ROW($B$2),16)=0,INDEX($M$2:$M$1000,(ROW()-ROW($B$2))/16+1),"")</f>
        <v/>
      </c>
    </row>
    <row r="1867" spans="2:14" x14ac:dyDescent="0.3">
      <c r="B1867" t="s">
        <v>2173</v>
      </c>
      <c r="C1867" t="s">
        <v>4049</v>
      </c>
      <c r="D1867" t="s">
        <v>2102</v>
      </c>
      <c r="E1867">
        <v>0</v>
      </c>
      <c r="F1867" t="s">
        <v>2102</v>
      </c>
      <c r="N1867" t="str" cm="1">
        <f t="array" ref="N1867">IF(MOD(ROW()-ROW($B$2),16)=0,INDEX($M$2:$M$1000,(ROW()-ROW($B$2))/16+1),"")</f>
        <v/>
      </c>
    </row>
    <row r="1868" spans="2:14" x14ac:dyDescent="0.3">
      <c r="B1868" t="s">
        <v>2173</v>
      </c>
      <c r="C1868" t="s">
        <v>4050</v>
      </c>
      <c r="D1868" t="s">
        <v>2103</v>
      </c>
      <c r="E1868">
        <v>0</v>
      </c>
      <c r="F1868" t="s">
        <v>2103</v>
      </c>
      <c r="N1868" t="str" cm="1">
        <f t="array" ref="N1868">IF(MOD(ROW()-ROW($B$2),16)=0,INDEX($M$2:$M$1000,(ROW()-ROW($B$2))/16+1),"")</f>
        <v/>
      </c>
    </row>
    <row r="1869" spans="2:14" x14ac:dyDescent="0.3">
      <c r="B1869" t="s">
        <v>2173</v>
      </c>
      <c r="C1869" t="s">
        <v>4051</v>
      </c>
      <c r="D1869" t="s">
        <v>2104</v>
      </c>
      <c r="E1869">
        <v>0</v>
      </c>
      <c r="F1869" t="s">
        <v>2104</v>
      </c>
      <c r="N1869" t="str" cm="1">
        <f t="array" ref="N1869">IF(MOD(ROW()-ROW($B$2),16)=0,INDEX($M$2:$M$1000,(ROW()-ROW($B$2))/16+1),"")</f>
        <v/>
      </c>
    </row>
    <row r="1870" spans="2:14" x14ac:dyDescent="0.3">
      <c r="B1870" t="s">
        <v>2173</v>
      </c>
      <c r="C1870" t="s">
        <v>4052</v>
      </c>
      <c r="D1870" t="s">
        <v>2105</v>
      </c>
      <c r="E1870">
        <v>0</v>
      </c>
      <c r="F1870" t="s">
        <v>2105</v>
      </c>
      <c r="N1870" t="str" cm="1">
        <f t="array" ref="N1870">IF(MOD(ROW()-ROW($B$2),16)=0,INDEX($M$2:$M$1000,(ROW()-ROW($B$2))/16+1),"")</f>
        <v/>
      </c>
    </row>
    <row r="1871" spans="2:14" x14ac:dyDescent="0.3">
      <c r="B1871" t="s">
        <v>2173</v>
      </c>
      <c r="C1871" t="s">
        <v>4053</v>
      </c>
      <c r="D1871" t="s">
        <v>2106</v>
      </c>
      <c r="E1871">
        <v>0</v>
      </c>
      <c r="F1871" t="s">
        <v>2106</v>
      </c>
      <c r="N1871" t="str" cm="1">
        <f t="array" ref="N1871">IF(MOD(ROW()-ROW($B$2),16)=0,INDEX($M$2:$M$1000,(ROW()-ROW($B$2))/16+1),"")</f>
        <v/>
      </c>
    </row>
    <row r="1872" spans="2:14" x14ac:dyDescent="0.3">
      <c r="B1872" t="s">
        <v>2173</v>
      </c>
      <c r="C1872" t="s">
        <v>4054</v>
      </c>
      <c r="D1872" t="s">
        <v>2107</v>
      </c>
      <c r="E1872">
        <v>0</v>
      </c>
      <c r="F1872" t="s">
        <v>2107</v>
      </c>
      <c r="N1872" t="str" cm="1">
        <f t="array" ref="N1872">IF(MOD(ROW()-ROW($B$2),16)=0,INDEX($M$2:$M$1000,(ROW()-ROW($B$2))/16+1),"")</f>
        <v/>
      </c>
    </row>
    <row r="1873" spans="2:14" x14ac:dyDescent="0.3">
      <c r="B1873" t="s">
        <v>2173</v>
      </c>
      <c r="C1873" t="s">
        <v>4055</v>
      </c>
      <c r="D1873" t="s">
        <v>2108</v>
      </c>
      <c r="E1873">
        <v>0</v>
      </c>
      <c r="F1873" t="s">
        <v>2108</v>
      </c>
      <c r="N1873" t="str" cm="1">
        <f t="array" ref="N1873">IF(MOD(ROW()-ROW($B$2),16)=0,INDEX($M$2:$M$1000,(ROW()-ROW($B$2))/16+1),"")</f>
        <v/>
      </c>
    </row>
    <row r="1874" spans="2:14" x14ac:dyDescent="0.3">
      <c r="B1874" t="s">
        <v>2173</v>
      </c>
      <c r="C1874" t="s">
        <v>4056</v>
      </c>
      <c r="D1874" t="s">
        <v>2109</v>
      </c>
      <c r="E1874">
        <v>0</v>
      </c>
      <c r="F1874" t="s">
        <v>2109</v>
      </c>
      <c r="N1874" t="str" cm="1">
        <f t="array" ref="N1874">IF(MOD(ROW()-ROW($B$2),16)=0,INDEX($M$2:$M$1000,(ROW()-ROW($B$2))/16+1),"")</f>
        <v>Фиксированное число 117 (0)</v>
      </c>
    </row>
    <row r="1875" spans="2:14" x14ac:dyDescent="0.3">
      <c r="B1875" t="s">
        <v>2173</v>
      </c>
      <c r="C1875" t="s">
        <v>4057</v>
      </c>
      <c r="D1875" t="s">
        <v>2110</v>
      </c>
      <c r="E1875">
        <v>0</v>
      </c>
      <c r="F1875" t="s">
        <v>2110</v>
      </c>
      <c r="N1875" t="str" cm="1">
        <f t="array" ref="N1875">IF(MOD(ROW()-ROW($B$2),16)=0,INDEX($M$2:$M$1000,(ROW()-ROW($B$2))/16+1),"")</f>
        <v/>
      </c>
    </row>
    <row r="1876" spans="2:14" x14ac:dyDescent="0.3">
      <c r="B1876" t="s">
        <v>2173</v>
      </c>
      <c r="C1876" t="s">
        <v>4058</v>
      </c>
      <c r="D1876" t="s">
        <v>2111</v>
      </c>
      <c r="E1876">
        <v>0</v>
      </c>
      <c r="F1876" t="s">
        <v>2111</v>
      </c>
      <c r="N1876" t="str" cm="1">
        <f t="array" ref="N1876">IF(MOD(ROW()-ROW($B$2),16)=0,INDEX($M$2:$M$1000,(ROW()-ROW($B$2))/16+1),"")</f>
        <v/>
      </c>
    </row>
    <row r="1877" spans="2:14" x14ac:dyDescent="0.3">
      <c r="B1877" t="s">
        <v>2173</v>
      </c>
      <c r="C1877" t="s">
        <v>4059</v>
      </c>
      <c r="D1877" t="s">
        <v>2112</v>
      </c>
      <c r="E1877">
        <v>0</v>
      </c>
      <c r="F1877" t="s">
        <v>2112</v>
      </c>
      <c r="N1877" t="str" cm="1">
        <f t="array" ref="N1877">IF(MOD(ROW()-ROW($B$2),16)=0,INDEX($M$2:$M$1000,(ROW()-ROW($B$2))/16+1),"")</f>
        <v/>
      </c>
    </row>
    <row r="1878" spans="2:14" x14ac:dyDescent="0.3">
      <c r="B1878" t="s">
        <v>2173</v>
      </c>
      <c r="C1878" t="s">
        <v>4060</v>
      </c>
      <c r="D1878" t="s">
        <v>2113</v>
      </c>
      <c r="E1878">
        <v>0</v>
      </c>
      <c r="F1878" t="s">
        <v>2113</v>
      </c>
      <c r="N1878" t="str" cm="1">
        <f t="array" ref="N1878">IF(MOD(ROW()-ROW($B$2),16)=0,INDEX($M$2:$M$1000,(ROW()-ROW($B$2))/16+1),"")</f>
        <v/>
      </c>
    </row>
    <row r="1879" spans="2:14" x14ac:dyDescent="0.3">
      <c r="B1879" t="s">
        <v>2173</v>
      </c>
      <c r="C1879" t="s">
        <v>4061</v>
      </c>
      <c r="D1879" t="s">
        <v>2114</v>
      </c>
      <c r="E1879">
        <v>0</v>
      </c>
      <c r="F1879" t="s">
        <v>2114</v>
      </c>
      <c r="N1879" t="str" cm="1">
        <f t="array" ref="N1879">IF(MOD(ROW()-ROW($B$2),16)=0,INDEX($M$2:$M$1000,(ROW()-ROW($B$2))/16+1),"")</f>
        <v/>
      </c>
    </row>
    <row r="1880" spans="2:14" x14ac:dyDescent="0.3">
      <c r="B1880" t="s">
        <v>2173</v>
      </c>
      <c r="C1880" t="s">
        <v>4062</v>
      </c>
      <c r="D1880" t="s">
        <v>2115</v>
      </c>
      <c r="E1880">
        <v>0</v>
      </c>
      <c r="F1880" t="s">
        <v>2115</v>
      </c>
      <c r="N1880" t="str" cm="1">
        <f t="array" ref="N1880">IF(MOD(ROW()-ROW($B$2),16)=0,INDEX($M$2:$M$1000,(ROW()-ROW($B$2))/16+1),"")</f>
        <v/>
      </c>
    </row>
    <row r="1881" spans="2:14" x14ac:dyDescent="0.3">
      <c r="B1881" t="s">
        <v>2173</v>
      </c>
      <c r="C1881" t="s">
        <v>4063</v>
      </c>
      <c r="D1881" t="s">
        <v>2116</v>
      </c>
      <c r="E1881">
        <v>0</v>
      </c>
      <c r="F1881" t="s">
        <v>2116</v>
      </c>
      <c r="N1881" t="str" cm="1">
        <f t="array" ref="N1881">IF(MOD(ROW()-ROW($B$2),16)=0,INDEX($M$2:$M$1000,(ROW()-ROW($B$2))/16+1),"")</f>
        <v/>
      </c>
    </row>
    <row r="1882" spans="2:14" x14ac:dyDescent="0.3">
      <c r="B1882" t="s">
        <v>2173</v>
      </c>
      <c r="C1882" t="s">
        <v>4064</v>
      </c>
      <c r="D1882" t="s">
        <v>2117</v>
      </c>
      <c r="E1882">
        <v>0</v>
      </c>
      <c r="F1882" t="s">
        <v>2117</v>
      </c>
      <c r="N1882" t="str" cm="1">
        <f t="array" ref="N1882">IF(MOD(ROW()-ROW($B$2),16)=0,INDEX($M$2:$M$1000,(ROW()-ROW($B$2))/16+1),"")</f>
        <v/>
      </c>
    </row>
    <row r="1883" spans="2:14" x14ac:dyDescent="0.3">
      <c r="B1883" t="s">
        <v>2173</v>
      </c>
      <c r="C1883" t="s">
        <v>4065</v>
      </c>
      <c r="D1883" t="s">
        <v>2118</v>
      </c>
      <c r="E1883">
        <v>0</v>
      </c>
      <c r="F1883" t="s">
        <v>2118</v>
      </c>
      <c r="N1883" t="str" cm="1">
        <f t="array" ref="N1883">IF(MOD(ROW()-ROW($B$2),16)=0,INDEX($M$2:$M$1000,(ROW()-ROW($B$2))/16+1),"")</f>
        <v/>
      </c>
    </row>
    <row r="1884" spans="2:14" x14ac:dyDescent="0.3">
      <c r="B1884" t="s">
        <v>2173</v>
      </c>
      <c r="C1884" t="s">
        <v>4066</v>
      </c>
      <c r="D1884" t="s">
        <v>2119</v>
      </c>
      <c r="E1884">
        <v>0</v>
      </c>
      <c r="F1884" t="s">
        <v>2119</v>
      </c>
      <c r="N1884" t="str" cm="1">
        <f t="array" ref="N1884">IF(MOD(ROW()-ROW($B$2),16)=0,INDEX($M$2:$M$1000,(ROW()-ROW($B$2))/16+1),"")</f>
        <v/>
      </c>
    </row>
    <row r="1885" spans="2:14" x14ac:dyDescent="0.3">
      <c r="B1885" t="s">
        <v>2173</v>
      </c>
      <c r="C1885" t="s">
        <v>4067</v>
      </c>
      <c r="D1885" t="s">
        <v>2120</v>
      </c>
      <c r="E1885">
        <v>0</v>
      </c>
      <c r="F1885" t="s">
        <v>2120</v>
      </c>
      <c r="N1885" t="str" cm="1">
        <f t="array" ref="N1885">IF(MOD(ROW()-ROW($B$2),16)=0,INDEX($M$2:$M$1000,(ROW()-ROW($B$2))/16+1),"")</f>
        <v/>
      </c>
    </row>
    <row r="1886" spans="2:14" x14ac:dyDescent="0.3">
      <c r="B1886" t="s">
        <v>2173</v>
      </c>
      <c r="C1886" t="s">
        <v>4068</v>
      </c>
      <c r="D1886" t="s">
        <v>2121</v>
      </c>
      <c r="E1886">
        <v>0</v>
      </c>
      <c r="F1886" t="s">
        <v>2121</v>
      </c>
      <c r="N1886" t="str" cm="1">
        <f t="array" ref="N1886">IF(MOD(ROW()-ROW($B$2),16)=0,INDEX($M$2:$M$1000,(ROW()-ROW($B$2))/16+1),"")</f>
        <v/>
      </c>
    </row>
    <row r="1887" spans="2:14" x14ac:dyDescent="0.3">
      <c r="B1887" t="s">
        <v>2173</v>
      </c>
      <c r="C1887" t="s">
        <v>4069</v>
      </c>
      <c r="D1887" t="s">
        <v>2122</v>
      </c>
      <c r="E1887">
        <v>0</v>
      </c>
      <c r="F1887" t="s">
        <v>2122</v>
      </c>
      <c r="N1887" t="str" cm="1">
        <f t="array" ref="N1887">IF(MOD(ROW()-ROW($B$2),16)=0,INDEX($M$2:$M$1000,(ROW()-ROW($B$2))/16+1),"")</f>
        <v/>
      </c>
    </row>
    <row r="1888" spans="2:14" x14ac:dyDescent="0.3">
      <c r="B1888" t="s">
        <v>2173</v>
      </c>
      <c r="C1888" t="s">
        <v>4070</v>
      </c>
      <c r="D1888" t="s">
        <v>2123</v>
      </c>
      <c r="E1888">
        <v>0</v>
      </c>
      <c r="F1888" t="s">
        <v>2123</v>
      </c>
      <c r="N1888" t="str" cm="1">
        <f t="array" ref="N1888">IF(MOD(ROW()-ROW($B$2),16)=0,INDEX($M$2:$M$1000,(ROW()-ROW($B$2))/16+1),"")</f>
        <v/>
      </c>
    </row>
    <row r="1889" spans="2:14" x14ac:dyDescent="0.3">
      <c r="B1889" t="s">
        <v>2173</v>
      </c>
      <c r="C1889" t="s">
        <v>4071</v>
      </c>
      <c r="D1889" t="s">
        <v>2124</v>
      </c>
      <c r="E1889">
        <v>0</v>
      </c>
      <c r="F1889" t="s">
        <v>2124</v>
      </c>
      <c r="N1889" t="str" cm="1">
        <f t="array" ref="N1889">IF(MOD(ROW()-ROW($B$2),16)=0,INDEX($M$2:$M$1000,(ROW()-ROW($B$2))/16+1),"")</f>
        <v/>
      </c>
    </row>
    <row r="1890" spans="2:14" x14ac:dyDescent="0.3">
      <c r="B1890" t="s">
        <v>2173</v>
      </c>
      <c r="C1890" t="s">
        <v>4072</v>
      </c>
      <c r="D1890" t="s">
        <v>2125</v>
      </c>
      <c r="E1890">
        <v>0</v>
      </c>
      <c r="F1890" t="s">
        <v>2125</v>
      </c>
      <c r="N1890" t="str" cm="1">
        <f t="array" ref="N1890">IF(MOD(ROW()-ROW($B$2),16)=0,INDEX($M$2:$M$1000,(ROW()-ROW($B$2))/16+1),"")</f>
        <v>Фиксированное число 118 (0)</v>
      </c>
    </row>
    <row r="1891" spans="2:14" x14ac:dyDescent="0.3">
      <c r="B1891" t="s">
        <v>2173</v>
      </c>
      <c r="C1891" t="s">
        <v>4073</v>
      </c>
      <c r="D1891" t="s">
        <v>2126</v>
      </c>
      <c r="E1891">
        <v>0</v>
      </c>
      <c r="F1891" t="s">
        <v>2126</v>
      </c>
      <c r="N1891" t="str" cm="1">
        <f t="array" ref="N1891">IF(MOD(ROW()-ROW($B$2),16)=0,INDEX($M$2:$M$1000,(ROW()-ROW($B$2))/16+1),"")</f>
        <v/>
      </c>
    </row>
    <row r="1892" spans="2:14" x14ac:dyDescent="0.3">
      <c r="B1892" t="s">
        <v>2173</v>
      </c>
      <c r="C1892" t="s">
        <v>4074</v>
      </c>
      <c r="D1892" t="s">
        <v>2127</v>
      </c>
      <c r="E1892">
        <v>0</v>
      </c>
      <c r="F1892" t="s">
        <v>2127</v>
      </c>
      <c r="N1892" t="str" cm="1">
        <f t="array" ref="N1892">IF(MOD(ROW()-ROW($B$2),16)=0,INDEX($M$2:$M$1000,(ROW()-ROW($B$2))/16+1),"")</f>
        <v/>
      </c>
    </row>
    <row r="1893" spans="2:14" x14ac:dyDescent="0.3">
      <c r="B1893" t="s">
        <v>2173</v>
      </c>
      <c r="C1893" t="s">
        <v>4075</v>
      </c>
      <c r="D1893" t="s">
        <v>2128</v>
      </c>
      <c r="E1893">
        <v>0</v>
      </c>
      <c r="F1893" t="s">
        <v>2128</v>
      </c>
      <c r="N1893" t="str" cm="1">
        <f t="array" ref="N1893">IF(MOD(ROW()-ROW($B$2),16)=0,INDEX($M$2:$M$1000,(ROW()-ROW($B$2))/16+1),"")</f>
        <v/>
      </c>
    </row>
    <row r="1894" spans="2:14" x14ac:dyDescent="0.3">
      <c r="B1894" t="s">
        <v>2173</v>
      </c>
      <c r="C1894" t="s">
        <v>4076</v>
      </c>
      <c r="D1894" t="s">
        <v>2129</v>
      </c>
      <c r="E1894">
        <v>0</v>
      </c>
      <c r="F1894" t="s">
        <v>2129</v>
      </c>
      <c r="N1894" t="str" cm="1">
        <f t="array" ref="N1894">IF(MOD(ROW()-ROW($B$2),16)=0,INDEX($M$2:$M$1000,(ROW()-ROW($B$2))/16+1),"")</f>
        <v/>
      </c>
    </row>
    <row r="1895" spans="2:14" x14ac:dyDescent="0.3">
      <c r="B1895" t="s">
        <v>2173</v>
      </c>
      <c r="C1895" t="s">
        <v>4077</v>
      </c>
      <c r="D1895" t="s">
        <v>2130</v>
      </c>
      <c r="E1895">
        <v>0</v>
      </c>
      <c r="F1895" t="s">
        <v>2130</v>
      </c>
      <c r="N1895" t="str" cm="1">
        <f t="array" ref="N1895">IF(MOD(ROW()-ROW($B$2),16)=0,INDEX($M$2:$M$1000,(ROW()-ROW($B$2))/16+1),"")</f>
        <v/>
      </c>
    </row>
    <row r="1896" spans="2:14" x14ac:dyDescent="0.3">
      <c r="B1896" t="s">
        <v>2173</v>
      </c>
      <c r="C1896" t="s">
        <v>4078</v>
      </c>
      <c r="D1896" t="s">
        <v>2131</v>
      </c>
      <c r="E1896">
        <v>0</v>
      </c>
      <c r="F1896" t="s">
        <v>2131</v>
      </c>
      <c r="N1896" t="str" cm="1">
        <f t="array" ref="N1896">IF(MOD(ROW()-ROW($B$2),16)=0,INDEX($M$2:$M$1000,(ROW()-ROW($B$2))/16+1),"")</f>
        <v/>
      </c>
    </row>
    <row r="1897" spans="2:14" x14ac:dyDescent="0.3">
      <c r="B1897" t="s">
        <v>2173</v>
      </c>
      <c r="C1897" t="s">
        <v>4079</v>
      </c>
      <c r="D1897" t="s">
        <v>2132</v>
      </c>
      <c r="E1897">
        <v>0</v>
      </c>
      <c r="F1897" t="s">
        <v>2132</v>
      </c>
      <c r="N1897" t="str" cm="1">
        <f t="array" ref="N1897">IF(MOD(ROW()-ROW($B$2),16)=0,INDEX($M$2:$M$1000,(ROW()-ROW($B$2))/16+1),"")</f>
        <v/>
      </c>
    </row>
    <row r="1898" spans="2:14" x14ac:dyDescent="0.3">
      <c r="B1898" t="s">
        <v>2173</v>
      </c>
      <c r="C1898" t="s">
        <v>4080</v>
      </c>
      <c r="D1898" t="s">
        <v>2133</v>
      </c>
      <c r="E1898">
        <v>0</v>
      </c>
      <c r="F1898" t="s">
        <v>2133</v>
      </c>
      <c r="N1898" t="str" cm="1">
        <f t="array" ref="N1898">IF(MOD(ROW()-ROW($B$2),16)=0,INDEX($M$2:$M$1000,(ROW()-ROW($B$2))/16+1),"")</f>
        <v/>
      </c>
    </row>
    <row r="1899" spans="2:14" x14ac:dyDescent="0.3">
      <c r="B1899" t="s">
        <v>2173</v>
      </c>
      <c r="C1899" t="s">
        <v>4081</v>
      </c>
      <c r="D1899" t="s">
        <v>2134</v>
      </c>
      <c r="E1899">
        <v>0</v>
      </c>
      <c r="F1899" t="s">
        <v>2134</v>
      </c>
      <c r="N1899" t="str" cm="1">
        <f t="array" ref="N1899">IF(MOD(ROW()-ROW($B$2),16)=0,INDEX($M$2:$M$1000,(ROW()-ROW($B$2))/16+1),"")</f>
        <v/>
      </c>
    </row>
    <row r="1900" spans="2:14" x14ac:dyDescent="0.3">
      <c r="B1900" t="s">
        <v>2173</v>
      </c>
      <c r="C1900" t="s">
        <v>4082</v>
      </c>
      <c r="D1900" t="s">
        <v>2135</v>
      </c>
      <c r="E1900">
        <v>0</v>
      </c>
      <c r="F1900" t="s">
        <v>2135</v>
      </c>
      <c r="N1900" t="str" cm="1">
        <f t="array" ref="N1900">IF(MOD(ROW()-ROW($B$2),16)=0,INDEX($M$2:$M$1000,(ROW()-ROW($B$2))/16+1),"")</f>
        <v/>
      </c>
    </row>
    <row r="1901" spans="2:14" x14ac:dyDescent="0.3">
      <c r="B1901" t="s">
        <v>2173</v>
      </c>
      <c r="C1901" t="s">
        <v>4083</v>
      </c>
      <c r="D1901" t="s">
        <v>2136</v>
      </c>
      <c r="E1901">
        <v>0</v>
      </c>
      <c r="F1901" t="s">
        <v>2136</v>
      </c>
      <c r="N1901" t="str" cm="1">
        <f t="array" ref="N1901">IF(MOD(ROW()-ROW($B$2),16)=0,INDEX($M$2:$M$1000,(ROW()-ROW($B$2))/16+1),"")</f>
        <v/>
      </c>
    </row>
    <row r="1902" spans="2:14" x14ac:dyDescent="0.3">
      <c r="B1902" t="s">
        <v>2173</v>
      </c>
      <c r="C1902" t="s">
        <v>4084</v>
      </c>
      <c r="D1902" t="s">
        <v>2137</v>
      </c>
      <c r="E1902">
        <v>0</v>
      </c>
      <c r="F1902" t="s">
        <v>2137</v>
      </c>
      <c r="N1902" t="str" cm="1">
        <f t="array" ref="N1902">IF(MOD(ROW()-ROW($B$2),16)=0,INDEX($M$2:$M$1000,(ROW()-ROW($B$2))/16+1),"")</f>
        <v/>
      </c>
    </row>
    <row r="1903" spans="2:14" x14ac:dyDescent="0.3">
      <c r="B1903" t="s">
        <v>2173</v>
      </c>
      <c r="C1903" t="s">
        <v>4085</v>
      </c>
      <c r="D1903" t="s">
        <v>2138</v>
      </c>
      <c r="E1903">
        <v>0</v>
      </c>
      <c r="F1903" t="s">
        <v>2138</v>
      </c>
      <c r="N1903" t="str" cm="1">
        <f t="array" ref="N1903">IF(MOD(ROW()-ROW($B$2),16)=0,INDEX($M$2:$M$1000,(ROW()-ROW($B$2))/16+1),"")</f>
        <v/>
      </c>
    </row>
    <row r="1904" spans="2:14" x14ac:dyDescent="0.3">
      <c r="B1904" t="s">
        <v>2173</v>
      </c>
      <c r="C1904" t="s">
        <v>4086</v>
      </c>
      <c r="D1904" t="s">
        <v>2139</v>
      </c>
      <c r="E1904">
        <v>0</v>
      </c>
      <c r="F1904" t="s">
        <v>2139</v>
      </c>
      <c r="N1904" t="str" cm="1">
        <f t="array" ref="N1904">IF(MOD(ROW()-ROW($B$2),16)=0,INDEX($M$2:$M$1000,(ROW()-ROW($B$2))/16+1),"")</f>
        <v/>
      </c>
    </row>
    <row r="1905" spans="2:14" x14ac:dyDescent="0.3">
      <c r="B1905" t="s">
        <v>2173</v>
      </c>
      <c r="C1905" t="s">
        <v>4087</v>
      </c>
      <c r="D1905" t="s">
        <v>2140</v>
      </c>
      <c r="E1905">
        <v>0</v>
      </c>
      <c r="F1905" t="s">
        <v>2140</v>
      </c>
      <c r="N1905" t="str" cm="1">
        <f t="array" ref="N1905">IF(MOD(ROW()-ROW($B$2),16)=0,INDEX($M$2:$M$1000,(ROW()-ROW($B$2))/16+1),"")</f>
        <v/>
      </c>
    </row>
    <row r="1906" spans="2:14" x14ac:dyDescent="0.3">
      <c r="B1906" t="s">
        <v>2173</v>
      </c>
      <c r="C1906" t="s">
        <v>4088</v>
      </c>
      <c r="D1906" t="s">
        <v>2141</v>
      </c>
      <c r="E1906">
        <v>0</v>
      </c>
      <c r="F1906" t="s">
        <v>2141</v>
      </c>
      <c r="N1906" t="str" cm="1">
        <f t="array" ref="N1906">IF(MOD(ROW()-ROW($B$2),16)=0,INDEX($M$2:$M$1000,(ROW()-ROW($B$2))/16+1),"")</f>
        <v>Фиксированное число 119 (0)</v>
      </c>
    </row>
    <row r="1907" spans="2:14" x14ac:dyDescent="0.3">
      <c r="B1907" t="s">
        <v>2173</v>
      </c>
      <c r="C1907" t="s">
        <v>4089</v>
      </c>
      <c r="D1907" t="s">
        <v>2142</v>
      </c>
      <c r="E1907">
        <v>0</v>
      </c>
      <c r="F1907" t="s">
        <v>2142</v>
      </c>
      <c r="N1907" t="str" cm="1">
        <f t="array" ref="N1907">IF(MOD(ROW()-ROW($B$2),16)=0,INDEX($M$2:$M$1000,(ROW()-ROW($B$2))/16+1),"")</f>
        <v/>
      </c>
    </row>
    <row r="1908" spans="2:14" x14ac:dyDescent="0.3">
      <c r="B1908" t="s">
        <v>2173</v>
      </c>
      <c r="C1908" t="s">
        <v>4090</v>
      </c>
      <c r="D1908" t="s">
        <v>2143</v>
      </c>
      <c r="E1908">
        <v>0</v>
      </c>
      <c r="F1908" t="s">
        <v>2143</v>
      </c>
      <c r="N1908" t="str" cm="1">
        <f t="array" ref="N1908">IF(MOD(ROW()-ROW($B$2),16)=0,INDEX($M$2:$M$1000,(ROW()-ROW($B$2))/16+1),"")</f>
        <v/>
      </c>
    </row>
    <row r="1909" spans="2:14" x14ac:dyDescent="0.3">
      <c r="B1909" t="s">
        <v>2173</v>
      </c>
      <c r="C1909" t="s">
        <v>4091</v>
      </c>
      <c r="D1909" t="s">
        <v>2144</v>
      </c>
      <c r="E1909">
        <v>0</v>
      </c>
      <c r="F1909" t="s">
        <v>2144</v>
      </c>
      <c r="N1909" t="str" cm="1">
        <f t="array" ref="N1909">IF(MOD(ROW()-ROW($B$2),16)=0,INDEX($M$2:$M$1000,(ROW()-ROW($B$2))/16+1),"")</f>
        <v/>
      </c>
    </row>
    <row r="1910" spans="2:14" x14ac:dyDescent="0.3">
      <c r="B1910" t="s">
        <v>2173</v>
      </c>
      <c r="C1910" t="s">
        <v>4092</v>
      </c>
      <c r="D1910" t="s">
        <v>2088</v>
      </c>
      <c r="E1910">
        <v>0</v>
      </c>
      <c r="F1910" t="s">
        <v>2088</v>
      </c>
      <c r="N1910" t="str" cm="1">
        <f t="array" ref="N1910">IF(MOD(ROW()-ROW($B$2),16)=0,INDEX($M$2:$M$1000,(ROW()-ROW($B$2))/16+1),"")</f>
        <v/>
      </c>
    </row>
    <row r="1911" spans="2:14" x14ac:dyDescent="0.3">
      <c r="B1911" t="s">
        <v>2173</v>
      </c>
      <c r="C1911" t="s">
        <v>4093</v>
      </c>
      <c r="D1911" t="s">
        <v>2089</v>
      </c>
      <c r="E1911">
        <v>0</v>
      </c>
      <c r="F1911" t="s">
        <v>2089</v>
      </c>
      <c r="N1911" t="str" cm="1">
        <f t="array" ref="N1911">IF(MOD(ROW()-ROW($B$2),16)=0,INDEX($M$2:$M$1000,(ROW()-ROW($B$2))/16+1),"")</f>
        <v/>
      </c>
    </row>
    <row r="1912" spans="2:14" x14ac:dyDescent="0.3">
      <c r="B1912" t="s">
        <v>2173</v>
      </c>
      <c r="C1912" t="s">
        <v>4094</v>
      </c>
      <c r="D1912" t="s">
        <v>2090</v>
      </c>
      <c r="E1912">
        <v>0</v>
      </c>
      <c r="F1912" t="s">
        <v>2090</v>
      </c>
      <c r="N1912" t="str" cm="1">
        <f t="array" ref="N1912">IF(MOD(ROW()-ROW($B$2),16)=0,INDEX($M$2:$M$1000,(ROW()-ROW($B$2))/16+1),"")</f>
        <v/>
      </c>
    </row>
    <row r="1913" spans="2:14" x14ac:dyDescent="0.3">
      <c r="B1913" t="s">
        <v>2173</v>
      </c>
      <c r="C1913" t="s">
        <v>4095</v>
      </c>
      <c r="D1913" t="s">
        <v>2091</v>
      </c>
      <c r="E1913">
        <v>0</v>
      </c>
      <c r="F1913" t="s">
        <v>2091</v>
      </c>
      <c r="N1913" t="str" cm="1">
        <f t="array" ref="N1913">IF(MOD(ROW()-ROW($B$2),16)=0,INDEX($M$2:$M$1000,(ROW()-ROW($B$2))/16+1),"")</f>
        <v/>
      </c>
    </row>
    <row r="1914" spans="2:14" x14ac:dyDescent="0.3">
      <c r="B1914" t="s">
        <v>2173</v>
      </c>
      <c r="C1914" t="s">
        <v>4096</v>
      </c>
      <c r="D1914" t="s">
        <v>2092</v>
      </c>
      <c r="E1914">
        <v>0</v>
      </c>
      <c r="F1914" t="s">
        <v>2092</v>
      </c>
      <c r="N1914" t="str" cm="1">
        <f t="array" ref="N1914">IF(MOD(ROW()-ROW($B$2),16)=0,INDEX($M$2:$M$1000,(ROW()-ROW($B$2))/16+1),"")</f>
        <v/>
      </c>
    </row>
    <row r="1915" spans="2:14" x14ac:dyDescent="0.3">
      <c r="B1915" t="s">
        <v>2173</v>
      </c>
      <c r="C1915" t="s">
        <v>4097</v>
      </c>
      <c r="D1915" t="s">
        <v>2093</v>
      </c>
      <c r="E1915">
        <v>0</v>
      </c>
      <c r="F1915" t="s">
        <v>2093</v>
      </c>
      <c r="N1915" t="str" cm="1">
        <f t="array" ref="N1915">IF(MOD(ROW()-ROW($B$2),16)=0,INDEX($M$2:$M$1000,(ROW()-ROW($B$2))/16+1),"")</f>
        <v/>
      </c>
    </row>
    <row r="1916" spans="2:14" x14ac:dyDescent="0.3">
      <c r="B1916" t="s">
        <v>2173</v>
      </c>
      <c r="C1916" t="s">
        <v>4098</v>
      </c>
      <c r="D1916" t="s">
        <v>2094</v>
      </c>
      <c r="E1916">
        <v>0</v>
      </c>
      <c r="F1916" t="s">
        <v>2094</v>
      </c>
      <c r="N1916" t="str" cm="1">
        <f t="array" ref="N1916">IF(MOD(ROW()-ROW($B$2),16)=0,INDEX($M$2:$M$1000,(ROW()-ROW($B$2))/16+1),"")</f>
        <v/>
      </c>
    </row>
    <row r="1917" spans="2:14" x14ac:dyDescent="0.3">
      <c r="B1917" t="s">
        <v>2173</v>
      </c>
      <c r="C1917" t="s">
        <v>4099</v>
      </c>
      <c r="D1917" t="s">
        <v>2145</v>
      </c>
      <c r="E1917">
        <v>0</v>
      </c>
      <c r="F1917" t="s">
        <v>2145</v>
      </c>
      <c r="N1917" t="str" cm="1">
        <f t="array" ref="N1917">IF(MOD(ROW()-ROW($B$2),16)=0,INDEX($M$2:$M$1000,(ROW()-ROW($B$2))/16+1),"")</f>
        <v/>
      </c>
    </row>
    <row r="1918" spans="2:14" x14ac:dyDescent="0.3">
      <c r="B1918" t="s">
        <v>2173</v>
      </c>
      <c r="C1918" t="s">
        <v>4100</v>
      </c>
      <c r="D1918" t="s">
        <v>2095</v>
      </c>
      <c r="E1918">
        <v>0</v>
      </c>
      <c r="F1918" t="s">
        <v>2095</v>
      </c>
      <c r="N1918" t="str" cm="1">
        <f t="array" ref="N1918">IF(MOD(ROW()-ROW($B$2),16)=0,INDEX($M$2:$M$1000,(ROW()-ROW($B$2))/16+1),"")</f>
        <v/>
      </c>
    </row>
    <row r="1919" spans="2:14" x14ac:dyDescent="0.3">
      <c r="B1919" t="s">
        <v>2173</v>
      </c>
      <c r="C1919" t="s">
        <v>4101</v>
      </c>
      <c r="D1919" t="s">
        <v>2096</v>
      </c>
      <c r="E1919">
        <v>0</v>
      </c>
      <c r="F1919" t="s">
        <v>2096</v>
      </c>
      <c r="N1919" t="str" cm="1">
        <f t="array" ref="N1919">IF(MOD(ROW()-ROW($B$2),16)=0,INDEX($M$2:$M$1000,(ROW()-ROW($B$2))/16+1),"")</f>
        <v/>
      </c>
    </row>
    <row r="1920" spans="2:14" x14ac:dyDescent="0.3">
      <c r="B1920" t="s">
        <v>2173</v>
      </c>
      <c r="C1920" t="s">
        <v>4102</v>
      </c>
      <c r="D1920" t="s">
        <v>2097</v>
      </c>
      <c r="E1920">
        <v>0</v>
      </c>
      <c r="F1920" t="s">
        <v>2097</v>
      </c>
      <c r="N1920" t="str" cm="1">
        <f t="array" ref="N1920">IF(MOD(ROW()-ROW($B$2),16)=0,INDEX($M$2:$M$1000,(ROW()-ROW($B$2))/16+1),"")</f>
        <v/>
      </c>
    </row>
    <row r="1921" spans="2:14" x14ac:dyDescent="0.3">
      <c r="B1921" t="s">
        <v>2173</v>
      </c>
      <c r="C1921" t="s">
        <v>4103</v>
      </c>
      <c r="D1921" t="s">
        <v>2098</v>
      </c>
      <c r="E1921">
        <v>0</v>
      </c>
      <c r="F1921" t="s">
        <v>2098</v>
      </c>
      <c r="N1921" t="str" cm="1">
        <f t="array" ref="N1921">IF(MOD(ROW()-ROW($B$2),16)=0,INDEX($M$2:$M$1000,(ROW()-ROW($B$2))/16+1),"")</f>
        <v/>
      </c>
    </row>
    <row r="1922" spans="2:14" x14ac:dyDescent="0.3">
      <c r="B1922" t="s">
        <v>2173</v>
      </c>
      <c r="C1922" t="s">
        <v>4104</v>
      </c>
      <c r="D1922" t="s">
        <v>618</v>
      </c>
      <c r="E1922">
        <v>0</v>
      </c>
      <c r="F1922" t="s">
        <v>618</v>
      </c>
      <c r="N1922" t="str" cm="1">
        <f t="array" ref="N1922">IF(MOD(ROW()-ROW($B$2),16)=0,INDEX($M$2:$M$1000,(ROW()-ROW($B$2))/16+1),"")</f>
        <v>Фиксированное число 120 (0)</v>
      </c>
    </row>
    <row r="1923" spans="2:14" x14ac:dyDescent="0.3">
      <c r="B1923" t="s">
        <v>2173</v>
      </c>
      <c r="C1923" t="s">
        <v>4105</v>
      </c>
      <c r="D1923" t="s">
        <v>619</v>
      </c>
      <c r="E1923">
        <v>0</v>
      </c>
      <c r="F1923" t="s">
        <v>619</v>
      </c>
      <c r="N1923" t="str" cm="1">
        <f t="array" ref="N1923">IF(MOD(ROW()-ROW($B$2),16)=0,INDEX($M$2:$M$1000,(ROW()-ROW($B$2))/16+1),"")</f>
        <v/>
      </c>
    </row>
    <row r="1924" spans="2:14" x14ac:dyDescent="0.3">
      <c r="B1924" t="s">
        <v>2312</v>
      </c>
      <c r="C1924" t="s">
        <v>4106</v>
      </c>
      <c r="D1924" t="s">
        <v>4107</v>
      </c>
      <c r="E1924">
        <v>0</v>
      </c>
      <c r="F1924" t="s">
        <v>4107</v>
      </c>
      <c r="N1924" t="str" cm="1">
        <f t="array" ref="N1924">IF(MOD(ROW()-ROW($B$2),16)=0,INDEX($M$2:$M$1000,(ROW()-ROW($B$2))/16+1),"")</f>
        <v/>
      </c>
    </row>
    <row r="1925" spans="2:14" x14ac:dyDescent="0.3">
      <c r="B1925" t="s">
        <v>2312</v>
      </c>
      <c r="C1925" t="s">
        <v>4108</v>
      </c>
      <c r="D1925" t="s">
        <v>4109</v>
      </c>
      <c r="E1925">
        <v>0</v>
      </c>
      <c r="F1925" t="s">
        <v>4109</v>
      </c>
      <c r="N1925" t="str" cm="1">
        <f t="array" ref="N1925">IF(MOD(ROW()-ROW($B$2),16)=0,INDEX($M$2:$M$1000,(ROW()-ROW($B$2))/16+1),"")</f>
        <v/>
      </c>
    </row>
    <row r="1926" spans="2:14" x14ac:dyDescent="0.3">
      <c r="B1926" t="s">
        <v>2312</v>
      </c>
      <c r="C1926" t="s">
        <v>4110</v>
      </c>
      <c r="D1926" t="s">
        <v>4111</v>
      </c>
      <c r="E1926">
        <v>0</v>
      </c>
      <c r="F1926" t="s">
        <v>4111</v>
      </c>
      <c r="N1926" t="str" cm="1">
        <f t="array" ref="N1926">IF(MOD(ROW()-ROW($B$2),16)=0,INDEX($M$2:$M$1000,(ROW()-ROW($B$2))/16+1),"")</f>
        <v/>
      </c>
    </row>
    <row r="1927" spans="2:14" x14ac:dyDescent="0.3">
      <c r="B1927" t="s">
        <v>2312</v>
      </c>
      <c r="C1927" t="s">
        <v>4112</v>
      </c>
      <c r="D1927" t="s">
        <v>4113</v>
      </c>
      <c r="E1927">
        <v>0</v>
      </c>
      <c r="F1927" t="s">
        <v>4113</v>
      </c>
      <c r="N1927" t="str" cm="1">
        <f t="array" ref="N1927">IF(MOD(ROW()-ROW($B$2),16)=0,INDEX($M$2:$M$1000,(ROW()-ROW($B$2))/16+1),"")</f>
        <v/>
      </c>
    </row>
    <row r="1928" spans="2:14" x14ac:dyDescent="0.3">
      <c r="B1928" t="s">
        <v>2312</v>
      </c>
      <c r="C1928" t="s">
        <v>4114</v>
      </c>
      <c r="D1928" t="s">
        <v>4115</v>
      </c>
      <c r="E1928">
        <v>0</v>
      </c>
      <c r="F1928" t="s">
        <v>4115</v>
      </c>
      <c r="N1928" t="str" cm="1">
        <f t="array" ref="N1928">IF(MOD(ROW()-ROW($B$2),16)=0,INDEX($M$2:$M$1000,(ROW()-ROW($B$2))/16+1),"")</f>
        <v/>
      </c>
    </row>
    <row r="1929" spans="2:14" x14ac:dyDescent="0.3">
      <c r="B1929" t="s">
        <v>2312</v>
      </c>
      <c r="C1929" t="s">
        <v>4116</v>
      </c>
      <c r="D1929" t="s">
        <v>4111</v>
      </c>
      <c r="E1929">
        <v>0</v>
      </c>
      <c r="F1929" t="s">
        <v>4111</v>
      </c>
      <c r="N1929" t="str" cm="1">
        <f t="array" ref="N1929">IF(MOD(ROW()-ROW($B$2),16)=0,INDEX($M$2:$M$1000,(ROW()-ROW($B$2))/16+1),"")</f>
        <v/>
      </c>
    </row>
    <row r="1930" spans="2:14" x14ac:dyDescent="0.3">
      <c r="B1930" t="s">
        <v>2312</v>
      </c>
      <c r="C1930" t="s">
        <v>4117</v>
      </c>
      <c r="D1930" t="s">
        <v>4111</v>
      </c>
      <c r="E1930">
        <v>0</v>
      </c>
      <c r="F1930" t="s">
        <v>4111</v>
      </c>
      <c r="N1930" t="str" cm="1">
        <f t="array" ref="N1930">IF(MOD(ROW()-ROW($B$2),16)=0,INDEX($M$2:$M$1000,(ROW()-ROW($B$2))/16+1),"")</f>
        <v/>
      </c>
    </row>
    <row r="1931" spans="2:14" x14ac:dyDescent="0.3">
      <c r="B1931" t="s">
        <v>2173</v>
      </c>
      <c r="C1931" t="s">
        <v>4118</v>
      </c>
      <c r="D1931" t="s">
        <v>617</v>
      </c>
      <c r="E1931">
        <v>0</v>
      </c>
      <c r="F1931" t="s">
        <v>617</v>
      </c>
      <c r="N1931" t="str" cm="1">
        <f t="array" ref="N1931">IF(MOD(ROW()-ROW($B$2),16)=0,INDEX($M$2:$M$1000,(ROW()-ROW($B$2))/16+1),"")</f>
        <v/>
      </c>
    </row>
    <row r="1932" spans="2:14" x14ac:dyDescent="0.3">
      <c r="B1932" t="s">
        <v>2173</v>
      </c>
      <c r="C1932" t="s">
        <v>4119</v>
      </c>
      <c r="D1932" t="s">
        <v>620</v>
      </c>
      <c r="E1932">
        <v>0</v>
      </c>
      <c r="F1932" t="s">
        <v>620</v>
      </c>
      <c r="N1932" t="str" cm="1">
        <f t="array" ref="N1932">IF(MOD(ROW()-ROW($B$2),16)=0,INDEX($M$2:$M$1000,(ROW()-ROW($B$2))/16+1),"")</f>
        <v/>
      </c>
    </row>
    <row r="1933" spans="2:14" x14ac:dyDescent="0.3">
      <c r="B1933" t="s">
        <v>2173</v>
      </c>
      <c r="C1933" t="s">
        <v>4120</v>
      </c>
      <c r="D1933" t="s">
        <v>2147</v>
      </c>
      <c r="E1933">
        <v>0</v>
      </c>
      <c r="F1933" t="s">
        <v>2147</v>
      </c>
      <c r="N1933" t="str" cm="1">
        <f t="array" ref="N1933">IF(MOD(ROW()-ROW($B$2),16)=0,INDEX($M$2:$M$1000,(ROW()-ROW($B$2))/16+1),"")</f>
        <v/>
      </c>
    </row>
    <row r="1934" spans="2:14" x14ac:dyDescent="0.3">
      <c r="B1934" t="s">
        <v>2173</v>
      </c>
      <c r="C1934" t="s">
        <v>4121</v>
      </c>
      <c r="D1934" t="s">
        <v>4122</v>
      </c>
      <c r="E1934">
        <v>0</v>
      </c>
      <c r="F1934" t="s">
        <v>4122</v>
      </c>
      <c r="N1934" t="str" cm="1">
        <f t="array" ref="N1934">IF(MOD(ROW()-ROW($B$2),16)=0,INDEX($M$2:$M$1000,(ROW()-ROW($B$2))/16+1),"")</f>
        <v/>
      </c>
    </row>
    <row r="1935" spans="2:14" x14ac:dyDescent="0.3">
      <c r="B1935" t="s">
        <v>2173</v>
      </c>
      <c r="C1935" t="s">
        <v>4123</v>
      </c>
      <c r="D1935" t="s">
        <v>621</v>
      </c>
      <c r="E1935">
        <v>0</v>
      </c>
      <c r="F1935" t="s">
        <v>621</v>
      </c>
      <c r="N1935" t="str" cm="1">
        <f t="array" ref="N1935">IF(MOD(ROW()-ROW($B$2),16)=0,INDEX($M$2:$M$1000,(ROW()-ROW($B$2))/16+1),"")</f>
        <v/>
      </c>
    </row>
    <row r="1936" spans="2:14" x14ac:dyDescent="0.3">
      <c r="B1936" t="s">
        <v>2173</v>
      </c>
      <c r="C1936" t="s">
        <v>4124</v>
      </c>
      <c r="D1936" t="s">
        <v>234</v>
      </c>
      <c r="E1936">
        <v>0</v>
      </c>
      <c r="F1936" t="s">
        <v>234</v>
      </c>
      <c r="N1936" t="str" cm="1">
        <f t="array" ref="N1936">IF(MOD(ROW()-ROW($B$2),16)=0,INDEX($M$2:$M$1000,(ROW()-ROW($B$2))/16+1),"")</f>
        <v/>
      </c>
    </row>
    <row r="1937" spans="2:14" x14ac:dyDescent="0.3">
      <c r="B1937" t="s">
        <v>2173</v>
      </c>
      <c r="C1937" t="s">
        <v>4125</v>
      </c>
      <c r="D1937" t="s">
        <v>373</v>
      </c>
      <c r="E1937">
        <v>0</v>
      </c>
      <c r="F1937" t="s">
        <v>373</v>
      </c>
      <c r="N1937" t="str" cm="1">
        <f t="array" ref="N1937">IF(MOD(ROW()-ROW($B$2),16)=0,INDEX($M$2:$M$1000,(ROW()-ROW($B$2))/16+1),"")</f>
        <v/>
      </c>
    </row>
    <row r="1938" spans="2:14" x14ac:dyDescent="0.3">
      <c r="B1938" t="s">
        <v>2173</v>
      </c>
      <c r="C1938" t="s">
        <v>4126</v>
      </c>
      <c r="D1938" t="s">
        <v>375</v>
      </c>
      <c r="E1938">
        <v>0</v>
      </c>
      <c r="F1938" t="s">
        <v>375</v>
      </c>
      <c r="N1938" t="str" cm="1">
        <f t="array" ref="N1938">IF(MOD(ROW()-ROW($B$2),16)=0,INDEX($M$2:$M$1000,(ROW()-ROW($B$2))/16+1),"")</f>
        <v>Фиксированное число 121 (0)</v>
      </c>
    </row>
    <row r="1939" spans="2:14" x14ac:dyDescent="0.3">
      <c r="B1939" t="s">
        <v>2173</v>
      </c>
      <c r="C1939" t="s">
        <v>4127</v>
      </c>
      <c r="D1939" t="s">
        <v>376</v>
      </c>
      <c r="E1939">
        <v>0</v>
      </c>
      <c r="F1939" t="s">
        <v>376</v>
      </c>
      <c r="N1939" t="str" cm="1">
        <f t="array" ref="N1939">IF(MOD(ROW()-ROW($B$2),16)=0,INDEX($M$2:$M$1000,(ROW()-ROW($B$2))/16+1),"")</f>
        <v/>
      </c>
    </row>
    <row r="1940" spans="2:14" x14ac:dyDescent="0.3">
      <c r="B1940" t="s">
        <v>2173</v>
      </c>
      <c r="C1940" t="s">
        <v>4128</v>
      </c>
      <c r="D1940" t="s">
        <v>377</v>
      </c>
      <c r="E1940">
        <v>0</v>
      </c>
      <c r="F1940" t="s">
        <v>377</v>
      </c>
      <c r="N1940" t="str" cm="1">
        <f t="array" ref="N1940">IF(MOD(ROW()-ROW($B$2),16)=0,INDEX($M$2:$M$1000,(ROW()-ROW($B$2))/16+1),"")</f>
        <v/>
      </c>
    </row>
    <row r="1941" spans="2:14" x14ac:dyDescent="0.3">
      <c r="B1941" t="s">
        <v>2173</v>
      </c>
      <c r="C1941" t="s">
        <v>4129</v>
      </c>
      <c r="D1941" t="s">
        <v>378</v>
      </c>
      <c r="E1941">
        <v>0</v>
      </c>
      <c r="F1941" t="s">
        <v>378</v>
      </c>
      <c r="N1941" t="str" cm="1">
        <f t="array" ref="N1941">IF(MOD(ROW()-ROW($B$2),16)=0,INDEX($M$2:$M$1000,(ROW()-ROW($B$2))/16+1),"")</f>
        <v/>
      </c>
    </row>
    <row r="1942" spans="2:14" x14ac:dyDescent="0.3">
      <c r="B1942" t="s">
        <v>2173</v>
      </c>
      <c r="C1942" t="s">
        <v>4130</v>
      </c>
      <c r="D1942" t="s">
        <v>380</v>
      </c>
      <c r="E1942">
        <v>0</v>
      </c>
      <c r="F1942" t="s">
        <v>380</v>
      </c>
      <c r="N1942" t="str" cm="1">
        <f t="array" ref="N1942">IF(MOD(ROW()-ROW($B$2),16)=0,INDEX($M$2:$M$1000,(ROW()-ROW($B$2))/16+1),"")</f>
        <v/>
      </c>
    </row>
    <row r="1943" spans="2:14" x14ac:dyDescent="0.3">
      <c r="B1943" t="s">
        <v>2173</v>
      </c>
      <c r="C1943" t="s">
        <v>4131</v>
      </c>
      <c r="D1943" t="s">
        <v>381</v>
      </c>
      <c r="E1943">
        <v>0</v>
      </c>
      <c r="F1943" t="s">
        <v>381</v>
      </c>
      <c r="N1943" t="str" cm="1">
        <f t="array" ref="N1943">IF(MOD(ROW()-ROW($B$2),16)=0,INDEX($M$2:$M$1000,(ROW()-ROW($B$2))/16+1),"")</f>
        <v/>
      </c>
    </row>
    <row r="1944" spans="2:14" x14ac:dyDescent="0.3">
      <c r="B1944" t="s">
        <v>2173</v>
      </c>
      <c r="C1944" t="s">
        <v>4132</v>
      </c>
      <c r="D1944" t="s">
        <v>386</v>
      </c>
      <c r="E1944">
        <v>0</v>
      </c>
      <c r="F1944" t="s">
        <v>386</v>
      </c>
      <c r="N1944" t="str" cm="1">
        <f t="array" ref="N1944">IF(MOD(ROW()-ROW($B$2),16)=0,INDEX($M$2:$M$1000,(ROW()-ROW($B$2))/16+1),"")</f>
        <v/>
      </c>
    </row>
    <row r="1945" spans="2:14" x14ac:dyDescent="0.3">
      <c r="B1945" t="s">
        <v>2173</v>
      </c>
      <c r="C1945" t="s">
        <v>4133</v>
      </c>
      <c r="D1945" t="s">
        <v>387</v>
      </c>
      <c r="E1945">
        <v>0</v>
      </c>
      <c r="F1945" t="s">
        <v>387</v>
      </c>
      <c r="N1945" t="str" cm="1">
        <f t="array" ref="N1945">IF(MOD(ROW()-ROW($B$2),16)=0,INDEX($M$2:$M$1000,(ROW()-ROW($B$2))/16+1),"")</f>
        <v/>
      </c>
    </row>
    <row r="1946" spans="2:14" x14ac:dyDescent="0.3">
      <c r="B1946" t="s">
        <v>2173</v>
      </c>
      <c r="C1946" t="s">
        <v>4134</v>
      </c>
      <c r="D1946" t="s">
        <v>390</v>
      </c>
      <c r="E1946">
        <v>0</v>
      </c>
      <c r="F1946" t="s">
        <v>390</v>
      </c>
      <c r="N1946" t="str" cm="1">
        <f t="array" ref="N1946">IF(MOD(ROW()-ROW($B$2),16)=0,INDEX($M$2:$M$1000,(ROW()-ROW($B$2))/16+1),"")</f>
        <v/>
      </c>
    </row>
    <row r="1947" spans="2:14" x14ac:dyDescent="0.3">
      <c r="B1947" t="s">
        <v>2173</v>
      </c>
      <c r="C1947" t="s">
        <v>4135</v>
      </c>
      <c r="D1947" t="s">
        <v>391</v>
      </c>
      <c r="E1947">
        <v>0</v>
      </c>
      <c r="F1947" t="s">
        <v>391</v>
      </c>
      <c r="N1947" t="str" cm="1">
        <f t="array" ref="N1947">IF(MOD(ROW()-ROW($B$2),16)=0,INDEX($M$2:$M$1000,(ROW()-ROW($B$2))/16+1),"")</f>
        <v/>
      </c>
    </row>
    <row r="1948" spans="2:14" x14ac:dyDescent="0.3">
      <c r="B1948" t="s">
        <v>2173</v>
      </c>
      <c r="C1948" t="s">
        <v>4136</v>
      </c>
      <c r="D1948" t="s">
        <v>392</v>
      </c>
      <c r="E1948">
        <v>0</v>
      </c>
      <c r="F1948" t="s">
        <v>392</v>
      </c>
      <c r="N1948" t="str" cm="1">
        <f t="array" ref="N1948">IF(MOD(ROW()-ROW($B$2),16)=0,INDEX($M$2:$M$1000,(ROW()-ROW($B$2))/16+1),"")</f>
        <v/>
      </c>
    </row>
    <row r="1949" spans="2:14" x14ac:dyDescent="0.3">
      <c r="B1949" t="s">
        <v>2173</v>
      </c>
      <c r="C1949" t="s">
        <v>4137</v>
      </c>
      <c r="D1949" t="s">
        <v>393</v>
      </c>
      <c r="E1949">
        <v>0</v>
      </c>
      <c r="F1949" t="s">
        <v>393</v>
      </c>
      <c r="N1949" t="str" cm="1">
        <f t="array" ref="N1949">IF(MOD(ROW()-ROW($B$2),16)=0,INDEX($M$2:$M$1000,(ROW()-ROW($B$2))/16+1),"")</f>
        <v/>
      </c>
    </row>
    <row r="1950" spans="2:14" x14ac:dyDescent="0.3">
      <c r="B1950" t="s">
        <v>2173</v>
      </c>
      <c r="C1950" t="s">
        <v>4138</v>
      </c>
      <c r="D1950" t="s">
        <v>235</v>
      </c>
      <c r="E1950">
        <v>0</v>
      </c>
      <c r="F1950" t="s">
        <v>235</v>
      </c>
      <c r="N1950" t="str" cm="1">
        <f t="array" ref="N1950">IF(MOD(ROW()-ROW($B$2),16)=0,INDEX($M$2:$M$1000,(ROW()-ROW($B$2))/16+1),"")</f>
        <v/>
      </c>
    </row>
    <row r="1951" spans="2:14" x14ac:dyDescent="0.3">
      <c r="B1951" t="s">
        <v>2173</v>
      </c>
      <c r="C1951" t="s">
        <v>4139</v>
      </c>
      <c r="D1951" t="s">
        <v>291</v>
      </c>
      <c r="E1951">
        <v>0</v>
      </c>
      <c r="F1951" t="s">
        <v>291</v>
      </c>
      <c r="N1951" t="str" cm="1">
        <f t="array" ref="N1951">IF(MOD(ROW()-ROW($B$2),16)=0,INDEX($M$2:$M$1000,(ROW()-ROW($B$2))/16+1),"")</f>
        <v/>
      </c>
    </row>
    <row r="1952" spans="2:14" x14ac:dyDescent="0.3">
      <c r="B1952" t="s">
        <v>2173</v>
      </c>
      <c r="C1952" t="s">
        <v>4140</v>
      </c>
      <c r="D1952" t="s">
        <v>292</v>
      </c>
      <c r="E1952">
        <v>0</v>
      </c>
      <c r="F1952" t="s">
        <v>292</v>
      </c>
      <c r="N1952" t="str" cm="1">
        <f t="array" ref="N1952">IF(MOD(ROW()-ROW($B$2),16)=0,INDEX($M$2:$M$1000,(ROW()-ROW($B$2))/16+1),"")</f>
        <v/>
      </c>
    </row>
    <row r="1953" spans="2:14" x14ac:dyDescent="0.3">
      <c r="B1953" t="s">
        <v>2173</v>
      </c>
      <c r="C1953" t="s">
        <v>4141</v>
      </c>
      <c r="D1953" t="s">
        <v>237</v>
      </c>
      <c r="E1953">
        <v>0</v>
      </c>
      <c r="F1953" t="s">
        <v>237</v>
      </c>
      <c r="N1953" t="str" cm="1">
        <f t="array" ref="N1953">IF(MOD(ROW()-ROW($B$2),16)=0,INDEX($M$2:$M$1000,(ROW()-ROW($B$2))/16+1),"")</f>
        <v/>
      </c>
    </row>
    <row r="1954" spans="2:14" x14ac:dyDescent="0.3">
      <c r="B1954" t="s">
        <v>2173</v>
      </c>
      <c r="C1954" t="s">
        <v>4142</v>
      </c>
      <c r="D1954" t="s">
        <v>236</v>
      </c>
      <c r="E1954">
        <v>0</v>
      </c>
      <c r="F1954" t="s">
        <v>236</v>
      </c>
      <c r="N1954" t="str" cm="1">
        <f t="array" ref="N1954">IF(MOD(ROW()-ROW($B$2),16)=0,INDEX($M$2:$M$1000,(ROW()-ROW($B$2))/16+1),"")</f>
        <v>Фиксированное число 122 (0)</v>
      </c>
    </row>
    <row r="1955" spans="2:14" x14ac:dyDescent="0.3">
      <c r="B1955" t="s">
        <v>2173</v>
      </c>
      <c r="C1955" t="s">
        <v>4143</v>
      </c>
      <c r="D1955" t="s">
        <v>238</v>
      </c>
      <c r="E1955">
        <v>0</v>
      </c>
      <c r="F1955" t="s">
        <v>238</v>
      </c>
      <c r="N1955" t="str" cm="1">
        <f t="array" ref="N1955">IF(MOD(ROW()-ROW($B$2),16)=0,INDEX($M$2:$M$1000,(ROW()-ROW($B$2))/16+1),"")</f>
        <v/>
      </c>
    </row>
    <row r="1956" spans="2:14" x14ac:dyDescent="0.3">
      <c r="B1956" t="s">
        <v>2173</v>
      </c>
      <c r="C1956" t="s">
        <v>4144</v>
      </c>
      <c r="D1956" t="s">
        <v>239</v>
      </c>
      <c r="E1956">
        <v>0</v>
      </c>
      <c r="F1956" t="s">
        <v>239</v>
      </c>
      <c r="N1956" t="str" cm="1">
        <f t="array" ref="N1956">IF(MOD(ROW()-ROW($B$2),16)=0,INDEX($M$2:$M$1000,(ROW()-ROW($B$2))/16+1),"")</f>
        <v/>
      </c>
    </row>
    <row r="1957" spans="2:14" x14ac:dyDescent="0.3">
      <c r="B1957" t="s">
        <v>2312</v>
      </c>
      <c r="C1957" t="s">
        <v>4145</v>
      </c>
      <c r="D1957" t="s">
        <v>4111</v>
      </c>
      <c r="E1957">
        <v>0</v>
      </c>
      <c r="F1957" t="s">
        <v>4111</v>
      </c>
      <c r="N1957" t="str" cm="1">
        <f t="array" ref="N1957">IF(MOD(ROW()-ROW($B$2),16)=0,INDEX($M$2:$M$1000,(ROW()-ROW($B$2))/16+1),"")</f>
        <v/>
      </c>
    </row>
    <row r="1958" spans="2:14" x14ac:dyDescent="0.3">
      <c r="B1958" t="s">
        <v>2173</v>
      </c>
      <c r="C1958" t="s">
        <v>4146</v>
      </c>
      <c r="D1958" t="s">
        <v>624</v>
      </c>
      <c r="E1958">
        <v>0</v>
      </c>
      <c r="F1958" t="s">
        <v>624</v>
      </c>
      <c r="N1958" t="str" cm="1">
        <f t="array" ref="N1958">IF(MOD(ROW()-ROW($B$2),16)=0,INDEX($M$2:$M$1000,(ROW()-ROW($B$2))/16+1),"")</f>
        <v/>
      </c>
    </row>
    <row r="1959" spans="2:14" x14ac:dyDescent="0.3">
      <c r="B1959" t="s">
        <v>2177</v>
      </c>
      <c r="C1959" t="s">
        <v>4147</v>
      </c>
      <c r="D1959" t="s">
        <v>4148</v>
      </c>
      <c r="E1959">
        <v>0</v>
      </c>
      <c r="F1959" t="s">
        <v>4148</v>
      </c>
      <c r="N1959" t="str" cm="1">
        <f t="array" ref="N1959">IF(MOD(ROW()-ROW($B$2),16)=0,INDEX($M$2:$M$1000,(ROW()-ROW($B$2))/16+1),"")</f>
        <v/>
      </c>
    </row>
    <row r="1960" spans="2:14" x14ac:dyDescent="0.3">
      <c r="B1960" t="s">
        <v>2312</v>
      </c>
      <c r="C1960" t="s">
        <v>4149</v>
      </c>
      <c r="D1960" t="s">
        <v>4150</v>
      </c>
      <c r="E1960">
        <v>0</v>
      </c>
      <c r="F1960" t="s">
        <v>4150</v>
      </c>
      <c r="N1960" t="str" cm="1">
        <f t="array" ref="N1960">IF(MOD(ROW()-ROW($B$2),16)=0,INDEX($M$2:$M$1000,(ROW()-ROW($B$2))/16+1),"")</f>
        <v/>
      </c>
    </row>
    <row r="1961" spans="2:14" x14ac:dyDescent="0.3">
      <c r="B1961" t="s">
        <v>2177</v>
      </c>
      <c r="C1961" t="s">
        <v>4151</v>
      </c>
      <c r="D1961" t="s">
        <v>295</v>
      </c>
      <c r="E1961">
        <v>0</v>
      </c>
      <c r="F1961" t="s">
        <v>295</v>
      </c>
      <c r="N1961" t="str" cm="1">
        <f t="array" ref="N1961">IF(MOD(ROW()-ROW($B$2),16)=0,INDEX($M$2:$M$1000,(ROW()-ROW($B$2))/16+1),"")</f>
        <v/>
      </c>
    </row>
    <row r="1962" spans="2:14" x14ac:dyDescent="0.3">
      <c r="B1962" t="s">
        <v>2177</v>
      </c>
      <c r="C1962" t="s">
        <v>4152</v>
      </c>
      <c r="D1962" t="s">
        <v>4153</v>
      </c>
      <c r="E1962">
        <v>0</v>
      </c>
      <c r="F1962" t="s">
        <v>4153</v>
      </c>
      <c r="N1962" t="str" cm="1">
        <f t="array" ref="N1962">IF(MOD(ROW()-ROW($B$2),16)=0,INDEX($M$2:$M$1000,(ROW()-ROW($B$2))/16+1),"")</f>
        <v/>
      </c>
    </row>
    <row r="1963" spans="2:14" x14ac:dyDescent="0.3">
      <c r="B1963" t="s">
        <v>2177</v>
      </c>
      <c r="C1963" t="s">
        <v>4154</v>
      </c>
      <c r="D1963" t="s">
        <v>4155</v>
      </c>
      <c r="E1963">
        <v>0</v>
      </c>
      <c r="F1963" t="s">
        <v>4155</v>
      </c>
      <c r="N1963" t="str" cm="1">
        <f t="array" ref="N1963">IF(MOD(ROW()-ROW($B$2),16)=0,INDEX($M$2:$M$1000,(ROW()-ROW($B$2))/16+1),"")</f>
        <v/>
      </c>
    </row>
    <row r="1964" spans="2:14" x14ac:dyDescent="0.3">
      <c r="B1964" t="s">
        <v>2173</v>
      </c>
      <c r="C1964" t="s">
        <v>4156</v>
      </c>
      <c r="D1964" t="s">
        <v>602</v>
      </c>
      <c r="E1964">
        <v>0</v>
      </c>
      <c r="F1964" t="s">
        <v>602</v>
      </c>
      <c r="N1964" t="str" cm="1">
        <f t="array" ref="N1964">IF(MOD(ROW()-ROW($B$2),16)=0,INDEX($M$2:$M$1000,(ROW()-ROW($B$2))/16+1),"")</f>
        <v/>
      </c>
    </row>
    <row r="1965" spans="2:14" x14ac:dyDescent="0.3">
      <c r="B1965" t="s">
        <v>2173</v>
      </c>
      <c r="C1965" t="s">
        <v>4157</v>
      </c>
      <c r="D1965" t="s">
        <v>623</v>
      </c>
      <c r="E1965">
        <v>0</v>
      </c>
      <c r="F1965" t="s">
        <v>623</v>
      </c>
      <c r="N1965" t="str" cm="1">
        <f t="array" ref="N1965">IF(MOD(ROW()-ROW($B$2),16)=0,INDEX($M$2:$M$1000,(ROW()-ROW($B$2))/16+1),"")</f>
        <v/>
      </c>
    </row>
    <row r="1966" spans="2:14" x14ac:dyDescent="0.3">
      <c r="B1966" t="s">
        <v>2173</v>
      </c>
      <c r="C1966" t="s">
        <v>4158</v>
      </c>
      <c r="D1966" t="s">
        <v>606</v>
      </c>
      <c r="E1966">
        <v>0</v>
      </c>
      <c r="F1966" t="s">
        <v>606</v>
      </c>
      <c r="N1966" t="str" cm="1">
        <f t="array" ref="N1966">IF(MOD(ROW()-ROW($B$2),16)=0,INDEX($M$2:$M$1000,(ROW()-ROW($B$2))/16+1),"")</f>
        <v/>
      </c>
    </row>
    <row r="1967" spans="2:14" x14ac:dyDescent="0.3">
      <c r="B1967" t="s">
        <v>2173</v>
      </c>
      <c r="C1967" t="s">
        <v>4159</v>
      </c>
      <c r="D1967" t="s">
        <v>606</v>
      </c>
      <c r="E1967">
        <v>0</v>
      </c>
      <c r="F1967" t="s">
        <v>606</v>
      </c>
      <c r="N1967" t="str" cm="1">
        <f t="array" ref="N1967">IF(MOD(ROW()-ROW($B$2),16)=0,INDEX($M$2:$M$1000,(ROW()-ROW($B$2))/16+1),"")</f>
        <v/>
      </c>
    </row>
    <row r="1968" spans="2:14" x14ac:dyDescent="0.3">
      <c r="B1968" t="s">
        <v>2173</v>
      </c>
      <c r="C1968" t="s">
        <v>4160</v>
      </c>
      <c r="D1968" t="s">
        <v>606</v>
      </c>
      <c r="E1968">
        <v>0</v>
      </c>
      <c r="F1968" t="s">
        <v>606</v>
      </c>
      <c r="N1968" t="str" cm="1">
        <f t="array" ref="N1968">IF(MOD(ROW()-ROW($B$2),16)=0,INDEX($M$2:$M$1000,(ROW()-ROW($B$2))/16+1),"")</f>
        <v/>
      </c>
    </row>
    <row r="1969" spans="2:14" x14ac:dyDescent="0.3">
      <c r="B1969" t="s">
        <v>2177</v>
      </c>
      <c r="C1969" t="s">
        <v>4161</v>
      </c>
      <c r="D1969" t="s">
        <v>4162</v>
      </c>
      <c r="E1969">
        <v>0</v>
      </c>
      <c r="F1969" t="s">
        <v>4162</v>
      </c>
      <c r="N1969" t="str" cm="1">
        <f t="array" ref="N1969">IF(MOD(ROW()-ROW($B$2),16)=0,INDEX($M$2:$M$1000,(ROW()-ROW($B$2))/16+1),"")</f>
        <v/>
      </c>
    </row>
    <row r="1970" spans="2:14" x14ac:dyDescent="0.3">
      <c r="B1970" t="s">
        <v>2177</v>
      </c>
      <c r="C1970" t="s">
        <v>4163</v>
      </c>
      <c r="D1970" t="s">
        <v>4164</v>
      </c>
      <c r="E1970">
        <v>0</v>
      </c>
      <c r="F1970" t="s">
        <v>4164</v>
      </c>
      <c r="N1970" t="str" cm="1">
        <f t="array" ref="N1970">IF(MOD(ROW()-ROW($B$2),16)=0,INDEX($M$2:$M$1000,(ROW()-ROW($B$2))/16+1),"")</f>
        <v>Фиксированное число 123 (0)</v>
      </c>
    </row>
    <row r="1971" spans="2:14" x14ac:dyDescent="0.3">
      <c r="B1971" t="s">
        <v>2177</v>
      </c>
      <c r="C1971" t="s">
        <v>4165</v>
      </c>
      <c r="D1971" t="s">
        <v>4166</v>
      </c>
      <c r="E1971">
        <v>0</v>
      </c>
      <c r="F1971" t="s">
        <v>4166</v>
      </c>
      <c r="N1971" t="str" cm="1">
        <f t="array" ref="N1971">IF(MOD(ROW()-ROW($B$2),16)=0,INDEX($M$2:$M$1000,(ROW()-ROW($B$2))/16+1),"")</f>
        <v/>
      </c>
    </row>
    <row r="1972" spans="2:14" x14ac:dyDescent="0.3">
      <c r="B1972" t="s">
        <v>2177</v>
      </c>
      <c r="C1972" t="s">
        <v>4167</v>
      </c>
      <c r="D1972" t="s">
        <v>242</v>
      </c>
      <c r="E1972">
        <v>0</v>
      </c>
      <c r="F1972" t="s">
        <v>242</v>
      </c>
      <c r="N1972" t="str" cm="1">
        <f t="array" ref="N1972">IF(MOD(ROW()-ROW($B$2),16)=0,INDEX($M$2:$M$1000,(ROW()-ROW($B$2))/16+1),"")</f>
        <v/>
      </c>
    </row>
    <row r="1973" spans="2:14" x14ac:dyDescent="0.3">
      <c r="B1973" t="s">
        <v>2177</v>
      </c>
      <c r="C1973" t="s">
        <v>4168</v>
      </c>
      <c r="D1973" t="s">
        <v>243</v>
      </c>
      <c r="E1973">
        <v>0</v>
      </c>
      <c r="F1973" t="s">
        <v>243</v>
      </c>
      <c r="N1973" t="str" cm="1">
        <f t="array" ref="N1973">IF(MOD(ROW()-ROW($B$2),16)=0,INDEX($M$2:$M$1000,(ROW()-ROW($B$2))/16+1),"")</f>
        <v/>
      </c>
    </row>
    <row r="1974" spans="2:14" x14ac:dyDescent="0.3">
      <c r="B1974" t="s">
        <v>2177</v>
      </c>
      <c r="C1974" t="s">
        <v>4169</v>
      </c>
      <c r="D1974" t="s">
        <v>4170</v>
      </c>
      <c r="E1974">
        <v>0</v>
      </c>
      <c r="F1974" t="s">
        <v>4170</v>
      </c>
      <c r="N1974" t="str" cm="1">
        <f t="array" ref="N1974">IF(MOD(ROW()-ROW($B$2),16)=0,INDEX($M$2:$M$1000,(ROW()-ROW($B$2))/16+1),"")</f>
        <v/>
      </c>
    </row>
    <row r="1975" spans="2:14" x14ac:dyDescent="0.3">
      <c r="B1975" t="s">
        <v>2173</v>
      </c>
      <c r="C1975" t="s">
        <v>4171</v>
      </c>
      <c r="D1975" t="s">
        <v>408</v>
      </c>
      <c r="E1975">
        <v>0</v>
      </c>
      <c r="F1975" t="s">
        <v>408</v>
      </c>
      <c r="N1975" t="str" cm="1">
        <f t="array" ref="N1975">IF(MOD(ROW()-ROW($B$2),16)=0,INDEX($M$2:$M$1000,(ROW()-ROW($B$2))/16+1),"")</f>
        <v/>
      </c>
    </row>
    <row r="1976" spans="2:14" x14ac:dyDescent="0.3">
      <c r="B1976" t="s">
        <v>2177</v>
      </c>
      <c r="C1976" t="s">
        <v>4172</v>
      </c>
      <c r="D1976" t="s">
        <v>293</v>
      </c>
      <c r="E1976">
        <v>0</v>
      </c>
      <c r="F1976" t="s">
        <v>293</v>
      </c>
      <c r="N1976" t="str" cm="1">
        <f t="array" ref="N1976">IF(MOD(ROW()-ROW($B$2),16)=0,INDEX($M$2:$M$1000,(ROW()-ROW($B$2))/16+1),"")</f>
        <v/>
      </c>
    </row>
    <row r="1977" spans="2:14" x14ac:dyDescent="0.3">
      <c r="B1977" t="s">
        <v>2177</v>
      </c>
      <c r="C1977" t="s">
        <v>4173</v>
      </c>
      <c r="D1977" t="s">
        <v>294</v>
      </c>
      <c r="E1977">
        <v>0</v>
      </c>
      <c r="F1977" t="s">
        <v>294</v>
      </c>
      <c r="N1977" t="str" cm="1">
        <f t="array" ref="N1977">IF(MOD(ROW()-ROW($B$2),16)=0,INDEX($M$2:$M$1000,(ROW()-ROW($B$2))/16+1),"")</f>
        <v/>
      </c>
    </row>
    <row r="1978" spans="2:14" x14ac:dyDescent="0.3">
      <c r="B1978" t="s">
        <v>2173</v>
      </c>
      <c r="C1978" t="s">
        <v>4174</v>
      </c>
      <c r="D1978" t="s">
        <v>630</v>
      </c>
      <c r="E1978">
        <v>0</v>
      </c>
      <c r="F1978" t="s">
        <v>630</v>
      </c>
      <c r="N1978" t="str" cm="1">
        <f t="array" ref="N1978">IF(MOD(ROW()-ROW($B$2),16)=0,INDEX($M$2:$M$1000,(ROW()-ROW($B$2))/16+1),"")</f>
        <v/>
      </c>
    </row>
    <row r="1979" spans="2:14" x14ac:dyDescent="0.3">
      <c r="B1979" t="s">
        <v>2177</v>
      </c>
      <c r="C1979" t="s">
        <v>4175</v>
      </c>
      <c r="D1979" t="s">
        <v>4176</v>
      </c>
      <c r="E1979">
        <v>0</v>
      </c>
      <c r="F1979" t="s">
        <v>4176</v>
      </c>
      <c r="N1979" t="str" cm="1">
        <f t="array" ref="N1979">IF(MOD(ROW()-ROW($B$2),16)=0,INDEX($M$2:$M$1000,(ROW()-ROW($B$2))/16+1),"")</f>
        <v/>
      </c>
    </row>
    <row r="1980" spans="2:14" x14ac:dyDescent="0.3">
      <c r="B1980" t="s">
        <v>2177</v>
      </c>
      <c r="C1980" t="s">
        <v>4177</v>
      </c>
      <c r="D1980" t="s">
        <v>4178</v>
      </c>
      <c r="E1980">
        <v>0</v>
      </c>
      <c r="F1980" t="s">
        <v>4178</v>
      </c>
      <c r="N1980" t="str" cm="1">
        <f t="array" ref="N1980">IF(MOD(ROW()-ROW($B$2),16)=0,INDEX($M$2:$M$1000,(ROW()-ROW($B$2))/16+1),"")</f>
        <v/>
      </c>
    </row>
    <row r="1981" spans="2:14" x14ac:dyDescent="0.3">
      <c r="B1981" t="s">
        <v>2177</v>
      </c>
      <c r="C1981" t="s">
        <v>4179</v>
      </c>
      <c r="D1981" t="s">
        <v>4180</v>
      </c>
      <c r="E1981">
        <v>0</v>
      </c>
      <c r="F1981" t="s">
        <v>4180</v>
      </c>
      <c r="N1981" t="str" cm="1">
        <f t="array" ref="N1981">IF(MOD(ROW()-ROW($B$2),16)=0,INDEX($M$2:$M$1000,(ROW()-ROW($B$2))/16+1),"")</f>
        <v/>
      </c>
    </row>
    <row r="1982" spans="2:14" x14ac:dyDescent="0.3">
      <c r="B1982" t="s">
        <v>2177</v>
      </c>
      <c r="C1982" t="s">
        <v>4181</v>
      </c>
      <c r="D1982" t="s">
        <v>4182</v>
      </c>
      <c r="E1982">
        <v>0</v>
      </c>
      <c r="F1982" t="s">
        <v>4182</v>
      </c>
      <c r="N1982" t="str" cm="1">
        <f t="array" ref="N1982">IF(MOD(ROW()-ROW($B$2),16)=0,INDEX($M$2:$M$1000,(ROW()-ROW($B$2))/16+1),"")</f>
        <v/>
      </c>
    </row>
    <row r="1983" spans="2:14" x14ac:dyDescent="0.3">
      <c r="B1983" t="s">
        <v>2177</v>
      </c>
      <c r="C1983" t="s">
        <v>4183</v>
      </c>
      <c r="D1983" t="s">
        <v>4184</v>
      </c>
      <c r="E1983">
        <v>0</v>
      </c>
      <c r="F1983" t="s">
        <v>4184</v>
      </c>
      <c r="N1983" t="str" cm="1">
        <f t="array" ref="N1983">IF(MOD(ROW()-ROW($B$2),16)=0,INDEX($M$2:$M$1000,(ROW()-ROW($B$2))/16+1),"")</f>
        <v/>
      </c>
    </row>
    <row r="1984" spans="2:14" x14ac:dyDescent="0.3">
      <c r="B1984" t="s">
        <v>2177</v>
      </c>
      <c r="C1984" t="s">
        <v>4185</v>
      </c>
      <c r="D1984" t="s">
        <v>4186</v>
      </c>
      <c r="E1984">
        <v>0</v>
      </c>
      <c r="F1984" t="s">
        <v>4186</v>
      </c>
      <c r="N1984" t="str" cm="1">
        <f t="array" ref="N1984">IF(MOD(ROW()-ROW($B$2),16)=0,INDEX($M$2:$M$1000,(ROW()-ROW($B$2))/16+1),"")</f>
        <v/>
      </c>
    </row>
    <row r="1985" spans="2:14" x14ac:dyDescent="0.3">
      <c r="B1985" t="s">
        <v>2312</v>
      </c>
      <c r="C1985" t="s">
        <v>4187</v>
      </c>
      <c r="D1985" t="s">
        <v>4188</v>
      </c>
      <c r="E1985">
        <v>0</v>
      </c>
      <c r="F1985" t="s">
        <v>4188</v>
      </c>
      <c r="N1985" t="str" cm="1">
        <f t="array" ref="N1985">IF(MOD(ROW()-ROW($B$2),16)=0,INDEX($M$2:$M$1000,(ROW()-ROW($B$2))/16+1),"")</f>
        <v/>
      </c>
    </row>
    <row r="1986" spans="2:14" x14ac:dyDescent="0.3">
      <c r="B1986" t="s">
        <v>2177</v>
      </c>
      <c r="C1986" t="s">
        <v>4189</v>
      </c>
      <c r="D1986" t="s">
        <v>4190</v>
      </c>
      <c r="E1986">
        <v>0</v>
      </c>
      <c r="F1986" t="s">
        <v>4190</v>
      </c>
      <c r="N1986" t="str" cm="1">
        <f t="array" ref="N1986">IF(MOD(ROW()-ROW($B$2),16)=0,INDEX($M$2:$M$1000,(ROW()-ROW($B$2))/16+1),"")</f>
        <v>Фиксированное число 124 (0)</v>
      </c>
    </row>
    <row r="1987" spans="2:14" x14ac:dyDescent="0.3">
      <c r="B1987" t="s">
        <v>2312</v>
      </c>
      <c r="C1987" t="s">
        <v>4191</v>
      </c>
      <c r="D1987" t="s">
        <v>4192</v>
      </c>
      <c r="E1987">
        <v>0</v>
      </c>
      <c r="F1987" t="s">
        <v>4192</v>
      </c>
      <c r="N1987" t="str" cm="1">
        <f t="array" ref="N1987">IF(MOD(ROW()-ROW($B$2),16)=0,INDEX($M$2:$M$1000,(ROW()-ROW($B$2))/16+1),"")</f>
        <v/>
      </c>
    </row>
    <row r="1988" spans="2:14" x14ac:dyDescent="0.3">
      <c r="B1988" t="s">
        <v>2177</v>
      </c>
      <c r="C1988" t="s">
        <v>4193</v>
      </c>
      <c r="D1988" t="s">
        <v>4194</v>
      </c>
      <c r="E1988">
        <v>0</v>
      </c>
      <c r="F1988" t="s">
        <v>4194</v>
      </c>
      <c r="N1988" t="str" cm="1">
        <f t="array" ref="N1988">IF(MOD(ROW()-ROW($B$2),16)=0,INDEX($M$2:$M$1000,(ROW()-ROW($B$2))/16+1),"")</f>
        <v/>
      </c>
    </row>
    <row r="1989" spans="2:14" x14ac:dyDescent="0.3">
      <c r="B1989" t="s">
        <v>2312</v>
      </c>
      <c r="C1989" t="s">
        <v>4195</v>
      </c>
      <c r="D1989" t="s">
        <v>4196</v>
      </c>
      <c r="E1989">
        <v>0</v>
      </c>
      <c r="F1989" t="s">
        <v>4196</v>
      </c>
      <c r="N1989" t="str" cm="1">
        <f t="array" ref="N1989">IF(MOD(ROW()-ROW($B$2),16)=0,INDEX($M$2:$M$1000,(ROW()-ROW($B$2))/16+1),"")</f>
        <v/>
      </c>
    </row>
    <row r="1990" spans="2:14" x14ac:dyDescent="0.3">
      <c r="B1990" t="s">
        <v>2173</v>
      </c>
      <c r="C1990" t="s">
        <v>4197</v>
      </c>
      <c r="D1990" t="s">
        <v>4198</v>
      </c>
      <c r="E1990">
        <v>0</v>
      </c>
      <c r="F1990" t="s">
        <v>4198</v>
      </c>
      <c r="N1990" t="str" cm="1">
        <f t="array" ref="N1990">IF(MOD(ROW()-ROW($B$2),16)=0,INDEX($M$2:$M$1000,(ROW()-ROW($B$2))/16+1),"")</f>
        <v/>
      </c>
    </row>
    <row r="1991" spans="2:14" x14ac:dyDescent="0.3">
      <c r="B1991" t="s">
        <v>2177</v>
      </c>
      <c r="C1991" t="s">
        <v>4199</v>
      </c>
      <c r="D1991" t="s">
        <v>4200</v>
      </c>
      <c r="E1991">
        <v>0</v>
      </c>
      <c r="F1991" t="s">
        <v>4200</v>
      </c>
      <c r="N1991" t="str" cm="1">
        <f t="array" ref="N1991">IF(MOD(ROW()-ROW($B$2),16)=0,INDEX($M$2:$M$1000,(ROW()-ROW($B$2))/16+1),"")</f>
        <v/>
      </c>
    </row>
    <row r="1992" spans="2:14" x14ac:dyDescent="0.3">
      <c r="B1992" t="s">
        <v>2312</v>
      </c>
      <c r="C1992" t="s">
        <v>4201</v>
      </c>
      <c r="D1992" t="s">
        <v>4188</v>
      </c>
      <c r="E1992">
        <v>0</v>
      </c>
      <c r="F1992" t="s">
        <v>4188</v>
      </c>
      <c r="N1992" t="str" cm="1">
        <f t="array" ref="N1992">IF(MOD(ROW()-ROW($B$2),16)=0,INDEX($M$2:$M$1000,(ROW()-ROW($B$2))/16+1),"")</f>
        <v/>
      </c>
    </row>
    <row r="1993" spans="2:14" x14ac:dyDescent="0.3">
      <c r="B1993" t="s">
        <v>2173</v>
      </c>
      <c r="C1993" t="s">
        <v>4202</v>
      </c>
      <c r="D1993" t="s">
        <v>622</v>
      </c>
      <c r="E1993">
        <v>0</v>
      </c>
      <c r="F1993" t="s">
        <v>622</v>
      </c>
      <c r="N1993" t="str" cm="1">
        <f t="array" ref="N1993">IF(MOD(ROW()-ROW($B$2),16)=0,INDEX($M$2:$M$1000,(ROW()-ROW($B$2))/16+1),"")</f>
        <v/>
      </c>
    </row>
    <row r="1994" spans="2:14" x14ac:dyDescent="0.3">
      <c r="B1994" t="s">
        <v>2177</v>
      </c>
      <c r="C1994" t="s">
        <v>4203</v>
      </c>
      <c r="D1994" t="s">
        <v>4204</v>
      </c>
      <c r="E1994">
        <v>0</v>
      </c>
      <c r="F1994" t="s">
        <v>4204</v>
      </c>
      <c r="N1994" t="str" cm="1">
        <f t="array" ref="N1994">IF(MOD(ROW()-ROW($B$2),16)=0,INDEX($M$2:$M$1000,(ROW()-ROW($B$2))/16+1),"")</f>
        <v/>
      </c>
    </row>
    <row r="1995" spans="2:14" x14ac:dyDescent="0.3">
      <c r="B1995" t="s">
        <v>2177</v>
      </c>
      <c r="C1995" t="s">
        <v>4205</v>
      </c>
      <c r="D1995" t="s">
        <v>4206</v>
      </c>
      <c r="E1995">
        <v>0</v>
      </c>
      <c r="F1995" t="s">
        <v>4206</v>
      </c>
      <c r="N1995" t="str" cm="1">
        <f t="array" ref="N1995">IF(MOD(ROW()-ROW($B$2),16)=0,INDEX($M$2:$M$1000,(ROW()-ROW($B$2))/16+1),"")</f>
        <v/>
      </c>
    </row>
    <row r="1996" spans="2:14" x14ac:dyDescent="0.3">
      <c r="B1996" t="s">
        <v>2173</v>
      </c>
      <c r="C1996" t="s">
        <v>4207</v>
      </c>
      <c r="D1996" t="s">
        <v>625</v>
      </c>
      <c r="E1996">
        <v>0</v>
      </c>
      <c r="F1996" t="s">
        <v>625</v>
      </c>
      <c r="N1996" t="str" cm="1">
        <f t="array" ref="N1996">IF(MOD(ROW()-ROW($B$2),16)=0,INDEX($M$2:$M$1000,(ROW()-ROW($B$2))/16+1),"")</f>
        <v/>
      </c>
    </row>
    <row r="1997" spans="2:14" x14ac:dyDescent="0.3">
      <c r="B1997" t="s">
        <v>2177</v>
      </c>
      <c r="C1997" t="s">
        <v>4208</v>
      </c>
      <c r="D1997" t="s">
        <v>4209</v>
      </c>
      <c r="E1997">
        <v>0</v>
      </c>
      <c r="F1997" t="s">
        <v>4209</v>
      </c>
      <c r="N1997" t="str" cm="1">
        <f t="array" ref="N1997">IF(MOD(ROW()-ROW($B$2),16)=0,INDEX($M$2:$M$1000,(ROW()-ROW($B$2))/16+1),"")</f>
        <v/>
      </c>
    </row>
    <row r="1998" spans="2:14" x14ac:dyDescent="0.3">
      <c r="B1998" t="s">
        <v>2177</v>
      </c>
      <c r="C1998" t="s">
        <v>4210</v>
      </c>
      <c r="D1998" t="s">
        <v>4211</v>
      </c>
      <c r="E1998">
        <v>0</v>
      </c>
      <c r="F1998" t="s">
        <v>4211</v>
      </c>
      <c r="N1998" t="str" cm="1">
        <f t="array" ref="N1998">IF(MOD(ROW()-ROW($B$2),16)=0,INDEX($M$2:$M$1000,(ROW()-ROW($B$2))/16+1),"")</f>
        <v/>
      </c>
    </row>
    <row r="1999" spans="2:14" x14ac:dyDescent="0.3">
      <c r="B1999" t="s">
        <v>2312</v>
      </c>
      <c r="C1999" t="s">
        <v>4212</v>
      </c>
      <c r="D1999" t="s">
        <v>4196</v>
      </c>
      <c r="E1999">
        <v>0</v>
      </c>
      <c r="F1999" t="s">
        <v>4196</v>
      </c>
      <c r="N1999" t="str" cm="1">
        <f t="array" ref="N1999">IF(MOD(ROW()-ROW($B$2),16)=0,INDEX($M$2:$M$1000,(ROW()-ROW($B$2))/16+1),"")</f>
        <v/>
      </c>
    </row>
    <row r="2000" spans="2:14" x14ac:dyDescent="0.3">
      <c r="B2000" t="s">
        <v>2177</v>
      </c>
      <c r="C2000" t="s">
        <v>4213</v>
      </c>
      <c r="D2000" t="s">
        <v>4214</v>
      </c>
      <c r="E2000">
        <v>0</v>
      </c>
      <c r="F2000" t="s">
        <v>4214</v>
      </c>
      <c r="N2000" t="str" cm="1">
        <f t="array" ref="N2000">IF(MOD(ROW()-ROW($B$2),16)=0,INDEX($M$2:$M$1000,(ROW()-ROW($B$2))/16+1),"")</f>
        <v/>
      </c>
    </row>
    <row r="2001" spans="2:14" x14ac:dyDescent="0.3">
      <c r="B2001" t="s">
        <v>2177</v>
      </c>
      <c r="C2001" t="s">
        <v>4215</v>
      </c>
      <c r="D2001" t="s">
        <v>4216</v>
      </c>
      <c r="E2001">
        <v>0</v>
      </c>
      <c r="F2001" t="s">
        <v>4216</v>
      </c>
      <c r="N2001" t="str" cm="1">
        <f t="array" ref="N2001">IF(MOD(ROW()-ROW($B$2),16)=0,INDEX($M$2:$M$1000,(ROW()-ROW($B$2))/16+1),"")</f>
        <v/>
      </c>
    </row>
    <row r="2002" spans="2:14" x14ac:dyDescent="0.3">
      <c r="B2002" t="s">
        <v>2177</v>
      </c>
      <c r="C2002" t="s">
        <v>4217</v>
      </c>
      <c r="D2002" t="s">
        <v>4218</v>
      </c>
      <c r="E2002">
        <v>0</v>
      </c>
      <c r="F2002" t="s">
        <v>4218</v>
      </c>
      <c r="N2002" t="str" cm="1">
        <f t="array" ref="N2002">IF(MOD(ROW()-ROW($B$2),16)=0,INDEX($M$2:$M$1000,(ROW()-ROW($B$2))/16+1),"")</f>
        <v>Фиксированное число 125 (0)</v>
      </c>
    </row>
    <row r="2003" spans="2:14" x14ac:dyDescent="0.3">
      <c r="B2003" t="s">
        <v>2177</v>
      </c>
      <c r="C2003" t="s">
        <v>4219</v>
      </c>
      <c r="D2003" t="s">
        <v>220</v>
      </c>
      <c r="E2003">
        <v>0</v>
      </c>
      <c r="F2003" t="s">
        <v>220</v>
      </c>
      <c r="N2003" t="str" cm="1">
        <f t="array" ref="N2003">IF(MOD(ROW()-ROW($B$2),16)=0,INDEX($M$2:$M$1000,(ROW()-ROW($B$2))/16+1),"")</f>
        <v/>
      </c>
    </row>
    <row r="2004" spans="2:14" x14ac:dyDescent="0.3">
      <c r="B2004" t="s">
        <v>2177</v>
      </c>
      <c r="C2004" t="s">
        <v>4220</v>
      </c>
      <c r="D2004" t="s">
        <v>4221</v>
      </c>
      <c r="E2004">
        <v>0</v>
      </c>
      <c r="F2004" t="s">
        <v>4221</v>
      </c>
      <c r="N2004" t="str" cm="1">
        <f t="array" ref="N2004">IF(MOD(ROW()-ROW($B$2),16)=0,INDEX($M$2:$M$1000,(ROW()-ROW($B$2))/16+1),"")</f>
        <v/>
      </c>
    </row>
    <row r="2005" spans="2:14" x14ac:dyDescent="0.3">
      <c r="B2005" t="s">
        <v>2177</v>
      </c>
      <c r="C2005" t="s">
        <v>4222</v>
      </c>
      <c r="D2005" t="s">
        <v>4223</v>
      </c>
      <c r="E2005">
        <v>0</v>
      </c>
      <c r="F2005" t="s">
        <v>4223</v>
      </c>
      <c r="N2005" t="str" cm="1">
        <f t="array" ref="N2005">IF(MOD(ROW()-ROW($B$2),16)=0,INDEX($M$2:$M$1000,(ROW()-ROW($B$2))/16+1),"")</f>
        <v/>
      </c>
    </row>
    <row r="2006" spans="2:14" x14ac:dyDescent="0.3">
      <c r="B2006" t="s">
        <v>2312</v>
      </c>
      <c r="C2006" t="s">
        <v>4224</v>
      </c>
      <c r="D2006" t="s">
        <v>4188</v>
      </c>
      <c r="E2006">
        <v>0</v>
      </c>
      <c r="F2006" t="s">
        <v>4188</v>
      </c>
      <c r="N2006" t="str" cm="1">
        <f t="array" ref="N2006">IF(MOD(ROW()-ROW($B$2),16)=0,INDEX($M$2:$M$1000,(ROW()-ROW($B$2))/16+1),"")</f>
        <v/>
      </c>
    </row>
    <row r="2007" spans="2:14" x14ac:dyDescent="0.3">
      <c r="B2007" t="s">
        <v>2312</v>
      </c>
      <c r="C2007" t="s">
        <v>4225</v>
      </c>
      <c r="D2007" t="s">
        <v>4226</v>
      </c>
      <c r="E2007">
        <v>0</v>
      </c>
      <c r="F2007" t="s">
        <v>4226</v>
      </c>
      <c r="N2007" t="str" cm="1">
        <f t="array" ref="N2007">IF(MOD(ROW()-ROW($B$2),16)=0,INDEX($M$2:$M$1000,(ROW()-ROW($B$2))/16+1),"")</f>
        <v/>
      </c>
    </row>
    <row r="2008" spans="2:14" x14ac:dyDescent="0.3">
      <c r="B2008" t="s">
        <v>2312</v>
      </c>
      <c r="C2008" t="s">
        <v>4227</v>
      </c>
      <c r="D2008" t="s">
        <v>4228</v>
      </c>
      <c r="E2008">
        <v>0</v>
      </c>
      <c r="F2008" t="s">
        <v>4228</v>
      </c>
      <c r="N2008" t="str" cm="1">
        <f t="array" ref="N2008">IF(MOD(ROW()-ROW($B$2),16)=0,INDEX($M$2:$M$1000,(ROW()-ROW($B$2))/16+1),"")</f>
        <v/>
      </c>
    </row>
    <row r="2009" spans="2:14" x14ac:dyDescent="0.3">
      <c r="B2009" t="s">
        <v>2177</v>
      </c>
      <c r="C2009" t="s">
        <v>4229</v>
      </c>
      <c r="D2009" t="s">
        <v>249</v>
      </c>
      <c r="E2009">
        <v>0</v>
      </c>
      <c r="F2009" t="s">
        <v>249</v>
      </c>
      <c r="N2009" t="str" cm="1">
        <f t="array" ref="N2009">IF(MOD(ROW()-ROW($B$2),16)=0,INDEX($M$2:$M$1000,(ROW()-ROW($B$2))/16+1),"")</f>
        <v/>
      </c>
    </row>
    <row r="2010" spans="2:14" x14ac:dyDescent="0.3">
      <c r="B2010" t="s">
        <v>2177</v>
      </c>
      <c r="C2010" t="s">
        <v>4230</v>
      </c>
      <c r="D2010" t="s">
        <v>4231</v>
      </c>
      <c r="E2010">
        <v>0</v>
      </c>
      <c r="F2010" t="s">
        <v>4231</v>
      </c>
      <c r="N2010" t="str" cm="1">
        <f t="array" ref="N2010">IF(MOD(ROW()-ROW($B$2),16)=0,INDEX($M$2:$M$1000,(ROW()-ROW($B$2))/16+1),"")</f>
        <v/>
      </c>
    </row>
    <row r="2011" spans="2:14" x14ac:dyDescent="0.3">
      <c r="B2011" t="s">
        <v>2177</v>
      </c>
      <c r="C2011" t="s">
        <v>4232</v>
      </c>
      <c r="D2011" t="s">
        <v>4233</v>
      </c>
      <c r="E2011">
        <v>0</v>
      </c>
      <c r="F2011" t="s">
        <v>4233</v>
      </c>
      <c r="N2011" t="str" cm="1">
        <f t="array" ref="N2011">IF(MOD(ROW()-ROW($B$2),16)=0,INDEX($M$2:$M$1000,(ROW()-ROW($B$2))/16+1),"")</f>
        <v/>
      </c>
    </row>
    <row r="2012" spans="2:14" x14ac:dyDescent="0.3">
      <c r="B2012" t="s">
        <v>2177</v>
      </c>
      <c r="C2012" t="s">
        <v>4234</v>
      </c>
      <c r="D2012" t="s">
        <v>4235</v>
      </c>
      <c r="E2012">
        <v>0</v>
      </c>
      <c r="F2012" t="s">
        <v>4235</v>
      </c>
      <c r="N2012" t="str" cm="1">
        <f t="array" ref="N2012">IF(MOD(ROW()-ROW($B$2),16)=0,INDEX($M$2:$M$1000,(ROW()-ROW($B$2))/16+1),"")</f>
        <v/>
      </c>
    </row>
    <row r="2013" spans="2:14" x14ac:dyDescent="0.3">
      <c r="B2013" t="s">
        <v>2177</v>
      </c>
      <c r="C2013" t="s">
        <v>4236</v>
      </c>
      <c r="D2013" t="s">
        <v>4237</v>
      </c>
      <c r="E2013">
        <v>0</v>
      </c>
      <c r="F2013" t="s">
        <v>4237</v>
      </c>
      <c r="N2013" t="str" cm="1">
        <f t="array" ref="N2013">IF(MOD(ROW()-ROW($B$2),16)=0,INDEX($M$2:$M$1000,(ROW()-ROW($B$2))/16+1),"")</f>
        <v/>
      </c>
    </row>
    <row r="2014" spans="2:14" x14ac:dyDescent="0.3">
      <c r="B2014" t="s">
        <v>2177</v>
      </c>
      <c r="C2014" t="s">
        <v>4238</v>
      </c>
      <c r="D2014" t="s">
        <v>4239</v>
      </c>
      <c r="E2014">
        <v>0</v>
      </c>
      <c r="F2014" t="s">
        <v>4239</v>
      </c>
      <c r="N2014" t="str" cm="1">
        <f t="array" ref="N2014">IF(MOD(ROW()-ROW($B$2),16)=0,INDEX($M$2:$M$1000,(ROW()-ROW($B$2))/16+1),"")</f>
        <v/>
      </c>
    </row>
    <row r="2015" spans="2:14" x14ac:dyDescent="0.3">
      <c r="B2015" t="s">
        <v>2177</v>
      </c>
      <c r="C2015" t="s">
        <v>4240</v>
      </c>
      <c r="D2015" t="s">
        <v>4241</v>
      </c>
      <c r="E2015">
        <v>0</v>
      </c>
      <c r="F2015" t="s">
        <v>4241</v>
      </c>
      <c r="N2015" t="str" cm="1">
        <f t="array" ref="N2015">IF(MOD(ROW()-ROW($B$2),16)=0,INDEX($M$2:$M$1000,(ROW()-ROW($B$2))/16+1),"")</f>
        <v/>
      </c>
    </row>
    <row r="2016" spans="2:14" x14ac:dyDescent="0.3">
      <c r="B2016" t="s">
        <v>2177</v>
      </c>
      <c r="C2016" t="s">
        <v>4242</v>
      </c>
      <c r="D2016" t="s">
        <v>4243</v>
      </c>
      <c r="E2016">
        <v>0</v>
      </c>
      <c r="F2016" t="s">
        <v>4243</v>
      </c>
      <c r="N2016" t="str" cm="1">
        <f t="array" ref="N2016">IF(MOD(ROW()-ROW($B$2),16)=0,INDEX($M$2:$M$1000,(ROW()-ROW($B$2))/16+1),"")</f>
        <v/>
      </c>
    </row>
    <row r="2017" spans="2:14" x14ac:dyDescent="0.3">
      <c r="B2017" t="s">
        <v>2177</v>
      </c>
      <c r="C2017" t="s">
        <v>4244</v>
      </c>
      <c r="D2017" t="s">
        <v>4245</v>
      </c>
      <c r="E2017">
        <v>0</v>
      </c>
      <c r="F2017" t="s">
        <v>4245</v>
      </c>
      <c r="N2017" t="str" cm="1">
        <f t="array" ref="N2017">IF(MOD(ROW()-ROW($B$2),16)=0,INDEX($M$2:$M$1000,(ROW()-ROW($B$2))/16+1),"")</f>
        <v/>
      </c>
    </row>
    <row r="2018" spans="2:14" x14ac:dyDescent="0.3">
      <c r="B2018" t="s">
        <v>2177</v>
      </c>
      <c r="C2018" t="s">
        <v>4246</v>
      </c>
      <c r="D2018" t="s">
        <v>4247</v>
      </c>
      <c r="E2018">
        <v>0</v>
      </c>
      <c r="F2018" t="s">
        <v>4247</v>
      </c>
      <c r="N2018" t="str" cm="1">
        <f t="array" ref="N2018">IF(MOD(ROW()-ROW($B$2),16)=0,INDEX($M$2:$M$1000,(ROW()-ROW($B$2))/16+1),"")</f>
        <v>Фиксированное число 126 (0)</v>
      </c>
    </row>
    <row r="2019" spans="2:14" x14ac:dyDescent="0.3">
      <c r="B2019" t="s">
        <v>2177</v>
      </c>
      <c r="C2019" t="s">
        <v>4248</v>
      </c>
      <c r="D2019" t="s">
        <v>4249</v>
      </c>
      <c r="E2019">
        <v>0</v>
      </c>
      <c r="F2019" t="s">
        <v>4249</v>
      </c>
      <c r="N2019" t="str" cm="1">
        <f t="array" ref="N2019">IF(MOD(ROW()-ROW($B$2),16)=0,INDEX($M$2:$M$1000,(ROW()-ROW($B$2))/16+1),"")</f>
        <v/>
      </c>
    </row>
    <row r="2020" spans="2:14" x14ac:dyDescent="0.3">
      <c r="B2020" t="s">
        <v>2177</v>
      </c>
      <c r="C2020" t="s">
        <v>4250</v>
      </c>
      <c r="D2020" t="s">
        <v>4251</v>
      </c>
      <c r="E2020">
        <v>0</v>
      </c>
      <c r="F2020" t="s">
        <v>4251</v>
      </c>
      <c r="N2020" t="str" cm="1">
        <f t="array" ref="N2020">IF(MOD(ROW()-ROW($B$2),16)=0,INDEX($M$2:$M$1000,(ROW()-ROW($B$2))/16+1),"")</f>
        <v/>
      </c>
    </row>
    <row r="2021" spans="2:14" x14ac:dyDescent="0.3">
      <c r="B2021" t="s">
        <v>2177</v>
      </c>
      <c r="C2021" t="s">
        <v>4252</v>
      </c>
      <c r="D2021" t="s">
        <v>4253</v>
      </c>
      <c r="E2021">
        <v>0</v>
      </c>
      <c r="F2021" t="s">
        <v>4253</v>
      </c>
      <c r="N2021" t="str" cm="1">
        <f t="array" ref="N2021">IF(MOD(ROW()-ROW($B$2),16)=0,INDEX($M$2:$M$1000,(ROW()-ROW($B$2))/16+1),"")</f>
        <v/>
      </c>
    </row>
    <row r="2022" spans="2:14" x14ac:dyDescent="0.3">
      <c r="B2022" t="s">
        <v>2312</v>
      </c>
      <c r="C2022" t="s">
        <v>4254</v>
      </c>
      <c r="D2022" t="s">
        <v>4255</v>
      </c>
      <c r="E2022">
        <v>0</v>
      </c>
      <c r="F2022" t="s">
        <v>4255</v>
      </c>
      <c r="N2022" t="str" cm="1">
        <f t="array" ref="N2022">IF(MOD(ROW()-ROW($B$2),16)=0,INDEX($M$2:$M$1000,(ROW()-ROW($B$2))/16+1),"")</f>
        <v/>
      </c>
    </row>
    <row r="2023" spans="2:14" x14ac:dyDescent="0.3">
      <c r="B2023" t="s">
        <v>2177</v>
      </c>
      <c r="C2023" t="s">
        <v>4256</v>
      </c>
      <c r="D2023" t="s">
        <v>129</v>
      </c>
      <c r="E2023">
        <v>0</v>
      </c>
      <c r="F2023" t="s">
        <v>129</v>
      </c>
      <c r="N2023" t="str" cm="1">
        <f t="array" ref="N2023">IF(MOD(ROW()-ROW($B$2),16)=0,INDEX($M$2:$M$1000,(ROW()-ROW($B$2))/16+1),"")</f>
        <v/>
      </c>
    </row>
    <row r="2024" spans="2:14" x14ac:dyDescent="0.3">
      <c r="B2024" t="s">
        <v>2312</v>
      </c>
      <c r="C2024" t="s">
        <v>4257</v>
      </c>
      <c r="D2024" t="s">
        <v>4258</v>
      </c>
      <c r="E2024">
        <v>0</v>
      </c>
      <c r="F2024" t="s">
        <v>4258</v>
      </c>
      <c r="N2024" t="str" cm="1">
        <f t="array" ref="N2024">IF(MOD(ROW()-ROW($B$2),16)=0,INDEX($M$2:$M$1000,(ROW()-ROW($B$2))/16+1),"")</f>
        <v/>
      </c>
    </row>
    <row r="2025" spans="2:14" x14ac:dyDescent="0.3">
      <c r="B2025" t="s">
        <v>2312</v>
      </c>
      <c r="C2025" t="s">
        <v>4259</v>
      </c>
      <c r="D2025" t="s">
        <v>4260</v>
      </c>
      <c r="E2025">
        <v>0</v>
      </c>
      <c r="F2025" t="s">
        <v>4260</v>
      </c>
      <c r="N2025" t="str" cm="1">
        <f t="array" ref="N2025">IF(MOD(ROW()-ROW($B$2),16)=0,INDEX($M$2:$M$1000,(ROW()-ROW($B$2))/16+1),"")</f>
        <v/>
      </c>
    </row>
    <row r="2026" spans="2:14" x14ac:dyDescent="0.3">
      <c r="B2026" t="s">
        <v>2173</v>
      </c>
      <c r="C2026" t="s">
        <v>4261</v>
      </c>
      <c r="D2026" t="s">
        <v>631</v>
      </c>
      <c r="E2026">
        <v>0</v>
      </c>
      <c r="F2026" t="s">
        <v>631</v>
      </c>
      <c r="N2026" t="str" cm="1">
        <f t="array" ref="N2026">IF(MOD(ROW()-ROW($B$2),16)=0,INDEX($M$2:$M$1000,(ROW()-ROW($B$2))/16+1),"")</f>
        <v/>
      </c>
    </row>
    <row r="2027" spans="2:14" x14ac:dyDescent="0.3">
      <c r="B2027" t="s">
        <v>2173</v>
      </c>
      <c r="C2027" t="s">
        <v>4262</v>
      </c>
      <c r="D2027" t="s">
        <v>632</v>
      </c>
      <c r="E2027">
        <v>0</v>
      </c>
      <c r="F2027" t="s">
        <v>632</v>
      </c>
      <c r="N2027" t="str" cm="1">
        <f t="array" ref="N2027">IF(MOD(ROW()-ROW($B$2),16)=0,INDEX($M$2:$M$1000,(ROW()-ROW($B$2))/16+1),"")</f>
        <v/>
      </c>
    </row>
    <row r="2028" spans="2:14" x14ac:dyDescent="0.3">
      <c r="B2028" t="s">
        <v>2173</v>
      </c>
      <c r="C2028" t="s">
        <v>4263</v>
      </c>
      <c r="D2028" t="s">
        <v>634</v>
      </c>
      <c r="E2028">
        <v>0</v>
      </c>
      <c r="F2028" t="s">
        <v>634</v>
      </c>
      <c r="N2028" t="str" cm="1">
        <f t="array" ref="N2028">IF(MOD(ROW()-ROW($B$2),16)=0,INDEX($M$2:$M$1000,(ROW()-ROW($B$2))/16+1),"")</f>
        <v/>
      </c>
    </row>
    <row r="2029" spans="2:14" x14ac:dyDescent="0.3">
      <c r="B2029" t="s">
        <v>2173</v>
      </c>
      <c r="C2029" t="s">
        <v>4264</v>
      </c>
      <c r="D2029" t="s">
        <v>635</v>
      </c>
      <c r="E2029">
        <v>0</v>
      </c>
      <c r="F2029" t="s">
        <v>635</v>
      </c>
      <c r="N2029" t="str" cm="1">
        <f t="array" ref="N2029">IF(MOD(ROW()-ROW($B$2),16)=0,INDEX($M$2:$M$1000,(ROW()-ROW($B$2))/16+1),"")</f>
        <v/>
      </c>
    </row>
    <row r="2030" spans="2:14" x14ac:dyDescent="0.3">
      <c r="B2030" t="s">
        <v>2173</v>
      </c>
      <c r="C2030" t="s">
        <v>4265</v>
      </c>
      <c r="D2030" t="s">
        <v>636</v>
      </c>
      <c r="E2030">
        <v>0</v>
      </c>
      <c r="F2030" t="s">
        <v>636</v>
      </c>
      <c r="N2030" t="str" cm="1">
        <f t="array" ref="N2030">IF(MOD(ROW()-ROW($B$2),16)=0,INDEX($M$2:$M$1000,(ROW()-ROW($B$2))/16+1),"")</f>
        <v/>
      </c>
    </row>
    <row r="2031" spans="2:14" x14ac:dyDescent="0.3">
      <c r="B2031" t="s">
        <v>2173</v>
      </c>
      <c r="C2031" t="s">
        <v>4266</v>
      </c>
      <c r="D2031" t="s">
        <v>637</v>
      </c>
      <c r="E2031">
        <v>0</v>
      </c>
      <c r="F2031" t="s">
        <v>637</v>
      </c>
      <c r="N2031" t="str" cm="1">
        <f t="array" ref="N2031">IF(MOD(ROW()-ROW($B$2),16)=0,INDEX($M$2:$M$1000,(ROW()-ROW($B$2))/16+1),"")</f>
        <v/>
      </c>
    </row>
    <row r="2032" spans="2:14" x14ac:dyDescent="0.3">
      <c r="B2032" t="s">
        <v>2173</v>
      </c>
      <c r="C2032" t="s">
        <v>4267</v>
      </c>
      <c r="D2032" t="s">
        <v>638</v>
      </c>
      <c r="E2032">
        <v>0</v>
      </c>
      <c r="F2032" t="s">
        <v>638</v>
      </c>
      <c r="N2032" t="str" cm="1">
        <f t="array" ref="N2032">IF(MOD(ROW()-ROW($B$2),16)=0,INDEX($M$2:$M$1000,(ROW()-ROW($B$2))/16+1),"")</f>
        <v/>
      </c>
    </row>
    <row r="2033" spans="2:14" x14ac:dyDescent="0.3">
      <c r="B2033" t="s">
        <v>2177</v>
      </c>
      <c r="C2033" t="s">
        <v>4268</v>
      </c>
      <c r="D2033" t="s">
        <v>4269</v>
      </c>
      <c r="E2033">
        <v>0</v>
      </c>
      <c r="F2033" t="s">
        <v>4269</v>
      </c>
      <c r="N2033" t="str" cm="1">
        <f t="array" ref="N2033">IF(MOD(ROW()-ROW($B$2),16)=0,INDEX($M$2:$M$1000,(ROW()-ROW($B$2))/16+1),"")</f>
        <v/>
      </c>
    </row>
    <row r="2034" spans="2:14" x14ac:dyDescent="0.3">
      <c r="B2034" t="s">
        <v>2177</v>
      </c>
      <c r="C2034" t="s">
        <v>4270</v>
      </c>
      <c r="D2034" t="s">
        <v>4271</v>
      </c>
      <c r="E2034">
        <v>0</v>
      </c>
      <c r="F2034" t="s">
        <v>4271</v>
      </c>
      <c r="N2034" t="str" cm="1">
        <f t="array" ref="N2034">IF(MOD(ROW()-ROW($B$2),16)=0,INDEX($M$2:$M$1000,(ROW()-ROW($B$2))/16+1),"")</f>
        <v>Фиксированное число 127 (0)</v>
      </c>
    </row>
    <row r="2035" spans="2:14" x14ac:dyDescent="0.3">
      <c r="B2035" t="s">
        <v>2177</v>
      </c>
      <c r="C2035" t="s">
        <v>4272</v>
      </c>
      <c r="D2035" t="s">
        <v>4273</v>
      </c>
      <c r="E2035">
        <v>0</v>
      </c>
      <c r="F2035" t="s">
        <v>4273</v>
      </c>
      <c r="N2035" t="str" cm="1">
        <f t="array" ref="N2035">IF(MOD(ROW()-ROW($B$2),16)=0,INDEX($M$2:$M$1000,(ROW()-ROW($B$2))/16+1),"")</f>
        <v/>
      </c>
    </row>
    <row r="2036" spans="2:14" x14ac:dyDescent="0.3">
      <c r="B2036" t="s">
        <v>2177</v>
      </c>
      <c r="C2036" t="s">
        <v>4274</v>
      </c>
      <c r="D2036" t="s">
        <v>4275</v>
      </c>
      <c r="E2036">
        <v>0</v>
      </c>
      <c r="F2036" t="s">
        <v>4275</v>
      </c>
      <c r="N2036" t="str" cm="1">
        <f t="array" ref="N2036">IF(MOD(ROW()-ROW($B$2),16)=0,INDEX($M$2:$M$1000,(ROW()-ROW($B$2))/16+1),"")</f>
        <v/>
      </c>
    </row>
    <row r="2037" spans="2:14" x14ac:dyDescent="0.3">
      <c r="B2037" t="s">
        <v>2177</v>
      </c>
      <c r="C2037" t="s">
        <v>4276</v>
      </c>
      <c r="D2037" t="s">
        <v>4277</v>
      </c>
      <c r="E2037">
        <v>0</v>
      </c>
      <c r="F2037" t="s">
        <v>4277</v>
      </c>
      <c r="N2037" t="str" cm="1">
        <f t="array" ref="N2037">IF(MOD(ROW()-ROW($B$2),16)=0,INDEX($M$2:$M$1000,(ROW()-ROW($B$2))/16+1),"")</f>
        <v/>
      </c>
    </row>
    <row r="2038" spans="2:14" x14ac:dyDescent="0.3">
      <c r="B2038" t="s">
        <v>2177</v>
      </c>
      <c r="C2038" t="s">
        <v>4278</v>
      </c>
      <c r="D2038" t="s">
        <v>4279</v>
      </c>
      <c r="E2038">
        <v>0</v>
      </c>
      <c r="F2038" t="s">
        <v>4279</v>
      </c>
      <c r="N2038" t="str" cm="1">
        <f t="array" ref="N2038">IF(MOD(ROW()-ROW($B$2),16)=0,INDEX($M$2:$M$1000,(ROW()-ROW($B$2))/16+1),"")</f>
        <v/>
      </c>
    </row>
    <row r="2039" spans="2:14" x14ac:dyDescent="0.3">
      <c r="B2039" t="s">
        <v>2177</v>
      </c>
      <c r="C2039" t="s">
        <v>4280</v>
      </c>
      <c r="D2039" t="s">
        <v>4281</v>
      </c>
      <c r="E2039">
        <v>0</v>
      </c>
      <c r="F2039" t="s">
        <v>4281</v>
      </c>
      <c r="N2039" t="str" cm="1">
        <f t="array" ref="N2039">IF(MOD(ROW()-ROW($B$2),16)=0,INDEX($M$2:$M$1000,(ROW()-ROW($B$2))/16+1),"")</f>
        <v/>
      </c>
    </row>
    <row r="2040" spans="2:14" x14ac:dyDescent="0.3">
      <c r="B2040" t="s">
        <v>2177</v>
      </c>
      <c r="C2040" t="s">
        <v>4282</v>
      </c>
      <c r="D2040" t="s">
        <v>4283</v>
      </c>
      <c r="E2040">
        <v>0</v>
      </c>
      <c r="F2040" t="s">
        <v>4283</v>
      </c>
      <c r="N2040" t="str" cm="1">
        <f t="array" ref="N2040">IF(MOD(ROW()-ROW($B$2),16)=0,INDEX($M$2:$M$1000,(ROW()-ROW($B$2))/16+1),"")</f>
        <v/>
      </c>
    </row>
    <row r="2041" spans="2:14" x14ac:dyDescent="0.3">
      <c r="B2041" t="s">
        <v>2177</v>
      </c>
      <c r="C2041" t="s">
        <v>4284</v>
      </c>
      <c r="D2041" t="s">
        <v>4285</v>
      </c>
      <c r="E2041">
        <v>0</v>
      </c>
      <c r="F2041" t="s">
        <v>4285</v>
      </c>
      <c r="N2041" t="str" cm="1">
        <f t="array" ref="N2041">IF(MOD(ROW()-ROW($B$2),16)=0,INDEX($M$2:$M$1000,(ROW()-ROW($B$2))/16+1),"")</f>
        <v/>
      </c>
    </row>
    <row r="2042" spans="2:14" x14ac:dyDescent="0.3">
      <c r="B2042" t="s">
        <v>2177</v>
      </c>
      <c r="C2042" t="s">
        <v>4286</v>
      </c>
      <c r="D2042" t="s">
        <v>4287</v>
      </c>
      <c r="E2042">
        <v>0</v>
      </c>
      <c r="F2042" t="s">
        <v>4287</v>
      </c>
      <c r="N2042" t="str" cm="1">
        <f t="array" ref="N2042">IF(MOD(ROW()-ROW($B$2),16)=0,INDEX($M$2:$M$1000,(ROW()-ROW($B$2))/16+1),"")</f>
        <v/>
      </c>
    </row>
    <row r="2043" spans="2:14" x14ac:dyDescent="0.3">
      <c r="B2043" t="s">
        <v>2177</v>
      </c>
      <c r="C2043" t="s">
        <v>4288</v>
      </c>
      <c r="D2043" t="s">
        <v>4289</v>
      </c>
      <c r="E2043">
        <v>0</v>
      </c>
      <c r="F2043" t="s">
        <v>4289</v>
      </c>
      <c r="N2043" t="str" cm="1">
        <f t="array" ref="N2043">IF(MOD(ROW()-ROW($B$2),16)=0,INDEX($M$2:$M$1000,(ROW()-ROW($B$2))/16+1),"")</f>
        <v/>
      </c>
    </row>
    <row r="2044" spans="2:14" x14ac:dyDescent="0.3">
      <c r="B2044" t="s">
        <v>2177</v>
      </c>
      <c r="C2044" t="s">
        <v>4290</v>
      </c>
      <c r="D2044" t="s">
        <v>4291</v>
      </c>
      <c r="E2044">
        <v>0</v>
      </c>
      <c r="F2044" t="s">
        <v>4291</v>
      </c>
      <c r="N2044" t="str" cm="1">
        <f t="array" ref="N2044">IF(MOD(ROW()-ROW($B$2),16)=0,INDEX($M$2:$M$1000,(ROW()-ROW($B$2))/16+1),"")</f>
        <v/>
      </c>
    </row>
    <row r="2045" spans="2:14" x14ac:dyDescent="0.3">
      <c r="B2045" t="s">
        <v>2177</v>
      </c>
      <c r="C2045" t="s">
        <v>4292</v>
      </c>
      <c r="D2045" t="s">
        <v>4293</v>
      </c>
      <c r="E2045">
        <v>0</v>
      </c>
      <c r="F2045" t="s">
        <v>4293</v>
      </c>
      <c r="N2045" t="str" cm="1">
        <f t="array" ref="N2045">IF(MOD(ROW()-ROW($B$2),16)=0,INDEX($M$2:$M$1000,(ROW()-ROW($B$2))/16+1),"")</f>
        <v/>
      </c>
    </row>
    <row r="2046" spans="2:14" x14ac:dyDescent="0.3">
      <c r="B2046" t="s">
        <v>2177</v>
      </c>
      <c r="C2046" t="s">
        <v>4294</v>
      </c>
      <c r="D2046" t="s">
        <v>4295</v>
      </c>
      <c r="E2046">
        <v>0</v>
      </c>
      <c r="F2046" t="s">
        <v>4295</v>
      </c>
      <c r="N2046" t="str" cm="1">
        <f t="array" ref="N2046">IF(MOD(ROW()-ROW($B$2),16)=0,INDEX($M$2:$M$1000,(ROW()-ROW($B$2))/16+1),"")</f>
        <v/>
      </c>
    </row>
    <row r="2047" spans="2:14" x14ac:dyDescent="0.3">
      <c r="B2047" t="s">
        <v>2177</v>
      </c>
      <c r="C2047" t="s">
        <v>371</v>
      </c>
      <c r="D2047" t="s">
        <v>4296</v>
      </c>
      <c r="E2047">
        <v>0</v>
      </c>
      <c r="F2047" t="s">
        <v>4296</v>
      </c>
      <c r="N2047" t="str" cm="1">
        <f t="array" ref="N2047">IF(MOD(ROW()-ROW($B$2),16)=0,INDEX($M$2:$M$1000,(ROW()-ROW($B$2))/16+1),"")</f>
        <v/>
      </c>
    </row>
    <row r="2048" spans="2:14" x14ac:dyDescent="0.3">
      <c r="B2048" t="s">
        <v>2177</v>
      </c>
      <c r="C2048" t="s">
        <v>379</v>
      </c>
      <c r="D2048" t="s">
        <v>4297</v>
      </c>
      <c r="E2048">
        <v>0</v>
      </c>
      <c r="F2048" t="s">
        <v>4297</v>
      </c>
      <c r="N2048" t="str" cm="1">
        <f t="array" ref="N2048">IF(MOD(ROW()-ROW($B$2),16)=0,INDEX($M$2:$M$1000,(ROW()-ROW($B$2))/16+1),"")</f>
        <v/>
      </c>
    </row>
    <row r="2049" spans="2:14" x14ac:dyDescent="0.3">
      <c r="B2049" t="s">
        <v>2173</v>
      </c>
      <c r="C2049" t="s">
        <v>4298</v>
      </c>
      <c r="D2049" t="s">
        <v>640</v>
      </c>
      <c r="E2049">
        <v>0</v>
      </c>
      <c r="F2049" t="s">
        <v>640</v>
      </c>
      <c r="N2049" t="str" cm="1">
        <f t="array" ref="N2049">IF(MOD(ROW()-ROW($B$2),16)=0,INDEX($M$2:$M$1000,(ROW()-ROW($B$2))/16+1),"")</f>
        <v/>
      </c>
    </row>
    <row r="2050" spans="2:14" x14ac:dyDescent="0.3">
      <c r="B2050" t="s">
        <v>2177</v>
      </c>
      <c r="C2050" t="s">
        <v>4299</v>
      </c>
      <c r="D2050" t="s">
        <v>640</v>
      </c>
      <c r="E2050">
        <v>0</v>
      </c>
      <c r="F2050" t="s">
        <v>640</v>
      </c>
      <c r="N2050" t="str" cm="1">
        <f t="array" ref="N2050">IF(MOD(ROW()-ROW($B$2),16)=0,INDEX($M$2:$M$1000,(ROW()-ROW($B$2))/16+1),"")</f>
        <v>Фиксированное число 128 (0)</v>
      </c>
    </row>
    <row r="2051" spans="2:14" x14ac:dyDescent="0.3">
      <c r="B2051" t="s">
        <v>2177</v>
      </c>
      <c r="C2051" t="s">
        <v>382</v>
      </c>
      <c r="D2051" t="s">
        <v>4300</v>
      </c>
      <c r="E2051">
        <v>0</v>
      </c>
      <c r="F2051" t="s">
        <v>4300</v>
      </c>
      <c r="N2051" t="str" cm="1">
        <f t="array" ref="N2051">IF(MOD(ROW()-ROW($B$2),16)=0,INDEX($M$2:$M$1000,(ROW()-ROW($B$2))/16+1),"")</f>
        <v/>
      </c>
    </row>
    <row r="2052" spans="2:14" x14ac:dyDescent="0.3">
      <c r="B2052" t="s">
        <v>2312</v>
      </c>
      <c r="C2052" t="s">
        <v>4301</v>
      </c>
      <c r="D2052" t="s">
        <v>4302</v>
      </c>
      <c r="E2052">
        <v>0</v>
      </c>
      <c r="F2052" t="s">
        <v>4302</v>
      </c>
      <c r="N2052" t="str" cm="1">
        <f t="array" ref="N2052">IF(MOD(ROW()-ROW($B$2),16)=0,INDEX($M$2:$M$1000,(ROW()-ROW($B$2))/16+1),"")</f>
        <v/>
      </c>
    </row>
    <row r="2053" spans="2:14" x14ac:dyDescent="0.3">
      <c r="B2053" t="s">
        <v>2177</v>
      </c>
      <c r="C2053" t="s">
        <v>383</v>
      </c>
      <c r="D2053" t="s">
        <v>4303</v>
      </c>
      <c r="E2053">
        <v>0</v>
      </c>
      <c r="F2053" t="s">
        <v>4303</v>
      </c>
      <c r="N2053" t="str" cm="1">
        <f t="array" ref="N2053">IF(MOD(ROW()-ROW($B$2),16)=0,INDEX($M$2:$M$1000,(ROW()-ROW($B$2))/16+1),"")</f>
        <v/>
      </c>
    </row>
    <row r="2054" spans="2:14" x14ac:dyDescent="0.3">
      <c r="B2054" t="s">
        <v>2173</v>
      </c>
      <c r="C2054" t="s">
        <v>4304</v>
      </c>
      <c r="D2054" t="s">
        <v>641</v>
      </c>
      <c r="E2054">
        <v>0</v>
      </c>
      <c r="F2054" t="s">
        <v>641</v>
      </c>
      <c r="N2054" t="str" cm="1">
        <f t="array" ref="N2054">IF(MOD(ROW()-ROW($B$2),16)=0,INDEX($M$2:$M$1000,(ROW()-ROW($B$2))/16+1),"")</f>
        <v/>
      </c>
    </row>
    <row r="2055" spans="2:14" x14ac:dyDescent="0.3">
      <c r="B2055" t="s">
        <v>2177</v>
      </c>
      <c r="C2055" t="s">
        <v>4305</v>
      </c>
      <c r="D2055" t="s">
        <v>4306</v>
      </c>
      <c r="E2055">
        <v>0</v>
      </c>
      <c r="F2055" t="s">
        <v>4306</v>
      </c>
      <c r="N2055" t="str" cm="1">
        <f t="array" ref="N2055">IF(MOD(ROW()-ROW($B$2),16)=0,INDEX($M$2:$M$1000,(ROW()-ROW($B$2))/16+1),"")</f>
        <v/>
      </c>
    </row>
    <row r="2056" spans="2:14" x14ac:dyDescent="0.3">
      <c r="B2056" t="s">
        <v>2177</v>
      </c>
      <c r="C2056" t="s">
        <v>4307</v>
      </c>
      <c r="D2056" t="s">
        <v>4308</v>
      </c>
      <c r="E2056">
        <v>0</v>
      </c>
      <c r="F2056" t="s">
        <v>4308</v>
      </c>
      <c r="N2056" t="str" cm="1">
        <f t="array" ref="N2056">IF(MOD(ROW()-ROW($B$2),16)=0,INDEX($M$2:$M$1000,(ROW()-ROW($B$2))/16+1),"")</f>
        <v/>
      </c>
    </row>
    <row r="2057" spans="2:14" x14ac:dyDescent="0.3">
      <c r="B2057" t="s">
        <v>2312</v>
      </c>
      <c r="C2057" t="s">
        <v>4309</v>
      </c>
      <c r="D2057" t="s">
        <v>4310</v>
      </c>
      <c r="E2057">
        <v>0</v>
      </c>
      <c r="F2057" t="s">
        <v>4310</v>
      </c>
      <c r="N2057" t="str" cm="1">
        <f t="array" ref="N2057">IF(MOD(ROW()-ROW($B$2),16)=0,INDEX($M$2:$M$1000,(ROW()-ROW($B$2))/16+1),"")</f>
        <v/>
      </c>
    </row>
    <row r="2058" spans="2:14" x14ac:dyDescent="0.3">
      <c r="B2058" t="s">
        <v>2177</v>
      </c>
      <c r="C2058" t="s">
        <v>4311</v>
      </c>
      <c r="D2058" t="s">
        <v>4312</v>
      </c>
      <c r="E2058">
        <v>0</v>
      </c>
      <c r="F2058" t="s">
        <v>4312</v>
      </c>
      <c r="N2058" t="str" cm="1">
        <f t="array" ref="N2058">IF(MOD(ROW()-ROW($B$2),16)=0,INDEX($M$2:$M$1000,(ROW()-ROW($B$2))/16+1),"")</f>
        <v/>
      </c>
    </row>
    <row r="2059" spans="2:14" x14ac:dyDescent="0.3">
      <c r="B2059" t="s">
        <v>2177</v>
      </c>
      <c r="C2059" t="s">
        <v>4313</v>
      </c>
      <c r="D2059" t="s">
        <v>4314</v>
      </c>
      <c r="E2059">
        <v>0</v>
      </c>
      <c r="F2059" t="s">
        <v>4314</v>
      </c>
      <c r="N2059" t="str" cm="1">
        <f t="array" ref="N2059">IF(MOD(ROW()-ROW($B$2),16)=0,INDEX($M$2:$M$1000,(ROW()-ROW($B$2))/16+1),"")</f>
        <v/>
      </c>
    </row>
    <row r="2060" spans="2:14" x14ac:dyDescent="0.3">
      <c r="B2060" t="s">
        <v>2177</v>
      </c>
      <c r="C2060" t="s">
        <v>4315</v>
      </c>
      <c r="D2060" t="s">
        <v>4316</v>
      </c>
      <c r="E2060">
        <v>0</v>
      </c>
      <c r="F2060" t="s">
        <v>4316</v>
      </c>
      <c r="N2060" t="str" cm="1">
        <f t="array" ref="N2060">IF(MOD(ROW()-ROW($B$2),16)=0,INDEX($M$2:$M$1000,(ROW()-ROW($B$2))/16+1),"")</f>
        <v/>
      </c>
    </row>
    <row r="2061" spans="2:14" x14ac:dyDescent="0.3">
      <c r="B2061" t="s">
        <v>2177</v>
      </c>
      <c r="C2061" t="s">
        <v>4317</v>
      </c>
      <c r="D2061" t="s">
        <v>4318</v>
      </c>
      <c r="E2061">
        <v>0</v>
      </c>
      <c r="F2061" t="s">
        <v>4318</v>
      </c>
      <c r="N2061" t="str" cm="1">
        <f t="array" ref="N2061">IF(MOD(ROW()-ROW($B$2),16)=0,INDEX($M$2:$M$1000,(ROW()-ROW($B$2))/16+1),"")</f>
        <v/>
      </c>
    </row>
    <row r="2062" spans="2:14" x14ac:dyDescent="0.3">
      <c r="B2062" t="s">
        <v>2177</v>
      </c>
      <c r="C2062" t="s">
        <v>4319</v>
      </c>
      <c r="D2062" t="s">
        <v>4320</v>
      </c>
      <c r="E2062">
        <v>0</v>
      </c>
      <c r="F2062" t="s">
        <v>4320</v>
      </c>
      <c r="N2062" t="str" cm="1">
        <f t="array" ref="N2062">IF(MOD(ROW()-ROW($B$2),16)=0,INDEX($M$2:$M$1000,(ROW()-ROW($B$2))/16+1),"")</f>
        <v/>
      </c>
    </row>
    <row r="2063" spans="2:14" x14ac:dyDescent="0.3">
      <c r="B2063" t="s">
        <v>2177</v>
      </c>
      <c r="C2063" t="s">
        <v>4321</v>
      </c>
      <c r="D2063" t="s">
        <v>4322</v>
      </c>
      <c r="E2063">
        <v>0</v>
      </c>
      <c r="F2063" t="s">
        <v>4322</v>
      </c>
      <c r="N2063" t="str" cm="1">
        <f t="array" ref="N2063">IF(MOD(ROW()-ROW($B$2),16)=0,INDEX($M$2:$M$1000,(ROW()-ROW($B$2))/16+1),"")</f>
        <v/>
      </c>
    </row>
    <row r="2064" spans="2:14" x14ac:dyDescent="0.3">
      <c r="B2064" t="s">
        <v>2177</v>
      </c>
      <c r="C2064" t="s">
        <v>4323</v>
      </c>
      <c r="D2064" t="s">
        <v>4324</v>
      </c>
      <c r="E2064">
        <v>0</v>
      </c>
      <c r="F2064" t="s">
        <v>4324</v>
      </c>
      <c r="N2064" t="str" cm="1">
        <f t="array" ref="N2064">IF(MOD(ROW()-ROW($B$2),16)=0,INDEX($M$2:$M$1000,(ROW()-ROW($B$2))/16+1),"")</f>
        <v/>
      </c>
    </row>
    <row r="2065" spans="2:14" x14ac:dyDescent="0.3">
      <c r="B2065" t="s">
        <v>2177</v>
      </c>
      <c r="C2065" t="s">
        <v>4325</v>
      </c>
      <c r="D2065" t="s">
        <v>4326</v>
      </c>
      <c r="E2065">
        <v>0</v>
      </c>
      <c r="F2065" t="s">
        <v>4326</v>
      </c>
      <c r="N2065" t="str" cm="1">
        <f t="array" ref="N2065">IF(MOD(ROW()-ROW($B$2),16)=0,INDEX($M$2:$M$1000,(ROW()-ROW($B$2))/16+1),"")</f>
        <v/>
      </c>
    </row>
    <row r="2066" spans="2:14" x14ac:dyDescent="0.3">
      <c r="B2066" t="s">
        <v>2177</v>
      </c>
      <c r="C2066" t="s">
        <v>4327</v>
      </c>
      <c r="D2066" t="s">
        <v>4328</v>
      </c>
      <c r="E2066">
        <v>0</v>
      </c>
      <c r="F2066" t="s">
        <v>4328</v>
      </c>
      <c r="N2066" t="str" cm="1">
        <f t="array" ref="N2066">IF(MOD(ROW()-ROW($B$2),16)=0,INDEX($M$2:$M$1000,(ROW()-ROW($B$2))/16+1),"")</f>
        <v/>
      </c>
    </row>
    <row r="2067" spans="2:14" x14ac:dyDescent="0.3">
      <c r="B2067" t="s">
        <v>2177</v>
      </c>
      <c r="C2067" t="s">
        <v>4329</v>
      </c>
      <c r="D2067" t="s">
        <v>4330</v>
      </c>
      <c r="E2067">
        <v>0</v>
      </c>
      <c r="F2067" t="s">
        <v>4330</v>
      </c>
      <c r="N2067" t="str" cm="1">
        <f t="array" ref="N2067">IF(MOD(ROW()-ROW($B$2),16)=0,INDEX($M$2:$M$1000,(ROW()-ROW($B$2))/16+1),"")</f>
        <v/>
      </c>
    </row>
    <row r="2068" spans="2:14" x14ac:dyDescent="0.3">
      <c r="B2068" t="s">
        <v>2177</v>
      </c>
      <c r="C2068" t="s">
        <v>4331</v>
      </c>
      <c r="D2068" t="s">
        <v>4332</v>
      </c>
      <c r="E2068">
        <v>0</v>
      </c>
      <c r="F2068" t="s">
        <v>4332</v>
      </c>
      <c r="N2068" t="str" cm="1">
        <f t="array" ref="N2068">IF(MOD(ROW()-ROW($B$2),16)=0,INDEX($M$2:$M$1000,(ROW()-ROW($B$2))/16+1),"")</f>
        <v/>
      </c>
    </row>
    <row r="2069" spans="2:14" x14ac:dyDescent="0.3">
      <c r="B2069" t="s">
        <v>2177</v>
      </c>
      <c r="C2069" t="s">
        <v>4333</v>
      </c>
      <c r="D2069" t="s">
        <v>4332</v>
      </c>
      <c r="E2069">
        <v>0</v>
      </c>
      <c r="F2069" t="s">
        <v>4332</v>
      </c>
      <c r="N2069" t="str" cm="1">
        <f t="array" ref="N2069">IF(MOD(ROW()-ROW($B$2),16)=0,INDEX($M$2:$M$1000,(ROW()-ROW($B$2))/16+1),"")</f>
        <v/>
      </c>
    </row>
    <row r="2070" spans="2:14" x14ac:dyDescent="0.3">
      <c r="B2070" t="s">
        <v>2177</v>
      </c>
      <c r="C2070" t="s">
        <v>4334</v>
      </c>
      <c r="D2070" t="s">
        <v>4332</v>
      </c>
      <c r="E2070">
        <v>0</v>
      </c>
      <c r="F2070" t="s">
        <v>4332</v>
      </c>
      <c r="N2070" t="str" cm="1">
        <f t="array" ref="N2070">IF(MOD(ROW()-ROW($B$2),16)=0,INDEX($M$2:$M$1000,(ROW()-ROW($B$2))/16+1),"")</f>
        <v/>
      </c>
    </row>
    <row r="2071" spans="2:14" x14ac:dyDescent="0.3">
      <c r="B2071" t="s">
        <v>2177</v>
      </c>
      <c r="C2071" t="s">
        <v>4335</v>
      </c>
      <c r="D2071" t="s">
        <v>4332</v>
      </c>
      <c r="E2071">
        <v>0</v>
      </c>
      <c r="F2071" t="s">
        <v>4332</v>
      </c>
      <c r="N2071" t="str" cm="1">
        <f t="array" ref="N2071">IF(MOD(ROW()-ROW($B$2),16)=0,INDEX($M$2:$M$1000,(ROW()-ROW($B$2))/16+1),"")</f>
        <v/>
      </c>
    </row>
    <row r="2072" spans="2:14" x14ac:dyDescent="0.3">
      <c r="B2072" t="s">
        <v>2177</v>
      </c>
      <c r="C2072" t="s">
        <v>4336</v>
      </c>
      <c r="D2072" t="s">
        <v>4332</v>
      </c>
      <c r="E2072">
        <v>0</v>
      </c>
      <c r="F2072" t="s">
        <v>4332</v>
      </c>
      <c r="N2072" t="str" cm="1">
        <f t="array" ref="N2072">IF(MOD(ROW()-ROW($B$2),16)=0,INDEX($M$2:$M$1000,(ROW()-ROW($B$2))/16+1),"")</f>
        <v/>
      </c>
    </row>
    <row r="2073" spans="2:14" x14ac:dyDescent="0.3">
      <c r="B2073" t="s">
        <v>2177</v>
      </c>
      <c r="C2073" t="s">
        <v>4337</v>
      </c>
      <c r="D2073" t="s">
        <v>4332</v>
      </c>
      <c r="E2073">
        <v>0</v>
      </c>
      <c r="F2073" t="s">
        <v>4332</v>
      </c>
      <c r="N2073" t="str" cm="1">
        <f t="array" ref="N2073">IF(MOD(ROW()-ROW($B$2),16)=0,INDEX($M$2:$M$1000,(ROW()-ROW($B$2))/16+1),"")</f>
        <v/>
      </c>
    </row>
    <row r="2074" spans="2:14" x14ac:dyDescent="0.3">
      <c r="B2074" t="s">
        <v>2177</v>
      </c>
      <c r="C2074" t="s">
        <v>1</v>
      </c>
      <c r="D2074" t="s">
        <v>4338</v>
      </c>
      <c r="E2074">
        <v>0</v>
      </c>
      <c r="F2074" t="s">
        <v>4338</v>
      </c>
      <c r="N2074" t="str" cm="1">
        <f t="array" ref="N2074">IF(MOD(ROW()-ROW($B$2),16)=0,INDEX($M$2:$M$1000,(ROW()-ROW($B$2))/16+1),"")</f>
        <v/>
      </c>
    </row>
    <row r="2075" spans="2:14" x14ac:dyDescent="0.3">
      <c r="B2075" t="s">
        <v>2177</v>
      </c>
      <c r="C2075" t="s">
        <v>2</v>
      </c>
      <c r="D2075" t="s">
        <v>4339</v>
      </c>
      <c r="E2075">
        <v>0</v>
      </c>
      <c r="F2075" t="s">
        <v>4339</v>
      </c>
      <c r="N2075" t="str" cm="1">
        <f t="array" ref="N2075">IF(MOD(ROW()-ROW($B$2),16)=0,INDEX($M$2:$M$1000,(ROW()-ROW($B$2))/16+1),"")</f>
        <v/>
      </c>
    </row>
    <row r="2076" spans="2:14" x14ac:dyDescent="0.3">
      <c r="B2076" t="s">
        <v>2177</v>
      </c>
      <c r="C2076" t="s">
        <v>3</v>
      </c>
      <c r="D2076" t="s">
        <v>4340</v>
      </c>
      <c r="E2076">
        <v>0</v>
      </c>
      <c r="F2076" t="s">
        <v>4340</v>
      </c>
      <c r="N2076" t="str" cm="1">
        <f t="array" ref="N2076">IF(MOD(ROW()-ROW($B$2),16)=0,INDEX($M$2:$M$1000,(ROW()-ROW($B$2))/16+1),"")</f>
        <v/>
      </c>
    </row>
    <row r="2077" spans="2:14" x14ac:dyDescent="0.3">
      <c r="B2077" t="s">
        <v>2177</v>
      </c>
      <c r="C2077" t="s">
        <v>4</v>
      </c>
      <c r="D2077" t="s">
        <v>4341</v>
      </c>
      <c r="E2077">
        <v>0</v>
      </c>
      <c r="F2077" t="s">
        <v>4341</v>
      </c>
      <c r="N2077" t="str" cm="1">
        <f t="array" ref="N2077">IF(MOD(ROW()-ROW($B$2),16)=0,INDEX($M$2:$M$1000,(ROW()-ROW($B$2))/16+1),"")</f>
        <v/>
      </c>
    </row>
    <row r="2078" spans="2:14" x14ac:dyDescent="0.3">
      <c r="B2078" t="s">
        <v>2177</v>
      </c>
      <c r="C2078" t="s">
        <v>5</v>
      </c>
      <c r="D2078" t="s">
        <v>4342</v>
      </c>
      <c r="E2078">
        <v>0</v>
      </c>
      <c r="F2078" t="s">
        <v>4342</v>
      </c>
      <c r="N2078" t="str" cm="1">
        <f t="array" ref="N2078">IF(MOD(ROW()-ROW($B$2),16)=0,INDEX($M$2:$M$1000,(ROW()-ROW($B$2))/16+1),"")</f>
        <v/>
      </c>
    </row>
    <row r="2079" spans="2:14" x14ac:dyDescent="0.3">
      <c r="B2079" t="s">
        <v>2177</v>
      </c>
      <c r="C2079" t="s">
        <v>7</v>
      </c>
      <c r="D2079" t="s">
        <v>4343</v>
      </c>
      <c r="E2079">
        <v>0</v>
      </c>
      <c r="F2079" t="s">
        <v>4343</v>
      </c>
      <c r="N2079" t="str" cm="1">
        <f t="array" ref="N2079">IF(MOD(ROW()-ROW($B$2),16)=0,INDEX($M$2:$M$1000,(ROW()-ROW($B$2))/16+1),"")</f>
        <v/>
      </c>
    </row>
    <row r="2080" spans="2:14" x14ac:dyDescent="0.3">
      <c r="B2080" t="s">
        <v>2177</v>
      </c>
      <c r="C2080" t="s">
        <v>8</v>
      </c>
      <c r="D2080" t="s">
        <v>4344</v>
      </c>
      <c r="E2080">
        <v>0</v>
      </c>
      <c r="F2080" t="s">
        <v>4344</v>
      </c>
      <c r="N2080" t="str" cm="1">
        <f t="array" ref="N2080">IF(MOD(ROW()-ROW($B$2),16)=0,INDEX($M$2:$M$1000,(ROW()-ROW($B$2))/16+1),"")</f>
        <v/>
      </c>
    </row>
    <row r="2081" spans="2:14" x14ac:dyDescent="0.3">
      <c r="B2081" t="s">
        <v>2177</v>
      </c>
      <c r="C2081" t="s">
        <v>9</v>
      </c>
      <c r="D2081" t="s">
        <v>4345</v>
      </c>
      <c r="E2081">
        <v>0</v>
      </c>
      <c r="F2081" t="s">
        <v>4345</v>
      </c>
      <c r="N2081" t="str" cm="1">
        <f t="array" ref="N2081">IF(MOD(ROW()-ROW($B$2),16)=0,INDEX($M$2:$M$1000,(ROW()-ROW($B$2))/16+1),"")</f>
        <v/>
      </c>
    </row>
    <row r="2082" spans="2:14" x14ac:dyDescent="0.3">
      <c r="B2082" t="s">
        <v>2177</v>
      </c>
      <c r="C2082" t="s">
        <v>6</v>
      </c>
      <c r="D2082" t="s">
        <v>4346</v>
      </c>
      <c r="E2082">
        <v>0</v>
      </c>
      <c r="F2082" t="s">
        <v>4346</v>
      </c>
      <c r="N2082" t="str" cm="1">
        <f t="array" ref="N2082">IF(MOD(ROW()-ROW($B$2),16)=0,INDEX($M$2:$M$1000,(ROW()-ROW($B$2))/16+1),"")</f>
        <v>HMI Скорость робота (0)</v>
      </c>
    </row>
    <row r="2083" spans="2:14" x14ac:dyDescent="0.3">
      <c r="B2083" t="s">
        <v>2177</v>
      </c>
      <c r="C2083" t="s">
        <v>28</v>
      </c>
      <c r="D2083" t="s">
        <v>4346</v>
      </c>
      <c r="E2083">
        <v>0</v>
      </c>
      <c r="F2083" t="s">
        <v>4346</v>
      </c>
      <c r="N2083" t="str" cm="1">
        <f t="array" ref="N2083">IF(MOD(ROW()-ROW($B$2),16)=0,INDEX($M$2:$M$1000,(ROW()-ROW($B$2))/16+1),"")</f>
        <v/>
      </c>
    </row>
    <row r="2084" spans="2:14" x14ac:dyDescent="0.3">
      <c r="B2084" t="s">
        <v>2177</v>
      </c>
      <c r="C2084" t="s">
        <v>29</v>
      </c>
      <c r="D2084" t="s">
        <v>4346</v>
      </c>
      <c r="E2084">
        <v>0</v>
      </c>
      <c r="F2084" t="s">
        <v>4346</v>
      </c>
      <c r="N2084" t="str" cm="1">
        <f t="array" ref="N2084">IF(MOD(ROW()-ROW($B$2),16)=0,INDEX($M$2:$M$1000,(ROW()-ROW($B$2))/16+1),"")</f>
        <v/>
      </c>
    </row>
    <row r="2085" spans="2:14" x14ac:dyDescent="0.3">
      <c r="B2085" t="s">
        <v>2177</v>
      </c>
      <c r="C2085" t="s">
        <v>30</v>
      </c>
      <c r="D2085" t="s">
        <v>4346</v>
      </c>
      <c r="E2085">
        <v>0</v>
      </c>
      <c r="F2085" t="s">
        <v>4346</v>
      </c>
      <c r="N2085" t="str" cm="1">
        <f t="array" ref="N2085">IF(MOD(ROW()-ROW($B$2),16)=0,INDEX($M$2:$M$1000,(ROW()-ROW($B$2))/16+1),"")</f>
        <v/>
      </c>
    </row>
    <row r="2086" spans="2:14" x14ac:dyDescent="0.3">
      <c r="B2086" t="s">
        <v>2177</v>
      </c>
      <c r="C2086" t="s">
        <v>31</v>
      </c>
      <c r="D2086" t="s">
        <v>4346</v>
      </c>
      <c r="E2086">
        <v>0</v>
      </c>
      <c r="F2086" t="s">
        <v>4346</v>
      </c>
      <c r="N2086" t="str" cm="1">
        <f t="array" ref="N2086">IF(MOD(ROW()-ROW($B$2),16)=0,INDEX($M$2:$M$1000,(ROW()-ROW($B$2))/16+1),"")</f>
        <v/>
      </c>
    </row>
    <row r="2087" spans="2:14" x14ac:dyDescent="0.3">
      <c r="B2087" t="s">
        <v>2177</v>
      </c>
      <c r="C2087" t="s">
        <v>32</v>
      </c>
      <c r="D2087" t="s">
        <v>4346</v>
      </c>
      <c r="E2087">
        <v>0</v>
      </c>
      <c r="F2087" t="s">
        <v>4346</v>
      </c>
      <c r="N2087" t="str" cm="1">
        <f t="array" ref="N2087">IF(MOD(ROW()-ROW($B$2),16)=0,INDEX($M$2:$M$1000,(ROW()-ROW($B$2))/16+1),"")</f>
        <v/>
      </c>
    </row>
    <row r="2088" spans="2:14" x14ac:dyDescent="0.3">
      <c r="B2088" t="s">
        <v>2177</v>
      </c>
      <c r="C2088" t="s">
        <v>33</v>
      </c>
      <c r="D2088" t="s">
        <v>4346</v>
      </c>
      <c r="E2088">
        <v>0</v>
      </c>
      <c r="F2088" t="s">
        <v>4346</v>
      </c>
      <c r="N2088" t="str" cm="1">
        <f t="array" ref="N2088">IF(MOD(ROW()-ROW($B$2),16)=0,INDEX($M$2:$M$1000,(ROW()-ROW($B$2))/16+1),"")</f>
        <v/>
      </c>
    </row>
    <row r="2089" spans="2:14" x14ac:dyDescent="0.3">
      <c r="B2089" t="s">
        <v>2177</v>
      </c>
      <c r="C2089" t="s">
        <v>34</v>
      </c>
      <c r="D2089" t="s">
        <v>4346</v>
      </c>
      <c r="E2089">
        <v>0</v>
      </c>
      <c r="F2089" t="s">
        <v>4346</v>
      </c>
      <c r="N2089" t="str" cm="1">
        <f t="array" ref="N2089">IF(MOD(ROW()-ROW($B$2),16)=0,INDEX($M$2:$M$1000,(ROW()-ROW($B$2))/16+1),"")</f>
        <v/>
      </c>
    </row>
    <row r="2090" spans="2:14" x14ac:dyDescent="0.3">
      <c r="B2090" t="s">
        <v>2177</v>
      </c>
      <c r="C2090" t="s">
        <v>311</v>
      </c>
      <c r="D2090" t="s">
        <v>4347</v>
      </c>
      <c r="E2090">
        <v>0</v>
      </c>
      <c r="F2090" t="s">
        <v>4347</v>
      </c>
      <c r="N2090" t="str" cm="1">
        <f t="array" ref="N2090">IF(MOD(ROW()-ROW($B$2),16)=0,INDEX($M$2:$M$1000,(ROW()-ROW($B$2))/16+1),"")</f>
        <v/>
      </c>
    </row>
    <row r="2091" spans="2:14" x14ac:dyDescent="0.3">
      <c r="B2091" t="s">
        <v>2177</v>
      </c>
      <c r="C2091" t="s">
        <v>312</v>
      </c>
      <c r="D2091" t="s">
        <v>4348</v>
      </c>
      <c r="E2091">
        <v>0</v>
      </c>
      <c r="F2091" t="s">
        <v>4348</v>
      </c>
      <c r="N2091" t="str" cm="1">
        <f t="array" ref="N2091">IF(MOD(ROW()-ROW($B$2),16)=0,INDEX($M$2:$M$1000,(ROW()-ROW($B$2))/16+1),"")</f>
        <v/>
      </c>
    </row>
    <row r="2092" spans="2:14" x14ac:dyDescent="0.3">
      <c r="B2092" t="s">
        <v>2177</v>
      </c>
      <c r="C2092" t="s">
        <v>313</v>
      </c>
      <c r="D2092" t="s">
        <v>4349</v>
      </c>
      <c r="E2092">
        <v>0</v>
      </c>
      <c r="F2092" t="s">
        <v>4349</v>
      </c>
      <c r="N2092" t="str" cm="1">
        <f t="array" ref="N2092">IF(MOD(ROW()-ROW($B$2),16)=0,INDEX($M$2:$M$1000,(ROW()-ROW($B$2))/16+1),"")</f>
        <v/>
      </c>
    </row>
    <row r="2093" spans="2:14" x14ac:dyDescent="0.3">
      <c r="B2093" t="s">
        <v>2177</v>
      </c>
      <c r="C2093" t="s">
        <v>314</v>
      </c>
      <c r="D2093" t="s">
        <v>4350</v>
      </c>
      <c r="E2093">
        <v>0</v>
      </c>
      <c r="F2093" t="s">
        <v>4350</v>
      </c>
      <c r="N2093" t="str" cm="1">
        <f t="array" ref="N2093">IF(MOD(ROW()-ROW($B$2),16)=0,INDEX($M$2:$M$1000,(ROW()-ROW($B$2))/16+1),"")</f>
        <v/>
      </c>
    </row>
    <row r="2094" spans="2:14" x14ac:dyDescent="0.3">
      <c r="B2094" t="s">
        <v>2177</v>
      </c>
      <c r="C2094" t="s">
        <v>315</v>
      </c>
      <c r="D2094" t="s">
        <v>4351</v>
      </c>
      <c r="E2094">
        <v>0</v>
      </c>
      <c r="F2094" t="s">
        <v>4351</v>
      </c>
      <c r="N2094" t="str" cm="1">
        <f t="array" ref="N2094">IF(MOD(ROW()-ROW($B$2),16)=0,INDEX($M$2:$M$1000,(ROW()-ROW($B$2))/16+1),"")</f>
        <v/>
      </c>
    </row>
    <row r="2095" spans="2:14" x14ac:dyDescent="0.3">
      <c r="B2095" t="s">
        <v>2177</v>
      </c>
      <c r="C2095" t="s">
        <v>316</v>
      </c>
      <c r="D2095" t="s">
        <v>4352</v>
      </c>
      <c r="E2095">
        <v>0</v>
      </c>
      <c r="F2095" t="s">
        <v>4352</v>
      </c>
      <c r="N2095" t="str" cm="1">
        <f t="array" ref="N2095">IF(MOD(ROW()-ROW($B$2),16)=0,INDEX($M$2:$M$1000,(ROW()-ROW($B$2))/16+1),"")</f>
        <v/>
      </c>
    </row>
    <row r="2096" spans="2:14" x14ac:dyDescent="0.3">
      <c r="B2096" t="s">
        <v>2177</v>
      </c>
      <c r="C2096" t="s">
        <v>317</v>
      </c>
      <c r="D2096" t="s">
        <v>4353</v>
      </c>
      <c r="E2096">
        <v>0</v>
      </c>
      <c r="F2096" t="s">
        <v>4353</v>
      </c>
      <c r="N2096" t="str" cm="1">
        <f t="array" ref="N2096">IF(MOD(ROW()-ROW($B$2),16)=0,INDEX($M$2:$M$1000,(ROW()-ROW($B$2))/16+1),"")</f>
        <v/>
      </c>
    </row>
    <row r="2097" spans="2:14" x14ac:dyDescent="0.3">
      <c r="B2097" t="s">
        <v>2177</v>
      </c>
      <c r="C2097" t="s">
        <v>318</v>
      </c>
      <c r="D2097" t="s">
        <v>4354</v>
      </c>
      <c r="E2097">
        <v>0</v>
      </c>
      <c r="F2097" t="s">
        <v>4354</v>
      </c>
      <c r="N2097" t="str" cm="1">
        <f t="array" ref="N2097">IF(MOD(ROW()-ROW($B$2),16)=0,INDEX($M$2:$M$1000,(ROW()-ROW($B$2))/16+1),"")</f>
        <v/>
      </c>
    </row>
    <row r="2098" spans="2:14" x14ac:dyDescent="0.3">
      <c r="B2098" t="s">
        <v>2177</v>
      </c>
      <c r="C2098" t="s">
        <v>327</v>
      </c>
      <c r="D2098" t="s">
        <v>4355</v>
      </c>
      <c r="E2098">
        <v>0</v>
      </c>
      <c r="F2098" t="s">
        <v>4355</v>
      </c>
      <c r="N2098" t="str" cm="1">
        <f t="array" ref="N2098">IF(MOD(ROW()-ROW($B$2),16)=0,INDEX($M$2:$M$1000,(ROW()-ROW($B$2))/16+1),"")</f>
        <v>HMI Время, в течении которого разблокирована полка после нажатия кнопки (0)</v>
      </c>
    </row>
    <row r="2099" spans="2:14" x14ac:dyDescent="0.3">
      <c r="B2099" t="s">
        <v>2177</v>
      </c>
      <c r="C2099" t="s">
        <v>328</v>
      </c>
      <c r="D2099" t="s">
        <v>4356</v>
      </c>
      <c r="E2099">
        <v>0</v>
      </c>
      <c r="F2099" t="s">
        <v>4356</v>
      </c>
      <c r="N2099" t="str" cm="1">
        <f t="array" ref="N2099">IF(MOD(ROW()-ROW($B$2),16)=0,INDEX($M$2:$M$1000,(ROW()-ROW($B$2))/16+1),"")</f>
        <v/>
      </c>
    </row>
    <row r="2100" spans="2:14" x14ac:dyDescent="0.3">
      <c r="B2100" t="s">
        <v>2177</v>
      </c>
      <c r="C2100" t="s">
        <v>329</v>
      </c>
      <c r="D2100" t="s">
        <v>4357</v>
      </c>
      <c r="E2100">
        <v>0</v>
      </c>
      <c r="F2100" t="s">
        <v>4357</v>
      </c>
      <c r="N2100" t="str" cm="1">
        <f t="array" ref="N2100">IF(MOD(ROW()-ROW($B$2),16)=0,INDEX($M$2:$M$1000,(ROW()-ROW($B$2))/16+1),"")</f>
        <v/>
      </c>
    </row>
    <row r="2101" spans="2:14" x14ac:dyDescent="0.3">
      <c r="B2101" t="s">
        <v>2177</v>
      </c>
      <c r="C2101" t="s">
        <v>330</v>
      </c>
      <c r="D2101" t="s">
        <v>4358</v>
      </c>
      <c r="E2101">
        <v>0</v>
      </c>
      <c r="F2101" t="s">
        <v>4358</v>
      </c>
      <c r="N2101" t="str" cm="1">
        <f t="array" ref="N2101">IF(MOD(ROW()-ROW($B$2),16)=0,INDEX($M$2:$M$1000,(ROW()-ROW($B$2))/16+1),"")</f>
        <v/>
      </c>
    </row>
    <row r="2102" spans="2:14" x14ac:dyDescent="0.3">
      <c r="B2102" t="s">
        <v>2177</v>
      </c>
      <c r="C2102" t="s">
        <v>331</v>
      </c>
      <c r="D2102" t="s">
        <v>4359</v>
      </c>
      <c r="E2102">
        <v>0</v>
      </c>
      <c r="F2102" t="s">
        <v>4359</v>
      </c>
      <c r="N2102" t="str" cm="1">
        <f t="array" ref="N2102">IF(MOD(ROW()-ROW($B$2),16)=0,INDEX($M$2:$M$1000,(ROW()-ROW($B$2))/16+1),"")</f>
        <v/>
      </c>
    </row>
    <row r="2103" spans="2:14" x14ac:dyDescent="0.3">
      <c r="B2103" t="s">
        <v>2177</v>
      </c>
      <c r="C2103" t="s">
        <v>332</v>
      </c>
      <c r="D2103" t="s">
        <v>4360</v>
      </c>
      <c r="E2103">
        <v>0</v>
      </c>
      <c r="F2103" t="s">
        <v>4360</v>
      </c>
      <c r="N2103" t="str" cm="1">
        <f t="array" ref="N2103">IF(MOD(ROW()-ROW($B$2),16)=0,INDEX($M$2:$M$1000,(ROW()-ROW($B$2))/16+1),"")</f>
        <v/>
      </c>
    </row>
    <row r="2104" spans="2:14" x14ac:dyDescent="0.3">
      <c r="B2104" t="s">
        <v>2177</v>
      </c>
      <c r="C2104" t="s">
        <v>333</v>
      </c>
      <c r="D2104" t="s">
        <v>4361</v>
      </c>
      <c r="E2104">
        <v>0</v>
      </c>
      <c r="F2104" t="s">
        <v>4361</v>
      </c>
      <c r="N2104" t="str" cm="1">
        <f t="array" ref="N2104">IF(MOD(ROW()-ROW($B$2),16)=0,INDEX($M$2:$M$1000,(ROW()-ROW($B$2))/16+1),"")</f>
        <v/>
      </c>
    </row>
    <row r="2105" spans="2:14" x14ac:dyDescent="0.3">
      <c r="B2105" t="s">
        <v>2177</v>
      </c>
      <c r="C2105" t="s">
        <v>334</v>
      </c>
      <c r="D2105" t="s">
        <v>4362</v>
      </c>
      <c r="E2105">
        <v>0</v>
      </c>
      <c r="F2105" t="s">
        <v>4362</v>
      </c>
      <c r="N2105" t="str" cm="1">
        <f t="array" ref="N2105">IF(MOD(ROW()-ROW($B$2),16)=0,INDEX($M$2:$M$1000,(ROW()-ROW($B$2))/16+1),"")</f>
        <v/>
      </c>
    </row>
    <row r="2106" spans="2:14" x14ac:dyDescent="0.3">
      <c r="B2106" t="s">
        <v>2177</v>
      </c>
      <c r="C2106" t="s">
        <v>319</v>
      </c>
      <c r="D2106" t="s">
        <v>4346</v>
      </c>
      <c r="E2106">
        <v>0</v>
      </c>
      <c r="F2106" t="s">
        <v>4346</v>
      </c>
      <c r="N2106" t="str" cm="1">
        <f t="array" ref="N2106">IF(MOD(ROW()-ROW($B$2),16)=0,INDEX($M$2:$M$1000,(ROW()-ROW($B$2))/16+1),"")</f>
        <v/>
      </c>
    </row>
    <row r="2107" spans="2:14" x14ac:dyDescent="0.3">
      <c r="B2107" t="s">
        <v>2177</v>
      </c>
      <c r="C2107" t="s">
        <v>320</v>
      </c>
      <c r="D2107" t="s">
        <v>4346</v>
      </c>
      <c r="E2107">
        <v>0</v>
      </c>
      <c r="F2107" t="s">
        <v>4346</v>
      </c>
      <c r="N2107" t="str" cm="1">
        <f t="array" ref="N2107">IF(MOD(ROW()-ROW($B$2),16)=0,INDEX($M$2:$M$1000,(ROW()-ROW($B$2))/16+1),"")</f>
        <v/>
      </c>
    </row>
    <row r="2108" spans="2:14" x14ac:dyDescent="0.3">
      <c r="B2108" t="s">
        <v>2177</v>
      </c>
      <c r="C2108" t="s">
        <v>321</v>
      </c>
      <c r="D2108" t="s">
        <v>4346</v>
      </c>
      <c r="E2108">
        <v>0</v>
      </c>
      <c r="F2108" t="s">
        <v>4346</v>
      </c>
      <c r="N2108" t="str" cm="1">
        <f t="array" ref="N2108">IF(MOD(ROW()-ROW($B$2),16)=0,INDEX($M$2:$M$1000,(ROW()-ROW($B$2))/16+1),"")</f>
        <v/>
      </c>
    </row>
    <row r="2109" spans="2:14" x14ac:dyDescent="0.3">
      <c r="B2109" t="s">
        <v>2177</v>
      </c>
      <c r="C2109" t="s">
        <v>322</v>
      </c>
      <c r="D2109" t="s">
        <v>4346</v>
      </c>
      <c r="E2109">
        <v>0</v>
      </c>
      <c r="F2109" t="s">
        <v>4346</v>
      </c>
      <c r="N2109" t="str" cm="1">
        <f t="array" ref="N2109">IF(MOD(ROW()-ROW($B$2),16)=0,INDEX($M$2:$M$1000,(ROW()-ROW($B$2))/16+1),"")</f>
        <v/>
      </c>
    </row>
    <row r="2110" spans="2:14" x14ac:dyDescent="0.3">
      <c r="B2110" t="s">
        <v>2177</v>
      </c>
      <c r="C2110" t="s">
        <v>323</v>
      </c>
      <c r="D2110" t="s">
        <v>4346</v>
      </c>
      <c r="E2110">
        <v>0</v>
      </c>
      <c r="F2110" t="s">
        <v>4346</v>
      </c>
      <c r="N2110" t="str" cm="1">
        <f t="array" ref="N2110">IF(MOD(ROW()-ROW($B$2),16)=0,INDEX($M$2:$M$1000,(ROW()-ROW($B$2))/16+1),"")</f>
        <v/>
      </c>
    </row>
    <row r="2111" spans="2:14" x14ac:dyDescent="0.3">
      <c r="B2111" t="s">
        <v>2177</v>
      </c>
      <c r="C2111" t="s">
        <v>324</v>
      </c>
      <c r="D2111" t="s">
        <v>4346</v>
      </c>
      <c r="E2111">
        <v>0</v>
      </c>
      <c r="F2111" t="s">
        <v>4346</v>
      </c>
      <c r="N2111" t="str" cm="1">
        <f t="array" ref="N2111">IF(MOD(ROW()-ROW($B$2),16)=0,INDEX($M$2:$M$1000,(ROW()-ROW($B$2))/16+1),"")</f>
        <v/>
      </c>
    </row>
    <row r="2112" spans="2:14" x14ac:dyDescent="0.3">
      <c r="B2112" t="s">
        <v>2177</v>
      </c>
      <c r="C2112" t="s">
        <v>325</v>
      </c>
      <c r="D2112" t="s">
        <v>4346</v>
      </c>
      <c r="E2112">
        <v>0</v>
      </c>
      <c r="F2112" t="s">
        <v>4346</v>
      </c>
      <c r="N2112" t="str" cm="1">
        <f t="array" ref="N2112">IF(MOD(ROW()-ROW($B$2),16)=0,INDEX($M$2:$M$1000,(ROW()-ROW($B$2))/16+1),"")</f>
        <v/>
      </c>
    </row>
    <row r="2113" spans="2:14" x14ac:dyDescent="0.3">
      <c r="B2113" t="s">
        <v>2177</v>
      </c>
      <c r="C2113" t="s">
        <v>326</v>
      </c>
      <c r="D2113" t="s">
        <v>4346</v>
      </c>
      <c r="E2113">
        <v>0</v>
      </c>
      <c r="F2113" t="s">
        <v>4346</v>
      </c>
      <c r="N2113" t="str" cm="1">
        <f t="array" ref="N2113">IF(MOD(ROW()-ROW($B$2),16)=0,INDEX($M$2:$M$1000,(ROW()-ROW($B$2))/16+1),"")</f>
        <v/>
      </c>
    </row>
    <row r="2114" spans="2:14" x14ac:dyDescent="0.3">
      <c r="B2114" t="s">
        <v>2177</v>
      </c>
      <c r="C2114" t="s">
        <v>335</v>
      </c>
      <c r="D2114" t="s">
        <v>4363</v>
      </c>
      <c r="E2114">
        <v>0</v>
      </c>
      <c r="F2114" t="s">
        <v>4363</v>
      </c>
      <c r="N2114" t="str" cm="1">
        <f t="array" ref="N2114">IF(MOD(ROW()-ROW($B$2),16)=0,INDEX($M$2:$M$1000,(ROW()-ROW($B$2))/16+1),"")</f>
        <v>HMI Количество деталей на полке 1 (0)</v>
      </c>
    </row>
    <row r="2115" spans="2:14" x14ac:dyDescent="0.3">
      <c r="B2115" t="s">
        <v>2177</v>
      </c>
      <c r="C2115" t="s">
        <v>336</v>
      </c>
      <c r="D2115" t="s">
        <v>4364</v>
      </c>
      <c r="E2115">
        <v>0</v>
      </c>
      <c r="F2115" t="s">
        <v>4364</v>
      </c>
      <c r="N2115" t="str" cm="1">
        <f t="array" ref="N2115">IF(MOD(ROW()-ROW($B$2),16)=0,INDEX($M$2:$M$1000,(ROW()-ROW($B$2))/16+1),"")</f>
        <v/>
      </c>
    </row>
    <row r="2116" spans="2:14" x14ac:dyDescent="0.3">
      <c r="B2116" t="s">
        <v>2177</v>
      </c>
      <c r="C2116" t="s">
        <v>337</v>
      </c>
      <c r="D2116" t="s">
        <v>4365</v>
      </c>
      <c r="E2116">
        <v>0</v>
      </c>
      <c r="F2116" t="s">
        <v>4365</v>
      </c>
      <c r="N2116" t="str" cm="1">
        <f t="array" ref="N2116">IF(MOD(ROW()-ROW($B$2),16)=0,INDEX($M$2:$M$1000,(ROW()-ROW($B$2))/16+1),"")</f>
        <v/>
      </c>
    </row>
    <row r="2117" spans="2:14" x14ac:dyDescent="0.3">
      <c r="B2117" t="s">
        <v>2177</v>
      </c>
      <c r="C2117" t="s">
        <v>338</v>
      </c>
      <c r="D2117" t="s">
        <v>4366</v>
      </c>
      <c r="E2117">
        <v>0</v>
      </c>
      <c r="F2117" t="s">
        <v>4366</v>
      </c>
      <c r="N2117" t="str" cm="1">
        <f t="array" ref="N2117">IF(MOD(ROW()-ROW($B$2),16)=0,INDEX($M$2:$M$1000,(ROW()-ROW($B$2))/16+1),"")</f>
        <v/>
      </c>
    </row>
    <row r="2118" spans="2:14" x14ac:dyDescent="0.3">
      <c r="B2118" t="s">
        <v>2177</v>
      </c>
      <c r="C2118" t="s">
        <v>339</v>
      </c>
      <c r="D2118" t="s">
        <v>4367</v>
      </c>
      <c r="E2118">
        <v>0</v>
      </c>
      <c r="F2118" t="s">
        <v>4367</v>
      </c>
      <c r="N2118" t="str" cm="1">
        <f t="array" ref="N2118">IF(MOD(ROW()-ROW($B$2),16)=0,INDEX($M$2:$M$1000,(ROW()-ROW($B$2))/16+1),"")</f>
        <v/>
      </c>
    </row>
    <row r="2119" spans="2:14" x14ac:dyDescent="0.3">
      <c r="B2119" t="s">
        <v>2177</v>
      </c>
      <c r="C2119" t="s">
        <v>340</v>
      </c>
      <c r="D2119" t="s">
        <v>4368</v>
      </c>
      <c r="E2119">
        <v>0</v>
      </c>
      <c r="F2119" t="s">
        <v>4368</v>
      </c>
      <c r="N2119" t="str" cm="1">
        <f t="array" ref="N2119">IF(MOD(ROW()-ROW($B$2),16)=0,INDEX($M$2:$M$1000,(ROW()-ROW($B$2))/16+1),"")</f>
        <v/>
      </c>
    </row>
    <row r="2120" spans="2:14" x14ac:dyDescent="0.3">
      <c r="B2120" t="s">
        <v>2177</v>
      </c>
      <c r="C2120" t="s">
        <v>341</v>
      </c>
      <c r="D2120" t="s">
        <v>4369</v>
      </c>
      <c r="E2120">
        <v>0</v>
      </c>
      <c r="F2120" t="s">
        <v>4369</v>
      </c>
      <c r="N2120" t="str" cm="1">
        <f t="array" ref="N2120">IF(MOD(ROW()-ROW($B$2),16)=0,INDEX($M$2:$M$1000,(ROW()-ROW($B$2))/16+1),"")</f>
        <v/>
      </c>
    </row>
    <row r="2121" spans="2:14" x14ac:dyDescent="0.3">
      <c r="B2121" t="s">
        <v>2177</v>
      </c>
      <c r="C2121" t="s">
        <v>342</v>
      </c>
      <c r="D2121" t="s">
        <v>4370</v>
      </c>
      <c r="E2121">
        <v>0</v>
      </c>
      <c r="F2121" t="s">
        <v>4370</v>
      </c>
      <c r="N2121" t="str" cm="1">
        <f t="array" ref="N2121">IF(MOD(ROW()-ROW($B$2),16)=0,INDEX($M$2:$M$1000,(ROW()-ROW($B$2))/16+1),"")</f>
        <v/>
      </c>
    </row>
    <row r="2122" spans="2:14" x14ac:dyDescent="0.3">
      <c r="B2122" t="s">
        <v>2177</v>
      </c>
      <c r="C2122" t="s">
        <v>171</v>
      </c>
      <c r="D2122" t="s">
        <v>186</v>
      </c>
      <c r="E2122">
        <v>0</v>
      </c>
      <c r="F2122" t="s">
        <v>186</v>
      </c>
      <c r="N2122" t="str" cm="1">
        <f t="array" ref="N2122">IF(MOD(ROW()-ROW($B$2),16)=0,INDEX($M$2:$M$1000,(ROW()-ROW($B$2))/16+1),"")</f>
        <v/>
      </c>
    </row>
    <row r="2123" spans="2:14" x14ac:dyDescent="0.3">
      <c r="B2123" t="s">
        <v>2177</v>
      </c>
      <c r="C2123" t="s">
        <v>172</v>
      </c>
      <c r="D2123" t="s">
        <v>187</v>
      </c>
      <c r="E2123">
        <v>0</v>
      </c>
      <c r="F2123" t="s">
        <v>187</v>
      </c>
      <c r="N2123" t="str" cm="1">
        <f t="array" ref="N2123">IF(MOD(ROW()-ROW($B$2),16)=0,INDEX($M$2:$M$1000,(ROW()-ROW($B$2))/16+1),"")</f>
        <v/>
      </c>
    </row>
    <row r="2124" spans="2:14" x14ac:dyDescent="0.3">
      <c r="B2124" t="s">
        <v>2177</v>
      </c>
      <c r="C2124" t="s">
        <v>173</v>
      </c>
      <c r="D2124" t="s">
        <v>188</v>
      </c>
      <c r="E2124">
        <v>0</v>
      </c>
      <c r="F2124" t="s">
        <v>188</v>
      </c>
      <c r="N2124" t="str" cm="1">
        <f t="array" ref="N2124">IF(MOD(ROW()-ROW($B$2),16)=0,INDEX($M$2:$M$1000,(ROW()-ROW($B$2))/16+1),"")</f>
        <v/>
      </c>
    </row>
    <row r="2125" spans="2:14" x14ac:dyDescent="0.3">
      <c r="B2125" t="s">
        <v>2177</v>
      </c>
      <c r="C2125" t="s">
        <v>174</v>
      </c>
      <c r="D2125" t="s">
        <v>189</v>
      </c>
      <c r="E2125">
        <v>0</v>
      </c>
      <c r="F2125" t="s">
        <v>189</v>
      </c>
      <c r="N2125" t="str" cm="1">
        <f t="array" ref="N2125">IF(MOD(ROW()-ROW($B$2),16)=0,INDEX($M$2:$M$1000,(ROW()-ROW($B$2))/16+1),"")</f>
        <v/>
      </c>
    </row>
    <row r="2126" spans="2:14" x14ac:dyDescent="0.3">
      <c r="B2126" t="s">
        <v>2177</v>
      </c>
      <c r="C2126" t="s">
        <v>175</v>
      </c>
      <c r="D2126" t="s">
        <v>190</v>
      </c>
      <c r="E2126">
        <v>0</v>
      </c>
      <c r="F2126" t="s">
        <v>190</v>
      </c>
      <c r="N2126" t="str" cm="1">
        <f t="array" ref="N2126">IF(MOD(ROW()-ROW($B$2),16)=0,INDEX($M$2:$M$1000,(ROW()-ROW($B$2))/16+1),"")</f>
        <v/>
      </c>
    </row>
    <row r="2127" spans="2:14" x14ac:dyDescent="0.3">
      <c r="B2127" t="s">
        <v>2177</v>
      </c>
      <c r="C2127" t="s">
        <v>176</v>
      </c>
      <c r="D2127" t="s">
        <v>191</v>
      </c>
      <c r="E2127">
        <v>0</v>
      </c>
      <c r="F2127" t="s">
        <v>191</v>
      </c>
      <c r="N2127" t="str" cm="1">
        <f t="array" ref="N2127">IF(MOD(ROW()-ROW($B$2),16)=0,INDEX($M$2:$M$1000,(ROW()-ROW($B$2))/16+1),"")</f>
        <v/>
      </c>
    </row>
    <row r="2128" spans="2:14" x14ac:dyDescent="0.3">
      <c r="B2128" t="s">
        <v>2177</v>
      </c>
      <c r="C2128" t="s">
        <v>170</v>
      </c>
      <c r="D2128" t="s">
        <v>185</v>
      </c>
      <c r="E2128">
        <v>0</v>
      </c>
      <c r="F2128" t="s">
        <v>185</v>
      </c>
      <c r="N2128" t="str" cm="1">
        <f t="array" ref="N2128">IF(MOD(ROW()-ROW($B$2),16)=0,INDEX($M$2:$M$1000,(ROW()-ROW($B$2))/16+1),"")</f>
        <v/>
      </c>
    </row>
    <row r="2129" spans="2:14" x14ac:dyDescent="0.3">
      <c r="B2129" t="s">
        <v>2177</v>
      </c>
      <c r="C2129" t="s">
        <v>155</v>
      </c>
      <c r="D2129" t="s">
        <v>4371</v>
      </c>
      <c r="E2129">
        <v>0</v>
      </c>
      <c r="F2129" t="s">
        <v>4371</v>
      </c>
      <c r="N2129" t="str" cm="1">
        <f t="array" ref="N2129">IF(MOD(ROW()-ROW($B$2),16)=0,INDEX($M$2:$M$1000,(ROW()-ROW($B$2))/16+1),"")</f>
        <v/>
      </c>
    </row>
    <row r="2130" spans="2:14" x14ac:dyDescent="0.3">
      <c r="B2130" t="s">
        <v>2177</v>
      </c>
      <c r="C2130" t="s">
        <v>156</v>
      </c>
      <c r="D2130" t="s">
        <v>4372</v>
      </c>
      <c r="E2130">
        <v>0</v>
      </c>
      <c r="F2130" t="s">
        <v>4372</v>
      </c>
      <c r="N2130" t="str" cm="1">
        <f t="array" ref="N2130">IF(MOD(ROW()-ROW($B$2),16)=0,INDEX($M$2:$M$1000,(ROW()-ROW($B$2))/16+1),"")</f>
        <v>HMI Количество деталей на полке 2 (0)</v>
      </c>
    </row>
    <row r="2131" spans="2:14" x14ac:dyDescent="0.3">
      <c r="B2131" t="s">
        <v>2177</v>
      </c>
      <c r="C2131" t="s">
        <v>157</v>
      </c>
      <c r="D2131" t="s">
        <v>4373</v>
      </c>
      <c r="E2131">
        <v>0</v>
      </c>
      <c r="F2131" t="s">
        <v>4373</v>
      </c>
      <c r="N2131" t="str" cm="1">
        <f t="array" ref="N2131">IF(MOD(ROW()-ROW($B$2),16)=0,INDEX($M$2:$M$1000,(ROW()-ROW($B$2))/16+1),"")</f>
        <v/>
      </c>
    </row>
    <row r="2132" spans="2:14" x14ac:dyDescent="0.3">
      <c r="B2132" t="s">
        <v>2177</v>
      </c>
      <c r="C2132" t="s">
        <v>158</v>
      </c>
      <c r="D2132" t="s">
        <v>4374</v>
      </c>
      <c r="E2132">
        <v>0</v>
      </c>
      <c r="F2132" t="s">
        <v>4374</v>
      </c>
      <c r="N2132" t="str" cm="1">
        <f t="array" ref="N2132">IF(MOD(ROW()-ROW($B$2),16)=0,INDEX($M$2:$M$1000,(ROW()-ROW($B$2))/16+1),"")</f>
        <v/>
      </c>
    </row>
    <row r="2133" spans="2:14" x14ac:dyDescent="0.3">
      <c r="B2133" t="s">
        <v>2177</v>
      </c>
      <c r="C2133" t="s">
        <v>159</v>
      </c>
      <c r="D2133" t="s">
        <v>4375</v>
      </c>
      <c r="E2133">
        <v>0</v>
      </c>
      <c r="F2133" t="s">
        <v>4375</v>
      </c>
      <c r="N2133" t="str" cm="1">
        <f t="array" ref="N2133">IF(MOD(ROW()-ROW($B$2),16)=0,INDEX($M$2:$M$1000,(ROW()-ROW($B$2))/16+1),"")</f>
        <v/>
      </c>
    </row>
    <row r="2134" spans="2:14" x14ac:dyDescent="0.3">
      <c r="B2134" t="s">
        <v>2177</v>
      </c>
      <c r="C2134" t="s">
        <v>160</v>
      </c>
      <c r="D2134" t="s">
        <v>4376</v>
      </c>
      <c r="E2134">
        <v>0</v>
      </c>
      <c r="F2134" t="s">
        <v>4376</v>
      </c>
      <c r="N2134" t="str" cm="1">
        <f t="array" ref="N2134">IF(MOD(ROW()-ROW($B$2),16)=0,INDEX($M$2:$M$1000,(ROW()-ROW($B$2))/16+1),"")</f>
        <v/>
      </c>
    </row>
    <row r="2135" spans="2:14" x14ac:dyDescent="0.3">
      <c r="B2135" t="s">
        <v>2177</v>
      </c>
      <c r="C2135" t="s">
        <v>154</v>
      </c>
      <c r="D2135" t="s">
        <v>4377</v>
      </c>
      <c r="E2135">
        <v>0</v>
      </c>
      <c r="F2135" t="s">
        <v>4377</v>
      </c>
      <c r="N2135" t="str" cm="1">
        <f t="array" ref="N2135">IF(MOD(ROW()-ROW($B$2),16)=0,INDEX($M$2:$M$1000,(ROW()-ROW($B$2))/16+1),"")</f>
        <v/>
      </c>
    </row>
    <row r="2136" spans="2:14" x14ac:dyDescent="0.3">
      <c r="B2136" t="s">
        <v>2312</v>
      </c>
      <c r="C2136" t="s">
        <v>4378</v>
      </c>
      <c r="D2136" t="s">
        <v>4379</v>
      </c>
      <c r="E2136">
        <v>0</v>
      </c>
      <c r="F2136" t="s">
        <v>4379</v>
      </c>
      <c r="N2136" t="str" cm="1">
        <f t="array" ref="N2136">IF(MOD(ROW()-ROW($B$2),16)=0,INDEX($M$2:$M$1000,(ROW()-ROW($B$2))/16+1),"")</f>
        <v/>
      </c>
    </row>
    <row r="2137" spans="2:14" x14ac:dyDescent="0.3">
      <c r="B2137" t="s">
        <v>2177</v>
      </c>
      <c r="C2137" t="s">
        <v>4380</v>
      </c>
      <c r="D2137" t="s">
        <v>344</v>
      </c>
      <c r="E2137">
        <v>0</v>
      </c>
      <c r="F2137" t="s">
        <v>344</v>
      </c>
      <c r="N2137" t="str" cm="1">
        <f t="array" ref="N2137">IF(MOD(ROW()-ROW($B$2),16)=0,INDEX($M$2:$M$1000,(ROW()-ROW($B$2))/16+1),"")</f>
        <v/>
      </c>
    </row>
    <row r="2138" spans="2:14" x14ac:dyDescent="0.3">
      <c r="B2138" t="s">
        <v>2177</v>
      </c>
      <c r="C2138" t="s">
        <v>4381</v>
      </c>
      <c r="D2138" t="s">
        <v>4382</v>
      </c>
      <c r="E2138">
        <v>0</v>
      </c>
      <c r="F2138" t="s">
        <v>4382</v>
      </c>
      <c r="N2138" t="str" cm="1">
        <f t="array" ref="N2138">IF(MOD(ROW()-ROW($B$2),16)=0,INDEX($M$2:$M$1000,(ROW()-ROW($B$2))/16+1),"")</f>
        <v/>
      </c>
    </row>
    <row r="2139" spans="2:14" x14ac:dyDescent="0.3">
      <c r="B2139" t="s">
        <v>2177</v>
      </c>
      <c r="C2139" t="s">
        <v>4383</v>
      </c>
      <c r="D2139" t="s">
        <v>4384</v>
      </c>
      <c r="E2139">
        <v>0</v>
      </c>
      <c r="F2139" t="s">
        <v>4384</v>
      </c>
      <c r="N2139" t="str" cm="1">
        <f t="array" ref="N2139">IF(MOD(ROW()-ROW($B$2),16)=0,INDEX($M$2:$M$1000,(ROW()-ROW($B$2))/16+1),"")</f>
        <v/>
      </c>
    </row>
    <row r="2140" spans="2:14" x14ac:dyDescent="0.3">
      <c r="B2140" t="s">
        <v>2173</v>
      </c>
      <c r="C2140" t="s">
        <v>4385</v>
      </c>
      <c r="D2140" t="s">
        <v>1605</v>
      </c>
      <c r="E2140">
        <v>0</v>
      </c>
      <c r="F2140" t="s">
        <v>1605</v>
      </c>
      <c r="N2140" t="str" cm="1">
        <f t="array" ref="N2140">IF(MOD(ROW()-ROW($B$2),16)=0,INDEX($M$2:$M$1000,(ROW()-ROW($B$2))/16+1),"")</f>
        <v/>
      </c>
    </row>
    <row r="2141" spans="2:14" x14ac:dyDescent="0.3">
      <c r="B2141" t="s">
        <v>2173</v>
      </c>
      <c r="C2141" t="s">
        <v>4386</v>
      </c>
      <c r="D2141" t="s">
        <v>1606</v>
      </c>
      <c r="E2141">
        <v>0</v>
      </c>
      <c r="F2141" t="s">
        <v>1606</v>
      </c>
      <c r="N2141" t="str" cm="1">
        <f t="array" ref="N2141">IF(MOD(ROW()-ROW($B$2),16)=0,INDEX($M$2:$M$1000,(ROW()-ROW($B$2))/16+1),"")</f>
        <v/>
      </c>
    </row>
    <row r="2142" spans="2:14" x14ac:dyDescent="0.3">
      <c r="B2142" t="s">
        <v>2173</v>
      </c>
      <c r="C2142" t="s">
        <v>4387</v>
      </c>
      <c r="D2142" t="s">
        <v>1607</v>
      </c>
      <c r="E2142">
        <v>0</v>
      </c>
      <c r="F2142" t="s">
        <v>1607</v>
      </c>
      <c r="N2142" t="str" cm="1">
        <f t="array" ref="N2142">IF(MOD(ROW()-ROW($B$2),16)=0,INDEX($M$2:$M$1000,(ROW()-ROW($B$2))/16+1),"")</f>
        <v/>
      </c>
    </row>
    <row r="2143" spans="2:14" x14ac:dyDescent="0.3">
      <c r="B2143" t="s">
        <v>2173</v>
      </c>
      <c r="C2143" t="s">
        <v>4388</v>
      </c>
      <c r="D2143" t="s">
        <v>1608</v>
      </c>
      <c r="E2143">
        <v>0</v>
      </c>
      <c r="F2143" t="s">
        <v>1608</v>
      </c>
      <c r="N2143" t="str" cm="1">
        <f t="array" ref="N2143">IF(MOD(ROW()-ROW($B$2),16)=0,INDEX($M$2:$M$1000,(ROW()-ROW($B$2))/16+1),"")</f>
        <v/>
      </c>
    </row>
    <row r="2144" spans="2:14" x14ac:dyDescent="0.3">
      <c r="B2144" t="s">
        <v>2173</v>
      </c>
      <c r="C2144" t="s">
        <v>4389</v>
      </c>
      <c r="D2144" t="s">
        <v>1609</v>
      </c>
      <c r="E2144">
        <v>0</v>
      </c>
      <c r="F2144" t="s">
        <v>1609</v>
      </c>
      <c r="N2144" t="str" cm="1">
        <f t="array" ref="N2144">IF(MOD(ROW()-ROW($B$2),16)=0,INDEX($M$2:$M$1000,(ROW()-ROW($B$2))/16+1),"")</f>
        <v/>
      </c>
    </row>
    <row r="2145" spans="2:14" x14ac:dyDescent="0.3">
      <c r="B2145" t="s">
        <v>2173</v>
      </c>
      <c r="C2145" t="s">
        <v>4390</v>
      </c>
      <c r="D2145" t="s">
        <v>1610</v>
      </c>
      <c r="E2145">
        <v>0</v>
      </c>
      <c r="F2145" t="s">
        <v>1610</v>
      </c>
      <c r="N2145" t="str" cm="1">
        <f t="array" ref="N2145">IF(MOD(ROW()-ROW($B$2),16)=0,INDEX($M$2:$M$1000,(ROW()-ROW($B$2))/16+1),"")</f>
        <v/>
      </c>
    </row>
    <row r="2146" spans="2:14" x14ac:dyDescent="0.3">
      <c r="B2146" t="s">
        <v>2173</v>
      </c>
      <c r="C2146" t="s">
        <v>4391</v>
      </c>
      <c r="D2146" t="s">
        <v>1611</v>
      </c>
      <c r="E2146">
        <v>0</v>
      </c>
      <c r="F2146" t="s">
        <v>1611</v>
      </c>
      <c r="N2146" t="str" cm="1">
        <f t="array" ref="N2146">IF(MOD(ROW()-ROW($B$2),16)=0,INDEX($M$2:$M$1000,(ROW()-ROW($B$2))/16+1),"")</f>
        <v>HMI Количество деталей на полке 3 (0)</v>
      </c>
    </row>
    <row r="2147" spans="2:14" x14ac:dyDescent="0.3">
      <c r="B2147" t="s">
        <v>2173</v>
      </c>
      <c r="C2147" t="s">
        <v>4392</v>
      </c>
      <c r="D2147" t="s">
        <v>1612</v>
      </c>
      <c r="E2147">
        <v>0</v>
      </c>
      <c r="F2147" t="s">
        <v>1612</v>
      </c>
      <c r="N2147" t="str" cm="1">
        <f t="array" ref="N2147">IF(MOD(ROW()-ROW($B$2),16)=0,INDEX($M$2:$M$1000,(ROW()-ROW($B$2))/16+1),"")</f>
        <v/>
      </c>
    </row>
    <row r="2148" spans="2:14" x14ac:dyDescent="0.3">
      <c r="B2148" t="s">
        <v>2173</v>
      </c>
      <c r="C2148" t="s">
        <v>4393</v>
      </c>
      <c r="D2148" t="s">
        <v>1613</v>
      </c>
      <c r="E2148">
        <v>0</v>
      </c>
      <c r="F2148" t="s">
        <v>1613</v>
      </c>
      <c r="N2148" t="str" cm="1">
        <f t="array" ref="N2148">IF(MOD(ROW()-ROW($B$2),16)=0,INDEX($M$2:$M$1000,(ROW()-ROW($B$2))/16+1),"")</f>
        <v/>
      </c>
    </row>
    <row r="2149" spans="2:14" x14ac:dyDescent="0.3">
      <c r="B2149" t="s">
        <v>2173</v>
      </c>
      <c r="C2149" t="s">
        <v>4394</v>
      </c>
      <c r="D2149" t="s">
        <v>1614</v>
      </c>
      <c r="E2149">
        <v>0</v>
      </c>
      <c r="F2149" t="s">
        <v>1614</v>
      </c>
      <c r="N2149" t="str" cm="1">
        <f t="array" ref="N2149">IF(MOD(ROW()-ROW($B$2),16)=0,INDEX($M$2:$M$1000,(ROW()-ROW($B$2))/16+1),"")</f>
        <v/>
      </c>
    </row>
    <row r="2150" spans="2:14" x14ac:dyDescent="0.3">
      <c r="B2150" t="s">
        <v>2173</v>
      </c>
      <c r="C2150" t="s">
        <v>4395</v>
      </c>
      <c r="D2150" t="s">
        <v>1615</v>
      </c>
      <c r="E2150">
        <v>0</v>
      </c>
      <c r="F2150" t="s">
        <v>1615</v>
      </c>
      <c r="N2150" t="str" cm="1">
        <f t="array" ref="N2150">IF(MOD(ROW()-ROW($B$2),16)=0,INDEX($M$2:$M$1000,(ROW()-ROW($B$2))/16+1),"")</f>
        <v/>
      </c>
    </row>
    <row r="2151" spans="2:14" x14ac:dyDescent="0.3">
      <c r="B2151" t="s">
        <v>2173</v>
      </c>
      <c r="C2151" t="s">
        <v>4396</v>
      </c>
      <c r="D2151" t="s">
        <v>1616</v>
      </c>
      <c r="E2151">
        <v>0</v>
      </c>
      <c r="F2151" t="s">
        <v>1616</v>
      </c>
      <c r="N2151" t="str" cm="1">
        <f t="array" ref="N2151">IF(MOD(ROW()-ROW($B$2),16)=0,INDEX($M$2:$M$1000,(ROW()-ROW($B$2))/16+1),"")</f>
        <v/>
      </c>
    </row>
    <row r="2152" spans="2:14" x14ac:dyDescent="0.3">
      <c r="B2152" t="s">
        <v>2173</v>
      </c>
      <c r="C2152" t="s">
        <v>4397</v>
      </c>
      <c r="D2152" t="s">
        <v>1617</v>
      </c>
      <c r="E2152">
        <v>0</v>
      </c>
      <c r="F2152" t="s">
        <v>1617</v>
      </c>
      <c r="N2152" t="str" cm="1">
        <f t="array" ref="N2152">IF(MOD(ROW()-ROW($B$2),16)=0,INDEX($M$2:$M$1000,(ROW()-ROW($B$2))/16+1),"")</f>
        <v/>
      </c>
    </row>
    <row r="2153" spans="2:14" x14ac:dyDescent="0.3">
      <c r="B2153" t="s">
        <v>2173</v>
      </c>
      <c r="C2153" t="s">
        <v>4398</v>
      </c>
      <c r="D2153" t="s">
        <v>1618</v>
      </c>
      <c r="E2153">
        <v>0</v>
      </c>
      <c r="F2153" t="s">
        <v>1618</v>
      </c>
      <c r="N2153" t="str" cm="1">
        <f t="array" ref="N2153">IF(MOD(ROW()-ROW($B$2),16)=0,INDEX($M$2:$M$1000,(ROW()-ROW($B$2))/16+1),"")</f>
        <v/>
      </c>
    </row>
    <row r="2154" spans="2:14" x14ac:dyDescent="0.3">
      <c r="B2154" t="s">
        <v>2173</v>
      </c>
      <c r="C2154" t="s">
        <v>4399</v>
      </c>
      <c r="D2154" t="s">
        <v>1619</v>
      </c>
      <c r="E2154">
        <v>0</v>
      </c>
      <c r="F2154" t="s">
        <v>1619</v>
      </c>
      <c r="N2154" t="str" cm="1">
        <f t="array" ref="N2154">IF(MOD(ROW()-ROW($B$2),16)=0,INDEX($M$2:$M$1000,(ROW()-ROW($B$2))/16+1),"")</f>
        <v/>
      </c>
    </row>
    <row r="2155" spans="2:14" x14ac:dyDescent="0.3">
      <c r="B2155" t="s">
        <v>2173</v>
      </c>
      <c r="C2155" t="s">
        <v>4400</v>
      </c>
      <c r="D2155" t="s">
        <v>1620</v>
      </c>
      <c r="E2155">
        <v>0</v>
      </c>
      <c r="F2155" t="s">
        <v>1620</v>
      </c>
      <c r="N2155" t="str" cm="1">
        <f t="array" ref="N2155">IF(MOD(ROW()-ROW($B$2),16)=0,INDEX($M$2:$M$1000,(ROW()-ROW($B$2))/16+1),"")</f>
        <v/>
      </c>
    </row>
    <row r="2156" spans="2:14" x14ac:dyDescent="0.3">
      <c r="B2156" t="s">
        <v>2173</v>
      </c>
      <c r="C2156" t="s">
        <v>4401</v>
      </c>
      <c r="D2156" t="s">
        <v>1621</v>
      </c>
      <c r="E2156">
        <v>0</v>
      </c>
      <c r="F2156" t="s">
        <v>1621</v>
      </c>
      <c r="N2156" t="str" cm="1">
        <f t="array" ref="N2156">IF(MOD(ROW()-ROW($B$2),16)=0,INDEX($M$2:$M$1000,(ROW()-ROW($B$2))/16+1),"")</f>
        <v/>
      </c>
    </row>
    <row r="2157" spans="2:14" x14ac:dyDescent="0.3">
      <c r="B2157" t="s">
        <v>2173</v>
      </c>
      <c r="C2157" t="s">
        <v>4402</v>
      </c>
      <c r="D2157" t="s">
        <v>1622</v>
      </c>
      <c r="E2157">
        <v>0</v>
      </c>
      <c r="F2157" t="s">
        <v>1622</v>
      </c>
      <c r="N2157" t="str" cm="1">
        <f t="array" ref="N2157">IF(MOD(ROW()-ROW($B$2),16)=0,INDEX($M$2:$M$1000,(ROW()-ROW($B$2))/16+1),"")</f>
        <v/>
      </c>
    </row>
    <row r="2158" spans="2:14" x14ac:dyDescent="0.3">
      <c r="B2158" t="s">
        <v>2173</v>
      </c>
      <c r="C2158" t="s">
        <v>4403</v>
      </c>
      <c r="D2158" t="s">
        <v>1623</v>
      </c>
      <c r="E2158">
        <v>0</v>
      </c>
      <c r="F2158" t="s">
        <v>1623</v>
      </c>
      <c r="N2158" t="str" cm="1">
        <f t="array" ref="N2158">IF(MOD(ROW()-ROW($B$2),16)=0,INDEX($M$2:$M$1000,(ROW()-ROW($B$2))/16+1),"")</f>
        <v/>
      </c>
    </row>
    <row r="2159" spans="2:14" x14ac:dyDescent="0.3">
      <c r="B2159" t="s">
        <v>2173</v>
      </c>
      <c r="C2159" t="s">
        <v>4404</v>
      </c>
      <c r="D2159" t="s">
        <v>1624</v>
      </c>
      <c r="E2159">
        <v>0</v>
      </c>
      <c r="F2159" t="s">
        <v>1624</v>
      </c>
      <c r="N2159" t="str" cm="1">
        <f t="array" ref="N2159">IF(MOD(ROW()-ROW($B$2),16)=0,INDEX($M$2:$M$1000,(ROW()-ROW($B$2))/16+1),"")</f>
        <v/>
      </c>
    </row>
    <row r="2160" spans="2:14" x14ac:dyDescent="0.3">
      <c r="B2160" t="s">
        <v>2173</v>
      </c>
      <c r="C2160" t="s">
        <v>4405</v>
      </c>
      <c r="D2160" t="s">
        <v>1625</v>
      </c>
      <c r="E2160">
        <v>0</v>
      </c>
      <c r="F2160" t="s">
        <v>1625</v>
      </c>
      <c r="N2160" t="str" cm="1">
        <f t="array" ref="N2160">IF(MOD(ROW()-ROW($B$2),16)=0,INDEX($M$2:$M$1000,(ROW()-ROW($B$2))/16+1),"")</f>
        <v/>
      </c>
    </row>
    <row r="2161" spans="2:14" x14ac:dyDescent="0.3">
      <c r="B2161" t="s">
        <v>2173</v>
      </c>
      <c r="C2161" t="s">
        <v>4406</v>
      </c>
      <c r="D2161" t="s">
        <v>1626</v>
      </c>
      <c r="E2161">
        <v>0</v>
      </c>
      <c r="F2161" t="s">
        <v>1626</v>
      </c>
      <c r="N2161" t="str" cm="1">
        <f t="array" ref="N2161">IF(MOD(ROW()-ROW($B$2),16)=0,INDEX($M$2:$M$1000,(ROW()-ROW($B$2))/16+1),"")</f>
        <v/>
      </c>
    </row>
    <row r="2162" spans="2:14" x14ac:dyDescent="0.3">
      <c r="B2162" t="s">
        <v>2173</v>
      </c>
      <c r="C2162" t="s">
        <v>4407</v>
      </c>
      <c r="D2162" t="s">
        <v>1627</v>
      </c>
      <c r="E2162">
        <v>0</v>
      </c>
      <c r="F2162" t="s">
        <v>1627</v>
      </c>
      <c r="N2162" t="str" cm="1">
        <f t="array" ref="N2162">IF(MOD(ROW()-ROW($B$2),16)=0,INDEX($M$2:$M$1000,(ROW()-ROW($B$2))/16+1),"")</f>
        <v>HMI Количество деталей на полке 4 (0)</v>
      </c>
    </row>
    <row r="2163" spans="2:14" x14ac:dyDescent="0.3">
      <c r="B2163" t="s">
        <v>2173</v>
      </c>
      <c r="C2163" t="s">
        <v>4408</v>
      </c>
      <c r="D2163" t="s">
        <v>1628</v>
      </c>
      <c r="E2163">
        <v>0</v>
      </c>
      <c r="F2163" t="s">
        <v>1628</v>
      </c>
      <c r="N2163" t="str" cm="1">
        <f t="array" ref="N2163">IF(MOD(ROW()-ROW($B$2),16)=0,INDEX($M$2:$M$1000,(ROW()-ROW($B$2))/16+1),"")</f>
        <v/>
      </c>
    </row>
    <row r="2164" spans="2:14" x14ac:dyDescent="0.3">
      <c r="B2164" t="s">
        <v>2173</v>
      </c>
      <c r="C2164" t="s">
        <v>4409</v>
      </c>
      <c r="D2164" t="s">
        <v>1629</v>
      </c>
      <c r="E2164">
        <v>0</v>
      </c>
      <c r="F2164" t="s">
        <v>1629</v>
      </c>
      <c r="N2164" t="str" cm="1">
        <f t="array" ref="N2164">IF(MOD(ROW()-ROW($B$2),16)=0,INDEX($M$2:$M$1000,(ROW()-ROW($B$2))/16+1),"")</f>
        <v/>
      </c>
    </row>
    <row r="2165" spans="2:14" x14ac:dyDescent="0.3">
      <c r="B2165" t="s">
        <v>2173</v>
      </c>
      <c r="C2165" t="s">
        <v>4410</v>
      </c>
      <c r="D2165" t="s">
        <v>1630</v>
      </c>
      <c r="E2165">
        <v>0</v>
      </c>
      <c r="F2165" t="s">
        <v>1630</v>
      </c>
      <c r="N2165" t="str" cm="1">
        <f t="array" ref="N2165">IF(MOD(ROW()-ROW($B$2),16)=0,INDEX($M$2:$M$1000,(ROW()-ROW($B$2))/16+1),"")</f>
        <v/>
      </c>
    </row>
    <row r="2166" spans="2:14" x14ac:dyDescent="0.3">
      <c r="B2166" t="s">
        <v>2173</v>
      </c>
      <c r="C2166" t="s">
        <v>4411</v>
      </c>
      <c r="D2166" t="s">
        <v>1631</v>
      </c>
      <c r="E2166">
        <v>0</v>
      </c>
      <c r="F2166" t="s">
        <v>1631</v>
      </c>
      <c r="N2166" t="str" cm="1">
        <f t="array" ref="N2166">IF(MOD(ROW()-ROW($B$2),16)=0,INDEX($M$2:$M$1000,(ROW()-ROW($B$2))/16+1),"")</f>
        <v/>
      </c>
    </row>
    <row r="2167" spans="2:14" x14ac:dyDescent="0.3">
      <c r="B2167" t="s">
        <v>2173</v>
      </c>
      <c r="C2167" t="s">
        <v>4412</v>
      </c>
      <c r="D2167" t="s">
        <v>1632</v>
      </c>
      <c r="E2167">
        <v>0</v>
      </c>
      <c r="F2167" t="s">
        <v>1632</v>
      </c>
      <c r="N2167" t="str" cm="1">
        <f t="array" ref="N2167">IF(MOD(ROW()-ROW($B$2),16)=0,INDEX($M$2:$M$1000,(ROW()-ROW($B$2))/16+1),"")</f>
        <v/>
      </c>
    </row>
    <row r="2168" spans="2:14" x14ac:dyDescent="0.3">
      <c r="B2168" t="s">
        <v>2173</v>
      </c>
      <c r="C2168" t="s">
        <v>4413</v>
      </c>
      <c r="D2168" t="s">
        <v>1633</v>
      </c>
      <c r="E2168">
        <v>0</v>
      </c>
      <c r="F2168" t="s">
        <v>1633</v>
      </c>
      <c r="N2168" t="str" cm="1">
        <f t="array" ref="N2168">IF(MOD(ROW()-ROW($B$2),16)=0,INDEX($M$2:$M$1000,(ROW()-ROW($B$2))/16+1),"")</f>
        <v/>
      </c>
    </row>
    <row r="2169" spans="2:14" x14ac:dyDescent="0.3">
      <c r="B2169" t="s">
        <v>2173</v>
      </c>
      <c r="C2169" t="s">
        <v>4414</v>
      </c>
      <c r="D2169" t="s">
        <v>1634</v>
      </c>
      <c r="E2169">
        <v>0</v>
      </c>
      <c r="F2169" t="s">
        <v>1634</v>
      </c>
      <c r="N2169" t="str" cm="1">
        <f t="array" ref="N2169">IF(MOD(ROW()-ROW($B$2),16)=0,INDEX($M$2:$M$1000,(ROW()-ROW($B$2))/16+1),"")</f>
        <v/>
      </c>
    </row>
    <row r="2170" spans="2:14" x14ac:dyDescent="0.3">
      <c r="B2170" t="s">
        <v>2173</v>
      </c>
      <c r="C2170" t="s">
        <v>4415</v>
      </c>
      <c r="D2170" t="s">
        <v>1635</v>
      </c>
      <c r="E2170">
        <v>0</v>
      </c>
      <c r="F2170" t="s">
        <v>1635</v>
      </c>
      <c r="N2170" t="str" cm="1">
        <f t="array" ref="N2170">IF(MOD(ROW()-ROW($B$2),16)=0,INDEX($M$2:$M$1000,(ROW()-ROW($B$2))/16+1),"")</f>
        <v/>
      </c>
    </row>
    <row r="2171" spans="2:14" x14ac:dyDescent="0.3">
      <c r="B2171" t="s">
        <v>2173</v>
      </c>
      <c r="C2171" t="s">
        <v>4416</v>
      </c>
      <c r="D2171" t="s">
        <v>1636</v>
      </c>
      <c r="E2171">
        <v>0</v>
      </c>
      <c r="F2171" t="s">
        <v>1636</v>
      </c>
      <c r="N2171" t="str" cm="1">
        <f t="array" ref="N2171">IF(MOD(ROW()-ROW($B$2),16)=0,INDEX($M$2:$M$1000,(ROW()-ROW($B$2))/16+1),"")</f>
        <v/>
      </c>
    </row>
    <row r="2172" spans="2:14" x14ac:dyDescent="0.3">
      <c r="B2172" t="s">
        <v>2173</v>
      </c>
      <c r="C2172" t="s">
        <v>4417</v>
      </c>
      <c r="D2172" t="s">
        <v>1637</v>
      </c>
      <c r="E2172">
        <v>0</v>
      </c>
      <c r="F2172" t="s">
        <v>1637</v>
      </c>
      <c r="N2172" t="str" cm="1">
        <f t="array" ref="N2172">IF(MOD(ROW()-ROW($B$2),16)=0,INDEX($M$2:$M$1000,(ROW()-ROW($B$2))/16+1),"")</f>
        <v/>
      </c>
    </row>
    <row r="2173" spans="2:14" x14ac:dyDescent="0.3">
      <c r="B2173" t="s">
        <v>2173</v>
      </c>
      <c r="C2173" t="s">
        <v>4418</v>
      </c>
      <c r="D2173" t="s">
        <v>1638</v>
      </c>
      <c r="E2173">
        <v>0</v>
      </c>
      <c r="F2173" t="s">
        <v>1638</v>
      </c>
      <c r="N2173" t="str" cm="1">
        <f t="array" ref="N2173">IF(MOD(ROW()-ROW($B$2),16)=0,INDEX($M$2:$M$1000,(ROW()-ROW($B$2))/16+1),"")</f>
        <v/>
      </c>
    </row>
    <row r="2174" spans="2:14" x14ac:dyDescent="0.3">
      <c r="B2174" t="s">
        <v>2173</v>
      </c>
      <c r="C2174" t="s">
        <v>4419</v>
      </c>
      <c r="D2174" t="s">
        <v>1639</v>
      </c>
      <c r="E2174">
        <v>0</v>
      </c>
      <c r="F2174" t="s">
        <v>1639</v>
      </c>
      <c r="N2174" t="str" cm="1">
        <f t="array" ref="N2174">IF(MOD(ROW()-ROW($B$2),16)=0,INDEX($M$2:$M$1000,(ROW()-ROW($B$2))/16+1),"")</f>
        <v/>
      </c>
    </row>
    <row r="2175" spans="2:14" x14ac:dyDescent="0.3">
      <c r="B2175" t="s">
        <v>2173</v>
      </c>
      <c r="C2175" t="s">
        <v>4420</v>
      </c>
      <c r="D2175" t="s">
        <v>1640</v>
      </c>
      <c r="E2175">
        <v>0</v>
      </c>
      <c r="F2175" t="s">
        <v>1640</v>
      </c>
      <c r="N2175" t="str" cm="1">
        <f t="array" ref="N2175">IF(MOD(ROW()-ROW($B$2),16)=0,INDEX($M$2:$M$1000,(ROW()-ROW($B$2))/16+1),"")</f>
        <v/>
      </c>
    </row>
    <row r="2176" spans="2:14" x14ac:dyDescent="0.3">
      <c r="B2176" t="s">
        <v>2173</v>
      </c>
      <c r="C2176" t="s">
        <v>4421</v>
      </c>
      <c r="D2176" t="s">
        <v>1641</v>
      </c>
      <c r="E2176">
        <v>0</v>
      </c>
      <c r="F2176" t="s">
        <v>1641</v>
      </c>
      <c r="N2176" t="str" cm="1">
        <f t="array" ref="N2176">IF(MOD(ROW()-ROW($B$2),16)=0,INDEX($M$2:$M$1000,(ROW()-ROW($B$2))/16+1),"")</f>
        <v/>
      </c>
    </row>
    <row r="2177" spans="2:14" x14ac:dyDescent="0.3">
      <c r="B2177" t="s">
        <v>2173</v>
      </c>
      <c r="C2177" t="s">
        <v>4422</v>
      </c>
      <c r="D2177" t="s">
        <v>1642</v>
      </c>
      <c r="E2177">
        <v>0</v>
      </c>
      <c r="F2177" t="s">
        <v>1642</v>
      </c>
      <c r="N2177" t="str" cm="1">
        <f t="array" ref="N2177">IF(MOD(ROW()-ROW($B$2),16)=0,INDEX($M$2:$M$1000,(ROW()-ROW($B$2))/16+1),"")</f>
        <v/>
      </c>
    </row>
    <row r="2178" spans="2:14" x14ac:dyDescent="0.3">
      <c r="B2178" t="s">
        <v>2173</v>
      </c>
      <c r="C2178" t="s">
        <v>4423</v>
      </c>
      <c r="D2178" t="s">
        <v>1643</v>
      </c>
      <c r="E2178">
        <v>0</v>
      </c>
      <c r="F2178" t="s">
        <v>1643</v>
      </c>
      <c r="N2178" t="str" cm="1">
        <f t="array" ref="N2178">IF(MOD(ROW()-ROW($B$2),16)=0,INDEX($M$2:$M$1000,(ROW()-ROW($B$2))/16+1),"")</f>
        <v>Количество деталей для задания (0)</v>
      </c>
    </row>
    <row r="2179" spans="2:14" x14ac:dyDescent="0.3">
      <c r="B2179" t="s">
        <v>2173</v>
      </c>
      <c r="C2179" t="s">
        <v>4424</v>
      </c>
      <c r="D2179" t="s">
        <v>1644</v>
      </c>
      <c r="E2179">
        <v>0</v>
      </c>
      <c r="F2179" t="s">
        <v>1644</v>
      </c>
      <c r="N2179" t="str" cm="1">
        <f t="array" ref="N2179">IF(MOD(ROW()-ROW($B$2),16)=0,INDEX($M$2:$M$1000,(ROW()-ROW($B$2))/16+1),"")</f>
        <v/>
      </c>
    </row>
    <row r="2180" spans="2:14" x14ac:dyDescent="0.3">
      <c r="B2180" t="s">
        <v>2173</v>
      </c>
      <c r="C2180" t="s">
        <v>4425</v>
      </c>
      <c r="D2180" t="s">
        <v>2099</v>
      </c>
      <c r="E2180">
        <v>0</v>
      </c>
      <c r="F2180" t="s">
        <v>2099</v>
      </c>
      <c r="N2180" t="str" cm="1">
        <f t="array" ref="N2180">IF(MOD(ROW()-ROW($B$2),16)=0,INDEX($M$2:$M$1000,(ROW()-ROW($B$2))/16+1),"")</f>
        <v/>
      </c>
    </row>
    <row r="2181" spans="2:14" x14ac:dyDescent="0.3">
      <c r="B2181" t="s">
        <v>2173</v>
      </c>
      <c r="C2181" t="s">
        <v>4426</v>
      </c>
      <c r="D2181" t="s">
        <v>2100</v>
      </c>
      <c r="E2181">
        <v>0</v>
      </c>
      <c r="F2181" t="s">
        <v>2100</v>
      </c>
      <c r="N2181" t="str" cm="1">
        <f t="array" ref="N2181">IF(MOD(ROW()-ROW($B$2),16)=0,INDEX($M$2:$M$1000,(ROW()-ROW($B$2))/16+1),"")</f>
        <v/>
      </c>
    </row>
    <row r="2182" spans="2:14" x14ac:dyDescent="0.3">
      <c r="B2182" t="s">
        <v>2173</v>
      </c>
      <c r="C2182" t="s">
        <v>4427</v>
      </c>
      <c r="D2182" t="s">
        <v>2101</v>
      </c>
      <c r="E2182">
        <v>0</v>
      </c>
      <c r="F2182" t="s">
        <v>2101</v>
      </c>
      <c r="N2182" t="str" cm="1">
        <f t="array" ref="N2182">IF(MOD(ROW()-ROW($B$2),16)=0,INDEX($M$2:$M$1000,(ROW()-ROW($B$2))/16+1),"")</f>
        <v/>
      </c>
    </row>
    <row r="2183" spans="2:14" x14ac:dyDescent="0.3">
      <c r="B2183" t="s">
        <v>2173</v>
      </c>
      <c r="C2183" t="s">
        <v>4428</v>
      </c>
      <c r="D2183" t="s">
        <v>2102</v>
      </c>
      <c r="E2183">
        <v>0</v>
      </c>
      <c r="F2183" t="s">
        <v>2102</v>
      </c>
      <c r="N2183" t="str" cm="1">
        <f t="array" ref="N2183">IF(MOD(ROW()-ROW($B$2),16)=0,INDEX($M$2:$M$1000,(ROW()-ROW($B$2))/16+1),"")</f>
        <v/>
      </c>
    </row>
    <row r="2184" spans="2:14" x14ac:dyDescent="0.3">
      <c r="B2184" t="s">
        <v>2173</v>
      </c>
      <c r="C2184" t="s">
        <v>4429</v>
      </c>
      <c r="D2184" t="s">
        <v>2103</v>
      </c>
      <c r="E2184">
        <v>0</v>
      </c>
      <c r="F2184" t="s">
        <v>2103</v>
      </c>
      <c r="N2184" t="str" cm="1">
        <f t="array" ref="N2184">IF(MOD(ROW()-ROW($B$2),16)=0,INDEX($M$2:$M$1000,(ROW()-ROW($B$2))/16+1),"")</f>
        <v/>
      </c>
    </row>
    <row r="2185" spans="2:14" x14ac:dyDescent="0.3">
      <c r="B2185" t="s">
        <v>2173</v>
      </c>
      <c r="C2185" t="s">
        <v>4430</v>
      </c>
      <c r="D2185" t="s">
        <v>2104</v>
      </c>
      <c r="E2185">
        <v>0</v>
      </c>
      <c r="F2185" t="s">
        <v>2104</v>
      </c>
      <c r="N2185" t="str" cm="1">
        <f t="array" ref="N2185">IF(MOD(ROW()-ROW($B$2),16)=0,INDEX($M$2:$M$1000,(ROW()-ROW($B$2))/16+1),"")</f>
        <v/>
      </c>
    </row>
    <row r="2186" spans="2:14" x14ac:dyDescent="0.3">
      <c r="B2186" t="s">
        <v>2173</v>
      </c>
      <c r="C2186" t="s">
        <v>4431</v>
      </c>
      <c r="D2186" t="s">
        <v>2105</v>
      </c>
      <c r="E2186">
        <v>0</v>
      </c>
      <c r="F2186" t="s">
        <v>2105</v>
      </c>
      <c r="N2186" t="str" cm="1">
        <f t="array" ref="N2186">IF(MOD(ROW()-ROW($B$2),16)=0,INDEX($M$2:$M$1000,(ROW()-ROW($B$2))/16+1),"")</f>
        <v/>
      </c>
    </row>
    <row r="2187" spans="2:14" x14ac:dyDescent="0.3">
      <c r="B2187" t="s">
        <v>2173</v>
      </c>
      <c r="C2187" t="s">
        <v>4432</v>
      </c>
      <c r="D2187" t="s">
        <v>2106</v>
      </c>
      <c r="E2187">
        <v>0</v>
      </c>
      <c r="F2187" t="s">
        <v>2106</v>
      </c>
      <c r="N2187" t="str" cm="1">
        <f t="array" ref="N2187">IF(MOD(ROW()-ROW($B$2),16)=0,INDEX($M$2:$M$1000,(ROW()-ROW($B$2))/16+1),"")</f>
        <v/>
      </c>
    </row>
    <row r="2188" spans="2:14" x14ac:dyDescent="0.3">
      <c r="B2188" t="s">
        <v>2173</v>
      </c>
      <c r="C2188" t="s">
        <v>4433</v>
      </c>
      <c r="D2188" t="s">
        <v>2107</v>
      </c>
      <c r="E2188">
        <v>0</v>
      </c>
      <c r="F2188" t="s">
        <v>2107</v>
      </c>
      <c r="N2188" t="str" cm="1">
        <f t="array" ref="N2188">IF(MOD(ROW()-ROW($B$2),16)=0,INDEX($M$2:$M$1000,(ROW()-ROW($B$2))/16+1),"")</f>
        <v/>
      </c>
    </row>
    <row r="2189" spans="2:14" x14ac:dyDescent="0.3">
      <c r="B2189" t="s">
        <v>2173</v>
      </c>
      <c r="C2189" t="s">
        <v>4434</v>
      </c>
      <c r="D2189" t="s">
        <v>2108</v>
      </c>
      <c r="E2189">
        <v>0</v>
      </c>
      <c r="F2189" t="s">
        <v>2108</v>
      </c>
      <c r="N2189" t="str" cm="1">
        <f t="array" ref="N2189">IF(MOD(ROW()-ROW($B$2),16)=0,INDEX($M$2:$M$1000,(ROW()-ROW($B$2))/16+1),"")</f>
        <v/>
      </c>
    </row>
    <row r="2190" spans="2:14" x14ac:dyDescent="0.3">
      <c r="B2190" t="s">
        <v>2173</v>
      </c>
      <c r="C2190" t="s">
        <v>4435</v>
      </c>
      <c r="D2190" t="s">
        <v>2109</v>
      </c>
      <c r="E2190">
        <v>0</v>
      </c>
      <c r="F2190" t="s">
        <v>2109</v>
      </c>
      <c r="N2190" t="str" cm="1">
        <f t="array" ref="N2190">IF(MOD(ROW()-ROW($B$2),16)=0,INDEX($M$2:$M$1000,(ROW()-ROW($B$2))/16+1),"")</f>
        <v/>
      </c>
    </row>
    <row r="2191" spans="2:14" x14ac:dyDescent="0.3">
      <c r="B2191" t="s">
        <v>2173</v>
      </c>
      <c r="C2191" t="s">
        <v>4436</v>
      </c>
      <c r="D2191" t="s">
        <v>2110</v>
      </c>
      <c r="E2191">
        <v>0</v>
      </c>
      <c r="F2191" t="s">
        <v>2110</v>
      </c>
      <c r="N2191" t="str" cm="1">
        <f t="array" ref="N2191">IF(MOD(ROW()-ROW($B$2),16)=0,INDEX($M$2:$M$1000,(ROW()-ROW($B$2))/16+1),"")</f>
        <v/>
      </c>
    </row>
    <row r="2192" spans="2:14" x14ac:dyDescent="0.3">
      <c r="B2192" t="s">
        <v>2173</v>
      </c>
      <c r="C2192" t="s">
        <v>4437</v>
      </c>
      <c r="D2192" t="s">
        <v>2111</v>
      </c>
      <c r="E2192">
        <v>0</v>
      </c>
      <c r="F2192" t="s">
        <v>2111</v>
      </c>
      <c r="N2192" t="str" cm="1">
        <f t="array" ref="N2192">IF(MOD(ROW()-ROW($B$2),16)=0,INDEX($M$2:$M$1000,(ROW()-ROW($B$2))/16+1),"")</f>
        <v/>
      </c>
    </row>
    <row r="2193" spans="2:14" x14ac:dyDescent="0.3">
      <c r="B2193" t="s">
        <v>2173</v>
      </c>
      <c r="C2193" t="s">
        <v>4438</v>
      </c>
      <c r="D2193" t="s">
        <v>2112</v>
      </c>
      <c r="E2193">
        <v>0</v>
      </c>
      <c r="F2193" t="s">
        <v>2112</v>
      </c>
      <c r="N2193" t="str" cm="1">
        <f t="array" ref="N2193">IF(MOD(ROW()-ROW($B$2),16)=0,INDEX($M$2:$M$1000,(ROW()-ROW($B$2))/16+1),"")</f>
        <v/>
      </c>
    </row>
    <row r="2194" spans="2:14" x14ac:dyDescent="0.3">
      <c r="B2194" t="s">
        <v>2173</v>
      </c>
      <c r="C2194" t="s">
        <v>4439</v>
      </c>
      <c r="D2194" t="s">
        <v>2113</v>
      </c>
      <c r="E2194">
        <v>0</v>
      </c>
      <c r="F2194" t="s">
        <v>2113</v>
      </c>
      <c r="N2194" t="str" cm="1">
        <f t="array" ref="N2194">IF(MOD(ROW()-ROW($B$2),16)=0,INDEX($M$2:$M$1000,(ROW()-ROW($B$2))/16+1),"")</f>
        <v/>
      </c>
    </row>
    <row r="2195" spans="2:14" x14ac:dyDescent="0.3">
      <c r="B2195" t="s">
        <v>2173</v>
      </c>
      <c r="C2195" t="s">
        <v>4440</v>
      </c>
      <c r="D2195" t="s">
        <v>2114</v>
      </c>
      <c r="E2195">
        <v>0</v>
      </c>
      <c r="F2195" t="s">
        <v>2114</v>
      </c>
      <c r="N2195" t="str" cm="1">
        <f t="array" ref="N2195">IF(MOD(ROW()-ROW($B$2),16)=0,INDEX($M$2:$M$1000,(ROW()-ROW($B$2))/16+1),"")</f>
        <v/>
      </c>
    </row>
    <row r="2196" spans="2:14" x14ac:dyDescent="0.3">
      <c r="B2196" t="s">
        <v>2173</v>
      </c>
      <c r="C2196" t="s">
        <v>4441</v>
      </c>
      <c r="D2196" t="s">
        <v>2115</v>
      </c>
      <c r="E2196">
        <v>0</v>
      </c>
      <c r="F2196" t="s">
        <v>2115</v>
      </c>
      <c r="N2196" t="str" cm="1">
        <f t="array" ref="N2196">IF(MOD(ROW()-ROW($B$2),16)=0,INDEX($M$2:$M$1000,(ROW()-ROW($B$2))/16+1),"")</f>
        <v/>
      </c>
    </row>
    <row r="2197" spans="2:14" x14ac:dyDescent="0.3">
      <c r="B2197" t="s">
        <v>2173</v>
      </c>
      <c r="C2197" t="s">
        <v>4442</v>
      </c>
      <c r="D2197" t="s">
        <v>2116</v>
      </c>
      <c r="E2197">
        <v>0</v>
      </c>
      <c r="F2197" t="s">
        <v>2116</v>
      </c>
      <c r="N2197" t="str" cm="1">
        <f t="array" ref="N2197">IF(MOD(ROW()-ROW($B$2),16)=0,INDEX($M$2:$M$1000,(ROW()-ROW($B$2))/16+1),"")</f>
        <v/>
      </c>
    </row>
    <row r="2198" spans="2:14" x14ac:dyDescent="0.3">
      <c r="B2198" t="s">
        <v>2173</v>
      </c>
      <c r="C2198" t="s">
        <v>4443</v>
      </c>
      <c r="D2198" t="s">
        <v>2117</v>
      </c>
      <c r="E2198">
        <v>0</v>
      </c>
      <c r="F2198" t="s">
        <v>2117</v>
      </c>
      <c r="N2198" t="str" cm="1">
        <f t="array" ref="N2198">IF(MOD(ROW()-ROW($B$2),16)=0,INDEX($M$2:$M$1000,(ROW()-ROW($B$2))/16+1),"")</f>
        <v/>
      </c>
    </row>
    <row r="2199" spans="2:14" x14ac:dyDescent="0.3">
      <c r="B2199" t="s">
        <v>2173</v>
      </c>
      <c r="C2199" t="s">
        <v>4444</v>
      </c>
      <c r="D2199" t="s">
        <v>2118</v>
      </c>
      <c r="E2199">
        <v>0</v>
      </c>
      <c r="F2199" t="s">
        <v>2118</v>
      </c>
      <c r="N2199" t="str" cm="1">
        <f t="array" ref="N2199">IF(MOD(ROW()-ROW($B$2),16)=0,INDEX($M$2:$M$1000,(ROW()-ROW($B$2))/16+1),"")</f>
        <v/>
      </c>
    </row>
    <row r="2200" spans="2:14" x14ac:dyDescent="0.3">
      <c r="B2200" t="s">
        <v>2173</v>
      </c>
      <c r="C2200" t="s">
        <v>4445</v>
      </c>
      <c r="D2200" t="s">
        <v>2119</v>
      </c>
      <c r="E2200">
        <v>0</v>
      </c>
      <c r="F2200" t="s">
        <v>2119</v>
      </c>
      <c r="N2200" t="str" cm="1">
        <f t="array" ref="N2200">IF(MOD(ROW()-ROW($B$2),16)=0,INDEX($M$2:$M$1000,(ROW()-ROW($B$2))/16+1),"")</f>
        <v/>
      </c>
    </row>
    <row r="2201" spans="2:14" x14ac:dyDescent="0.3">
      <c r="B2201" t="s">
        <v>2173</v>
      </c>
      <c r="C2201" t="s">
        <v>4446</v>
      </c>
      <c r="D2201" t="s">
        <v>2146</v>
      </c>
      <c r="E2201">
        <v>0</v>
      </c>
      <c r="F2201" t="s">
        <v>2146</v>
      </c>
      <c r="N2201" t="str" cm="1">
        <f t="array" ref="N2201">IF(MOD(ROW()-ROW($B$2),16)=0,INDEX($M$2:$M$1000,(ROW()-ROW($B$2))/16+1),"")</f>
        <v/>
      </c>
    </row>
    <row r="2202" spans="2:14" x14ac:dyDescent="0.3">
      <c r="B2202" t="s">
        <v>2173</v>
      </c>
      <c r="C2202" t="s">
        <v>4447</v>
      </c>
      <c r="D2202" t="s">
        <v>2120</v>
      </c>
      <c r="E2202">
        <v>0</v>
      </c>
      <c r="F2202" t="s">
        <v>2120</v>
      </c>
      <c r="N2202" t="str" cm="1">
        <f t="array" ref="N2202">IF(MOD(ROW()-ROW($B$2),16)=0,INDEX($M$2:$M$1000,(ROW()-ROW($B$2))/16+1),"")</f>
        <v/>
      </c>
    </row>
    <row r="2203" spans="2:14" x14ac:dyDescent="0.3">
      <c r="B2203" t="s">
        <v>2173</v>
      </c>
      <c r="C2203" t="s">
        <v>4448</v>
      </c>
      <c r="D2203" t="s">
        <v>2121</v>
      </c>
      <c r="E2203">
        <v>0</v>
      </c>
      <c r="F2203" t="s">
        <v>2121</v>
      </c>
      <c r="N2203" t="str" cm="1">
        <f t="array" ref="N2203">IF(MOD(ROW()-ROW($B$2),16)=0,INDEX($M$2:$M$1000,(ROW()-ROW($B$2))/16+1),"")</f>
        <v/>
      </c>
    </row>
    <row r="2204" spans="2:14" x14ac:dyDescent="0.3">
      <c r="B2204" t="s">
        <v>2173</v>
      </c>
      <c r="C2204" t="s">
        <v>4449</v>
      </c>
      <c r="D2204" t="s">
        <v>2122</v>
      </c>
      <c r="E2204">
        <v>0</v>
      </c>
      <c r="F2204" t="s">
        <v>2122</v>
      </c>
      <c r="N2204" t="str" cm="1">
        <f t="array" ref="N2204">IF(MOD(ROW()-ROW($B$2),16)=0,INDEX($M$2:$M$1000,(ROW()-ROW($B$2))/16+1),"")</f>
        <v/>
      </c>
    </row>
    <row r="2205" spans="2:14" x14ac:dyDescent="0.3">
      <c r="B2205" t="s">
        <v>2173</v>
      </c>
      <c r="C2205" t="s">
        <v>4450</v>
      </c>
      <c r="D2205" t="s">
        <v>2123</v>
      </c>
      <c r="E2205">
        <v>0</v>
      </c>
      <c r="F2205" t="s">
        <v>2123</v>
      </c>
      <c r="N2205" t="str" cm="1">
        <f t="array" ref="N2205">IF(MOD(ROW()-ROW($B$2),16)=0,INDEX($M$2:$M$1000,(ROW()-ROW($B$2))/16+1),"")</f>
        <v/>
      </c>
    </row>
    <row r="2206" spans="2:14" x14ac:dyDescent="0.3">
      <c r="B2206" t="s">
        <v>2173</v>
      </c>
      <c r="C2206" t="s">
        <v>4451</v>
      </c>
      <c r="D2206" t="s">
        <v>2124</v>
      </c>
      <c r="E2206">
        <v>0</v>
      </c>
      <c r="F2206" t="s">
        <v>2124</v>
      </c>
      <c r="N2206" t="str" cm="1">
        <f t="array" ref="N2206">IF(MOD(ROW()-ROW($B$2),16)=0,INDEX($M$2:$M$1000,(ROW()-ROW($B$2))/16+1),"")</f>
        <v/>
      </c>
    </row>
    <row r="2207" spans="2:14" x14ac:dyDescent="0.3">
      <c r="B2207" t="s">
        <v>2173</v>
      </c>
      <c r="C2207" t="s">
        <v>4452</v>
      </c>
      <c r="D2207" t="s">
        <v>2125</v>
      </c>
      <c r="E2207">
        <v>0</v>
      </c>
      <c r="F2207" t="s">
        <v>2125</v>
      </c>
      <c r="N2207" t="str" cm="1">
        <f t="array" ref="N2207">IF(MOD(ROW()-ROW($B$2),16)=0,INDEX($M$2:$M$1000,(ROW()-ROW($B$2))/16+1),"")</f>
        <v/>
      </c>
    </row>
    <row r="2208" spans="2:14" x14ac:dyDescent="0.3">
      <c r="B2208" t="s">
        <v>2173</v>
      </c>
      <c r="C2208" t="s">
        <v>4453</v>
      </c>
      <c r="D2208" t="s">
        <v>2126</v>
      </c>
      <c r="E2208">
        <v>0</v>
      </c>
      <c r="F2208" t="s">
        <v>2126</v>
      </c>
      <c r="N2208" t="str" cm="1">
        <f t="array" ref="N2208">IF(MOD(ROW()-ROW($B$2),16)=0,INDEX($M$2:$M$1000,(ROW()-ROW($B$2))/16+1),"")</f>
        <v/>
      </c>
    </row>
    <row r="2209" spans="2:14" x14ac:dyDescent="0.3">
      <c r="B2209" t="s">
        <v>2173</v>
      </c>
      <c r="C2209" t="s">
        <v>4454</v>
      </c>
      <c r="D2209" t="s">
        <v>2127</v>
      </c>
      <c r="E2209">
        <v>0</v>
      </c>
      <c r="F2209" t="s">
        <v>2127</v>
      </c>
      <c r="N2209" t="str" cm="1">
        <f t="array" ref="N2209">IF(MOD(ROW()-ROW($B$2),16)=0,INDEX($M$2:$M$1000,(ROW()-ROW($B$2))/16+1),"")</f>
        <v/>
      </c>
    </row>
    <row r="2210" spans="2:14" x14ac:dyDescent="0.3">
      <c r="B2210" t="s">
        <v>2173</v>
      </c>
      <c r="C2210" t="s">
        <v>4455</v>
      </c>
      <c r="D2210" t="s">
        <v>2128</v>
      </c>
      <c r="E2210">
        <v>0</v>
      </c>
      <c r="F2210" t="s">
        <v>2128</v>
      </c>
      <c r="N2210" t="str" cm="1">
        <f t="array" ref="N2210">IF(MOD(ROW()-ROW($B$2),16)=0,INDEX($M$2:$M$1000,(ROW()-ROW($B$2))/16+1),"")</f>
        <v/>
      </c>
    </row>
    <row r="2211" spans="2:14" x14ac:dyDescent="0.3">
      <c r="B2211" t="s">
        <v>2173</v>
      </c>
      <c r="C2211" t="s">
        <v>4456</v>
      </c>
      <c r="D2211" t="s">
        <v>2129</v>
      </c>
      <c r="E2211">
        <v>0</v>
      </c>
      <c r="F2211" t="s">
        <v>2129</v>
      </c>
      <c r="N2211" t="str" cm="1">
        <f t="array" ref="N2211">IF(MOD(ROW()-ROW($B$2),16)=0,INDEX($M$2:$M$1000,(ROW()-ROW($B$2))/16+1),"")</f>
        <v/>
      </c>
    </row>
    <row r="2212" spans="2:14" x14ac:dyDescent="0.3">
      <c r="B2212" t="s">
        <v>2173</v>
      </c>
      <c r="C2212" t="s">
        <v>4457</v>
      </c>
      <c r="D2212" t="s">
        <v>2130</v>
      </c>
      <c r="E2212">
        <v>0</v>
      </c>
      <c r="F2212" t="s">
        <v>2130</v>
      </c>
      <c r="N2212" t="str" cm="1">
        <f t="array" ref="N2212">IF(MOD(ROW()-ROW($B$2),16)=0,INDEX($M$2:$M$1000,(ROW()-ROW($B$2))/16+1),"")</f>
        <v/>
      </c>
    </row>
    <row r="2213" spans="2:14" x14ac:dyDescent="0.3">
      <c r="B2213" t="s">
        <v>2173</v>
      </c>
      <c r="C2213" t="s">
        <v>4458</v>
      </c>
      <c r="D2213" t="s">
        <v>2131</v>
      </c>
      <c r="E2213">
        <v>0</v>
      </c>
      <c r="F2213" t="s">
        <v>2131</v>
      </c>
      <c r="N2213" t="str" cm="1">
        <f t="array" ref="N2213">IF(MOD(ROW()-ROW($B$2),16)=0,INDEX($M$2:$M$1000,(ROW()-ROW($B$2))/16+1),"")</f>
        <v/>
      </c>
    </row>
    <row r="2214" spans="2:14" x14ac:dyDescent="0.3">
      <c r="B2214" t="s">
        <v>2173</v>
      </c>
      <c r="C2214" t="s">
        <v>4459</v>
      </c>
      <c r="D2214" t="s">
        <v>2132</v>
      </c>
      <c r="E2214">
        <v>0</v>
      </c>
      <c r="F2214" t="s">
        <v>2132</v>
      </c>
      <c r="N2214" t="str" cm="1">
        <f t="array" ref="N2214">IF(MOD(ROW()-ROW($B$2),16)=0,INDEX($M$2:$M$1000,(ROW()-ROW($B$2))/16+1),"")</f>
        <v/>
      </c>
    </row>
    <row r="2215" spans="2:14" x14ac:dyDescent="0.3">
      <c r="B2215" t="s">
        <v>2173</v>
      </c>
      <c r="C2215" t="s">
        <v>4460</v>
      </c>
      <c r="D2215" t="s">
        <v>2133</v>
      </c>
      <c r="E2215">
        <v>0</v>
      </c>
      <c r="F2215" t="s">
        <v>2133</v>
      </c>
      <c r="N2215" t="str" cm="1">
        <f t="array" ref="N2215">IF(MOD(ROW()-ROW($B$2),16)=0,INDEX($M$2:$M$1000,(ROW()-ROW($B$2))/16+1),"")</f>
        <v/>
      </c>
    </row>
    <row r="2216" spans="2:14" x14ac:dyDescent="0.3">
      <c r="B2216" t="s">
        <v>2173</v>
      </c>
      <c r="C2216" t="s">
        <v>4461</v>
      </c>
      <c r="D2216" t="s">
        <v>2134</v>
      </c>
      <c r="E2216">
        <v>0</v>
      </c>
      <c r="F2216" t="s">
        <v>2134</v>
      </c>
      <c r="N2216" t="str" cm="1">
        <f t="array" ref="N2216">IF(MOD(ROW()-ROW($B$2),16)=0,INDEX($M$2:$M$1000,(ROW()-ROW($B$2))/16+1),"")</f>
        <v/>
      </c>
    </row>
    <row r="2217" spans="2:14" x14ac:dyDescent="0.3">
      <c r="B2217" t="s">
        <v>2173</v>
      </c>
      <c r="C2217" t="s">
        <v>4462</v>
      </c>
      <c r="D2217" t="s">
        <v>2135</v>
      </c>
      <c r="E2217">
        <v>0</v>
      </c>
      <c r="F2217" t="s">
        <v>2135</v>
      </c>
      <c r="N2217" t="str" cm="1">
        <f t="array" ref="N2217">IF(MOD(ROW()-ROW($B$2),16)=0,INDEX($M$2:$M$1000,(ROW()-ROW($B$2))/16+1),"")</f>
        <v/>
      </c>
    </row>
    <row r="2218" spans="2:14" x14ac:dyDescent="0.3">
      <c r="B2218" t="s">
        <v>2173</v>
      </c>
      <c r="C2218" t="s">
        <v>4463</v>
      </c>
      <c r="D2218" t="s">
        <v>2136</v>
      </c>
      <c r="E2218">
        <v>0</v>
      </c>
      <c r="F2218" t="s">
        <v>2136</v>
      </c>
      <c r="N2218" t="str" cm="1">
        <f t="array" ref="N2218">IF(MOD(ROW()-ROW($B$2),16)=0,INDEX($M$2:$M$1000,(ROW()-ROW($B$2))/16+1),"")</f>
        <v/>
      </c>
    </row>
    <row r="2219" spans="2:14" x14ac:dyDescent="0.3">
      <c r="B2219" t="s">
        <v>2173</v>
      </c>
      <c r="C2219" t="s">
        <v>4464</v>
      </c>
      <c r="D2219" t="s">
        <v>2137</v>
      </c>
      <c r="E2219">
        <v>0</v>
      </c>
      <c r="F2219" t="s">
        <v>2137</v>
      </c>
      <c r="N2219" t="str" cm="1">
        <f t="array" ref="N2219">IF(MOD(ROW()-ROW($B$2),16)=0,INDEX($M$2:$M$1000,(ROW()-ROW($B$2))/16+1),"")</f>
        <v/>
      </c>
    </row>
    <row r="2220" spans="2:14" x14ac:dyDescent="0.3">
      <c r="B2220" t="s">
        <v>2173</v>
      </c>
      <c r="C2220" t="s">
        <v>4465</v>
      </c>
      <c r="D2220" t="s">
        <v>2138</v>
      </c>
      <c r="E2220">
        <v>0</v>
      </c>
      <c r="F2220" t="s">
        <v>2138</v>
      </c>
      <c r="N2220" t="str" cm="1">
        <f t="array" ref="N2220">IF(MOD(ROW()-ROW($B$2),16)=0,INDEX($M$2:$M$1000,(ROW()-ROW($B$2))/16+1),"")</f>
        <v/>
      </c>
    </row>
    <row r="2221" spans="2:14" x14ac:dyDescent="0.3">
      <c r="B2221" t="s">
        <v>2173</v>
      </c>
      <c r="C2221" t="s">
        <v>4466</v>
      </c>
      <c r="D2221" t="s">
        <v>2139</v>
      </c>
      <c r="E2221">
        <v>0</v>
      </c>
      <c r="F2221" t="s">
        <v>2139</v>
      </c>
      <c r="N2221" t="str" cm="1">
        <f t="array" ref="N2221">IF(MOD(ROW()-ROW($B$2),16)=0,INDEX($M$2:$M$1000,(ROW()-ROW($B$2))/16+1),"")</f>
        <v/>
      </c>
    </row>
    <row r="2222" spans="2:14" x14ac:dyDescent="0.3">
      <c r="B2222" t="s">
        <v>2173</v>
      </c>
      <c r="C2222" t="s">
        <v>4467</v>
      </c>
      <c r="D2222" t="s">
        <v>2140</v>
      </c>
      <c r="E2222">
        <v>0</v>
      </c>
      <c r="F2222" t="s">
        <v>2140</v>
      </c>
      <c r="N2222" t="str" cm="1">
        <f t="array" ref="N2222">IF(MOD(ROW()-ROW($B$2),16)=0,INDEX($M$2:$M$1000,(ROW()-ROW($B$2))/16+1),"")</f>
        <v/>
      </c>
    </row>
    <row r="2223" spans="2:14" x14ac:dyDescent="0.3">
      <c r="B2223" t="s">
        <v>2173</v>
      </c>
      <c r="C2223" t="s">
        <v>4468</v>
      </c>
      <c r="D2223" t="s">
        <v>2141</v>
      </c>
      <c r="E2223">
        <v>0</v>
      </c>
      <c r="F2223" t="s">
        <v>2141</v>
      </c>
      <c r="N2223" t="str" cm="1">
        <f t="array" ref="N2223">IF(MOD(ROW()-ROW($B$2),16)=0,INDEX($M$2:$M$1000,(ROW()-ROW($B$2))/16+1),"")</f>
        <v/>
      </c>
    </row>
    <row r="2224" spans="2:14" x14ac:dyDescent="0.3">
      <c r="B2224" t="s">
        <v>2173</v>
      </c>
      <c r="C2224" t="s">
        <v>4469</v>
      </c>
      <c r="D2224" t="s">
        <v>2142</v>
      </c>
      <c r="E2224">
        <v>0</v>
      </c>
      <c r="F2224" t="s">
        <v>2142</v>
      </c>
      <c r="N2224" t="str" cm="1">
        <f t="array" ref="N2224">IF(MOD(ROW()-ROW($B$2),16)=0,INDEX($M$2:$M$1000,(ROW()-ROW($B$2))/16+1),"")</f>
        <v/>
      </c>
    </row>
    <row r="2225" spans="2:14" x14ac:dyDescent="0.3">
      <c r="B2225" t="s">
        <v>2173</v>
      </c>
      <c r="C2225" t="s">
        <v>4470</v>
      </c>
      <c r="D2225" t="s">
        <v>2143</v>
      </c>
      <c r="E2225">
        <v>0</v>
      </c>
      <c r="F2225" t="s">
        <v>2143</v>
      </c>
      <c r="N2225" t="str" cm="1">
        <f t="array" ref="N2225">IF(MOD(ROW()-ROW($B$2),16)=0,INDEX($M$2:$M$1000,(ROW()-ROW($B$2))/16+1),"")</f>
        <v/>
      </c>
    </row>
    <row r="2226" spans="2:14" x14ac:dyDescent="0.3">
      <c r="B2226" t="s">
        <v>2173</v>
      </c>
      <c r="C2226" t="s">
        <v>4471</v>
      </c>
      <c r="D2226" t="s">
        <v>2144</v>
      </c>
      <c r="E2226">
        <v>0</v>
      </c>
      <c r="F2226" t="s">
        <v>2144</v>
      </c>
      <c r="N2226" t="str" cm="1">
        <f t="array" ref="N2226">IF(MOD(ROW()-ROW($B$2),16)=0,INDEX($M$2:$M$1000,(ROW()-ROW($B$2))/16+1),"")</f>
        <v/>
      </c>
    </row>
    <row r="2227" spans="2:14" x14ac:dyDescent="0.3">
      <c r="B2227" t="s">
        <v>2173</v>
      </c>
      <c r="C2227" t="s">
        <v>4472</v>
      </c>
      <c r="D2227" t="s">
        <v>642</v>
      </c>
      <c r="E2227">
        <v>0</v>
      </c>
      <c r="F2227" t="s">
        <v>642</v>
      </c>
      <c r="N2227" t="str" cm="1">
        <f t="array" ref="N2227">IF(MOD(ROW()-ROW($B$2),16)=0,INDEX($M$2:$M$1000,(ROW()-ROW($B$2))/16+1),"")</f>
        <v/>
      </c>
    </row>
    <row r="2228" spans="2:14" x14ac:dyDescent="0.3">
      <c r="B2228" t="s">
        <v>2173</v>
      </c>
      <c r="C2228" t="s">
        <v>4473</v>
      </c>
      <c r="D2228" t="s">
        <v>643</v>
      </c>
      <c r="E2228">
        <v>0</v>
      </c>
      <c r="F2228" t="s">
        <v>643</v>
      </c>
      <c r="N2228" t="str" cm="1">
        <f t="array" ref="N2228">IF(MOD(ROW()-ROW($B$2),16)=0,INDEX($M$2:$M$1000,(ROW()-ROW($B$2))/16+1),"")</f>
        <v/>
      </c>
    </row>
    <row r="2229" spans="2:14" x14ac:dyDescent="0.3">
      <c r="B2229" t="s">
        <v>2173</v>
      </c>
      <c r="C2229" t="s">
        <v>4474</v>
      </c>
      <c r="D2229" t="s">
        <v>2148</v>
      </c>
      <c r="E2229">
        <v>0</v>
      </c>
      <c r="F2229" t="s">
        <v>2148</v>
      </c>
      <c r="N2229" t="str" cm="1">
        <f t="array" ref="N2229">IF(MOD(ROW()-ROW($B$2),16)=0,INDEX($M$2:$M$1000,(ROW()-ROW($B$2))/16+1),"")</f>
        <v/>
      </c>
    </row>
    <row r="2230" spans="2:14" x14ac:dyDescent="0.3">
      <c r="B2230" t="s">
        <v>2173</v>
      </c>
      <c r="C2230" t="s">
        <v>4475</v>
      </c>
      <c r="D2230" t="s">
        <v>2149</v>
      </c>
      <c r="E2230">
        <v>0</v>
      </c>
      <c r="F2230" t="s">
        <v>2149</v>
      </c>
      <c r="N2230" t="str" cm="1">
        <f t="array" ref="N2230">IF(MOD(ROW()-ROW($B$2),16)=0,INDEX($M$2:$M$1000,(ROW()-ROW($B$2))/16+1),"")</f>
        <v/>
      </c>
    </row>
    <row r="2231" spans="2:14" x14ac:dyDescent="0.3">
      <c r="B2231" t="s">
        <v>2173</v>
      </c>
      <c r="C2231" t="s">
        <v>4476</v>
      </c>
      <c r="D2231" t="s">
        <v>2150</v>
      </c>
      <c r="E2231">
        <v>0</v>
      </c>
      <c r="F2231" t="s">
        <v>2150</v>
      </c>
      <c r="N2231" t="str" cm="1">
        <f t="array" ref="N2231">IF(MOD(ROW()-ROW($B$2),16)=0,INDEX($M$2:$M$1000,(ROW()-ROW($B$2))/16+1),"")</f>
        <v/>
      </c>
    </row>
    <row r="2232" spans="2:14" x14ac:dyDescent="0.3">
      <c r="B2232" t="s">
        <v>2173</v>
      </c>
      <c r="C2232" t="s">
        <v>4477</v>
      </c>
      <c r="D2232" t="s">
        <v>2151</v>
      </c>
      <c r="E2232">
        <v>0</v>
      </c>
      <c r="F2232" t="s">
        <v>2151</v>
      </c>
      <c r="N2232" t="str" cm="1">
        <f t="array" ref="N2232">IF(MOD(ROW()-ROW($B$2),16)=0,INDEX($M$2:$M$1000,(ROW()-ROW($B$2))/16+1),"")</f>
        <v/>
      </c>
    </row>
    <row r="2233" spans="2:14" x14ac:dyDescent="0.3">
      <c r="B2233" t="s">
        <v>2173</v>
      </c>
      <c r="C2233" t="s">
        <v>4478</v>
      </c>
      <c r="D2233" t="s">
        <v>2152</v>
      </c>
      <c r="E2233">
        <v>0</v>
      </c>
      <c r="F2233" t="s">
        <v>2152</v>
      </c>
      <c r="N2233" t="str" cm="1">
        <f t="array" ref="N2233">IF(MOD(ROW()-ROW($B$2),16)=0,INDEX($M$2:$M$1000,(ROW()-ROW($B$2))/16+1),"")</f>
        <v/>
      </c>
    </row>
    <row r="2234" spans="2:14" x14ac:dyDescent="0.3">
      <c r="B2234" t="s">
        <v>2173</v>
      </c>
      <c r="C2234" t="s">
        <v>4479</v>
      </c>
      <c r="D2234" t="s">
        <v>2153</v>
      </c>
      <c r="E2234">
        <v>0</v>
      </c>
      <c r="F2234" t="s">
        <v>2153</v>
      </c>
      <c r="N2234" t="str" cm="1">
        <f t="array" ref="N2234">IF(MOD(ROW()-ROW($B$2),16)=0,INDEX($M$2:$M$1000,(ROW()-ROW($B$2))/16+1),"")</f>
        <v/>
      </c>
    </row>
    <row r="2235" spans="2:14" x14ac:dyDescent="0.3">
      <c r="B2235" t="s">
        <v>2173</v>
      </c>
      <c r="C2235" t="s">
        <v>4480</v>
      </c>
      <c r="D2235" t="s">
        <v>2154</v>
      </c>
      <c r="E2235">
        <v>0</v>
      </c>
      <c r="F2235" t="s">
        <v>2154</v>
      </c>
      <c r="N2235" t="str" cm="1">
        <f t="array" ref="N2235">IF(MOD(ROW()-ROW($B$2),16)=0,INDEX($M$2:$M$1000,(ROW()-ROW($B$2))/16+1),"")</f>
        <v/>
      </c>
    </row>
    <row r="2236" spans="2:14" x14ac:dyDescent="0.3">
      <c r="B2236" t="s">
        <v>2173</v>
      </c>
      <c r="C2236" t="s">
        <v>4481</v>
      </c>
      <c r="D2236" t="s">
        <v>2155</v>
      </c>
      <c r="E2236">
        <v>0</v>
      </c>
      <c r="F2236" t="s">
        <v>2155</v>
      </c>
      <c r="N2236" t="str" cm="1">
        <f t="array" ref="N2236">IF(MOD(ROW()-ROW($B$2),16)=0,INDEX($M$2:$M$1000,(ROW()-ROW($B$2))/16+1),"")</f>
        <v/>
      </c>
    </row>
    <row r="2237" spans="2:14" x14ac:dyDescent="0.3">
      <c r="B2237" t="s">
        <v>2173</v>
      </c>
      <c r="C2237" t="s">
        <v>4482</v>
      </c>
      <c r="D2237" t="s">
        <v>2156</v>
      </c>
      <c r="E2237">
        <v>0</v>
      </c>
      <c r="F2237" t="s">
        <v>2156</v>
      </c>
      <c r="N2237" t="str" cm="1">
        <f t="array" ref="N2237">IF(MOD(ROW()-ROW($B$2),16)=0,INDEX($M$2:$M$1000,(ROW()-ROW($B$2))/16+1),"")</f>
        <v/>
      </c>
    </row>
    <row r="2238" spans="2:14" x14ac:dyDescent="0.3">
      <c r="B2238" t="s">
        <v>2173</v>
      </c>
      <c r="C2238" t="s">
        <v>4483</v>
      </c>
      <c r="D2238" t="s">
        <v>2157</v>
      </c>
      <c r="E2238">
        <v>0</v>
      </c>
      <c r="F2238" t="s">
        <v>2157</v>
      </c>
      <c r="N2238" t="str" cm="1">
        <f t="array" ref="N2238">IF(MOD(ROW()-ROW($B$2),16)=0,INDEX($M$2:$M$1000,(ROW()-ROW($B$2))/16+1),"")</f>
        <v/>
      </c>
    </row>
    <row r="2239" spans="2:14" x14ac:dyDescent="0.3">
      <c r="B2239" t="s">
        <v>2173</v>
      </c>
      <c r="C2239" t="s">
        <v>4484</v>
      </c>
      <c r="D2239" t="s">
        <v>2158</v>
      </c>
      <c r="E2239">
        <v>0</v>
      </c>
      <c r="F2239" t="s">
        <v>2158</v>
      </c>
      <c r="N2239" t="str" cm="1">
        <f t="array" ref="N2239">IF(MOD(ROW()-ROW($B$2),16)=0,INDEX($M$2:$M$1000,(ROW()-ROW($B$2))/16+1),"")</f>
        <v/>
      </c>
    </row>
    <row r="2240" spans="2:14" x14ac:dyDescent="0.3">
      <c r="B2240" t="s">
        <v>2173</v>
      </c>
      <c r="C2240" t="s">
        <v>4485</v>
      </c>
      <c r="D2240" t="s">
        <v>2159</v>
      </c>
      <c r="E2240">
        <v>0</v>
      </c>
      <c r="F2240" t="s">
        <v>2159</v>
      </c>
      <c r="N2240" t="str" cm="1">
        <f t="array" ref="N2240">IF(MOD(ROW()-ROW($B$2),16)=0,INDEX($M$2:$M$1000,(ROW()-ROW($B$2))/16+1),"")</f>
        <v/>
      </c>
    </row>
    <row r="2241" spans="2:14" x14ac:dyDescent="0.3">
      <c r="B2241" t="s">
        <v>2173</v>
      </c>
      <c r="C2241" t="s">
        <v>4486</v>
      </c>
      <c r="D2241" t="s">
        <v>2160</v>
      </c>
      <c r="E2241">
        <v>0</v>
      </c>
      <c r="F2241" t="s">
        <v>2160</v>
      </c>
      <c r="N2241" t="str" cm="1">
        <f t="array" ref="N2241">IF(MOD(ROW()-ROW($B$2),16)=0,INDEX($M$2:$M$1000,(ROW()-ROW($B$2))/16+1),"")</f>
        <v/>
      </c>
    </row>
    <row r="2242" spans="2:14" x14ac:dyDescent="0.3">
      <c r="B2242" t="s">
        <v>2173</v>
      </c>
      <c r="C2242" t="s">
        <v>4487</v>
      </c>
      <c r="D2242" t="s">
        <v>2161</v>
      </c>
      <c r="E2242">
        <v>0</v>
      </c>
      <c r="F2242" t="s">
        <v>2161</v>
      </c>
      <c r="N2242" t="str" cm="1">
        <f t="array" ref="N2242">IF(MOD(ROW()-ROW($B$2),16)=0,INDEX($M$2:$M$1000,(ROW()-ROW($B$2))/16+1),"")</f>
        <v>Выбранный номер задания (0)</v>
      </c>
    </row>
    <row r="2243" spans="2:14" x14ac:dyDescent="0.3">
      <c r="B2243" t="s">
        <v>2173</v>
      </c>
      <c r="C2243" t="s">
        <v>4488</v>
      </c>
      <c r="D2243" t="s">
        <v>2162</v>
      </c>
      <c r="E2243">
        <v>0</v>
      </c>
      <c r="F2243" t="s">
        <v>2162</v>
      </c>
      <c r="N2243" t="str" cm="1">
        <f t="array" ref="N2243">IF(MOD(ROW()-ROW($B$2),16)=0,INDEX($M$2:$M$1000,(ROW()-ROW($B$2))/16+1),"")</f>
        <v/>
      </c>
    </row>
    <row r="2244" spans="2:14" x14ac:dyDescent="0.3">
      <c r="B2244" t="s">
        <v>2173</v>
      </c>
      <c r="C2244" t="s">
        <v>4489</v>
      </c>
      <c r="D2244" t="s">
        <v>2163</v>
      </c>
      <c r="E2244">
        <v>0</v>
      </c>
      <c r="F2244" t="s">
        <v>2163</v>
      </c>
      <c r="N2244" t="str" cm="1">
        <f t="array" ref="N2244">IF(MOD(ROW()-ROW($B$2),16)=0,INDEX($M$2:$M$1000,(ROW()-ROW($B$2))/16+1),"")</f>
        <v/>
      </c>
    </row>
    <row r="2245" spans="2:14" x14ac:dyDescent="0.3">
      <c r="B2245" t="s">
        <v>2173</v>
      </c>
      <c r="C2245" t="s">
        <v>4490</v>
      </c>
      <c r="D2245" t="s">
        <v>2164</v>
      </c>
      <c r="E2245">
        <v>0</v>
      </c>
      <c r="F2245" t="s">
        <v>2164</v>
      </c>
      <c r="N2245" t="str" cm="1">
        <f t="array" ref="N2245">IF(MOD(ROW()-ROW($B$2),16)=0,INDEX($M$2:$M$1000,(ROW()-ROW($B$2))/16+1),"")</f>
        <v/>
      </c>
    </row>
    <row r="2246" spans="2:14" x14ac:dyDescent="0.3">
      <c r="B2246" t="s">
        <v>2173</v>
      </c>
      <c r="C2246" t="s">
        <v>4491</v>
      </c>
      <c r="D2246" t="s">
        <v>2165</v>
      </c>
      <c r="E2246">
        <v>0</v>
      </c>
      <c r="F2246" t="s">
        <v>2165</v>
      </c>
      <c r="N2246" t="str" cm="1">
        <f t="array" ref="N2246">IF(MOD(ROW()-ROW($B$2),16)=0,INDEX($M$2:$M$1000,(ROW()-ROW($B$2))/16+1),"")</f>
        <v/>
      </c>
    </row>
    <row r="2247" spans="2:14" x14ac:dyDescent="0.3">
      <c r="B2247" t="s">
        <v>2173</v>
      </c>
      <c r="C2247" t="s">
        <v>4492</v>
      </c>
      <c r="D2247" t="s">
        <v>2166</v>
      </c>
      <c r="E2247">
        <v>0</v>
      </c>
      <c r="F2247" t="s">
        <v>2166</v>
      </c>
      <c r="N2247" t="str" cm="1">
        <f t="array" ref="N2247">IF(MOD(ROW()-ROW($B$2),16)=0,INDEX($M$2:$M$1000,(ROW()-ROW($B$2))/16+1),"")</f>
        <v/>
      </c>
    </row>
    <row r="2248" spans="2:14" x14ac:dyDescent="0.3">
      <c r="B2248" t="s">
        <v>2173</v>
      </c>
      <c r="C2248" t="s">
        <v>4493</v>
      </c>
      <c r="D2248" t="s">
        <v>2167</v>
      </c>
      <c r="E2248">
        <v>0</v>
      </c>
      <c r="F2248" t="s">
        <v>2167</v>
      </c>
      <c r="N2248" t="str" cm="1">
        <f t="array" ref="N2248">IF(MOD(ROW()-ROW($B$2),16)=0,INDEX($M$2:$M$1000,(ROW()-ROW($B$2))/16+1),"")</f>
        <v/>
      </c>
    </row>
    <row r="2249" spans="2:14" x14ac:dyDescent="0.3">
      <c r="B2249" t="s">
        <v>2173</v>
      </c>
      <c r="C2249" t="s">
        <v>4494</v>
      </c>
      <c r="D2249" t="s">
        <v>2168</v>
      </c>
      <c r="E2249">
        <v>0</v>
      </c>
      <c r="F2249" t="s">
        <v>2168</v>
      </c>
      <c r="N2249" t="str" cm="1">
        <f t="array" ref="N2249">IF(MOD(ROW()-ROW($B$2),16)=0,INDEX($M$2:$M$1000,(ROW()-ROW($B$2))/16+1),"")</f>
        <v/>
      </c>
    </row>
    <row r="2250" spans="2:14" x14ac:dyDescent="0.3">
      <c r="B2250" t="s">
        <v>2173</v>
      </c>
      <c r="C2250" t="s">
        <v>4495</v>
      </c>
      <c r="D2250" t="s">
        <v>2169</v>
      </c>
      <c r="E2250">
        <v>0</v>
      </c>
      <c r="F2250" t="s">
        <v>2169</v>
      </c>
      <c r="N2250" t="str" cm="1">
        <f t="array" ref="N2250">IF(MOD(ROW()-ROW($B$2),16)=0,INDEX($M$2:$M$1000,(ROW()-ROW($B$2))/16+1),"")</f>
        <v/>
      </c>
    </row>
    <row r="2251" spans="2:14" x14ac:dyDescent="0.3">
      <c r="B2251" t="s">
        <v>2173</v>
      </c>
      <c r="C2251" t="s">
        <v>4496</v>
      </c>
      <c r="D2251" t="s">
        <v>2170</v>
      </c>
      <c r="E2251">
        <v>0</v>
      </c>
      <c r="F2251" t="s">
        <v>2170</v>
      </c>
      <c r="N2251" t="str" cm="1">
        <f t="array" ref="N2251">IF(MOD(ROW()-ROW($B$2),16)=0,INDEX($M$2:$M$1000,(ROW()-ROW($B$2))/16+1),"")</f>
        <v/>
      </c>
    </row>
    <row r="2252" spans="2:14" x14ac:dyDescent="0.3">
      <c r="B2252" t="s">
        <v>2173</v>
      </c>
      <c r="C2252" t="s">
        <v>4497</v>
      </c>
      <c r="D2252" t="s">
        <v>2171</v>
      </c>
      <c r="E2252">
        <v>0</v>
      </c>
      <c r="F2252" t="s">
        <v>2171</v>
      </c>
      <c r="N2252" t="str" cm="1">
        <f t="array" ref="N2252">IF(MOD(ROW()-ROW($B$2),16)=0,INDEX($M$2:$M$1000,(ROW()-ROW($B$2))/16+1),"")</f>
        <v/>
      </c>
    </row>
    <row r="2253" spans="2:14" x14ac:dyDescent="0.3">
      <c r="B2253" t="s">
        <v>2177</v>
      </c>
      <c r="C2253" t="s">
        <v>4498</v>
      </c>
      <c r="D2253" t="s">
        <v>4499</v>
      </c>
      <c r="E2253">
        <v>0</v>
      </c>
      <c r="F2253" t="s">
        <v>4499</v>
      </c>
      <c r="N2253" t="str" cm="1">
        <f t="array" ref="N2253">IF(MOD(ROW()-ROW($B$2),16)=0,INDEX($M$2:$M$1000,(ROW()-ROW($B$2))/16+1),"")</f>
        <v/>
      </c>
    </row>
    <row r="2254" spans="2:14" x14ac:dyDescent="0.3">
      <c r="B2254" t="s">
        <v>2177</v>
      </c>
      <c r="C2254" t="s">
        <v>4500</v>
      </c>
      <c r="D2254" t="s">
        <v>4501</v>
      </c>
      <c r="E2254">
        <v>0</v>
      </c>
      <c r="F2254" t="s">
        <v>4501</v>
      </c>
      <c r="N2254" t="str" cm="1">
        <f t="array" ref="N2254">IF(MOD(ROW()-ROW($B$2),16)=0,INDEX($M$2:$M$1000,(ROW()-ROW($B$2))/16+1),"")</f>
        <v/>
      </c>
    </row>
    <row r="2255" spans="2:14" x14ac:dyDescent="0.3">
      <c r="B2255" t="s">
        <v>2177</v>
      </c>
      <c r="C2255" t="s">
        <v>4502</v>
      </c>
      <c r="D2255" t="s">
        <v>4503</v>
      </c>
      <c r="E2255">
        <v>0</v>
      </c>
      <c r="F2255" t="s">
        <v>4503</v>
      </c>
      <c r="N2255" t="str" cm="1">
        <f t="array" ref="N2255">IF(MOD(ROW()-ROW($B$2),16)=0,INDEX($M$2:$M$1000,(ROW()-ROW($B$2))/16+1),"")</f>
        <v/>
      </c>
    </row>
    <row r="2256" spans="2:14" x14ac:dyDescent="0.3">
      <c r="B2256" t="s">
        <v>2177</v>
      </c>
      <c r="C2256" t="s">
        <v>4504</v>
      </c>
      <c r="D2256" t="s">
        <v>4505</v>
      </c>
      <c r="E2256">
        <v>0</v>
      </c>
      <c r="F2256" t="s">
        <v>4505</v>
      </c>
      <c r="N2256" t="str" cm="1">
        <f t="array" ref="N2256">IF(MOD(ROW()-ROW($B$2),16)=0,INDEX($M$2:$M$1000,(ROW()-ROW($B$2))/16+1),"")</f>
        <v/>
      </c>
    </row>
    <row r="2257" spans="2:14" x14ac:dyDescent="0.3">
      <c r="B2257" t="s">
        <v>2177</v>
      </c>
      <c r="C2257" t="s">
        <v>4506</v>
      </c>
      <c r="D2257" t="s">
        <v>4507</v>
      </c>
      <c r="E2257">
        <v>0</v>
      </c>
      <c r="F2257" t="s">
        <v>4507</v>
      </c>
      <c r="N2257" t="str" cm="1">
        <f t="array" ref="N2257">IF(MOD(ROW()-ROW($B$2),16)=0,INDEX($M$2:$M$1000,(ROW()-ROW($B$2))/16+1),"")</f>
        <v/>
      </c>
    </row>
    <row r="2258" spans="2:14" x14ac:dyDescent="0.3">
      <c r="B2258" t="s">
        <v>2177</v>
      </c>
      <c r="C2258" t="s">
        <v>4508</v>
      </c>
      <c r="D2258" t="s">
        <v>4509</v>
      </c>
      <c r="E2258">
        <v>0</v>
      </c>
      <c r="F2258" t="s">
        <v>4509</v>
      </c>
      <c r="N2258" t="str" cm="1">
        <f t="array" ref="N2258">IF(MOD(ROW()-ROW($B$2),16)=0,INDEX($M$2:$M$1000,(ROW()-ROW($B$2))/16+1),"")</f>
        <v>Выбранный номер задания - 1 (0)</v>
      </c>
    </row>
    <row r="2259" spans="2:14" x14ac:dyDescent="0.3">
      <c r="B2259" t="s">
        <v>2177</v>
      </c>
      <c r="C2259" t="s">
        <v>447</v>
      </c>
      <c r="D2259" t="s">
        <v>437</v>
      </c>
      <c r="E2259">
        <v>0</v>
      </c>
      <c r="F2259" t="s">
        <v>437</v>
      </c>
      <c r="N2259" t="str" cm="1">
        <f t="array" ref="N2259">IF(MOD(ROW()-ROW($B$2),16)=0,INDEX($M$2:$M$1000,(ROW()-ROW($B$2))/16+1),"")</f>
        <v/>
      </c>
    </row>
    <row r="2260" spans="2:14" x14ac:dyDescent="0.3">
      <c r="B2260" t="s">
        <v>2177</v>
      </c>
      <c r="C2260" t="s">
        <v>448</v>
      </c>
      <c r="D2260" t="s">
        <v>438</v>
      </c>
      <c r="E2260">
        <v>0</v>
      </c>
      <c r="F2260" t="s">
        <v>438</v>
      </c>
      <c r="N2260" t="str" cm="1">
        <f t="array" ref="N2260">IF(MOD(ROW()-ROW($B$2),16)=0,INDEX($M$2:$M$1000,(ROW()-ROW($B$2))/16+1),"")</f>
        <v/>
      </c>
    </row>
    <row r="2261" spans="2:14" x14ac:dyDescent="0.3">
      <c r="B2261" t="s">
        <v>2177</v>
      </c>
      <c r="C2261" t="s">
        <v>449</v>
      </c>
      <c r="D2261" t="s">
        <v>429</v>
      </c>
      <c r="E2261">
        <v>0</v>
      </c>
      <c r="F2261" t="s">
        <v>429</v>
      </c>
      <c r="N2261" t="str" cm="1">
        <f t="array" ref="N2261">IF(MOD(ROW()-ROW($B$2),16)=0,INDEX($M$2:$M$1000,(ROW()-ROW($B$2))/16+1),"")</f>
        <v/>
      </c>
    </row>
    <row r="2262" spans="2:14" x14ac:dyDescent="0.3">
      <c r="B2262" t="s">
        <v>2177</v>
      </c>
      <c r="C2262" t="s">
        <v>450</v>
      </c>
      <c r="D2262" t="s">
        <v>432</v>
      </c>
      <c r="E2262">
        <v>0</v>
      </c>
      <c r="F2262" t="s">
        <v>432</v>
      </c>
      <c r="N2262" t="str" cm="1">
        <f t="array" ref="N2262">IF(MOD(ROW()-ROW($B$2),16)=0,INDEX($M$2:$M$1000,(ROW()-ROW($B$2))/16+1),"")</f>
        <v/>
      </c>
    </row>
    <row r="2263" spans="2:14" x14ac:dyDescent="0.3">
      <c r="B2263" t="s">
        <v>2177</v>
      </c>
      <c r="C2263" t="s">
        <v>451</v>
      </c>
      <c r="D2263" t="s">
        <v>433</v>
      </c>
      <c r="E2263">
        <v>0</v>
      </c>
      <c r="F2263" t="s">
        <v>433</v>
      </c>
      <c r="N2263" t="str" cm="1">
        <f t="array" ref="N2263">IF(MOD(ROW()-ROW($B$2),16)=0,INDEX($M$2:$M$1000,(ROW()-ROW($B$2))/16+1),"")</f>
        <v/>
      </c>
    </row>
    <row r="2264" spans="2:14" x14ac:dyDescent="0.3">
      <c r="B2264" t="s">
        <v>2177</v>
      </c>
      <c r="C2264" t="s">
        <v>452</v>
      </c>
      <c r="D2264" t="s">
        <v>430</v>
      </c>
      <c r="E2264">
        <v>0</v>
      </c>
      <c r="F2264" t="s">
        <v>430</v>
      </c>
      <c r="N2264" t="str" cm="1">
        <f t="array" ref="N2264">IF(MOD(ROW()-ROW($B$2),16)=0,INDEX($M$2:$M$1000,(ROW()-ROW($B$2))/16+1),"")</f>
        <v/>
      </c>
    </row>
    <row r="2265" spans="2:14" x14ac:dyDescent="0.3">
      <c r="B2265" t="s">
        <v>2177</v>
      </c>
      <c r="C2265" t="s">
        <v>453</v>
      </c>
      <c r="D2265" t="s">
        <v>431</v>
      </c>
      <c r="E2265">
        <v>0</v>
      </c>
      <c r="F2265" t="s">
        <v>431</v>
      </c>
      <c r="N2265" t="str" cm="1">
        <f t="array" ref="N2265">IF(MOD(ROW()-ROW($B$2),16)=0,INDEX($M$2:$M$1000,(ROW()-ROW($B$2))/16+1),"")</f>
        <v/>
      </c>
    </row>
    <row r="2266" spans="2:14" x14ac:dyDescent="0.3">
      <c r="B2266" t="s">
        <v>2177</v>
      </c>
      <c r="C2266" t="s">
        <v>454</v>
      </c>
      <c r="D2266" t="s">
        <v>434</v>
      </c>
      <c r="E2266">
        <v>0</v>
      </c>
      <c r="F2266" t="s">
        <v>434</v>
      </c>
      <c r="N2266" t="str" cm="1">
        <f t="array" ref="N2266">IF(MOD(ROW()-ROW($B$2),16)=0,INDEX($M$2:$M$1000,(ROW()-ROW($B$2))/16+1),"")</f>
        <v/>
      </c>
    </row>
    <row r="2267" spans="2:14" x14ac:dyDescent="0.3">
      <c r="B2267" t="s">
        <v>2177</v>
      </c>
      <c r="C2267" t="s">
        <v>455</v>
      </c>
      <c r="D2267" t="s">
        <v>435</v>
      </c>
      <c r="E2267">
        <v>0</v>
      </c>
      <c r="F2267" t="s">
        <v>435</v>
      </c>
      <c r="N2267" t="str" cm="1">
        <f t="array" ref="N2267">IF(MOD(ROW()-ROW($B$2),16)=0,INDEX($M$2:$M$1000,(ROW()-ROW($B$2))/16+1),"")</f>
        <v/>
      </c>
    </row>
    <row r="2268" spans="2:14" x14ac:dyDescent="0.3">
      <c r="B2268" t="s">
        <v>2173</v>
      </c>
      <c r="C2268" t="s">
        <v>4510</v>
      </c>
      <c r="D2268" t="s">
        <v>44</v>
      </c>
      <c r="E2268">
        <v>0</v>
      </c>
      <c r="F2268" t="s">
        <v>44</v>
      </c>
      <c r="N2268" t="str" cm="1">
        <f t="array" ref="N2268">IF(MOD(ROW()-ROW($B$2),16)=0,INDEX($M$2:$M$1000,(ROW()-ROW($B$2))/16+1),"")</f>
        <v/>
      </c>
    </row>
    <row r="2269" spans="2:14" x14ac:dyDescent="0.3">
      <c r="B2269" t="s">
        <v>2173</v>
      </c>
      <c r="C2269" t="s">
        <v>4511</v>
      </c>
      <c r="D2269" t="s">
        <v>644</v>
      </c>
      <c r="E2269">
        <v>0</v>
      </c>
      <c r="F2269" t="s">
        <v>644</v>
      </c>
      <c r="N2269" t="str" cm="1">
        <f t="array" ref="N2269">IF(MOD(ROW()-ROW($B$2),16)=0,INDEX($M$2:$M$1000,(ROW()-ROW($B$2))/16+1),"")</f>
        <v/>
      </c>
    </row>
    <row r="2270" spans="2:14" x14ac:dyDescent="0.3">
      <c r="B2270" t="s">
        <v>2177</v>
      </c>
      <c r="C2270" t="s">
        <v>4512</v>
      </c>
      <c r="D2270" t="s">
        <v>437</v>
      </c>
      <c r="E2270">
        <v>0</v>
      </c>
      <c r="F2270" t="s">
        <v>437</v>
      </c>
      <c r="N2270" t="str" cm="1">
        <f t="array" ref="N2270">IF(MOD(ROW()-ROW($B$2),16)=0,INDEX($M$2:$M$1000,(ROW()-ROW($B$2))/16+1),"")</f>
        <v/>
      </c>
    </row>
    <row r="2271" spans="2:14" x14ac:dyDescent="0.3">
      <c r="B2271" t="s">
        <v>2177</v>
      </c>
      <c r="C2271" t="s">
        <v>4513</v>
      </c>
      <c r="D2271" t="s">
        <v>438</v>
      </c>
      <c r="E2271">
        <v>0</v>
      </c>
      <c r="F2271" t="s">
        <v>438</v>
      </c>
      <c r="N2271" t="str" cm="1">
        <f t="array" ref="N2271">IF(MOD(ROW()-ROW($B$2),16)=0,INDEX($M$2:$M$1000,(ROW()-ROW($B$2))/16+1),"")</f>
        <v/>
      </c>
    </row>
    <row r="2272" spans="2:14" x14ac:dyDescent="0.3">
      <c r="B2272" t="s">
        <v>2177</v>
      </c>
      <c r="C2272" t="s">
        <v>4514</v>
      </c>
      <c r="D2272" t="s">
        <v>429</v>
      </c>
      <c r="E2272">
        <v>0</v>
      </c>
      <c r="F2272" t="s">
        <v>429</v>
      </c>
      <c r="N2272" t="str" cm="1">
        <f t="array" ref="N2272">IF(MOD(ROW()-ROW($B$2),16)=0,INDEX($M$2:$M$1000,(ROW()-ROW($B$2))/16+1),"")</f>
        <v/>
      </c>
    </row>
    <row r="2273" spans="2:14" x14ac:dyDescent="0.3">
      <c r="B2273" t="s">
        <v>2177</v>
      </c>
      <c r="C2273" t="s">
        <v>4515</v>
      </c>
      <c r="D2273" t="s">
        <v>432</v>
      </c>
      <c r="E2273">
        <v>0</v>
      </c>
      <c r="F2273" t="s">
        <v>432</v>
      </c>
      <c r="N2273" t="str" cm="1">
        <f t="array" ref="N2273">IF(MOD(ROW()-ROW($B$2),16)=0,INDEX($M$2:$M$1000,(ROW()-ROW($B$2))/16+1),"")</f>
        <v/>
      </c>
    </row>
    <row r="2274" spans="2:14" x14ac:dyDescent="0.3">
      <c r="B2274" t="s">
        <v>2177</v>
      </c>
      <c r="C2274" t="s">
        <v>4516</v>
      </c>
      <c r="D2274" t="s">
        <v>433</v>
      </c>
      <c r="E2274">
        <v>0</v>
      </c>
      <c r="F2274" t="s">
        <v>433</v>
      </c>
      <c r="N2274" t="str" cm="1">
        <f t="array" ref="N2274">IF(MOD(ROW()-ROW($B$2),16)=0,INDEX($M$2:$M$1000,(ROW()-ROW($B$2))/16+1),"")</f>
        <v>Оффсет строки для выбранного номера названия (0)</v>
      </c>
    </row>
    <row r="2275" spans="2:14" x14ac:dyDescent="0.3">
      <c r="B2275" t="s">
        <v>2177</v>
      </c>
      <c r="C2275" t="s">
        <v>4517</v>
      </c>
      <c r="D2275" t="s">
        <v>430</v>
      </c>
      <c r="E2275">
        <v>0</v>
      </c>
      <c r="F2275" t="s">
        <v>430</v>
      </c>
      <c r="N2275" t="str" cm="1">
        <f t="array" ref="N2275">IF(MOD(ROW()-ROW($B$2),16)=0,INDEX($M$2:$M$1000,(ROW()-ROW($B$2))/16+1),"")</f>
        <v/>
      </c>
    </row>
    <row r="2276" spans="2:14" x14ac:dyDescent="0.3">
      <c r="B2276" t="s">
        <v>2177</v>
      </c>
      <c r="C2276" t="s">
        <v>4518</v>
      </c>
      <c r="D2276" t="s">
        <v>431</v>
      </c>
      <c r="E2276">
        <v>0</v>
      </c>
      <c r="F2276" t="s">
        <v>431</v>
      </c>
      <c r="N2276" t="str" cm="1">
        <f t="array" ref="N2276">IF(MOD(ROW()-ROW($B$2),16)=0,INDEX($M$2:$M$1000,(ROW()-ROW($B$2))/16+1),"")</f>
        <v/>
      </c>
    </row>
    <row r="2277" spans="2:14" x14ac:dyDescent="0.3">
      <c r="B2277" t="s">
        <v>2177</v>
      </c>
      <c r="C2277" t="s">
        <v>4519</v>
      </c>
      <c r="D2277" t="s">
        <v>434</v>
      </c>
      <c r="E2277">
        <v>0</v>
      </c>
      <c r="F2277" t="s">
        <v>434</v>
      </c>
      <c r="N2277" t="str" cm="1">
        <f t="array" ref="N2277">IF(MOD(ROW()-ROW($B$2),16)=0,INDEX($M$2:$M$1000,(ROW()-ROW($B$2))/16+1),"")</f>
        <v/>
      </c>
    </row>
    <row r="2278" spans="2:14" x14ac:dyDescent="0.3">
      <c r="B2278" t="s">
        <v>2177</v>
      </c>
      <c r="C2278" t="s">
        <v>4520</v>
      </c>
      <c r="D2278" t="s">
        <v>435</v>
      </c>
      <c r="E2278">
        <v>0</v>
      </c>
      <c r="F2278" t="s">
        <v>435</v>
      </c>
      <c r="N2278" t="str" cm="1">
        <f t="array" ref="N2278">IF(MOD(ROW()-ROW($B$2),16)=0,INDEX($M$2:$M$1000,(ROW()-ROW($B$2))/16+1),"")</f>
        <v/>
      </c>
    </row>
    <row r="2279" spans="2:14" x14ac:dyDescent="0.3">
      <c r="B2279" t="s">
        <v>2173</v>
      </c>
      <c r="C2279" t="s">
        <v>4521</v>
      </c>
      <c r="D2279" t="s">
        <v>639</v>
      </c>
      <c r="E2279">
        <v>0</v>
      </c>
      <c r="F2279" t="s">
        <v>639</v>
      </c>
      <c r="N2279" t="str" cm="1">
        <f t="array" ref="N2279">IF(MOD(ROW()-ROW($B$2),16)=0,INDEX($M$2:$M$1000,(ROW()-ROW($B$2))/16+1),"")</f>
        <v/>
      </c>
    </row>
    <row r="2280" spans="2:14" x14ac:dyDescent="0.3">
      <c r="B2280" t="s">
        <v>2173</v>
      </c>
      <c r="C2280" t="s">
        <v>4522</v>
      </c>
      <c r="D2280" t="s">
        <v>633</v>
      </c>
      <c r="E2280">
        <v>0</v>
      </c>
      <c r="F2280" t="s">
        <v>633</v>
      </c>
      <c r="N2280" t="str" cm="1">
        <f t="array" ref="N2280">IF(MOD(ROW()-ROW($B$2),16)=0,INDEX($M$2:$M$1000,(ROW()-ROW($B$2))/16+1),"")</f>
        <v/>
      </c>
    </row>
    <row r="2281" spans="2:14" x14ac:dyDescent="0.3">
      <c r="B2281" t="s">
        <v>2177</v>
      </c>
      <c r="C2281" t="s">
        <v>4523</v>
      </c>
      <c r="D2281" t="s">
        <v>4524</v>
      </c>
      <c r="E2281">
        <v>0</v>
      </c>
      <c r="F2281" t="s">
        <v>4524</v>
      </c>
      <c r="N2281" t="str" cm="1">
        <f t="array" ref="N2281">IF(MOD(ROW()-ROW($B$2),16)=0,INDEX($M$2:$M$1000,(ROW()-ROW($B$2))/16+1),"")</f>
        <v/>
      </c>
    </row>
    <row r="2282" spans="2:14" x14ac:dyDescent="0.3">
      <c r="B2282" t="s">
        <v>2177</v>
      </c>
      <c r="C2282" t="s">
        <v>4525</v>
      </c>
      <c r="D2282" t="s">
        <v>4526</v>
      </c>
      <c r="E2282">
        <v>0</v>
      </c>
      <c r="F2282" t="s">
        <v>4526</v>
      </c>
      <c r="N2282" t="str" cm="1">
        <f t="array" ref="N2282">IF(MOD(ROW()-ROW($B$2),16)=0,INDEX($M$2:$M$1000,(ROW()-ROW($B$2))/16+1),"")</f>
        <v/>
      </c>
    </row>
    <row r="2283" spans="2:14" x14ac:dyDescent="0.3">
      <c r="B2283" t="s">
        <v>2177</v>
      </c>
      <c r="C2283" t="s">
        <v>4527</v>
      </c>
      <c r="D2283" t="s">
        <v>343</v>
      </c>
      <c r="E2283">
        <v>0</v>
      </c>
      <c r="F2283" t="s">
        <v>343</v>
      </c>
      <c r="N2283" t="str" cm="1">
        <f t="array" ref="N2283">IF(MOD(ROW()-ROW($B$2),16)=0,INDEX($M$2:$M$1000,(ROW()-ROW($B$2))/16+1),"")</f>
        <v/>
      </c>
    </row>
    <row r="2284" spans="2:14" x14ac:dyDescent="0.3">
      <c r="B2284" t="s">
        <v>2177</v>
      </c>
      <c r="C2284" t="s">
        <v>4528</v>
      </c>
      <c r="D2284" t="s">
        <v>356</v>
      </c>
      <c r="E2284">
        <v>0</v>
      </c>
      <c r="F2284" t="s">
        <v>356</v>
      </c>
      <c r="N2284" t="str" cm="1">
        <f t="array" ref="N2284">IF(MOD(ROW()-ROW($B$2),16)=0,INDEX($M$2:$M$1000,(ROW()-ROW($B$2))/16+1),"")</f>
        <v/>
      </c>
    </row>
    <row r="2285" spans="2:14" x14ac:dyDescent="0.3">
      <c r="B2285" t="s">
        <v>2177</v>
      </c>
      <c r="C2285" t="s">
        <v>4529</v>
      </c>
      <c r="D2285" t="s">
        <v>357</v>
      </c>
      <c r="E2285">
        <v>0</v>
      </c>
      <c r="F2285" t="s">
        <v>357</v>
      </c>
      <c r="N2285" t="str" cm="1">
        <f t="array" ref="N2285">IF(MOD(ROW()-ROW($B$2),16)=0,INDEX($M$2:$M$1000,(ROW()-ROW($B$2))/16+1),"")</f>
        <v/>
      </c>
    </row>
    <row r="2286" spans="2:14" x14ac:dyDescent="0.3">
      <c r="B2286" t="s">
        <v>2177</v>
      </c>
      <c r="C2286" t="s">
        <v>4530</v>
      </c>
      <c r="D2286" t="s">
        <v>358</v>
      </c>
      <c r="E2286">
        <v>0</v>
      </c>
      <c r="F2286" t="s">
        <v>358</v>
      </c>
      <c r="N2286" t="str" cm="1">
        <f t="array" ref="N2286">IF(MOD(ROW()-ROW($B$2),16)=0,INDEX($M$2:$M$1000,(ROW()-ROW($B$2))/16+1),"")</f>
        <v/>
      </c>
    </row>
    <row r="2287" spans="2:14" x14ac:dyDescent="0.3">
      <c r="B2287" t="s">
        <v>2177</v>
      </c>
      <c r="C2287" t="s">
        <v>4531</v>
      </c>
      <c r="D2287" t="s">
        <v>359</v>
      </c>
      <c r="E2287">
        <v>0</v>
      </c>
      <c r="F2287" t="s">
        <v>359</v>
      </c>
      <c r="N2287" t="str" cm="1">
        <f t="array" ref="N2287">IF(MOD(ROW()-ROW($B$2),16)=0,INDEX($M$2:$M$1000,(ROW()-ROW($B$2))/16+1),"")</f>
        <v/>
      </c>
    </row>
    <row r="2288" spans="2:14" x14ac:dyDescent="0.3">
      <c r="B2288" t="s">
        <v>2177</v>
      </c>
      <c r="C2288" t="s">
        <v>4532</v>
      </c>
      <c r="D2288" t="s">
        <v>360</v>
      </c>
      <c r="E2288">
        <v>0</v>
      </c>
      <c r="F2288" t="s">
        <v>360</v>
      </c>
      <c r="N2288" t="str" cm="1">
        <f t="array" ref="N2288">IF(MOD(ROW()-ROW($B$2),16)=0,INDEX($M$2:$M$1000,(ROW()-ROW($B$2))/16+1),"")</f>
        <v/>
      </c>
    </row>
    <row r="2289" spans="2:14" x14ac:dyDescent="0.3">
      <c r="B2289" t="s">
        <v>2177</v>
      </c>
      <c r="C2289" t="s">
        <v>4533</v>
      </c>
      <c r="D2289" t="s">
        <v>436</v>
      </c>
      <c r="E2289">
        <v>0</v>
      </c>
      <c r="F2289" t="s">
        <v>436</v>
      </c>
      <c r="N2289" t="str" cm="1">
        <f t="array" ref="N2289">IF(MOD(ROW()-ROW($B$2),16)=0,INDEX($M$2:$M$1000,(ROW()-ROW($B$2))/16+1),"")</f>
        <v/>
      </c>
    </row>
    <row r="2290" spans="2:14" x14ac:dyDescent="0.3">
      <c r="B2290" t="s">
        <v>2177</v>
      </c>
      <c r="C2290" t="s">
        <v>4534</v>
      </c>
      <c r="D2290" t="s">
        <v>4535</v>
      </c>
      <c r="E2290">
        <v>0</v>
      </c>
      <c r="F2290" t="s">
        <v>4535</v>
      </c>
      <c r="N2290" t="str" cm="1">
        <f t="array" ref="N2290">IF(MOD(ROW()-ROW($B$2),16)=0,INDEX($M$2:$M$1000,(ROW()-ROW($B$2))/16+1),"")</f>
        <v>MULNULL (0)</v>
      </c>
    </row>
    <row r="2291" spans="2:14" x14ac:dyDescent="0.3">
      <c r="B2291" t="s">
        <v>2177</v>
      </c>
      <c r="C2291" t="s">
        <v>4536</v>
      </c>
      <c r="D2291" t="s">
        <v>4537</v>
      </c>
      <c r="E2291">
        <v>0</v>
      </c>
      <c r="F2291" t="s">
        <v>4537</v>
      </c>
      <c r="N2291" t="str" cm="1">
        <f t="array" ref="N2291">IF(MOD(ROW()-ROW($B$2),16)=0,INDEX($M$2:$M$1000,(ROW()-ROW($B$2))/16+1),"")</f>
        <v/>
      </c>
    </row>
    <row r="2292" spans="2:14" x14ac:dyDescent="0.3">
      <c r="B2292" t="s">
        <v>2177</v>
      </c>
      <c r="C2292" t="s">
        <v>4538</v>
      </c>
      <c r="D2292" t="s">
        <v>4539</v>
      </c>
      <c r="E2292">
        <v>0</v>
      </c>
      <c r="F2292" t="s">
        <v>4539</v>
      </c>
      <c r="N2292" t="str" cm="1">
        <f t="array" ref="N2292">IF(MOD(ROW()-ROW($B$2),16)=0,INDEX($M$2:$M$1000,(ROW()-ROW($B$2))/16+1),"")</f>
        <v/>
      </c>
    </row>
    <row r="2293" spans="2:14" x14ac:dyDescent="0.3">
      <c r="B2293" t="s">
        <v>2177</v>
      </c>
      <c r="C2293" t="s">
        <v>4540</v>
      </c>
      <c r="D2293" t="s">
        <v>4541</v>
      </c>
      <c r="E2293">
        <v>0</v>
      </c>
      <c r="F2293" t="s">
        <v>4541</v>
      </c>
      <c r="N2293" t="str" cm="1">
        <f t="array" ref="N2293">IF(MOD(ROW()-ROW($B$2),16)=0,INDEX($M$2:$M$1000,(ROW()-ROW($B$2))/16+1),"")</f>
        <v/>
      </c>
    </row>
    <row r="2294" spans="2:14" x14ac:dyDescent="0.3">
      <c r="B2294" t="s">
        <v>2177</v>
      </c>
      <c r="C2294" t="s">
        <v>4542</v>
      </c>
      <c r="D2294" t="s">
        <v>4543</v>
      </c>
      <c r="E2294">
        <v>0</v>
      </c>
      <c r="F2294" t="s">
        <v>4543</v>
      </c>
      <c r="N2294" t="str" cm="1">
        <f t="array" ref="N2294">IF(MOD(ROW()-ROW($B$2),16)=0,INDEX($M$2:$M$1000,(ROW()-ROW($B$2))/16+1),"")</f>
        <v/>
      </c>
    </row>
    <row r="2295" spans="2:14" x14ac:dyDescent="0.3">
      <c r="B2295" t="s">
        <v>2177</v>
      </c>
      <c r="C2295" t="s">
        <v>4544</v>
      </c>
      <c r="D2295" t="s">
        <v>4545</v>
      </c>
      <c r="E2295">
        <v>0</v>
      </c>
      <c r="F2295" t="s">
        <v>4545</v>
      </c>
      <c r="N2295" t="str" cm="1">
        <f t="array" ref="N2295">IF(MOD(ROW()-ROW($B$2),16)=0,INDEX($M$2:$M$1000,(ROW()-ROW($B$2))/16+1),"")</f>
        <v/>
      </c>
    </row>
    <row r="2296" spans="2:14" x14ac:dyDescent="0.3">
      <c r="B2296" t="s">
        <v>2177</v>
      </c>
      <c r="C2296" t="s">
        <v>4546</v>
      </c>
      <c r="D2296" t="s">
        <v>4547</v>
      </c>
      <c r="E2296">
        <v>0</v>
      </c>
      <c r="F2296" t="s">
        <v>4547</v>
      </c>
      <c r="N2296" t="str" cm="1">
        <f t="array" ref="N2296">IF(MOD(ROW()-ROW($B$2),16)=0,INDEX($M$2:$M$1000,(ROW()-ROW($B$2))/16+1),"")</f>
        <v/>
      </c>
    </row>
    <row r="2297" spans="2:14" x14ac:dyDescent="0.3">
      <c r="B2297" t="s">
        <v>2177</v>
      </c>
      <c r="C2297" t="s">
        <v>4548</v>
      </c>
      <c r="D2297" t="s">
        <v>4549</v>
      </c>
      <c r="E2297">
        <v>0</v>
      </c>
      <c r="F2297" t="s">
        <v>4549</v>
      </c>
      <c r="N2297" t="str" cm="1">
        <f t="array" ref="N2297">IF(MOD(ROW()-ROW($B$2),16)=0,INDEX($M$2:$M$1000,(ROW()-ROW($B$2))/16+1),"")</f>
        <v/>
      </c>
    </row>
    <row r="2298" spans="2:14" x14ac:dyDescent="0.3">
      <c r="B2298" t="s">
        <v>2177</v>
      </c>
      <c r="C2298" t="s">
        <v>4550</v>
      </c>
      <c r="D2298" t="s">
        <v>4551</v>
      </c>
      <c r="E2298">
        <v>0</v>
      </c>
      <c r="F2298" t="s">
        <v>4551</v>
      </c>
      <c r="N2298" t="str" cm="1">
        <f t="array" ref="N2298">IF(MOD(ROW()-ROW($B$2),16)=0,INDEX($M$2:$M$1000,(ROW()-ROW($B$2))/16+1),"")</f>
        <v/>
      </c>
    </row>
    <row r="2299" spans="2:14" x14ac:dyDescent="0.3">
      <c r="B2299" t="s">
        <v>2177</v>
      </c>
      <c r="C2299" t="s">
        <v>4552</v>
      </c>
      <c r="D2299" t="s">
        <v>4553</v>
      </c>
      <c r="E2299">
        <v>0</v>
      </c>
      <c r="F2299" t="s">
        <v>4553</v>
      </c>
      <c r="N2299" t="str" cm="1">
        <f t="array" ref="N2299">IF(MOD(ROW()-ROW($B$2),16)=0,INDEX($M$2:$M$1000,(ROW()-ROW($B$2))/16+1),"")</f>
        <v/>
      </c>
    </row>
    <row r="2300" spans="2:14" x14ac:dyDescent="0.3">
      <c r="B2300" t="s">
        <v>2177</v>
      </c>
      <c r="C2300" t="s">
        <v>4554</v>
      </c>
      <c r="D2300" t="s">
        <v>4555</v>
      </c>
      <c r="E2300">
        <v>0</v>
      </c>
      <c r="F2300" t="s">
        <v>4555</v>
      </c>
      <c r="N2300" t="str" cm="1">
        <f t="array" ref="N2300">IF(MOD(ROW()-ROW($B$2),16)=0,INDEX($M$2:$M$1000,(ROW()-ROW($B$2))/16+1),"")</f>
        <v/>
      </c>
    </row>
    <row r="2301" spans="2:14" x14ac:dyDescent="0.3">
      <c r="B2301" t="s">
        <v>2177</v>
      </c>
      <c r="C2301" t="s">
        <v>4556</v>
      </c>
      <c r="D2301" t="s">
        <v>4557</v>
      </c>
      <c r="E2301">
        <v>0</v>
      </c>
      <c r="F2301" t="s">
        <v>4557</v>
      </c>
      <c r="N2301" t="str" cm="1">
        <f t="array" ref="N2301">IF(MOD(ROW()-ROW($B$2),16)=0,INDEX($M$2:$M$1000,(ROW()-ROW($B$2))/16+1),"")</f>
        <v/>
      </c>
    </row>
    <row r="2302" spans="2:14" x14ac:dyDescent="0.3">
      <c r="B2302" t="s">
        <v>2177</v>
      </c>
      <c r="C2302" t="s">
        <v>4558</v>
      </c>
      <c r="D2302" t="s">
        <v>4559</v>
      </c>
      <c r="E2302">
        <v>0</v>
      </c>
      <c r="F2302" t="s">
        <v>4559</v>
      </c>
      <c r="N2302" t="str" cm="1">
        <f t="array" ref="N2302">IF(MOD(ROW()-ROW($B$2),16)=0,INDEX($M$2:$M$1000,(ROW()-ROW($B$2))/16+1),"")</f>
        <v/>
      </c>
    </row>
    <row r="2303" spans="2:14" x14ac:dyDescent="0.3">
      <c r="B2303" t="s">
        <v>2177</v>
      </c>
      <c r="C2303" t="s">
        <v>4560</v>
      </c>
      <c r="D2303" t="s">
        <v>4561</v>
      </c>
      <c r="E2303">
        <v>0</v>
      </c>
      <c r="F2303" t="s">
        <v>4561</v>
      </c>
      <c r="N2303" t="str" cm="1">
        <f t="array" ref="N2303">IF(MOD(ROW()-ROW($B$2),16)=0,INDEX($M$2:$M$1000,(ROW()-ROW($B$2))/16+1),"")</f>
        <v/>
      </c>
    </row>
    <row r="2304" spans="2:14" x14ac:dyDescent="0.3">
      <c r="B2304" t="s">
        <v>2177</v>
      </c>
      <c r="C2304" t="s">
        <v>4562</v>
      </c>
      <c r="D2304" t="s">
        <v>4563</v>
      </c>
      <c r="E2304">
        <v>0</v>
      </c>
      <c r="F2304" t="s">
        <v>4563</v>
      </c>
      <c r="N2304" t="str" cm="1">
        <f t="array" ref="N2304">IF(MOD(ROW()-ROW($B$2),16)=0,INDEX($M$2:$M$1000,(ROW()-ROW($B$2))/16+1),"")</f>
        <v/>
      </c>
    </row>
    <row r="2305" spans="2:14" x14ac:dyDescent="0.3">
      <c r="B2305" t="s">
        <v>2177</v>
      </c>
      <c r="C2305" t="s">
        <v>4564</v>
      </c>
      <c r="D2305" t="s">
        <v>4565</v>
      </c>
      <c r="E2305">
        <v>0</v>
      </c>
      <c r="F2305" t="s">
        <v>4565</v>
      </c>
      <c r="N2305" t="str" cm="1">
        <f t="array" ref="N2305">IF(MOD(ROW()-ROW($B$2),16)=0,INDEX($M$2:$M$1000,(ROW()-ROW($B$2))/16+1),"")</f>
        <v/>
      </c>
    </row>
    <row r="2306" spans="2:14" x14ac:dyDescent="0.3">
      <c r="B2306" t="s">
        <v>2177</v>
      </c>
      <c r="C2306" t="s">
        <v>4566</v>
      </c>
      <c r="D2306" t="s">
        <v>4567</v>
      </c>
      <c r="E2306">
        <v>0</v>
      </c>
      <c r="F2306" t="s">
        <v>4567</v>
      </c>
      <c r="N2306" t="str" cm="1">
        <f t="array" ref="N2306">IF(MOD(ROW()-ROW($B$2),16)=0,INDEX($M$2:$M$1000,(ROW()-ROW($B$2))/16+1),"")</f>
        <v>MULNULL (0)</v>
      </c>
    </row>
    <row r="2307" spans="2:14" x14ac:dyDescent="0.3">
      <c r="B2307" t="s">
        <v>2177</v>
      </c>
      <c r="C2307" t="s">
        <v>4568</v>
      </c>
      <c r="D2307" t="s">
        <v>4569</v>
      </c>
      <c r="E2307">
        <v>0</v>
      </c>
      <c r="F2307" t="s">
        <v>4569</v>
      </c>
      <c r="N2307" t="str" cm="1">
        <f t="array" ref="N2307">IF(MOD(ROW()-ROW($B$2),16)=0,INDEX($M$2:$M$1000,(ROW()-ROW($B$2))/16+1),"")</f>
        <v/>
      </c>
    </row>
    <row r="2308" spans="2:14" x14ac:dyDescent="0.3">
      <c r="B2308" t="s">
        <v>2177</v>
      </c>
      <c r="C2308" t="s">
        <v>4570</v>
      </c>
      <c r="D2308" t="s">
        <v>4571</v>
      </c>
      <c r="E2308">
        <v>0</v>
      </c>
      <c r="F2308" t="s">
        <v>4571</v>
      </c>
      <c r="N2308" t="str" cm="1">
        <f t="array" ref="N2308">IF(MOD(ROW()-ROW($B$2),16)=0,INDEX($M$2:$M$1000,(ROW()-ROW($B$2))/16+1),"")</f>
        <v/>
      </c>
    </row>
    <row r="2309" spans="2:14" x14ac:dyDescent="0.3">
      <c r="B2309" t="s">
        <v>2177</v>
      </c>
      <c r="C2309" t="s">
        <v>4572</v>
      </c>
      <c r="D2309" t="s">
        <v>4573</v>
      </c>
      <c r="E2309">
        <v>0</v>
      </c>
      <c r="F2309" t="s">
        <v>4573</v>
      </c>
      <c r="N2309" t="str" cm="1">
        <f t="array" ref="N2309">IF(MOD(ROW()-ROW($B$2),16)=0,INDEX($M$2:$M$1000,(ROW()-ROW($B$2))/16+1),"")</f>
        <v/>
      </c>
    </row>
    <row r="2310" spans="2:14" x14ac:dyDescent="0.3">
      <c r="B2310" t="s">
        <v>2177</v>
      </c>
      <c r="C2310" t="s">
        <v>4574</v>
      </c>
      <c r="D2310" t="s">
        <v>4575</v>
      </c>
      <c r="E2310">
        <v>0</v>
      </c>
      <c r="F2310" t="s">
        <v>4575</v>
      </c>
      <c r="N2310" t="str" cm="1">
        <f t="array" ref="N2310">IF(MOD(ROW()-ROW($B$2),16)=0,INDEX($M$2:$M$1000,(ROW()-ROW($B$2))/16+1),"")</f>
        <v/>
      </c>
    </row>
    <row r="2311" spans="2:14" x14ac:dyDescent="0.3">
      <c r="B2311" t="s">
        <v>2177</v>
      </c>
      <c r="C2311" t="s">
        <v>4576</v>
      </c>
      <c r="D2311" t="s">
        <v>4577</v>
      </c>
      <c r="E2311">
        <v>0</v>
      </c>
      <c r="F2311" t="s">
        <v>4577</v>
      </c>
      <c r="N2311" t="str" cm="1">
        <f t="array" ref="N2311">IF(MOD(ROW()-ROW($B$2),16)=0,INDEX($M$2:$M$1000,(ROW()-ROW($B$2))/16+1),"")</f>
        <v/>
      </c>
    </row>
    <row r="2312" spans="2:14" x14ac:dyDescent="0.3">
      <c r="B2312" t="s">
        <v>2177</v>
      </c>
      <c r="C2312" t="s">
        <v>4578</v>
      </c>
      <c r="D2312" t="s">
        <v>4579</v>
      </c>
      <c r="E2312">
        <v>0</v>
      </c>
      <c r="F2312" t="s">
        <v>4579</v>
      </c>
      <c r="N2312" t="str" cm="1">
        <f t="array" ref="N2312">IF(MOD(ROW()-ROW($B$2),16)=0,INDEX($M$2:$M$1000,(ROW()-ROW($B$2))/16+1),"")</f>
        <v/>
      </c>
    </row>
    <row r="2313" spans="2:14" x14ac:dyDescent="0.3">
      <c r="B2313" t="s">
        <v>2177</v>
      </c>
      <c r="C2313" t="s">
        <v>4580</v>
      </c>
      <c r="D2313" t="s">
        <v>4581</v>
      </c>
      <c r="E2313">
        <v>0</v>
      </c>
      <c r="F2313" t="s">
        <v>4581</v>
      </c>
      <c r="N2313" t="str" cm="1">
        <f t="array" ref="N2313">IF(MOD(ROW()-ROW($B$2),16)=0,INDEX($M$2:$M$1000,(ROW()-ROW($B$2))/16+1),"")</f>
        <v/>
      </c>
    </row>
    <row r="2314" spans="2:14" x14ac:dyDescent="0.3">
      <c r="B2314" t="s">
        <v>2177</v>
      </c>
      <c r="C2314" t="s">
        <v>4582</v>
      </c>
      <c r="D2314" t="s">
        <v>4583</v>
      </c>
      <c r="E2314">
        <v>0</v>
      </c>
      <c r="F2314" t="s">
        <v>4583</v>
      </c>
      <c r="N2314" t="str" cm="1">
        <f t="array" ref="N2314">IF(MOD(ROW()-ROW($B$2),16)=0,INDEX($M$2:$M$1000,(ROW()-ROW($B$2))/16+1),"")</f>
        <v/>
      </c>
    </row>
    <row r="2315" spans="2:14" x14ac:dyDescent="0.3">
      <c r="B2315" t="s">
        <v>2177</v>
      </c>
      <c r="C2315" t="s">
        <v>4584</v>
      </c>
      <c r="D2315" t="s">
        <v>4585</v>
      </c>
      <c r="E2315">
        <v>0</v>
      </c>
      <c r="F2315" t="s">
        <v>4585</v>
      </c>
      <c r="N2315" t="str" cm="1">
        <f t="array" ref="N2315">IF(MOD(ROW()-ROW($B$2),16)=0,INDEX($M$2:$M$1000,(ROW()-ROW($B$2))/16+1),"")</f>
        <v/>
      </c>
    </row>
    <row r="2316" spans="2:14" x14ac:dyDescent="0.3">
      <c r="B2316" t="s">
        <v>2177</v>
      </c>
      <c r="C2316" t="s">
        <v>4586</v>
      </c>
      <c r="D2316" t="s">
        <v>4587</v>
      </c>
      <c r="E2316">
        <v>0</v>
      </c>
      <c r="F2316" t="s">
        <v>4587</v>
      </c>
      <c r="N2316" t="str" cm="1">
        <f t="array" ref="N2316">IF(MOD(ROW()-ROW($B$2),16)=0,INDEX($M$2:$M$1000,(ROW()-ROW($B$2))/16+1),"")</f>
        <v/>
      </c>
    </row>
    <row r="2317" spans="2:14" x14ac:dyDescent="0.3">
      <c r="B2317" t="s">
        <v>2177</v>
      </c>
      <c r="C2317" t="s">
        <v>4588</v>
      </c>
      <c r="D2317" t="s">
        <v>4589</v>
      </c>
      <c r="E2317">
        <v>0</v>
      </c>
      <c r="F2317" t="s">
        <v>4589</v>
      </c>
      <c r="N2317" t="str" cm="1">
        <f t="array" ref="N2317">IF(MOD(ROW()-ROW($B$2),16)=0,INDEX($M$2:$M$1000,(ROW()-ROW($B$2))/16+1),"")</f>
        <v/>
      </c>
    </row>
    <row r="2318" spans="2:14" x14ac:dyDescent="0.3">
      <c r="B2318" t="s">
        <v>2177</v>
      </c>
      <c r="C2318" t="s">
        <v>4590</v>
      </c>
      <c r="D2318" t="s">
        <v>4591</v>
      </c>
      <c r="E2318">
        <v>0</v>
      </c>
      <c r="F2318" t="s">
        <v>4591</v>
      </c>
      <c r="N2318" t="str" cm="1">
        <f t="array" ref="N2318">IF(MOD(ROW()-ROW($B$2),16)=0,INDEX($M$2:$M$1000,(ROW()-ROW($B$2))/16+1),"")</f>
        <v/>
      </c>
    </row>
    <row r="2319" spans="2:14" x14ac:dyDescent="0.3">
      <c r="B2319" t="s">
        <v>2177</v>
      </c>
      <c r="C2319" t="s">
        <v>4592</v>
      </c>
      <c r="D2319" t="s">
        <v>4593</v>
      </c>
      <c r="E2319">
        <v>0</v>
      </c>
      <c r="F2319" t="s">
        <v>4593</v>
      </c>
      <c r="N2319" t="str" cm="1">
        <f t="array" ref="N2319">IF(MOD(ROW()-ROW($B$2),16)=0,INDEX($M$2:$M$1000,(ROW()-ROW($B$2))/16+1),"")</f>
        <v/>
      </c>
    </row>
    <row r="2320" spans="2:14" x14ac:dyDescent="0.3">
      <c r="B2320" t="s">
        <v>2177</v>
      </c>
      <c r="C2320" t="s">
        <v>4594</v>
      </c>
      <c r="D2320" t="s">
        <v>4595</v>
      </c>
      <c r="E2320">
        <v>0</v>
      </c>
      <c r="F2320" t="s">
        <v>4595</v>
      </c>
      <c r="N2320" t="str" cm="1">
        <f t="array" ref="N2320">IF(MOD(ROW()-ROW($B$2),16)=0,INDEX($M$2:$M$1000,(ROW()-ROW($B$2))/16+1),"")</f>
        <v/>
      </c>
    </row>
    <row r="2321" spans="2:14" x14ac:dyDescent="0.3">
      <c r="B2321" t="s">
        <v>2177</v>
      </c>
      <c r="C2321" t="s">
        <v>4596</v>
      </c>
      <c r="D2321" t="s">
        <v>4597</v>
      </c>
      <c r="E2321">
        <v>0</v>
      </c>
      <c r="F2321" t="s">
        <v>4597</v>
      </c>
      <c r="N2321" t="str" cm="1">
        <f t="array" ref="N2321">IF(MOD(ROW()-ROW($B$2),16)=0,INDEX($M$2:$M$1000,(ROW()-ROW($B$2))/16+1),"")</f>
        <v/>
      </c>
    </row>
    <row r="2322" spans="2:14" x14ac:dyDescent="0.3">
      <c r="B2322" t="s">
        <v>2177</v>
      </c>
      <c r="C2322" t="s">
        <v>4598</v>
      </c>
      <c r="D2322" t="s">
        <v>4599</v>
      </c>
      <c r="E2322">
        <v>0</v>
      </c>
      <c r="F2322" t="s">
        <v>4599</v>
      </c>
      <c r="N2322" t="str" cm="1">
        <f t="array" ref="N2322">IF(MOD(ROW()-ROW($B$2),16)=0,INDEX($M$2:$M$1000,(ROW()-ROW($B$2))/16+1),"")</f>
        <v>MULNULL (0)</v>
      </c>
    </row>
    <row r="2323" spans="2:14" x14ac:dyDescent="0.3">
      <c r="B2323" t="s">
        <v>2177</v>
      </c>
      <c r="C2323" t="s">
        <v>4600</v>
      </c>
      <c r="D2323" t="s">
        <v>4601</v>
      </c>
      <c r="E2323">
        <v>0</v>
      </c>
      <c r="F2323" t="s">
        <v>4601</v>
      </c>
      <c r="N2323" t="str" cm="1">
        <f t="array" ref="N2323">IF(MOD(ROW()-ROW($B$2),16)=0,INDEX($M$2:$M$1000,(ROW()-ROW($B$2))/16+1),"")</f>
        <v/>
      </c>
    </row>
    <row r="2324" spans="2:14" x14ac:dyDescent="0.3">
      <c r="B2324" t="s">
        <v>2177</v>
      </c>
      <c r="C2324" t="s">
        <v>4602</v>
      </c>
      <c r="D2324" t="s">
        <v>4603</v>
      </c>
      <c r="E2324">
        <v>0</v>
      </c>
      <c r="F2324" t="s">
        <v>4603</v>
      </c>
      <c r="N2324" t="str" cm="1">
        <f t="array" ref="N2324">IF(MOD(ROW()-ROW($B$2),16)=0,INDEX($M$2:$M$1000,(ROW()-ROW($B$2))/16+1),"")</f>
        <v/>
      </c>
    </row>
    <row r="2325" spans="2:14" x14ac:dyDescent="0.3">
      <c r="B2325" t="s">
        <v>2177</v>
      </c>
      <c r="C2325" t="s">
        <v>4604</v>
      </c>
      <c r="D2325" t="s">
        <v>4605</v>
      </c>
      <c r="E2325">
        <v>0</v>
      </c>
      <c r="F2325" t="s">
        <v>4605</v>
      </c>
      <c r="N2325" t="str" cm="1">
        <f t="array" ref="N2325">IF(MOD(ROW()-ROW($B$2),16)=0,INDEX($M$2:$M$1000,(ROW()-ROW($B$2))/16+1),"")</f>
        <v/>
      </c>
    </row>
    <row r="2326" spans="2:14" x14ac:dyDescent="0.3">
      <c r="B2326" t="s">
        <v>2177</v>
      </c>
      <c r="C2326" t="s">
        <v>4606</v>
      </c>
      <c r="D2326" t="s">
        <v>4607</v>
      </c>
      <c r="E2326">
        <v>0</v>
      </c>
      <c r="F2326" t="s">
        <v>4607</v>
      </c>
      <c r="N2326" t="str" cm="1">
        <f t="array" ref="N2326">IF(MOD(ROW()-ROW($B$2),16)=0,INDEX($M$2:$M$1000,(ROW()-ROW($B$2))/16+1),"")</f>
        <v/>
      </c>
    </row>
    <row r="2327" spans="2:14" x14ac:dyDescent="0.3">
      <c r="B2327" t="s">
        <v>2177</v>
      </c>
      <c r="C2327" t="s">
        <v>4608</v>
      </c>
      <c r="D2327" t="s">
        <v>4609</v>
      </c>
      <c r="E2327">
        <v>0</v>
      </c>
      <c r="F2327" t="s">
        <v>4609</v>
      </c>
      <c r="N2327" t="str" cm="1">
        <f t="array" ref="N2327">IF(MOD(ROW()-ROW($B$2),16)=0,INDEX($M$2:$M$1000,(ROW()-ROW($B$2))/16+1),"")</f>
        <v/>
      </c>
    </row>
    <row r="2328" spans="2:14" x14ac:dyDescent="0.3">
      <c r="B2328" t="s">
        <v>2177</v>
      </c>
      <c r="C2328" t="s">
        <v>4610</v>
      </c>
      <c r="D2328" t="s">
        <v>4611</v>
      </c>
      <c r="E2328">
        <v>0</v>
      </c>
      <c r="F2328" t="s">
        <v>4611</v>
      </c>
      <c r="N2328" t="str" cm="1">
        <f t="array" ref="N2328">IF(MOD(ROW()-ROW($B$2),16)=0,INDEX($M$2:$M$1000,(ROW()-ROW($B$2))/16+1),"")</f>
        <v/>
      </c>
    </row>
    <row r="2329" spans="2:14" x14ac:dyDescent="0.3">
      <c r="B2329" t="s">
        <v>2177</v>
      </c>
      <c r="C2329" t="s">
        <v>4612</v>
      </c>
      <c r="D2329" t="s">
        <v>4613</v>
      </c>
      <c r="E2329">
        <v>0</v>
      </c>
      <c r="F2329" t="s">
        <v>4613</v>
      </c>
      <c r="N2329" t="str" cm="1">
        <f t="array" ref="N2329">IF(MOD(ROW()-ROW($B$2),16)=0,INDEX($M$2:$M$1000,(ROW()-ROW($B$2))/16+1),"")</f>
        <v/>
      </c>
    </row>
    <row r="2330" spans="2:14" x14ac:dyDescent="0.3">
      <c r="B2330" t="s">
        <v>2177</v>
      </c>
      <c r="C2330" t="s">
        <v>4614</v>
      </c>
      <c r="D2330" t="s">
        <v>4615</v>
      </c>
      <c r="E2330">
        <v>0</v>
      </c>
      <c r="F2330" t="s">
        <v>4615</v>
      </c>
      <c r="N2330" t="str" cm="1">
        <f t="array" ref="N2330">IF(MOD(ROW()-ROW($B$2),16)=0,INDEX($M$2:$M$1000,(ROW()-ROW($B$2))/16+1),"")</f>
        <v/>
      </c>
    </row>
    <row r="2331" spans="2:14" x14ac:dyDescent="0.3">
      <c r="B2331" t="s">
        <v>2177</v>
      </c>
      <c r="C2331" t="s">
        <v>4616</v>
      </c>
      <c r="D2331" t="s">
        <v>4617</v>
      </c>
      <c r="E2331">
        <v>0</v>
      </c>
      <c r="F2331" t="s">
        <v>4617</v>
      </c>
      <c r="N2331" t="str" cm="1">
        <f t="array" ref="N2331">IF(MOD(ROW()-ROW($B$2),16)=0,INDEX($M$2:$M$1000,(ROW()-ROW($B$2))/16+1),"")</f>
        <v/>
      </c>
    </row>
    <row r="2332" spans="2:14" x14ac:dyDescent="0.3">
      <c r="B2332" t="s">
        <v>2177</v>
      </c>
      <c r="C2332" t="s">
        <v>4618</v>
      </c>
      <c r="D2332" t="s">
        <v>4619</v>
      </c>
      <c r="E2332">
        <v>0</v>
      </c>
      <c r="F2332" t="s">
        <v>4619</v>
      </c>
      <c r="N2332" t="str" cm="1">
        <f t="array" ref="N2332">IF(MOD(ROW()-ROW($B$2),16)=0,INDEX($M$2:$M$1000,(ROW()-ROW($B$2))/16+1),"")</f>
        <v/>
      </c>
    </row>
    <row r="2333" spans="2:14" x14ac:dyDescent="0.3">
      <c r="B2333" t="s">
        <v>2177</v>
      </c>
      <c r="C2333" t="s">
        <v>4620</v>
      </c>
      <c r="D2333" t="s">
        <v>4621</v>
      </c>
      <c r="E2333">
        <v>0</v>
      </c>
      <c r="F2333" t="s">
        <v>4621</v>
      </c>
      <c r="N2333" t="str" cm="1">
        <f t="array" ref="N2333">IF(MOD(ROW()-ROW($B$2),16)=0,INDEX($M$2:$M$1000,(ROW()-ROW($B$2))/16+1),"")</f>
        <v/>
      </c>
    </row>
    <row r="2334" spans="2:14" x14ac:dyDescent="0.3">
      <c r="B2334" t="s">
        <v>2177</v>
      </c>
      <c r="C2334" t="s">
        <v>4622</v>
      </c>
      <c r="D2334" t="s">
        <v>4623</v>
      </c>
      <c r="E2334">
        <v>0</v>
      </c>
      <c r="F2334" t="s">
        <v>4623</v>
      </c>
      <c r="N2334" t="str" cm="1">
        <f t="array" ref="N2334">IF(MOD(ROW()-ROW($B$2),16)=0,INDEX($M$2:$M$1000,(ROW()-ROW($B$2))/16+1),"")</f>
        <v/>
      </c>
    </row>
    <row r="2335" spans="2:14" x14ac:dyDescent="0.3">
      <c r="B2335" t="s">
        <v>2177</v>
      </c>
      <c r="C2335" t="s">
        <v>4624</v>
      </c>
      <c r="D2335" t="s">
        <v>4625</v>
      </c>
      <c r="E2335">
        <v>0</v>
      </c>
      <c r="F2335" t="s">
        <v>4625</v>
      </c>
      <c r="N2335" t="str" cm="1">
        <f t="array" ref="N2335">IF(MOD(ROW()-ROW($B$2),16)=0,INDEX($M$2:$M$1000,(ROW()-ROW($B$2))/16+1),"")</f>
        <v/>
      </c>
    </row>
    <row r="2336" spans="2:14" x14ac:dyDescent="0.3">
      <c r="B2336" t="s">
        <v>2177</v>
      </c>
      <c r="C2336" t="s">
        <v>4626</v>
      </c>
      <c r="D2336" t="s">
        <v>4627</v>
      </c>
      <c r="E2336">
        <v>0</v>
      </c>
      <c r="F2336" t="s">
        <v>4627</v>
      </c>
      <c r="N2336" t="str" cm="1">
        <f t="array" ref="N2336">IF(MOD(ROW()-ROW($B$2),16)=0,INDEX($M$2:$M$1000,(ROW()-ROW($B$2))/16+1),"")</f>
        <v/>
      </c>
    </row>
    <row r="2337" spans="2:14" x14ac:dyDescent="0.3">
      <c r="B2337" t="s">
        <v>2177</v>
      </c>
      <c r="C2337" t="s">
        <v>4628</v>
      </c>
      <c r="D2337" t="s">
        <v>4629</v>
      </c>
      <c r="E2337">
        <v>0</v>
      </c>
      <c r="F2337" t="s">
        <v>4629</v>
      </c>
      <c r="N2337" t="str" cm="1">
        <f t="array" ref="N2337">IF(MOD(ROW()-ROW($B$2),16)=0,INDEX($M$2:$M$1000,(ROW()-ROW($B$2))/16+1),"")</f>
        <v/>
      </c>
    </row>
    <row r="2338" spans="2:14" x14ac:dyDescent="0.3">
      <c r="B2338" t="s">
        <v>2177</v>
      </c>
      <c r="C2338" t="s">
        <v>4630</v>
      </c>
      <c r="D2338" t="s">
        <v>4631</v>
      </c>
      <c r="E2338">
        <v>0</v>
      </c>
      <c r="F2338" t="s">
        <v>4631</v>
      </c>
      <c r="N2338" t="str" cm="1">
        <f t="array" ref="N2338">IF(MOD(ROW()-ROW($B$2),16)=0,INDEX($M$2:$M$1000,(ROW()-ROW($B$2))/16+1),"")</f>
        <v>Счётчик страницы заданий (0)</v>
      </c>
    </row>
    <row r="2339" spans="2:14" x14ac:dyDescent="0.3">
      <c r="B2339" t="s">
        <v>2177</v>
      </c>
      <c r="C2339" t="s">
        <v>4632</v>
      </c>
      <c r="D2339" t="s">
        <v>4633</v>
      </c>
      <c r="E2339">
        <v>0</v>
      </c>
      <c r="F2339" t="s">
        <v>4633</v>
      </c>
      <c r="N2339" t="str" cm="1">
        <f t="array" ref="N2339">IF(MOD(ROW()-ROW($B$2),16)=0,INDEX($M$2:$M$1000,(ROW()-ROW($B$2))/16+1),"")</f>
        <v/>
      </c>
    </row>
    <row r="2340" spans="2:14" x14ac:dyDescent="0.3">
      <c r="B2340" t="s">
        <v>2177</v>
      </c>
      <c r="C2340" t="s">
        <v>4634</v>
      </c>
      <c r="D2340" t="s">
        <v>4635</v>
      </c>
      <c r="E2340">
        <v>0</v>
      </c>
      <c r="F2340" t="s">
        <v>4635</v>
      </c>
      <c r="N2340" t="str" cm="1">
        <f t="array" ref="N2340">IF(MOD(ROW()-ROW($B$2),16)=0,INDEX($M$2:$M$1000,(ROW()-ROW($B$2))/16+1),"")</f>
        <v/>
      </c>
    </row>
    <row r="2341" spans="2:14" x14ac:dyDescent="0.3">
      <c r="B2341" t="s">
        <v>2177</v>
      </c>
      <c r="C2341" t="s">
        <v>4636</v>
      </c>
      <c r="D2341" t="s">
        <v>4637</v>
      </c>
      <c r="E2341">
        <v>0</v>
      </c>
      <c r="F2341" t="s">
        <v>4637</v>
      </c>
      <c r="N2341" t="str" cm="1">
        <f t="array" ref="N2341">IF(MOD(ROW()-ROW($B$2),16)=0,INDEX($M$2:$M$1000,(ROW()-ROW($B$2))/16+1),"")</f>
        <v/>
      </c>
    </row>
    <row r="2342" spans="2:14" x14ac:dyDescent="0.3">
      <c r="B2342" t="s">
        <v>2177</v>
      </c>
      <c r="C2342" t="s">
        <v>4638</v>
      </c>
      <c r="D2342" t="s">
        <v>4639</v>
      </c>
      <c r="E2342">
        <v>0</v>
      </c>
      <c r="F2342" t="s">
        <v>4639</v>
      </c>
      <c r="N2342" t="str" cm="1">
        <f t="array" ref="N2342">IF(MOD(ROW()-ROW($B$2),16)=0,INDEX($M$2:$M$1000,(ROW()-ROW($B$2))/16+1),"")</f>
        <v/>
      </c>
    </row>
    <row r="2343" spans="2:14" x14ac:dyDescent="0.3">
      <c r="B2343" t="s">
        <v>2177</v>
      </c>
      <c r="C2343" t="s">
        <v>4640</v>
      </c>
      <c r="D2343" t="s">
        <v>4641</v>
      </c>
      <c r="E2343">
        <v>0</v>
      </c>
      <c r="F2343" t="s">
        <v>4641</v>
      </c>
      <c r="N2343" t="str" cm="1">
        <f t="array" ref="N2343">IF(MOD(ROW()-ROW($B$2),16)=0,INDEX($M$2:$M$1000,(ROW()-ROW($B$2))/16+1),"")</f>
        <v/>
      </c>
    </row>
    <row r="2344" spans="2:14" x14ac:dyDescent="0.3">
      <c r="B2344" t="s">
        <v>2177</v>
      </c>
      <c r="C2344" t="s">
        <v>4642</v>
      </c>
      <c r="D2344" t="s">
        <v>4643</v>
      </c>
      <c r="E2344">
        <v>0</v>
      </c>
      <c r="F2344" t="s">
        <v>4643</v>
      </c>
      <c r="N2344" t="str" cm="1">
        <f t="array" ref="N2344">IF(MOD(ROW()-ROW($B$2),16)=0,INDEX($M$2:$M$1000,(ROW()-ROW($B$2))/16+1),"")</f>
        <v/>
      </c>
    </row>
    <row r="2345" spans="2:14" x14ac:dyDescent="0.3">
      <c r="B2345" t="s">
        <v>2177</v>
      </c>
      <c r="C2345" t="s">
        <v>4644</v>
      </c>
      <c r="D2345" t="s">
        <v>4645</v>
      </c>
      <c r="E2345">
        <v>0</v>
      </c>
      <c r="F2345" t="s">
        <v>4645</v>
      </c>
      <c r="N2345" t="str" cm="1">
        <f t="array" ref="N2345">IF(MOD(ROW()-ROW($B$2),16)=0,INDEX($M$2:$M$1000,(ROW()-ROW($B$2))/16+1),"")</f>
        <v/>
      </c>
    </row>
    <row r="2346" spans="2:14" x14ac:dyDescent="0.3">
      <c r="B2346" t="s">
        <v>2177</v>
      </c>
      <c r="C2346" t="s">
        <v>4646</v>
      </c>
      <c r="D2346" t="s">
        <v>4647</v>
      </c>
      <c r="E2346">
        <v>0</v>
      </c>
      <c r="F2346" t="s">
        <v>4647</v>
      </c>
      <c r="N2346" t="str" cm="1">
        <f t="array" ref="N2346">IF(MOD(ROW()-ROW($B$2),16)=0,INDEX($M$2:$M$1000,(ROW()-ROW($B$2))/16+1),"")</f>
        <v/>
      </c>
    </row>
    <row r="2347" spans="2:14" x14ac:dyDescent="0.3">
      <c r="B2347" t="s">
        <v>2177</v>
      </c>
      <c r="C2347" t="s">
        <v>4648</v>
      </c>
      <c r="D2347" t="s">
        <v>4649</v>
      </c>
      <c r="E2347">
        <v>0</v>
      </c>
      <c r="F2347" t="s">
        <v>4649</v>
      </c>
      <c r="N2347" t="str" cm="1">
        <f t="array" ref="N2347">IF(MOD(ROW()-ROW($B$2),16)=0,INDEX($M$2:$M$1000,(ROW()-ROW($B$2))/16+1),"")</f>
        <v/>
      </c>
    </row>
    <row r="2348" spans="2:14" x14ac:dyDescent="0.3">
      <c r="B2348" t="s">
        <v>2177</v>
      </c>
      <c r="C2348" t="s">
        <v>4650</v>
      </c>
      <c r="D2348" t="s">
        <v>4651</v>
      </c>
      <c r="E2348">
        <v>0</v>
      </c>
      <c r="F2348" t="s">
        <v>4651</v>
      </c>
      <c r="N2348" t="str" cm="1">
        <f t="array" ref="N2348">IF(MOD(ROW()-ROW($B$2),16)=0,INDEX($M$2:$M$1000,(ROW()-ROW($B$2))/16+1),"")</f>
        <v/>
      </c>
    </row>
    <row r="2349" spans="2:14" x14ac:dyDescent="0.3">
      <c r="B2349" t="s">
        <v>2177</v>
      </c>
      <c r="C2349" t="s">
        <v>4652</v>
      </c>
      <c r="D2349" t="s">
        <v>4653</v>
      </c>
      <c r="E2349">
        <v>0</v>
      </c>
      <c r="F2349" t="s">
        <v>4653</v>
      </c>
      <c r="N2349" t="str" cm="1">
        <f t="array" ref="N2349">IF(MOD(ROW()-ROW($B$2),16)=0,INDEX($M$2:$M$1000,(ROW()-ROW($B$2))/16+1),"")</f>
        <v/>
      </c>
    </row>
    <row r="2350" spans="2:14" x14ac:dyDescent="0.3">
      <c r="B2350" t="s">
        <v>2177</v>
      </c>
      <c r="C2350" t="s">
        <v>4654</v>
      </c>
      <c r="D2350" t="s">
        <v>4655</v>
      </c>
      <c r="E2350">
        <v>0</v>
      </c>
      <c r="F2350" t="s">
        <v>4655</v>
      </c>
      <c r="N2350" t="str" cm="1">
        <f t="array" ref="N2350">IF(MOD(ROW()-ROW($B$2),16)=0,INDEX($M$2:$M$1000,(ROW()-ROW($B$2))/16+1),"")</f>
        <v/>
      </c>
    </row>
    <row r="2351" spans="2:14" x14ac:dyDescent="0.3">
      <c r="B2351" t="s">
        <v>2177</v>
      </c>
      <c r="C2351" t="s">
        <v>4656</v>
      </c>
      <c r="D2351" t="s">
        <v>4657</v>
      </c>
      <c r="E2351">
        <v>0</v>
      </c>
      <c r="F2351" t="s">
        <v>4657</v>
      </c>
      <c r="N2351" t="str" cm="1">
        <f t="array" ref="N2351">IF(MOD(ROW()-ROW($B$2),16)=0,INDEX($M$2:$M$1000,(ROW()-ROW($B$2))/16+1),"")</f>
        <v/>
      </c>
    </row>
    <row r="2352" spans="2:14" x14ac:dyDescent="0.3">
      <c r="B2352" t="s">
        <v>2177</v>
      </c>
      <c r="C2352" t="s">
        <v>4658</v>
      </c>
      <c r="D2352" t="s">
        <v>4659</v>
      </c>
      <c r="E2352">
        <v>0</v>
      </c>
      <c r="F2352" t="s">
        <v>4659</v>
      </c>
      <c r="N2352" t="str" cm="1">
        <f t="array" ref="N2352">IF(MOD(ROW()-ROW($B$2),16)=0,INDEX($M$2:$M$1000,(ROW()-ROW($B$2))/16+1),"")</f>
        <v/>
      </c>
    </row>
    <row r="2353" spans="2:14" x14ac:dyDescent="0.3">
      <c r="B2353" t="s">
        <v>2177</v>
      </c>
      <c r="C2353" t="s">
        <v>4660</v>
      </c>
      <c r="D2353" t="s">
        <v>4661</v>
      </c>
      <c r="E2353">
        <v>0</v>
      </c>
      <c r="F2353" t="s">
        <v>4661</v>
      </c>
      <c r="N2353" t="str" cm="1">
        <f t="array" ref="N2353">IF(MOD(ROW()-ROW($B$2),16)=0,INDEX($M$2:$M$1000,(ROW()-ROW($B$2))/16+1),"")</f>
        <v/>
      </c>
    </row>
    <row r="2354" spans="2:14" x14ac:dyDescent="0.3">
      <c r="B2354" t="s">
        <v>2177</v>
      </c>
      <c r="C2354" t="s">
        <v>4662</v>
      </c>
      <c r="D2354" t="s">
        <v>364</v>
      </c>
      <c r="E2354">
        <v>0</v>
      </c>
      <c r="F2354" t="s">
        <v>364</v>
      </c>
      <c r="N2354" t="str" cm="1">
        <f t="array" ref="N2354">IF(MOD(ROW()-ROW($B$2),16)=0,INDEX($M$2:$M$1000,(ROW()-ROW($B$2))/16+1),"")</f>
        <v>Оффсет номера страницы списка заданий (0)</v>
      </c>
    </row>
    <row r="2355" spans="2:14" x14ac:dyDescent="0.3">
      <c r="B2355" t="s">
        <v>2177</v>
      </c>
      <c r="C2355" t="s">
        <v>4663</v>
      </c>
      <c r="D2355" t="s">
        <v>365</v>
      </c>
      <c r="E2355">
        <v>0</v>
      </c>
      <c r="F2355" t="s">
        <v>365</v>
      </c>
      <c r="N2355" t="str" cm="1">
        <f t="array" ref="N2355">IF(MOD(ROW()-ROW($B$2),16)=0,INDEX($M$2:$M$1000,(ROW()-ROW($B$2))/16+1),"")</f>
        <v/>
      </c>
    </row>
    <row r="2356" spans="2:14" x14ac:dyDescent="0.3">
      <c r="B2356" t="s">
        <v>2177</v>
      </c>
      <c r="C2356" t="s">
        <v>4664</v>
      </c>
      <c r="D2356" t="s">
        <v>366</v>
      </c>
      <c r="E2356">
        <v>0</v>
      </c>
      <c r="F2356" t="s">
        <v>366</v>
      </c>
      <c r="N2356" t="str" cm="1">
        <f t="array" ref="N2356">IF(MOD(ROW()-ROW($B$2),16)=0,INDEX($M$2:$M$1000,(ROW()-ROW($B$2))/16+1),"")</f>
        <v/>
      </c>
    </row>
    <row r="2357" spans="2:14" x14ac:dyDescent="0.3">
      <c r="B2357" t="s">
        <v>2177</v>
      </c>
      <c r="C2357" t="s">
        <v>4665</v>
      </c>
      <c r="D2357" t="s">
        <v>344</v>
      </c>
      <c r="E2357">
        <v>0</v>
      </c>
      <c r="F2357" t="s">
        <v>344</v>
      </c>
      <c r="N2357" t="str" cm="1">
        <f t="array" ref="N2357">IF(MOD(ROW()-ROW($B$2),16)=0,INDEX($M$2:$M$1000,(ROW()-ROW($B$2))/16+1),"")</f>
        <v/>
      </c>
    </row>
    <row r="2358" spans="2:14" x14ac:dyDescent="0.3">
      <c r="B2358" t="s">
        <v>2177</v>
      </c>
      <c r="C2358" t="s">
        <v>4666</v>
      </c>
      <c r="D2358" t="s">
        <v>345</v>
      </c>
      <c r="E2358">
        <v>0</v>
      </c>
      <c r="F2358" t="s">
        <v>345</v>
      </c>
      <c r="N2358" t="str" cm="1">
        <f t="array" ref="N2358">IF(MOD(ROW()-ROW($B$2),16)=0,INDEX($M$2:$M$1000,(ROW()-ROW($B$2))/16+1),"")</f>
        <v/>
      </c>
    </row>
    <row r="2359" spans="2:14" x14ac:dyDescent="0.3">
      <c r="B2359" t="s">
        <v>2177</v>
      </c>
      <c r="C2359" t="s">
        <v>4667</v>
      </c>
      <c r="D2359" t="s">
        <v>346</v>
      </c>
      <c r="E2359">
        <v>0</v>
      </c>
      <c r="F2359" t="s">
        <v>346</v>
      </c>
      <c r="N2359" t="str" cm="1">
        <f t="array" ref="N2359">IF(MOD(ROW()-ROW($B$2),16)=0,INDEX($M$2:$M$1000,(ROW()-ROW($B$2))/16+1),"")</f>
        <v/>
      </c>
    </row>
    <row r="2360" spans="2:14" x14ac:dyDescent="0.3">
      <c r="B2360" t="s">
        <v>2177</v>
      </c>
      <c r="C2360" t="s">
        <v>4668</v>
      </c>
      <c r="D2360" t="s">
        <v>4669</v>
      </c>
      <c r="E2360">
        <v>0</v>
      </c>
      <c r="F2360" t="s">
        <v>4669</v>
      </c>
      <c r="N2360" t="str" cm="1">
        <f t="array" ref="N2360">IF(MOD(ROW()-ROW($B$2),16)=0,INDEX($M$2:$M$1000,(ROW()-ROW($B$2))/16+1),"")</f>
        <v/>
      </c>
    </row>
    <row r="2361" spans="2:14" x14ac:dyDescent="0.3">
      <c r="B2361" t="s">
        <v>2177</v>
      </c>
      <c r="C2361" t="s">
        <v>4670</v>
      </c>
      <c r="D2361" t="s">
        <v>4671</v>
      </c>
      <c r="E2361">
        <v>0</v>
      </c>
      <c r="F2361" t="s">
        <v>4671</v>
      </c>
      <c r="N2361" t="str" cm="1">
        <f t="array" ref="N2361">IF(MOD(ROW()-ROW($B$2),16)=0,INDEX($M$2:$M$1000,(ROW()-ROW($B$2))/16+1),"")</f>
        <v/>
      </c>
    </row>
    <row r="2362" spans="2:14" x14ac:dyDescent="0.3">
      <c r="B2362" t="s">
        <v>2177</v>
      </c>
      <c r="C2362" t="s">
        <v>4672</v>
      </c>
      <c r="D2362" t="s">
        <v>4673</v>
      </c>
      <c r="E2362">
        <v>0</v>
      </c>
      <c r="F2362" t="s">
        <v>4673</v>
      </c>
      <c r="N2362" t="str" cm="1">
        <f t="array" ref="N2362">IF(MOD(ROW()-ROW($B$2),16)=0,INDEX($M$2:$M$1000,(ROW()-ROW($B$2))/16+1),"")</f>
        <v/>
      </c>
    </row>
    <row r="2363" spans="2:14" x14ac:dyDescent="0.3">
      <c r="B2363" t="s">
        <v>2177</v>
      </c>
      <c r="C2363" t="s">
        <v>4674</v>
      </c>
      <c r="D2363" t="s">
        <v>4675</v>
      </c>
      <c r="E2363">
        <v>0</v>
      </c>
      <c r="F2363" t="s">
        <v>4675</v>
      </c>
      <c r="N2363" t="str" cm="1">
        <f t="array" ref="N2363">IF(MOD(ROW()-ROW($B$2),16)=0,INDEX($M$2:$M$1000,(ROW()-ROW($B$2))/16+1),"")</f>
        <v/>
      </c>
    </row>
    <row r="2364" spans="2:14" x14ac:dyDescent="0.3">
      <c r="B2364" t="s">
        <v>2177</v>
      </c>
      <c r="C2364" t="s">
        <v>4676</v>
      </c>
      <c r="D2364" t="s">
        <v>4677</v>
      </c>
      <c r="E2364">
        <v>0</v>
      </c>
      <c r="F2364" t="s">
        <v>4677</v>
      </c>
      <c r="N2364" t="str" cm="1">
        <f t="array" ref="N2364">IF(MOD(ROW()-ROW($B$2),16)=0,INDEX($M$2:$M$1000,(ROW()-ROW($B$2))/16+1),"")</f>
        <v/>
      </c>
    </row>
    <row r="2365" spans="2:14" x14ac:dyDescent="0.3">
      <c r="B2365" t="s">
        <v>2177</v>
      </c>
      <c r="C2365" t="s">
        <v>4678</v>
      </c>
      <c r="D2365" t="s">
        <v>4679</v>
      </c>
      <c r="E2365">
        <v>0</v>
      </c>
      <c r="F2365" t="s">
        <v>4679</v>
      </c>
      <c r="N2365" t="str" cm="1">
        <f t="array" ref="N2365">IF(MOD(ROW()-ROW($B$2),16)=0,INDEX($M$2:$M$1000,(ROW()-ROW($B$2))/16+1),"")</f>
        <v/>
      </c>
    </row>
    <row r="2366" spans="2:14" x14ac:dyDescent="0.3">
      <c r="B2366" t="s">
        <v>2177</v>
      </c>
      <c r="C2366" t="s">
        <v>4680</v>
      </c>
      <c r="D2366" t="s">
        <v>4681</v>
      </c>
      <c r="E2366">
        <v>0</v>
      </c>
      <c r="F2366" t="s">
        <v>4681</v>
      </c>
      <c r="N2366" t="str" cm="1">
        <f t="array" ref="N2366">IF(MOD(ROW()-ROW($B$2),16)=0,INDEX($M$2:$M$1000,(ROW()-ROW($B$2))/16+1),"")</f>
        <v/>
      </c>
    </row>
    <row r="2367" spans="2:14" x14ac:dyDescent="0.3">
      <c r="B2367" t="s">
        <v>2177</v>
      </c>
      <c r="C2367" t="s">
        <v>4682</v>
      </c>
      <c r="D2367" t="s">
        <v>4683</v>
      </c>
      <c r="E2367">
        <v>0</v>
      </c>
      <c r="F2367" t="s">
        <v>4683</v>
      </c>
      <c r="N2367" t="str" cm="1">
        <f t="array" ref="N2367">IF(MOD(ROW()-ROW($B$2),16)=0,INDEX($M$2:$M$1000,(ROW()-ROW($B$2))/16+1),"")</f>
        <v/>
      </c>
    </row>
    <row r="2368" spans="2:14" x14ac:dyDescent="0.3">
      <c r="B2368" t="s">
        <v>2177</v>
      </c>
      <c r="C2368" t="s">
        <v>4684</v>
      </c>
      <c r="D2368" t="s">
        <v>4685</v>
      </c>
      <c r="E2368">
        <v>0</v>
      </c>
      <c r="F2368" t="s">
        <v>4685</v>
      </c>
      <c r="N2368" t="str" cm="1">
        <f t="array" ref="N2368">IF(MOD(ROW()-ROW($B$2),16)=0,INDEX($M$2:$M$1000,(ROW()-ROW($B$2))/16+1),"")</f>
        <v/>
      </c>
    </row>
    <row r="2369" spans="2:14" x14ac:dyDescent="0.3">
      <c r="B2369" t="s">
        <v>2177</v>
      </c>
      <c r="C2369" t="s">
        <v>4686</v>
      </c>
      <c r="D2369" t="s">
        <v>4687</v>
      </c>
      <c r="E2369">
        <v>0</v>
      </c>
      <c r="F2369" t="s">
        <v>4687</v>
      </c>
      <c r="N2369" t="str" cm="1">
        <f t="array" ref="N2369">IF(MOD(ROW()-ROW($B$2),16)=0,INDEX($M$2:$M$1000,(ROW()-ROW($B$2))/16+1),"")</f>
        <v/>
      </c>
    </row>
    <row r="2370" spans="2:14" x14ac:dyDescent="0.3">
      <c r="B2370" t="s">
        <v>2177</v>
      </c>
      <c r="C2370" t="s">
        <v>4688</v>
      </c>
      <c r="D2370" t="s">
        <v>4689</v>
      </c>
      <c r="E2370">
        <v>0</v>
      </c>
      <c r="F2370" t="s">
        <v>4689</v>
      </c>
      <c r="N2370" t="str" cm="1">
        <f t="array" ref="N2370">IF(MOD(ROW()-ROW($B$2),16)=0,INDEX($M$2:$M$1000,(ROW()-ROW($B$2))/16+1),"")</f>
        <v>MULNULL (0)</v>
      </c>
    </row>
    <row r="2371" spans="2:14" x14ac:dyDescent="0.3">
      <c r="B2371" t="s">
        <v>2177</v>
      </c>
      <c r="C2371" t="s">
        <v>4690</v>
      </c>
      <c r="D2371" t="s">
        <v>4691</v>
      </c>
      <c r="E2371">
        <v>0</v>
      </c>
      <c r="F2371" t="s">
        <v>4691</v>
      </c>
      <c r="N2371" t="str" cm="1">
        <f t="array" ref="N2371">IF(MOD(ROW()-ROW($B$2),16)=0,INDEX($M$2:$M$1000,(ROW()-ROW($B$2))/16+1),"")</f>
        <v/>
      </c>
    </row>
    <row r="2372" spans="2:14" x14ac:dyDescent="0.3">
      <c r="B2372" t="s">
        <v>2177</v>
      </c>
      <c r="C2372" t="s">
        <v>4692</v>
      </c>
      <c r="D2372" t="s">
        <v>4693</v>
      </c>
      <c r="E2372">
        <v>0</v>
      </c>
      <c r="F2372" t="s">
        <v>4693</v>
      </c>
      <c r="N2372" t="str" cm="1">
        <f t="array" ref="N2372">IF(MOD(ROW()-ROW($B$2),16)=0,INDEX($M$2:$M$1000,(ROW()-ROW($B$2))/16+1),"")</f>
        <v/>
      </c>
    </row>
    <row r="2373" spans="2:14" x14ac:dyDescent="0.3">
      <c r="B2373" t="s">
        <v>2177</v>
      </c>
      <c r="C2373" t="s">
        <v>4694</v>
      </c>
      <c r="D2373" t="s">
        <v>4695</v>
      </c>
      <c r="E2373">
        <v>0</v>
      </c>
      <c r="F2373" t="s">
        <v>4695</v>
      </c>
      <c r="N2373" t="str" cm="1">
        <f t="array" ref="N2373">IF(MOD(ROW()-ROW($B$2),16)=0,INDEX($M$2:$M$1000,(ROW()-ROW($B$2))/16+1),"")</f>
        <v/>
      </c>
    </row>
    <row r="2374" spans="2:14" x14ac:dyDescent="0.3">
      <c r="B2374" t="s">
        <v>2177</v>
      </c>
      <c r="C2374" t="s">
        <v>4696</v>
      </c>
      <c r="D2374" t="s">
        <v>4697</v>
      </c>
      <c r="E2374">
        <v>0</v>
      </c>
      <c r="F2374" t="s">
        <v>4697</v>
      </c>
      <c r="N2374" t="str" cm="1">
        <f t="array" ref="N2374">IF(MOD(ROW()-ROW($B$2),16)=0,INDEX($M$2:$M$1000,(ROW()-ROW($B$2))/16+1),"")</f>
        <v/>
      </c>
    </row>
    <row r="2375" spans="2:14" x14ac:dyDescent="0.3">
      <c r="B2375" t="s">
        <v>2177</v>
      </c>
      <c r="C2375" t="s">
        <v>4698</v>
      </c>
      <c r="D2375" t="s">
        <v>4699</v>
      </c>
      <c r="E2375">
        <v>0</v>
      </c>
      <c r="F2375" t="s">
        <v>4699</v>
      </c>
      <c r="N2375" t="str" cm="1">
        <f t="array" ref="N2375">IF(MOD(ROW()-ROW($B$2),16)=0,INDEX($M$2:$M$1000,(ROW()-ROW($B$2))/16+1),"")</f>
        <v/>
      </c>
    </row>
    <row r="2376" spans="2:14" x14ac:dyDescent="0.3">
      <c r="B2376" t="s">
        <v>2177</v>
      </c>
      <c r="C2376" t="s">
        <v>4700</v>
      </c>
      <c r="D2376" t="s">
        <v>4701</v>
      </c>
      <c r="E2376">
        <v>0</v>
      </c>
      <c r="F2376" t="s">
        <v>4701</v>
      </c>
      <c r="N2376" t="str" cm="1">
        <f t="array" ref="N2376">IF(MOD(ROW()-ROW($B$2),16)=0,INDEX($M$2:$M$1000,(ROW()-ROW($B$2))/16+1),"")</f>
        <v/>
      </c>
    </row>
    <row r="2377" spans="2:14" x14ac:dyDescent="0.3">
      <c r="B2377" t="s">
        <v>2177</v>
      </c>
      <c r="C2377" t="s">
        <v>4702</v>
      </c>
      <c r="D2377" t="s">
        <v>4703</v>
      </c>
      <c r="E2377">
        <v>0</v>
      </c>
      <c r="F2377" t="s">
        <v>4703</v>
      </c>
      <c r="N2377" t="str" cm="1">
        <f t="array" ref="N2377">IF(MOD(ROW()-ROW($B$2),16)=0,INDEX($M$2:$M$1000,(ROW()-ROW($B$2))/16+1),"")</f>
        <v/>
      </c>
    </row>
    <row r="2378" spans="2:14" x14ac:dyDescent="0.3">
      <c r="B2378" t="s">
        <v>2177</v>
      </c>
      <c r="C2378" t="s">
        <v>4704</v>
      </c>
      <c r="D2378" t="s">
        <v>4705</v>
      </c>
      <c r="E2378">
        <v>0</v>
      </c>
      <c r="F2378" t="s">
        <v>4705</v>
      </c>
      <c r="N2378" t="str" cm="1">
        <f t="array" ref="N2378">IF(MOD(ROW()-ROW($B$2),16)=0,INDEX($M$2:$M$1000,(ROW()-ROW($B$2))/16+1),"")</f>
        <v/>
      </c>
    </row>
    <row r="2379" spans="2:14" x14ac:dyDescent="0.3">
      <c r="B2379" t="s">
        <v>2177</v>
      </c>
      <c r="C2379" t="s">
        <v>4706</v>
      </c>
      <c r="D2379" t="s">
        <v>4707</v>
      </c>
      <c r="E2379">
        <v>0</v>
      </c>
      <c r="F2379" t="s">
        <v>4707</v>
      </c>
      <c r="N2379" t="str" cm="1">
        <f t="array" ref="N2379">IF(MOD(ROW()-ROW($B$2),16)=0,INDEX($M$2:$M$1000,(ROW()-ROW($B$2))/16+1),"")</f>
        <v/>
      </c>
    </row>
    <row r="2380" spans="2:14" x14ac:dyDescent="0.3">
      <c r="B2380" t="s">
        <v>2177</v>
      </c>
      <c r="C2380" t="s">
        <v>4708</v>
      </c>
      <c r="D2380" t="s">
        <v>4709</v>
      </c>
      <c r="E2380">
        <v>0</v>
      </c>
      <c r="F2380" t="s">
        <v>4709</v>
      </c>
      <c r="N2380" t="str" cm="1">
        <f t="array" ref="N2380">IF(MOD(ROW()-ROW($B$2),16)=0,INDEX($M$2:$M$1000,(ROW()-ROW($B$2))/16+1),"")</f>
        <v/>
      </c>
    </row>
    <row r="2381" spans="2:14" x14ac:dyDescent="0.3">
      <c r="B2381" t="s">
        <v>2177</v>
      </c>
      <c r="C2381" t="s">
        <v>4710</v>
      </c>
      <c r="D2381" t="s">
        <v>4711</v>
      </c>
      <c r="E2381">
        <v>0</v>
      </c>
      <c r="F2381" t="s">
        <v>4711</v>
      </c>
      <c r="N2381" t="str" cm="1">
        <f t="array" ref="N2381">IF(MOD(ROW()-ROW($B$2),16)=0,INDEX($M$2:$M$1000,(ROW()-ROW($B$2))/16+1),"")</f>
        <v/>
      </c>
    </row>
    <row r="2382" spans="2:14" x14ac:dyDescent="0.3">
      <c r="B2382" t="s">
        <v>2177</v>
      </c>
      <c r="C2382" t="s">
        <v>4712</v>
      </c>
      <c r="D2382" t="s">
        <v>4713</v>
      </c>
      <c r="E2382">
        <v>0</v>
      </c>
      <c r="F2382" t="s">
        <v>4713</v>
      </c>
      <c r="N2382" t="str" cm="1">
        <f t="array" ref="N2382">IF(MOD(ROW()-ROW($B$2),16)=0,INDEX($M$2:$M$1000,(ROW()-ROW($B$2))/16+1),"")</f>
        <v/>
      </c>
    </row>
    <row r="2383" spans="2:14" x14ac:dyDescent="0.3">
      <c r="B2383" t="s">
        <v>2177</v>
      </c>
      <c r="C2383" t="s">
        <v>4714</v>
      </c>
      <c r="D2383" t="s">
        <v>4715</v>
      </c>
      <c r="E2383">
        <v>0</v>
      </c>
      <c r="F2383" t="s">
        <v>4715</v>
      </c>
      <c r="N2383" t="str" cm="1">
        <f t="array" ref="N2383">IF(MOD(ROW()-ROW($B$2),16)=0,INDEX($M$2:$M$1000,(ROW()-ROW($B$2))/16+1),"")</f>
        <v/>
      </c>
    </row>
    <row r="2384" spans="2:14" x14ac:dyDescent="0.3">
      <c r="B2384" t="s">
        <v>2177</v>
      </c>
      <c r="C2384" t="s">
        <v>4716</v>
      </c>
      <c r="D2384" t="s">
        <v>4717</v>
      </c>
      <c r="E2384">
        <v>0</v>
      </c>
      <c r="F2384" t="s">
        <v>4717</v>
      </c>
      <c r="N2384" t="str" cm="1">
        <f t="array" ref="N2384">IF(MOD(ROW()-ROW($B$2),16)=0,INDEX($M$2:$M$1000,(ROW()-ROW($B$2))/16+1),"")</f>
        <v/>
      </c>
    </row>
    <row r="2385" spans="2:14" x14ac:dyDescent="0.3">
      <c r="B2385" t="s">
        <v>2177</v>
      </c>
      <c r="C2385" t="s">
        <v>4718</v>
      </c>
      <c r="D2385" t="s">
        <v>4719</v>
      </c>
      <c r="E2385">
        <v>0</v>
      </c>
      <c r="F2385" t="s">
        <v>4719</v>
      </c>
      <c r="N2385" t="str" cm="1">
        <f t="array" ref="N2385">IF(MOD(ROW()-ROW($B$2),16)=0,INDEX($M$2:$M$1000,(ROW()-ROW($B$2))/16+1),"")</f>
        <v/>
      </c>
    </row>
    <row r="2386" spans="2:14" x14ac:dyDescent="0.3">
      <c r="B2386" t="s">
        <v>2177</v>
      </c>
      <c r="C2386" t="s">
        <v>4720</v>
      </c>
      <c r="D2386" t="s">
        <v>4721</v>
      </c>
      <c r="E2386">
        <v>0</v>
      </c>
      <c r="F2386" t="s">
        <v>4721</v>
      </c>
      <c r="N2386" t="str" cm="1">
        <f t="array" ref="N2386">IF(MOD(ROW()-ROW($B$2),16)=0,INDEX($M$2:$M$1000,(ROW()-ROW($B$2))/16+1),"")</f>
        <v>MULNULL (0)</v>
      </c>
    </row>
    <row r="2387" spans="2:14" x14ac:dyDescent="0.3">
      <c r="B2387" t="s">
        <v>2177</v>
      </c>
      <c r="C2387" t="s">
        <v>4722</v>
      </c>
      <c r="D2387" t="s">
        <v>4723</v>
      </c>
      <c r="E2387">
        <v>0</v>
      </c>
      <c r="F2387" t="s">
        <v>4723</v>
      </c>
      <c r="N2387" t="str" cm="1">
        <f t="array" ref="N2387">IF(MOD(ROW()-ROW($B$2),16)=0,INDEX($M$2:$M$1000,(ROW()-ROW($B$2))/16+1),"")</f>
        <v/>
      </c>
    </row>
    <row r="2388" spans="2:14" x14ac:dyDescent="0.3">
      <c r="B2388" t="s">
        <v>2177</v>
      </c>
      <c r="C2388" t="s">
        <v>4724</v>
      </c>
      <c r="D2388" t="s">
        <v>4725</v>
      </c>
      <c r="E2388">
        <v>0</v>
      </c>
      <c r="F2388" t="s">
        <v>4725</v>
      </c>
      <c r="N2388" t="str" cm="1">
        <f t="array" ref="N2388">IF(MOD(ROW()-ROW($B$2),16)=0,INDEX($M$2:$M$1000,(ROW()-ROW($B$2))/16+1),"")</f>
        <v/>
      </c>
    </row>
    <row r="2389" spans="2:14" x14ac:dyDescent="0.3">
      <c r="B2389" t="s">
        <v>2177</v>
      </c>
      <c r="C2389" t="s">
        <v>4726</v>
      </c>
      <c r="D2389" t="s">
        <v>4727</v>
      </c>
      <c r="E2389">
        <v>0</v>
      </c>
      <c r="F2389" t="s">
        <v>4727</v>
      </c>
      <c r="N2389" t="str" cm="1">
        <f t="array" ref="N2389">IF(MOD(ROW()-ROW($B$2),16)=0,INDEX($M$2:$M$1000,(ROW()-ROW($B$2))/16+1),"")</f>
        <v/>
      </c>
    </row>
    <row r="2390" spans="2:14" x14ac:dyDescent="0.3">
      <c r="B2390" t="s">
        <v>2177</v>
      </c>
      <c r="C2390" t="s">
        <v>4728</v>
      </c>
      <c r="D2390" t="s">
        <v>4729</v>
      </c>
      <c r="E2390">
        <v>0</v>
      </c>
      <c r="F2390" t="s">
        <v>4729</v>
      </c>
      <c r="N2390" t="str" cm="1">
        <f t="array" ref="N2390">IF(MOD(ROW()-ROW($B$2),16)=0,INDEX($M$2:$M$1000,(ROW()-ROW($B$2))/16+1),"")</f>
        <v/>
      </c>
    </row>
    <row r="2391" spans="2:14" x14ac:dyDescent="0.3">
      <c r="B2391" t="s">
        <v>2177</v>
      </c>
      <c r="C2391" t="s">
        <v>4730</v>
      </c>
      <c r="D2391" t="s">
        <v>4731</v>
      </c>
      <c r="E2391">
        <v>0</v>
      </c>
      <c r="F2391" t="s">
        <v>4731</v>
      </c>
      <c r="N2391" t="str" cm="1">
        <f t="array" ref="N2391">IF(MOD(ROW()-ROW($B$2),16)=0,INDEX($M$2:$M$1000,(ROW()-ROW($B$2))/16+1),"")</f>
        <v/>
      </c>
    </row>
    <row r="2392" spans="2:14" x14ac:dyDescent="0.3">
      <c r="B2392" t="s">
        <v>2177</v>
      </c>
      <c r="C2392" t="s">
        <v>4732</v>
      </c>
      <c r="D2392" t="s">
        <v>4733</v>
      </c>
      <c r="E2392">
        <v>0</v>
      </c>
      <c r="F2392" t="s">
        <v>4733</v>
      </c>
      <c r="N2392" t="str" cm="1">
        <f t="array" ref="N2392">IF(MOD(ROW()-ROW($B$2),16)=0,INDEX($M$2:$M$1000,(ROW()-ROW($B$2))/16+1),"")</f>
        <v/>
      </c>
    </row>
    <row r="2393" spans="2:14" x14ac:dyDescent="0.3">
      <c r="B2393" t="s">
        <v>2177</v>
      </c>
      <c r="C2393" t="s">
        <v>4734</v>
      </c>
      <c r="D2393" t="s">
        <v>4735</v>
      </c>
      <c r="E2393">
        <v>0</v>
      </c>
      <c r="F2393" t="s">
        <v>4735</v>
      </c>
      <c r="N2393" t="str" cm="1">
        <f t="array" ref="N2393">IF(MOD(ROW()-ROW($B$2),16)=0,INDEX($M$2:$M$1000,(ROW()-ROW($B$2))/16+1),"")</f>
        <v/>
      </c>
    </row>
    <row r="2394" spans="2:14" x14ac:dyDescent="0.3">
      <c r="B2394" t="s">
        <v>2177</v>
      </c>
      <c r="C2394" t="s">
        <v>4736</v>
      </c>
      <c r="D2394" t="s">
        <v>4737</v>
      </c>
      <c r="E2394">
        <v>0</v>
      </c>
      <c r="F2394" t="s">
        <v>4737</v>
      </c>
      <c r="N2394" t="str" cm="1">
        <f t="array" ref="N2394">IF(MOD(ROW()-ROW($B$2),16)=0,INDEX($M$2:$M$1000,(ROW()-ROW($B$2))/16+1),"")</f>
        <v/>
      </c>
    </row>
    <row r="2395" spans="2:14" x14ac:dyDescent="0.3">
      <c r="B2395" t="s">
        <v>2177</v>
      </c>
      <c r="C2395" t="s">
        <v>4738</v>
      </c>
      <c r="D2395" t="s">
        <v>4739</v>
      </c>
      <c r="E2395">
        <v>0</v>
      </c>
      <c r="F2395" t="s">
        <v>4739</v>
      </c>
      <c r="N2395" t="str" cm="1">
        <f t="array" ref="N2395">IF(MOD(ROW()-ROW($B$2),16)=0,INDEX($M$2:$M$1000,(ROW()-ROW($B$2))/16+1),"")</f>
        <v/>
      </c>
    </row>
    <row r="2396" spans="2:14" x14ac:dyDescent="0.3">
      <c r="B2396" t="s">
        <v>2177</v>
      </c>
      <c r="C2396" t="s">
        <v>4740</v>
      </c>
      <c r="D2396" t="s">
        <v>4741</v>
      </c>
      <c r="E2396">
        <v>0</v>
      </c>
      <c r="F2396" t="s">
        <v>4741</v>
      </c>
      <c r="N2396" t="str" cm="1">
        <f t="array" ref="N2396">IF(MOD(ROW()-ROW($B$2),16)=0,INDEX($M$2:$M$1000,(ROW()-ROW($B$2))/16+1),"")</f>
        <v/>
      </c>
    </row>
    <row r="2397" spans="2:14" x14ac:dyDescent="0.3">
      <c r="B2397" t="s">
        <v>2177</v>
      </c>
      <c r="C2397" t="s">
        <v>4742</v>
      </c>
      <c r="D2397" t="s">
        <v>4743</v>
      </c>
      <c r="E2397">
        <v>0</v>
      </c>
      <c r="F2397" t="s">
        <v>4743</v>
      </c>
      <c r="N2397" t="str" cm="1">
        <f t="array" ref="N2397">IF(MOD(ROW()-ROW($B$2),16)=0,INDEX($M$2:$M$1000,(ROW()-ROW($B$2))/16+1),"")</f>
        <v/>
      </c>
    </row>
    <row r="2398" spans="2:14" x14ac:dyDescent="0.3">
      <c r="B2398" t="s">
        <v>2177</v>
      </c>
      <c r="C2398" t="s">
        <v>4744</v>
      </c>
      <c r="D2398" t="s">
        <v>4745</v>
      </c>
      <c r="E2398">
        <v>0</v>
      </c>
      <c r="F2398" t="s">
        <v>4745</v>
      </c>
      <c r="N2398" t="str" cm="1">
        <f t="array" ref="N2398">IF(MOD(ROW()-ROW($B$2),16)=0,INDEX($M$2:$M$1000,(ROW()-ROW($B$2))/16+1),"")</f>
        <v/>
      </c>
    </row>
    <row r="2399" spans="2:14" x14ac:dyDescent="0.3">
      <c r="B2399" t="s">
        <v>2177</v>
      </c>
      <c r="C2399" t="s">
        <v>4746</v>
      </c>
      <c r="D2399" t="s">
        <v>4747</v>
      </c>
      <c r="E2399">
        <v>0</v>
      </c>
      <c r="F2399" t="s">
        <v>4747</v>
      </c>
      <c r="N2399" t="str" cm="1">
        <f t="array" ref="N2399">IF(MOD(ROW()-ROW($B$2),16)=0,INDEX($M$2:$M$1000,(ROW()-ROW($B$2))/16+1),"")</f>
        <v/>
      </c>
    </row>
    <row r="2400" spans="2:14" x14ac:dyDescent="0.3">
      <c r="B2400" t="s">
        <v>2177</v>
      </c>
      <c r="C2400" t="s">
        <v>4748</v>
      </c>
      <c r="D2400" t="s">
        <v>4749</v>
      </c>
      <c r="E2400">
        <v>0</v>
      </c>
      <c r="F2400" t="s">
        <v>4749</v>
      </c>
      <c r="N2400" t="str" cm="1">
        <f t="array" ref="N2400">IF(MOD(ROW()-ROW($B$2),16)=0,INDEX($M$2:$M$1000,(ROW()-ROW($B$2))/16+1),"")</f>
        <v/>
      </c>
    </row>
    <row r="2401" spans="2:14" x14ac:dyDescent="0.3">
      <c r="B2401" t="s">
        <v>2177</v>
      </c>
      <c r="C2401" t="s">
        <v>4750</v>
      </c>
      <c r="D2401" t="s">
        <v>4751</v>
      </c>
      <c r="E2401">
        <v>0</v>
      </c>
      <c r="F2401" t="s">
        <v>4751</v>
      </c>
      <c r="N2401" t="str" cm="1">
        <f t="array" ref="N2401">IF(MOD(ROW()-ROW($B$2),16)=0,INDEX($M$2:$M$1000,(ROW()-ROW($B$2))/16+1),"")</f>
        <v/>
      </c>
    </row>
    <row r="2402" spans="2:14" x14ac:dyDescent="0.3">
      <c r="B2402" t="s">
        <v>2177</v>
      </c>
      <c r="C2402" t="s">
        <v>4752</v>
      </c>
      <c r="D2402" t="s">
        <v>4753</v>
      </c>
      <c r="E2402">
        <v>0</v>
      </c>
      <c r="F2402" t="s">
        <v>4753</v>
      </c>
      <c r="N2402" t="str" cm="1">
        <f t="array" ref="N2402">IF(MOD(ROW()-ROW($B$2),16)=0,INDEX($M$2:$M$1000,(ROW()-ROW($B$2))/16+1),"")</f>
        <v>MULNULL (0)</v>
      </c>
    </row>
    <row r="2403" spans="2:14" x14ac:dyDescent="0.3">
      <c r="B2403" t="s">
        <v>2177</v>
      </c>
      <c r="C2403" t="s">
        <v>4754</v>
      </c>
      <c r="D2403" t="s">
        <v>4755</v>
      </c>
      <c r="E2403">
        <v>0</v>
      </c>
      <c r="F2403" t="s">
        <v>4755</v>
      </c>
      <c r="N2403" t="str" cm="1">
        <f t="array" ref="N2403">IF(MOD(ROW()-ROW($B$2),16)=0,INDEX($M$2:$M$1000,(ROW()-ROW($B$2))/16+1),"")</f>
        <v/>
      </c>
    </row>
    <row r="2404" spans="2:14" x14ac:dyDescent="0.3">
      <c r="B2404" t="s">
        <v>2177</v>
      </c>
      <c r="C2404" t="s">
        <v>4756</v>
      </c>
      <c r="D2404" t="s">
        <v>4757</v>
      </c>
      <c r="E2404">
        <v>0</v>
      </c>
      <c r="F2404" t="s">
        <v>4757</v>
      </c>
      <c r="N2404" t="str" cm="1">
        <f t="array" ref="N2404">IF(MOD(ROW()-ROW($B$2),16)=0,INDEX($M$2:$M$1000,(ROW()-ROW($B$2))/16+1),"")</f>
        <v/>
      </c>
    </row>
    <row r="2405" spans="2:14" x14ac:dyDescent="0.3">
      <c r="B2405" t="s">
        <v>2177</v>
      </c>
      <c r="C2405" t="s">
        <v>4758</v>
      </c>
      <c r="D2405" t="s">
        <v>4759</v>
      </c>
      <c r="E2405">
        <v>0</v>
      </c>
      <c r="F2405" t="s">
        <v>4759</v>
      </c>
      <c r="N2405" t="str" cm="1">
        <f t="array" ref="N2405">IF(MOD(ROW()-ROW($B$2),16)=0,INDEX($M$2:$M$1000,(ROW()-ROW($B$2))/16+1),"")</f>
        <v/>
      </c>
    </row>
    <row r="2406" spans="2:14" x14ac:dyDescent="0.3">
      <c r="B2406" t="s">
        <v>2177</v>
      </c>
      <c r="C2406" t="s">
        <v>4760</v>
      </c>
      <c r="D2406" t="s">
        <v>4761</v>
      </c>
      <c r="E2406">
        <v>0</v>
      </c>
      <c r="F2406" t="s">
        <v>4761</v>
      </c>
      <c r="N2406" t="str" cm="1">
        <f t="array" ref="N2406">IF(MOD(ROW()-ROW($B$2),16)=0,INDEX($M$2:$M$1000,(ROW()-ROW($B$2))/16+1),"")</f>
        <v/>
      </c>
    </row>
    <row r="2407" spans="2:14" x14ac:dyDescent="0.3">
      <c r="B2407" t="s">
        <v>2177</v>
      </c>
      <c r="C2407" t="s">
        <v>4762</v>
      </c>
      <c r="D2407" t="s">
        <v>4763</v>
      </c>
      <c r="E2407">
        <v>0</v>
      </c>
      <c r="F2407" t="s">
        <v>4763</v>
      </c>
      <c r="N2407" t="str" cm="1">
        <f t="array" ref="N2407">IF(MOD(ROW()-ROW($B$2),16)=0,INDEX($M$2:$M$1000,(ROW()-ROW($B$2))/16+1),"")</f>
        <v/>
      </c>
    </row>
    <row r="2408" spans="2:14" x14ac:dyDescent="0.3">
      <c r="B2408" t="s">
        <v>2177</v>
      </c>
      <c r="C2408" t="s">
        <v>4764</v>
      </c>
      <c r="D2408" t="s">
        <v>4765</v>
      </c>
      <c r="E2408">
        <v>0</v>
      </c>
      <c r="F2408" t="s">
        <v>4765</v>
      </c>
      <c r="N2408" t="str" cm="1">
        <f t="array" ref="N2408">IF(MOD(ROW()-ROW($B$2),16)=0,INDEX($M$2:$M$1000,(ROW()-ROW($B$2))/16+1),"")</f>
        <v/>
      </c>
    </row>
    <row r="2409" spans="2:14" x14ac:dyDescent="0.3">
      <c r="B2409" t="s">
        <v>2177</v>
      </c>
      <c r="C2409" t="s">
        <v>4766</v>
      </c>
      <c r="D2409" t="s">
        <v>4767</v>
      </c>
      <c r="E2409">
        <v>0</v>
      </c>
      <c r="F2409" t="s">
        <v>4767</v>
      </c>
      <c r="N2409" t="str" cm="1">
        <f t="array" ref="N2409">IF(MOD(ROW()-ROW($B$2),16)=0,INDEX($M$2:$M$1000,(ROW()-ROW($B$2))/16+1),"")</f>
        <v/>
      </c>
    </row>
    <row r="2410" spans="2:14" x14ac:dyDescent="0.3">
      <c r="B2410" t="s">
        <v>2177</v>
      </c>
      <c r="C2410" t="s">
        <v>4768</v>
      </c>
      <c r="D2410" t="s">
        <v>4769</v>
      </c>
      <c r="E2410">
        <v>0</v>
      </c>
      <c r="F2410" t="s">
        <v>4769</v>
      </c>
      <c r="N2410" t="str" cm="1">
        <f t="array" ref="N2410">IF(MOD(ROW()-ROW($B$2),16)=0,INDEX($M$2:$M$1000,(ROW()-ROW($B$2))/16+1),"")</f>
        <v/>
      </c>
    </row>
    <row r="2411" spans="2:14" x14ac:dyDescent="0.3">
      <c r="B2411" t="s">
        <v>2177</v>
      </c>
      <c r="C2411" t="s">
        <v>4770</v>
      </c>
      <c r="D2411" t="s">
        <v>4771</v>
      </c>
      <c r="E2411">
        <v>0</v>
      </c>
      <c r="F2411" t="s">
        <v>4771</v>
      </c>
      <c r="N2411" t="str" cm="1">
        <f t="array" ref="N2411">IF(MOD(ROW()-ROW($B$2),16)=0,INDEX($M$2:$M$1000,(ROW()-ROW($B$2))/16+1),"")</f>
        <v/>
      </c>
    </row>
    <row r="2412" spans="2:14" x14ac:dyDescent="0.3">
      <c r="B2412" t="s">
        <v>2177</v>
      </c>
      <c r="C2412" t="s">
        <v>4772</v>
      </c>
      <c r="D2412" t="s">
        <v>4773</v>
      </c>
      <c r="E2412">
        <v>0</v>
      </c>
      <c r="F2412" t="s">
        <v>4773</v>
      </c>
      <c r="N2412" t="str" cm="1">
        <f t="array" ref="N2412">IF(MOD(ROW()-ROW($B$2),16)=0,INDEX($M$2:$M$1000,(ROW()-ROW($B$2))/16+1),"")</f>
        <v/>
      </c>
    </row>
    <row r="2413" spans="2:14" x14ac:dyDescent="0.3">
      <c r="B2413" t="s">
        <v>2177</v>
      </c>
      <c r="C2413" t="s">
        <v>4774</v>
      </c>
      <c r="D2413" t="s">
        <v>4775</v>
      </c>
      <c r="E2413">
        <v>0</v>
      </c>
      <c r="F2413" t="s">
        <v>4775</v>
      </c>
      <c r="N2413" t="str" cm="1">
        <f t="array" ref="N2413">IF(MOD(ROW()-ROW($B$2),16)=0,INDEX($M$2:$M$1000,(ROW()-ROW($B$2))/16+1),"")</f>
        <v/>
      </c>
    </row>
    <row r="2414" spans="2:14" x14ac:dyDescent="0.3">
      <c r="B2414" t="s">
        <v>2177</v>
      </c>
      <c r="C2414" t="s">
        <v>4776</v>
      </c>
      <c r="D2414" t="s">
        <v>4777</v>
      </c>
      <c r="E2414">
        <v>0</v>
      </c>
      <c r="F2414" t="s">
        <v>4777</v>
      </c>
      <c r="N2414" t="str" cm="1">
        <f t="array" ref="N2414">IF(MOD(ROW()-ROW($B$2),16)=0,INDEX($M$2:$M$1000,(ROW()-ROW($B$2))/16+1),"")</f>
        <v/>
      </c>
    </row>
    <row r="2415" spans="2:14" x14ac:dyDescent="0.3">
      <c r="B2415" t="s">
        <v>2177</v>
      </c>
      <c r="C2415" t="s">
        <v>4778</v>
      </c>
      <c r="D2415" t="s">
        <v>4779</v>
      </c>
      <c r="E2415">
        <v>0</v>
      </c>
      <c r="F2415" t="s">
        <v>4779</v>
      </c>
      <c r="N2415" t="str" cm="1">
        <f t="array" ref="N2415">IF(MOD(ROW()-ROW($B$2),16)=0,INDEX($M$2:$M$1000,(ROW()-ROW($B$2))/16+1),"")</f>
        <v/>
      </c>
    </row>
    <row r="2416" spans="2:14" x14ac:dyDescent="0.3">
      <c r="B2416" t="s">
        <v>2177</v>
      </c>
      <c r="C2416" t="s">
        <v>4780</v>
      </c>
      <c r="D2416" t="s">
        <v>4781</v>
      </c>
      <c r="E2416">
        <v>0</v>
      </c>
      <c r="F2416" t="s">
        <v>4781</v>
      </c>
      <c r="N2416" t="str" cm="1">
        <f t="array" ref="N2416">IF(MOD(ROW()-ROW($B$2),16)=0,INDEX($M$2:$M$1000,(ROW()-ROW($B$2))/16+1),"")</f>
        <v/>
      </c>
    </row>
    <row r="2417" spans="2:14" x14ac:dyDescent="0.3">
      <c r="B2417" t="s">
        <v>2177</v>
      </c>
      <c r="C2417" t="s">
        <v>4782</v>
      </c>
      <c r="D2417" t="s">
        <v>4783</v>
      </c>
      <c r="E2417">
        <v>0</v>
      </c>
      <c r="F2417" t="s">
        <v>4783</v>
      </c>
      <c r="N2417" t="str" cm="1">
        <f t="array" ref="N2417">IF(MOD(ROW()-ROW($B$2),16)=0,INDEX($M$2:$M$1000,(ROW()-ROW($B$2))/16+1),"")</f>
        <v/>
      </c>
    </row>
    <row r="2418" spans="2:14" x14ac:dyDescent="0.3">
      <c r="B2418" t="s">
        <v>2177</v>
      </c>
      <c r="C2418" t="s">
        <v>4784</v>
      </c>
      <c r="D2418" t="s">
        <v>4785</v>
      </c>
      <c r="E2418">
        <v>0</v>
      </c>
      <c r="F2418" t="s">
        <v>4785</v>
      </c>
      <c r="N2418" t="str" cm="1">
        <f t="array" ref="N2418">IF(MOD(ROW()-ROW($B$2),16)=0,INDEX($M$2:$M$1000,(ROW()-ROW($B$2))/16+1),"")</f>
        <v>Оффсет строки страницы списка заданий (0)</v>
      </c>
    </row>
    <row r="2419" spans="2:14" x14ac:dyDescent="0.3">
      <c r="B2419" t="s">
        <v>2177</v>
      </c>
      <c r="C2419" t="s">
        <v>4786</v>
      </c>
      <c r="D2419" t="s">
        <v>4787</v>
      </c>
      <c r="E2419">
        <v>0</v>
      </c>
      <c r="F2419" t="s">
        <v>4787</v>
      </c>
      <c r="N2419" t="str" cm="1">
        <f t="array" ref="N2419">IF(MOD(ROW()-ROW($B$2),16)=0,INDEX($M$2:$M$1000,(ROW()-ROW($B$2))/16+1),"")</f>
        <v/>
      </c>
    </row>
    <row r="2420" spans="2:14" x14ac:dyDescent="0.3">
      <c r="B2420" t="s">
        <v>2177</v>
      </c>
      <c r="C2420" t="s">
        <v>4788</v>
      </c>
      <c r="D2420" t="s">
        <v>4789</v>
      </c>
      <c r="E2420">
        <v>0</v>
      </c>
      <c r="F2420" t="s">
        <v>4789</v>
      </c>
      <c r="N2420" t="str" cm="1">
        <f t="array" ref="N2420">IF(MOD(ROW()-ROW($B$2),16)=0,INDEX($M$2:$M$1000,(ROW()-ROW($B$2))/16+1),"")</f>
        <v/>
      </c>
    </row>
    <row r="2421" spans="2:14" x14ac:dyDescent="0.3">
      <c r="B2421" t="s">
        <v>2177</v>
      </c>
      <c r="C2421" t="s">
        <v>4790</v>
      </c>
      <c r="D2421" t="s">
        <v>4791</v>
      </c>
      <c r="E2421">
        <v>0</v>
      </c>
      <c r="F2421" t="s">
        <v>4791</v>
      </c>
      <c r="N2421" t="str" cm="1">
        <f t="array" ref="N2421">IF(MOD(ROW()-ROW($B$2),16)=0,INDEX($M$2:$M$1000,(ROW()-ROW($B$2))/16+1),"")</f>
        <v/>
      </c>
    </row>
    <row r="2422" spans="2:14" x14ac:dyDescent="0.3">
      <c r="B2422" t="s">
        <v>2177</v>
      </c>
      <c r="C2422" t="s">
        <v>4792</v>
      </c>
      <c r="D2422" t="s">
        <v>4793</v>
      </c>
      <c r="E2422">
        <v>0</v>
      </c>
      <c r="F2422" t="s">
        <v>4793</v>
      </c>
      <c r="N2422" t="str" cm="1">
        <f t="array" ref="N2422">IF(MOD(ROW()-ROW($B$2),16)=0,INDEX($M$2:$M$1000,(ROW()-ROW($B$2))/16+1),"")</f>
        <v/>
      </c>
    </row>
    <row r="2423" spans="2:14" x14ac:dyDescent="0.3">
      <c r="B2423" t="s">
        <v>2177</v>
      </c>
      <c r="C2423" t="s">
        <v>4794</v>
      </c>
      <c r="D2423" t="s">
        <v>4795</v>
      </c>
      <c r="E2423">
        <v>0</v>
      </c>
      <c r="F2423" t="s">
        <v>4795</v>
      </c>
      <c r="N2423" t="str" cm="1">
        <f t="array" ref="N2423">IF(MOD(ROW()-ROW($B$2),16)=0,INDEX($M$2:$M$1000,(ROW()-ROW($B$2))/16+1),"")</f>
        <v/>
      </c>
    </row>
    <row r="2424" spans="2:14" x14ac:dyDescent="0.3">
      <c r="B2424" t="s">
        <v>2177</v>
      </c>
      <c r="C2424" t="s">
        <v>4796</v>
      </c>
      <c r="D2424" t="s">
        <v>4797</v>
      </c>
      <c r="E2424">
        <v>0</v>
      </c>
      <c r="F2424" t="s">
        <v>4797</v>
      </c>
      <c r="N2424" t="str" cm="1">
        <f t="array" ref="N2424">IF(MOD(ROW()-ROW($B$2),16)=0,INDEX($M$2:$M$1000,(ROW()-ROW($B$2))/16+1),"")</f>
        <v/>
      </c>
    </row>
    <row r="2425" spans="2:14" x14ac:dyDescent="0.3">
      <c r="B2425" t="s">
        <v>2177</v>
      </c>
      <c r="C2425" t="s">
        <v>4798</v>
      </c>
      <c r="D2425" t="s">
        <v>4799</v>
      </c>
      <c r="E2425">
        <v>0</v>
      </c>
      <c r="F2425" t="s">
        <v>4799</v>
      </c>
      <c r="N2425" t="str" cm="1">
        <f t="array" ref="N2425">IF(MOD(ROW()-ROW($B$2),16)=0,INDEX($M$2:$M$1000,(ROW()-ROW($B$2))/16+1),"")</f>
        <v/>
      </c>
    </row>
    <row r="2426" spans="2:14" x14ac:dyDescent="0.3">
      <c r="B2426" t="s">
        <v>2177</v>
      </c>
      <c r="C2426" t="s">
        <v>4800</v>
      </c>
      <c r="D2426" t="s">
        <v>4801</v>
      </c>
      <c r="E2426">
        <v>0</v>
      </c>
      <c r="F2426" t="s">
        <v>4801</v>
      </c>
      <c r="N2426" t="str" cm="1">
        <f t="array" ref="N2426">IF(MOD(ROW()-ROW($B$2),16)=0,INDEX($M$2:$M$1000,(ROW()-ROW($B$2))/16+1),"")</f>
        <v/>
      </c>
    </row>
    <row r="2427" spans="2:14" x14ac:dyDescent="0.3">
      <c r="B2427" t="s">
        <v>2177</v>
      </c>
      <c r="C2427" t="s">
        <v>4802</v>
      </c>
      <c r="D2427" t="s">
        <v>4803</v>
      </c>
      <c r="E2427">
        <v>0</v>
      </c>
      <c r="F2427" t="s">
        <v>4803</v>
      </c>
      <c r="N2427" t="str" cm="1">
        <f t="array" ref="N2427">IF(MOD(ROW()-ROW($B$2),16)=0,INDEX($M$2:$M$1000,(ROW()-ROW($B$2))/16+1),"")</f>
        <v/>
      </c>
    </row>
    <row r="2428" spans="2:14" x14ac:dyDescent="0.3">
      <c r="B2428" t="s">
        <v>2177</v>
      </c>
      <c r="C2428" t="s">
        <v>4804</v>
      </c>
      <c r="D2428" t="s">
        <v>4805</v>
      </c>
      <c r="E2428">
        <v>0</v>
      </c>
      <c r="F2428" t="s">
        <v>4805</v>
      </c>
      <c r="N2428" t="str" cm="1">
        <f t="array" ref="N2428">IF(MOD(ROW()-ROW($B$2),16)=0,INDEX($M$2:$M$1000,(ROW()-ROW($B$2))/16+1),"")</f>
        <v/>
      </c>
    </row>
    <row r="2429" spans="2:14" x14ac:dyDescent="0.3">
      <c r="B2429" t="s">
        <v>2177</v>
      </c>
      <c r="C2429" t="s">
        <v>4806</v>
      </c>
      <c r="D2429" t="s">
        <v>4807</v>
      </c>
      <c r="E2429">
        <v>0</v>
      </c>
      <c r="F2429" t="s">
        <v>4807</v>
      </c>
      <c r="N2429" t="str" cm="1">
        <f t="array" ref="N2429">IF(MOD(ROW()-ROW($B$2),16)=0,INDEX($M$2:$M$1000,(ROW()-ROW($B$2))/16+1),"")</f>
        <v/>
      </c>
    </row>
    <row r="2430" spans="2:14" x14ac:dyDescent="0.3">
      <c r="B2430" t="s">
        <v>2177</v>
      </c>
      <c r="C2430" t="s">
        <v>4808</v>
      </c>
      <c r="D2430" t="s">
        <v>4809</v>
      </c>
      <c r="E2430">
        <v>0</v>
      </c>
      <c r="F2430" t="s">
        <v>4809</v>
      </c>
      <c r="N2430" t="str" cm="1">
        <f t="array" ref="N2430">IF(MOD(ROW()-ROW($B$2),16)=0,INDEX($M$2:$M$1000,(ROW()-ROW($B$2))/16+1),"")</f>
        <v/>
      </c>
    </row>
    <row r="2431" spans="2:14" x14ac:dyDescent="0.3">
      <c r="B2431" t="s">
        <v>2177</v>
      </c>
      <c r="C2431" t="s">
        <v>4810</v>
      </c>
      <c r="D2431" t="s">
        <v>4811</v>
      </c>
      <c r="E2431">
        <v>0</v>
      </c>
      <c r="F2431" t="s">
        <v>4811</v>
      </c>
      <c r="N2431" t="str" cm="1">
        <f t="array" ref="N2431">IF(MOD(ROW()-ROW($B$2),16)=0,INDEX($M$2:$M$1000,(ROW()-ROW($B$2))/16+1),"")</f>
        <v/>
      </c>
    </row>
    <row r="2432" spans="2:14" x14ac:dyDescent="0.3">
      <c r="B2432" t="s">
        <v>2177</v>
      </c>
      <c r="C2432" t="s">
        <v>4812</v>
      </c>
      <c r="D2432" t="s">
        <v>4813</v>
      </c>
      <c r="E2432">
        <v>0</v>
      </c>
      <c r="F2432" t="s">
        <v>4813</v>
      </c>
      <c r="N2432" t="str" cm="1">
        <f t="array" ref="N2432">IF(MOD(ROW()-ROW($B$2),16)=0,INDEX($M$2:$M$1000,(ROW()-ROW($B$2))/16+1),"")</f>
        <v/>
      </c>
    </row>
    <row r="2433" spans="2:14" x14ac:dyDescent="0.3">
      <c r="B2433" t="s">
        <v>2177</v>
      </c>
      <c r="C2433" t="s">
        <v>4814</v>
      </c>
      <c r="D2433" t="s">
        <v>4815</v>
      </c>
      <c r="E2433">
        <v>0</v>
      </c>
      <c r="F2433" t="s">
        <v>4815</v>
      </c>
      <c r="N2433" t="str" cm="1">
        <f t="array" ref="N2433">IF(MOD(ROW()-ROW($B$2),16)=0,INDEX($M$2:$M$1000,(ROW()-ROW($B$2))/16+1),"")</f>
        <v/>
      </c>
    </row>
    <row r="2434" spans="2:14" x14ac:dyDescent="0.3">
      <c r="B2434" t="s">
        <v>2177</v>
      </c>
      <c r="C2434" t="s">
        <v>4816</v>
      </c>
      <c r="D2434" t="s">
        <v>4817</v>
      </c>
      <c r="E2434">
        <v>0</v>
      </c>
      <c r="F2434" t="s">
        <v>4817</v>
      </c>
      <c r="N2434" t="str" cm="1">
        <f t="array" ref="N2434">IF(MOD(ROW()-ROW($B$2),16)=0,INDEX($M$2:$M$1000,(ROW()-ROW($B$2))/16+1),"")</f>
        <v>MULNULL (0)</v>
      </c>
    </row>
    <row r="2435" spans="2:14" x14ac:dyDescent="0.3">
      <c r="B2435" t="s">
        <v>2177</v>
      </c>
      <c r="C2435" t="s">
        <v>4818</v>
      </c>
      <c r="D2435" t="s">
        <v>4819</v>
      </c>
      <c r="E2435">
        <v>0</v>
      </c>
      <c r="F2435" t="s">
        <v>4819</v>
      </c>
      <c r="N2435" t="str" cm="1">
        <f t="array" ref="N2435">IF(MOD(ROW()-ROW($B$2),16)=0,INDEX($M$2:$M$1000,(ROW()-ROW($B$2))/16+1),"")</f>
        <v/>
      </c>
    </row>
    <row r="2436" spans="2:14" x14ac:dyDescent="0.3">
      <c r="B2436" t="s">
        <v>2177</v>
      </c>
      <c r="C2436" t="s">
        <v>4820</v>
      </c>
      <c r="D2436" t="s">
        <v>4821</v>
      </c>
      <c r="E2436">
        <v>0</v>
      </c>
      <c r="F2436" t="s">
        <v>4821</v>
      </c>
      <c r="N2436" t="str" cm="1">
        <f t="array" ref="N2436">IF(MOD(ROW()-ROW($B$2),16)=0,INDEX($M$2:$M$1000,(ROW()-ROW($B$2))/16+1),"")</f>
        <v/>
      </c>
    </row>
    <row r="2437" spans="2:14" x14ac:dyDescent="0.3">
      <c r="B2437" t="s">
        <v>2177</v>
      </c>
      <c r="C2437" t="s">
        <v>4822</v>
      </c>
      <c r="D2437" t="s">
        <v>4823</v>
      </c>
      <c r="E2437">
        <v>0</v>
      </c>
      <c r="F2437" t="s">
        <v>4823</v>
      </c>
      <c r="N2437" t="str" cm="1">
        <f t="array" ref="N2437">IF(MOD(ROW()-ROW($B$2),16)=0,INDEX($M$2:$M$1000,(ROW()-ROW($B$2))/16+1),"")</f>
        <v/>
      </c>
    </row>
    <row r="2438" spans="2:14" x14ac:dyDescent="0.3">
      <c r="B2438" t="s">
        <v>2177</v>
      </c>
      <c r="C2438" t="s">
        <v>4824</v>
      </c>
      <c r="D2438" t="s">
        <v>4825</v>
      </c>
      <c r="E2438">
        <v>0</v>
      </c>
      <c r="F2438" t="s">
        <v>4825</v>
      </c>
      <c r="N2438" t="str" cm="1">
        <f t="array" ref="N2438">IF(MOD(ROW()-ROW($B$2),16)=0,INDEX($M$2:$M$1000,(ROW()-ROW($B$2))/16+1),"")</f>
        <v/>
      </c>
    </row>
    <row r="2439" spans="2:14" x14ac:dyDescent="0.3">
      <c r="B2439" t="s">
        <v>2177</v>
      </c>
      <c r="C2439" t="s">
        <v>4826</v>
      </c>
      <c r="D2439" t="s">
        <v>4827</v>
      </c>
      <c r="E2439">
        <v>0</v>
      </c>
      <c r="F2439" t="s">
        <v>4827</v>
      </c>
      <c r="N2439" t="str" cm="1">
        <f t="array" ref="N2439">IF(MOD(ROW()-ROW($B$2),16)=0,INDEX($M$2:$M$1000,(ROW()-ROW($B$2))/16+1),"")</f>
        <v/>
      </c>
    </row>
    <row r="2440" spans="2:14" x14ac:dyDescent="0.3">
      <c r="B2440" t="s">
        <v>2177</v>
      </c>
      <c r="C2440" t="s">
        <v>4828</v>
      </c>
      <c r="D2440" t="s">
        <v>4829</v>
      </c>
      <c r="E2440">
        <v>0</v>
      </c>
      <c r="F2440" t="s">
        <v>4829</v>
      </c>
      <c r="N2440" t="str" cm="1">
        <f t="array" ref="N2440">IF(MOD(ROW()-ROW($B$2),16)=0,INDEX($M$2:$M$1000,(ROW()-ROW($B$2))/16+1),"")</f>
        <v/>
      </c>
    </row>
    <row r="2441" spans="2:14" x14ac:dyDescent="0.3">
      <c r="B2441" t="s">
        <v>2177</v>
      </c>
      <c r="C2441" t="s">
        <v>4830</v>
      </c>
      <c r="D2441" t="s">
        <v>4831</v>
      </c>
      <c r="E2441">
        <v>0</v>
      </c>
      <c r="F2441" t="s">
        <v>4831</v>
      </c>
      <c r="N2441" t="str" cm="1">
        <f t="array" ref="N2441">IF(MOD(ROW()-ROW($B$2),16)=0,INDEX($M$2:$M$1000,(ROW()-ROW($B$2))/16+1),"")</f>
        <v/>
      </c>
    </row>
    <row r="2442" spans="2:14" x14ac:dyDescent="0.3">
      <c r="B2442" t="s">
        <v>2177</v>
      </c>
      <c r="C2442" t="s">
        <v>4832</v>
      </c>
      <c r="D2442" t="s">
        <v>4833</v>
      </c>
      <c r="E2442">
        <v>0</v>
      </c>
      <c r="F2442" t="s">
        <v>4833</v>
      </c>
      <c r="N2442" t="str" cm="1">
        <f t="array" ref="N2442">IF(MOD(ROW()-ROW($B$2),16)=0,INDEX($M$2:$M$1000,(ROW()-ROW($B$2))/16+1),"")</f>
        <v/>
      </c>
    </row>
    <row r="2443" spans="2:14" x14ac:dyDescent="0.3">
      <c r="B2443" t="s">
        <v>2177</v>
      </c>
      <c r="C2443" t="s">
        <v>4834</v>
      </c>
      <c r="D2443" t="s">
        <v>4835</v>
      </c>
      <c r="E2443">
        <v>0</v>
      </c>
      <c r="F2443" t="s">
        <v>4835</v>
      </c>
      <c r="N2443" t="str" cm="1">
        <f t="array" ref="N2443">IF(MOD(ROW()-ROW($B$2),16)=0,INDEX($M$2:$M$1000,(ROW()-ROW($B$2))/16+1),"")</f>
        <v/>
      </c>
    </row>
    <row r="2444" spans="2:14" x14ac:dyDescent="0.3">
      <c r="B2444" t="s">
        <v>2177</v>
      </c>
      <c r="C2444" t="s">
        <v>4836</v>
      </c>
      <c r="D2444" t="s">
        <v>4837</v>
      </c>
      <c r="E2444">
        <v>0</v>
      </c>
      <c r="F2444" t="s">
        <v>4837</v>
      </c>
      <c r="N2444" t="str" cm="1">
        <f t="array" ref="N2444">IF(MOD(ROW()-ROW($B$2),16)=0,INDEX($M$2:$M$1000,(ROW()-ROW($B$2))/16+1),"")</f>
        <v/>
      </c>
    </row>
    <row r="2445" spans="2:14" x14ac:dyDescent="0.3">
      <c r="B2445" t="s">
        <v>2177</v>
      </c>
      <c r="C2445" t="s">
        <v>4838</v>
      </c>
      <c r="D2445" t="s">
        <v>4839</v>
      </c>
      <c r="E2445">
        <v>0</v>
      </c>
      <c r="F2445" t="s">
        <v>4839</v>
      </c>
      <c r="N2445" t="str" cm="1">
        <f t="array" ref="N2445">IF(MOD(ROW()-ROW($B$2),16)=0,INDEX($M$2:$M$1000,(ROW()-ROW($B$2))/16+1),"")</f>
        <v/>
      </c>
    </row>
    <row r="2446" spans="2:14" x14ac:dyDescent="0.3">
      <c r="B2446" t="s">
        <v>2177</v>
      </c>
      <c r="C2446" t="s">
        <v>4840</v>
      </c>
      <c r="D2446" t="s">
        <v>4841</v>
      </c>
      <c r="E2446">
        <v>0</v>
      </c>
      <c r="F2446" t="s">
        <v>4841</v>
      </c>
      <c r="N2446" t="str" cm="1">
        <f t="array" ref="N2446">IF(MOD(ROW()-ROW($B$2),16)=0,INDEX($M$2:$M$1000,(ROW()-ROW($B$2))/16+1),"")</f>
        <v/>
      </c>
    </row>
    <row r="2447" spans="2:14" x14ac:dyDescent="0.3">
      <c r="B2447" t="s">
        <v>2177</v>
      </c>
      <c r="C2447" t="s">
        <v>4842</v>
      </c>
      <c r="D2447" t="s">
        <v>4843</v>
      </c>
      <c r="E2447">
        <v>0</v>
      </c>
      <c r="F2447" t="s">
        <v>4843</v>
      </c>
      <c r="N2447" t="str" cm="1">
        <f t="array" ref="N2447">IF(MOD(ROW()-ROW($B$2),16)=0,INDEX($M$2:$M$1000,(ROW()-ROW($B$2))/16+1),"")</f>
        <v/>
      </c>
    </row>
    <row r="2448" spans="2:14" x14ac:dyDescent="0.3">
      <c r="B2448" t="s">
        <v>2177</v>
      </c>
      <c r="C2448" t="s">
        <v>4844</v>
      </c>
      <c r="D2448" t="s">
        <v>4845</v>
      </c>
      <c r="E2448">
        <v>0</v>
      </c>
      <c r="F2448" t="s">
        <v>4845</v>
      </c>
      <c r="N2448" t="str" cm="1">
        <f t="array" ref="N2448">IF(MOD(ROW()-ROW($B$2),16)=0,INDEX($M$2:$M$1000,(ROW()-ROW($B$2))/16+1),"")</f>
        <v/>
      </c>
    </row>
    <row r="2449" spans="2:14" x14ac:dyDescent="0.3">
      <c r="B2449" t="s">
        <v>2177</v>
      </c>
      <c r="C2449" t="s">
        <v>4846</v>
      </c>
      <c r="D2449" t="s">
        <v>4847</v>
      </c>
      <c r="E2449">
        <v>0</v>
      </c>
      <c r="F2449" t="s">
        <v>4847</v>
      </c>
      <c r="N2449" t="str" cm="1">
        <f t="array" ref="N2449">IF(MOD(ROW()-ROW($B$2),16)=0,INDEX($M$2:$M$1000,(ROW()-ROW($B$2))/16+1),"")</f>
        <v/>
      </c>
    </row>
    <row r="2450" spans="2:14" x14ac:dyDescent="0.3">
      <c r="B2450" t="s">
        <v>2177</v>
      </c>
      <c r="C2450" t="s">
        <v>4848</v>
      </c>
      <c r="D2450" t="s">
        <v>4849</v>
      </c>
      <c r="E2450">
        <v>0</v>
      </c>
      <c r="F2450" t="s">
        <v>4849</v>
      </c>
      <c r="N2450" t="str" cm="1">
        <f t="array" ref="N2450">IF(MOD(ROW()-ROW($B$2),16)=0,INDEX($M$2:$M$1000,(ROW()-ROW($B$2))/16+1),"")</f>
        <v>MULNULL (0)</v>
      </c>
    </row>
    <row r="2451" spans="2:14" x14ac:dyDescent="0.3">
      <c r="B2451" t="s">
        <v>2177</v>
      </c>
      <c r="C2451" t="s">
        <v>4850</v>
      </c>
      <c r="D2451" t="s">
        <v>4851</v>
      </c>
      <c r="E2451">
        <v>0</v>
      </c>
      <c r="F2451" t="s">
        <v>4851</v>
      </c>
      <c r="N2451" t="str" cm="1">
        <f t="array" ref="N2451">IF(MOD(ROW()-ROW($B$2),16)=0,INDEX($M$2:$M$1000,(ROW()-ROW($B$2))/16+1),"")</f>
        <v/>
      </c>
    </row>
    <row r="2452" spans="2:14" x14ac:dyDescent="0.3">
      <c r="B2452" t="s">
        <v>2177</v>
      </c>
      <c r="C2452" t="s">
        <v>4852</v>
      </c>
      <c r="D2452" t="s">
        <v>4853</v>
      </c>
      <c r="E2452">
        <v>0</v>
      </c>
      <c r="F2452" t="s">
        <v>4853</v>
      </c>
      <c r="N2452" t="str" cm="1">
        <f t="array" ref="N2452">IF(MOD(ROW()-ROW($B$2),16)=0,INDEX($M$2:$M$1000,(ROW()-ROW($B$2))/16+1),"")</f>
        <v/>
      </c>
    </row>
    <row r="2453" spans="2:14" x14ac:dyDescent="0.3">
      <c r="B2453" t="s">
        <v>2177</v>
      </c>
      <c r="C2453" t="s">
        <v>4854</v>
      </c>
      <c r="D2453" t="s">
        <v>4855</v>
      </c>
      <c r="E2453">
        <v>0</v>
      </c>
      <c r="F2453" t="s">
        <v>4855</v>
      </c>
      <c r="N2453" t="str" cm="1">
        <f t="array" ref="N2453">IF(MOD(ROW()-ROW($B$2),16)=0,INDEX($M$2:$M$1000,(ROW()-ROW($B$2))/16+1),"")</f>
        <v/>
      </c>
    </row>
    <row r="2454" spans="2:14" x14ac:dyDescent="0.3">
      <c r="B2454" t="s">
        <v>2177</v>
      </c>
      <c r="C2454" t="s">
        <v>4856</v>
      </c>
      <c r="D2454" t="s">
        <v>4857</v>
      </c>
      <c r="E2454">
        <v>0</v>
      </c>
      <c r="F2454" t="s">
        <v>4857</v>
      </c>
      <c r="N2454" t="str" cm="1">
        <f t="array" ref="N2454">IF(MOD(ROW()-ROW($B$2),16)=0,INDEX($M$2:$M$1000,(ROW()-ROW($B$2))/16+1),"")</f>
        <v/>
      </c>
    </row>
    <row r="2455" spans="2:14" x14ac:dyDescent="0.3">
      <c r="B2455" t="s">
        <v>2177</v>
      </c>
      <c r="C2455" t="s">
        <v>4858</v>
      </c>
      <c r="D2455" t="s">
        <v>4859</v>
      </c>
      <c r="E2455">
        <v>0</v>
      </c>
      <c r="F2455" t="s">
        <v>4859</v>
      </c>
      <c r="N2455" t="str" cm="1">
        <f t="array" ref="N2455">IF(MOD(ROW()-ROW($B$2),16)=0,INDEX($M$2:$M$1000,(ROW()-ROW($B$2))/16+1),"")</f>
        <v/>
      </c>
    </row>
    <row r="2456" spans="2:14" x14ac:dyDescent="0.3">
      <c r="B2456" t="s">
        <v>2177</v>
      </c>
      <c r="C2456" t="s">
        <v>4860</v>
      </c>
      <c r="D2456" t="s">
        <v>4861</v>
      </c>
      <c r="E2456">
        <v>0</v>
      </c>
      <c r="F2456" t="s">
        <v>4861</v>
      </c>
      <c r="N2456" t="str" cm="1">
        <f t="array" ref="N2456">IF(MOD(ROW()-ROW($B$2),16)=0,INDEX($M$2:$M$1000,(ROW()-ROW($B$2))/16+1),"")</f>
        <v/>
      </c>
    </row>
    <row r="2457" spans="2:14" x14ac:dyDescent="0.3">
      <c r="B2457" t="s">
        <v>2177</v>
      </c>
      <c r="C2457" t="s">
        <v>4862</v>
      </c>
      <c r="D2457" t="s">
        <v>4863</v>
      </c>
      <c r="E2457">
        <v>0</v>
      </c>
      <c r="F2457" t="s">
        <v>4863</v>
      </c>
      <c r="N2457" t="str" cm="1">
        <f t="array" ref="N2457">IF(MOD(ROW()-ROW($B$2),16)=0,INDEX($M$2:$M$1000,(ROW()-ROW($B$2))/16+1),"")</f>
        <v/>
      </c>
    </row>
    <row r="2458" spans="2:14" x14ac:dyDescent="0.3">
      <c r="B2458" t="s">
        <v>2177</v>
      </c>
      <c r="C2458" t="s">
        <v>4864</v>
      </c>
      <c r="D2458" t="s">
        <v>4865</v>
      </c>
      <c r="E2458">
        <v>0</v>
      </c>
      <c r="F2458" t="s">
        <v>4865</v>
      </c>
      <c r="N2458" t="str" cm="1">
        <f t="array" ref="N2458">IF(MOD(ROW()-ROW($B$2),16)=0,INDEX($M$2:$M$1000,(ROW()-ROW($B$2))/16+1),"")</f>
        <v/>
      </c>
    </row>
    <row r="2459" spans="2:14" x14ac:dyDescent="0.3">
      <c r="B2459" t="s">
        <v>2177</v>
      </c>
      <c r="C2459" t="s">
        <v>4866</v>
      </c>
      <c r="D2459" t="s">
        <v>4867</v>
      </c>
      <c r="E2459">
        <v>0</v>
      </c>
      <c r="F2459" t="s">
        <v>4867</v>
      </c>
      <c r="N2459" t="str" cm="1">
        <f t="array" ref="N2459">IF(MOD(ROW()-ROW($B$2),16)=0,INDEX($M$2:$M$1000,(ROW()-ROW($B$2))/16+1),"")</f>
        <v/>
      </c>
    </row>
    <row r="2460" spans="2:14" x14ac:dyDescent="0.3">
      <c r="B2460" t="s">
        <v>2177</v>
      </c>
      <c r="C2460" t="s">
        <v>4868</v>
      </c>
      <c r="D2460" t="s">
        <v>4869</v>
      </c>
      <c r="E2460">
        <v>0</v>
      </c>
      <c r="F2460" t="s">
        <v>4869</v>
      </c>
      <c r="N2460" t="str" cm="1">
        <f t="array" ref="N2460">IF(MOD(ROW()-ROW($B$2),16)=0,INDEX($M$2:$M$1000,(ROW()-ROW($B$2))/16+1),"")</f>
        <v/>
      </c>
    </row>
    <row r="2461" spans="2:14" x14ac:dyDescent="0.3">
      <c r="B2461" t="s">
        <v>2177</v>
      </c>
      <c r="C2461" t="s">
        <v>4870</v>
      </c>
      <c r="D2461" t="s">
        <v>4871</v>
      </c>
      <c r="E2461">
        <v>0</v>
      </c>
      <c r="F2461" t="s">
        <v>4871</v>
      </c>
      <c r="N2461" t="str" cm="1">
        <f t="array" ref="N2461">IF(MOD(ROW()-ROW($B$2),16)=0,INDEX($M$2:$M$1000,(ROW()-ROW($B$2))/16+1),"")</f>
        <v/>
      </c>
    </row>
    <row r="2462" spans="2:14" x14ac:dyDescent="0.3">
      <c r="B2462" t="s">
        <v>2177</v>
      </c>
      <c r="C2462" t="s">
        <v>4872</v>
      </c>
      <c r="D2462" t="s">
        <v>4873</v>
      </c>
      <c r="E2462">
        <v>0</v>
      </c>
      <c r="F2462" t="s">
        <v>4873</v>
      </c>
      <c r="N2462" t="str" cm="1">
        <f t="array" ref="N2462">IF(MOD(ROW()-ROW($B$2),16)=0,INDEX($M$2:$M$1000,(ROW()-ROW($B$2))/16+1),"")</f>
        <v/>
      </c>
    </row>
    <row r="2463" spans="2:14" x14ac:dyDescent="0.3">
      <c r="B2463" t="s">
        <v>2177</v>
      </c>
      <c r="C2463" t="s">
        <v>4874</v>
      </c>
      <c r="D2463" t="s">
        <v>4875</v>
      </c>
      <c r="E2463">
        <v>0</v>
      </c>
      <c r="F2463" t="s">
        <v>4875</v>
      </c>
      <c r="N2463" t="str" cm="1">
        <f t="array" ref="N2463">IF(MOD(ROW()-ROW($B$2),16)=0,INDEX($M$2:$M$1000,(ROW()-ROW($B$2))/16+1),"")</f>
        <v/>
      </c>
    </row>
    <row r="2464" spans="2:14" x14ac:dyDescent="0.3">
      <c r="B2464" t="s">
        <v>2177</v>
      </c>
      <c r="C2464" t="s">
        <v>4876</v>
      </c>
      <c r="D2464" t="s">
        <v>4877</v>
      </c>
      <c r="E2464">
        <v>0</v>
      </c>
      <c r="F2464" t="s">
        <v>4877</v>
      </c>
      <c r="N2464" t="str" cm="1">
        <f t="array" ref="N2464">IF(MOD(ROW()-ROW($B$2),16)=0,INDEX($M$2:$M$1000,(ROW()-ROW($B$2))/16+1),"")</f>
        <v/>
      </c>
    </row>
    <row r="2465" spans="2:14" x14ac:dyDescent="0.3">
      <c r="B2465" t="s">
        <v>2177</v>
      </c>
      <c r="C2465" t="s">
        <v>4878</v>
      </c>
      <c r="D2465" t="s">
        <v>4879</v>
      </c>
      <c r="E2465">
        <v>0</v>
      </c>
      <c r="F2465" t="s">
        <v>4879</v>
      </c>
      <c r="N2465" t="str" cm="1">
        <f t="array" ref="N2465">IF(MOD(ROW()-ROW($B$2),16)=0,INDEX($M$2:$M$1000,(ROW()-ROW($B$2))/16+1),"")</f>
        <v/>
      </c>
    </row>
    <row r="2466" spans="2:14" x14ac:dyDescent="0.3">
      <c r="B2466" t="s">
        <v>2177</v>
      </c>
      <c r="C2466" t="s">
        <v>4880</v>
      </c>
      <c r="D2466" t="s">
        <v>4881</v>
      </c>
      <c r="E2466">
        <v>0</v>
      </c>
      <c r="F2466" t="s">
        <v>4881</v>
      </c>
      <c r="N2466" t="str" cm="1">
        <f t="array" ref="N2466">IF(MOD(ROW()-ROW($B$2),16)=0,INDEX($M$2:$M$1000,(ROW()-ROW($B$2))/16+1),"")</f>
        <v>MULNULL (0)</v>
      </c>
    </row>
    <row r="2467" spans="2:14" x14ac:dyDescent="0.3">
      <c r="B2467" t="s">
        <v>2177</v>
      </c>
      <c r="C2467" t="s">
        <v>4882</v>
      </c>
      <c r="D2467" t="s">
        <v>4883</v>
      </c>
      <c r="E2467">
        <v>0</v>
      </c>
      <c r="F2467" t="s">
        <v>4883</v>
      </c>
      <c r="N2467" t="str" cm="1">
        <f t="array" ref="N2467">IF(MOD(ROW()-ROW($B$2),16)=0,INDEX($M$2:$M$1000,(ROW()-ROW($B$2))/16+1),"")</f>
        <v/>
      </c>
    </row>
    <row r="2468" spans="2:14" x14ac:dyDescent="0.3">
      <c r="B2468" t="s">
        <v>2177</v>
      </c>
      <c r="C2468" t="s">
        <v>4884</v>
      </c>
      <c r="D2468" t="s">
        <v>4885</v>
      </c>
      <c r="E2468">
        <v>0</v>
      </c>
      <c r="F2468" t="s">
        <v>4885</v>
      </c>
      <c r="N2468" t="str" cm="1">
        <f t="array" ref="N2468">IF(MOD(ROW()-ROW($B$2),16)=0,INDEX($M$2:$M$1000,(ROW()-ROW($B$2))/16+1),"")</f>
        <v/>
      </c>
    </row>
    <row r="2469" spans="2:14" x14ac:dyDescent="0.3">
      <c r="B2469" t="s">
        <v>2177</v>
      </c>
      <c r="C2469" t="s">
        <v>4886</v>
      </c>
      <c r="D2469" t="s">
        <v>4887</v>
      </c>
      <c r="E2469">
        <v>0</v>
      </c>
      <c r="F2469" t="s">
        <v>4887</v>
      </c>
      <c r="N2469" t="str" cm="1">
        <f t="array" ref="N2469">IF(MOD(ROW()-ROW($B$2),16)=0,INDEX($M$2:$M$1000,(ROW()-ROW($B$2))/16+1),"")</f>
        <v/>
      </c>
    </row>
    <row r="2470" spans="2:14" x14ac:dyDescent="0.3">
      <c r="B2470" t="s">
        <v>2177</v>
      </c>
      <c r="C2470" t="s">
        <v>4888</v>
      </c>
      <c r="D2470" t="s">
        <v>4889</v>
      </c>
      <c r="E2470">
        <v>0</v>
      </c>
      <c r="F2470" t="s">
        <v>4889</v>
      </c>
      <c r="N2470" t="str" cm="1">
        <f t="array" ref="N2470">IF(MOD(ROW()-ROW($B$2),16)=0,INDEX($M$2:$M$1000,(ROW()-ROW($B$2))/16+1),"")</f>
        <v/>
      </c>
    </row>
    <row r="2471" spans="2:14" x14ac:dyDescent="0.3">
      <c r="B2471" t="s">
        <v>2177</v>
      </c>
      <c r="C2471" t="s">
        <v>4890</v>
      </c>
      <c r="D2471" t="s">
        <v>4891</v>
      </c>
      <c r="E2471">
        <v>0</v>
      </c>
      <c r="F2471" t="s">
        <v>4891</v>
      </c>
      <c r="N2471" t="str" cm="1">
        <f t="array" ref="N2471">IF(MOD(ROW()-ROW($B$2),16)=0,INDEX($M$2:$M$1000,(ROW()-ROW($B$2))/16+1),"")</f>
        <v/>
      </c>
    </row>
    <row r="2472" spans="2:14" x14ac:dyDescent="0.3">
      <c r="B2472" t="s">
        <v>2177</v>
      </c>
      <c r="C2472" t="s">
        <v>4892</v>
      </c>
      <c r="D2472" t="s">
        <v>4893</v>
      </c>
      <c r="E2472">
        <v>0</v>
      </c>
      <c r="F2472" t="s">
        <v>4893</v>
      </c>
      <c r="N2472" t="str" cm="1">
        <f t="array" ref="N2472">IF(MOD(ROW()-ROW($B$2),16)=0,INDEX($M$2:$M$1000,(ROW()-ROW($B$2))/16+1),"")</f>
        <v/>
      </c>
    </row>
    <row r="2473" spans="2:14" x14ac:dyDescent="0.3">
      <c r="B2473" t="s">
        <v>2177</v>
      </c>
      <c r="C2473" t="s">
        <v>4894</v>
      </c>
      <c r="D2473" t="s">
        <v>4895</v>
      </c>
      <c r="E2473">
        <v>0</v>
      </c>
      <c r="F2473" t="s">
        <v>4895</v>
      </c>
      <c r="N2473" t="str" cm="1">
        <f t="array" ref="N2473">IF(MOD(ROW()-ROW($B$2),16)=0,INDEX($M$2:$M$1000,(ROW()-ROW($B$2))/16+1),"")</f>
        <v/>
      </c>
    </row>
    <row r="2474" spans="2:14" x14ac:dyDescent="0.3">
      <c r="B2474" t="s">
        <v>2177</v>
      </c>
      <c r="C2474" t="s">
        <v>4896</v>
      </c>
      <c r="D2474" t="s">
        <v>4897</v>
      </c>
      <c r="E2474">
        <v>0</v>
      </c>
      <c r="F2474" t="s">
        <v>4897</v>
      </c>
      <c r="N2474" t="str" cm="1">
        <f t="array" ref="N2474">IF(MOD(ROW()-ROW($B$2),16)=0,INDEX($M$2:$M$1000,(ROW()-ROW($B$2))/16+1),"")</f>
        <v/>
      </c>
    </row>
    <row r="2475" spans="2:14" x14ac:dyDescent="0.3">
      <c r="B2475" t="s">
        <v>2177</v>
      </c>
      <c r="C2475" t="s">
        <v>4898</v>
      </c>
      <c r="D2475" t="s">
        <v>4899</v>
      </c>
      <c r="E2475">
        <v>0</v>
      </c>
      <c r="F2475" t="s">
        <v>4899</v>
      </c>
      <c r="N2475" t="str" cm="1">
        <f t="array" ref="N2475">IF(MOD(ROW()-ROW($B$2),16)=0,INDEX($M$2:$M$1000,(ROW()-ROW($B$2))/16+1),"")</f>
        <v/>
      </c>
    </row>
    <row r="2476" spans="2:14" x14ac:dyDescent="0.3">
      <c r="B2476" t="s">
        <v>2177</v>
      </c>
      <c r="C2476" t="s">
        <v>4900</v>
      </c>
      <c r="D2476" t="s">
        <v>4901</v>
      </c>
      <c r="E2476">
        <v>0</v>
      </c>
      <c r="F2476" t="s">
        <v>4901</v>
      </c>
      <c r="N2476" t="str" cm="1">
        <f t="array" ref="N2476">IF(MOD(ROW()-ROW($B$2),16)=0,INDEX($M$2:$M$1000,(ROW()-ROW($B$2))/16+1),"")</f>
        <v/>
      </c>
    </row>
    <row r="2477" spans="2:14" x14ac:dyDescent="0.3">
      <c r="B2477" t="s">
        <v>2177</v>
      </c>
      <c r="C2477" t="s">
        <v>385</v>
      </c>
      <c r="D2477" t="s">
        <v>4902</v>
      </c>
      <c r="E2477">
        <v>0</v>
      </c>
      <c r="F2477" t="s">
        <v>4902</v>
      </c>
      <c r="N2477" t="str" cm="1">
        <f t="array" ref="N2477">IF(MOD(ROW()-ROW($B$2),16)=0,INDEX($M$2:$M$1000,(ROW()-ROW($B$2))/16+1),"")</f>
        <v/>
      </c>
    </row>
    <row r="2478" spans="2:14" x14ac:dyDescent="0.3">
      <c r="B2478" t="s">
        <v>2177</v>
      </c>
      <c r="C2478" t="s">
        <v>4903</v>
      </c>
      <c r="D2478" t="s">
        <v>4904</v>
      </c>
      <c r="E2478">
        <v>0</v>
      </c>
      <c r="F2478" t="s">
        <v>4904</v>
      </c>
      <c r="N2478" t="str" cm="1">
        <f t="array" ref="N2478">IF(MOD(ROW()-ROW($B$2),16)=0,INDEX($M$2:$M$1000,(ROW()-ROW($B$2))/16+1),"")</f>
        <v/>
      </c>
    </row>
    <row r="2479" spans="2:14" x14ac:dyDescent="0.3">
      <c r="B2479" t="s">
        <v>2177</v>
      </c>
      <c r="C2479" t="s">
        <v>4905</v>
      </c>
      <c r="D2479" t="s">
        <v>4906</v>
      </c>
      <c r="E2479">
        <v>0</v>
      </c>
      <c r="F2479" t="s">
        <v>4906</v>
      </c>
      <c r="N2479" t="str" cm="1">
        <f t="array" ref="N2479">IF(MOD(ROW()-ROW($B$2),16)=0,INDEX($M$2:$M$1000,(ROW()-ROW($B$2))/16+1),"")</f>
        <v/>
      </c>
    </row>
    <row r="2480" spans="2:14" x14ac:dyDescent="0.3">
      <c r="B2480" t="s">
        <v>2177</v>
      </c>
      <c r="C2480" t="s">
        <v>4907</v>
      </c>
      <c r="D2480" t="s">
        <v>4908</v>
      </c>
      <c r="E2480">
        <v>0</v>
      </c>
      <c r="F2480" t="s">
        <v>4908</v>
      </c>
      <c r="N2480" t="str" cm="1">
        <f t="array" ref="N2480">IF(MOD(ROW()-ROW($B$2),16)=0,INDEX($M$2:$M$1000,(ROW()-ROW($B$2))/16+1),"")</f>
        <v/>
      </c>
    </row>
    <row r="2481" spans="2:14" x14ac:dyDescent="0.3">
      <c r="B2481" t="s">
        <v>2177</v>
      </c>
      <c r="C2481" t="s">
        <v>4909</v>
      </c>
      <c r="D2481" t="s">
        <v>4910</v>
      </c>
      <c r="E2481">
        <v>0</v>
      </c>
      <c r="F2481" t="s">
        <v>4910</v>
      </c>
      <c r="N2481" t="str" cm="1">
        <f t="array" ref="N2481">IF(MOD(ROW()-ROW($B$2),16)=0,INDEX($M$2:$M$1000,(ROW()-ROW($B$2))/16+1),"")</f>
        <v/>
      </c>
    </row>
    <row r="2482" spans="2:14" x14ac:dyDescent="0.3">
      <c r="B2482" t="s">
        <v>2177</v>
      </c>
      <c r="C2482" t="s">
        <v>4911</v>
      </c>
      <c r="D2482" t="s">
        <v>4912</v>
      </c>
      <c r="E2482">
        <v>0</v>
      </c>
      <c r="F2482" t="s">
        <v>4912</v>
      </c>
      <c r="N2482" t="str" cm="1">
        <f t="array" ref="N2482">IF(MOD(ROW()-ROW($B$2),16)=0,INDEX($M$2:$M$1000,(ROW()-ROW($B$2))/16+1),"")</f>
        <v>Номер кнопки на странице списка заданий (0)</v>
      </c>
    </row>
    <row r="2483" spans="2:14" x14ac:dyDescent="0.3">
      <c r="B2483" t="s">
        <v>2177</v>
      </c>
      <c r="C2483" t="s">
        <v>4913</v>
      </c>
      <c r="D2483" t="s">
        <v>4914</v>
      </c>
      <c r="E2483">
        <v>0</v>
      </c>
      <c r="F2483" t="s">
        <v>4914</v>
      </c>
      <c r="N2483" t="str" cm="1">
        <f t="array" ref="N2483">IF(MOD(ROW()-ROW($B$2),16)=0,INDEX($M$2:$M$1000,(ROW()-ROW($B$2))/16+1),"")</f>
        <v/>
      </c>
    </row>
    <row r="2484" spans="2:14" x14ac:dyDescent="0.3">
      <c r="B2484" t="s">
        <v>2177</v>
      </c>
      <c r="C2484" t="s">
        <v>4915</v>
      </c>
      <c r="D2484" t="s">
        <v>4916</v>
      </c>
      <c r="E2484">
        <v>0</v>
      </c>
      <c r="F2484" t="s">
        <v>4916</v>
      </c>
      <c r="N2484" t="str" cm="1">
        <f t="array" ref="N2484">IF(MOD(ROW()-ROW($B$2),16)=0,INDEX($M$2:$M$1000,(ROW()-ROW($B$2))/16+1),"")</f>
        <v/>
      </c>
    </row>
    <row r="2485" spans="2:14" x14ac:dyDescent="0.3">
      <c r="B2485" t="s">
        <v>2177</v>
      </c>
      <c r="C2485" t="s">
        <v>388</v>
      </c>
      <c r="D2485" t="s">
        <v>4917</v>
      </c>
      <c r="E2485">
        <v>0</v>
      </c>
      <c r="F2485" t="s">
        <v>4917</v>
      </c>
      <c r="N2485" t="str" cm="1">
        <f t="array" ref="N2485">IF(MOD(ROW()-ROW($B$2),16)=0,INDEX($M$2:$M$1000,(ROW()-ROW($B$2))/16+1),"")</f>
        <v/>
      </c>
    </row>
    <row r="2486" spans="2:14" x14ac:dyDescent="0.3">
      <c r="B2486" t="s">
        <v>2177</v>
      </c>
      <c r="C2486" t="s">
        <v>4918</v>
      </c>
      <c r="D2486" t="s">
        <v>4919</v>
      </c>
      <c r="E2486">
        <v>0</v>
      </c>
      <c r="F2486" t="s">
        <v>4919</v>
      </c>
      <c r="N2486" t="str" cm="1">
        <f t="array" ref="N2486">IF(MOD(ROW()-ROW($B$2),16)=0,INDEX($M$2:$M$1000,(ROW()-ROW($B$2))/16+1),"")</f>
        <v/>
      </c>
    </row>
    <row r="2487" spans="2:14" x14ac:dyDescent="0.3">
      <c r="B2487" t="s">
        <v>2177</v>
      </c>
      <c r="C2487" t="s">
        <v>4920</v>
      </c>
      <c r="D2487" t="s">
        <v>4921</v>
      </c>
      <c r="E2487">
        <v>0</v>
      </c>
      <c r="F2487" t="s">
        <v>4921</v>
      </c>
      <c r="N2487" t="str" cm="1">
        <f t="array" ref="N2487">IF(MOD(ROW()-ROW($B$2),16)=0,INDEX($M$2:$M$1000,(ROW()-ROW($B$2))/16+1),"")</f>
        <v/>
      </c>
    </row>
    <row r="2488" spans="2:14" x14ac:dyDescent="0.3">
      <c r="B2488" t="s">
        <v>2177</v>
      </c>
      <c r="C2488" t="s">
        <v>4922</v>
      </c>
      <c r="D2488" t="s">
        <v>4923</v>
      </c>
      <c r="E2488">
        <v>0</v>
      </c>
      <c r="F2488" t="s">
        <v>4923</v>
      </c>
      <c r="N2488" t="str" cm="1">
        <f t="array" ref="N2488">IF(MOD(ROW()-ROW($B$2),16)=0,INDEX($M$2:$M$1000,(ROW()-ROW($B$2))/16+1),"")</f>
        <v/>
      </c>
    </row>
    <row r="2489" spans="2:14" x14ac:dyDescent="0.3">
      <c r="B2489" t="s">
        <v>2177</v>
      </c>
      <c r="C2489" t="s">
        <v>4924</v>
      </c>
      <c r="D2489" t="s">
        <v>4925</v>
      </c>
      <c r="E2489">
        <v>0</v>
      </c>
      <c r="F2489" t="s">
        <v>4925</v>
      </c>
      <c r="N2489" t="str" cm="1">
        <f t="array" ref="N2489">IF(MOD(ROW()-ROW($B$2),16)=0,INDEX($M$2:$M$1000,(ROW()-ROW($B$2))/16+1),"")</f>
        <v/>
      </c>
    </row>
    <row r="2490" spans="2:14" x14ac:dyDescent="0.3">
      <c r="B2490" t="s">
        <v>2177</v>
      </c>
      <c r="C2490" t="s">
        <v>4926</v>
      </c>
      <c r="D2490" t="s">
        <v>4927</v>
      </c>
      <c r="E2490">
        <v>0</v>
      </c>
      <c r="F2490" t="s">
        <v>4927</v>
      </c>
      <c r="N2490" t="str" cm="1">
        <f t="array" ref="N2490">IF(MOD(ROW()-ROW($B$2),16)=0,INDEX($M$2:$M$1000,(ROW()-ROW($B$2))/16+1),"")</f>
        <v/>
      </c>
    </row>
    <row r="2491" spans="2:14" x14ac:dyDescent="0.3">
      <c r="B2491" t="s">
        <v>2177</v>
      </c>
      <c r="C2491" t="s">
        <v>4928</v>
      </c>
      <c r="D2491" t="s">
        <v>4929</v>
      </c>
      <c r="E2491">
        <v>0</v>
      </c>
      <c r="F2491" t="s">
        <v>4929</v>
      </c>
      <c r="N2491" t="str" cm="1">
        <f t="array" ref="N2491">IF(MOD(ROW()-ROW($B$2),16)=0,INDEX($M$2:$M$1000,(ROW()-ROW($B$2))/16+1),"")</f>
        <v/>
      </c>
    </row>
    <row r="2492" spans="2:14" x14ac:dyDescent="0.3">
      <c r="B2492" t="s">
        <v>2177</v>
      </c>
      <c r="C2492" t="s">
        <v>4930</v>
      </c>
      <c r="D2492" t="s">
        <v>4931</v>
      </c>
      <c r="E2492">
        <v>0</v>
      </c>
      <c r="F2492" t="s">
        <v>4931</v>
      </c>
      <c r="N2492" t="str" cm="1">
        <f t="array" ref="N2492">IF(MOD(ROW()-ROW($B$2),16)=0,INDEX($M$2:$M$1000,(ROW()-ROW($B$2))/16+1),"")</f>
        <v/>
      </c>
    </row>
    <row r="2493" spans="2:14" x14ac:dyDescent="0.3">
      <c r="B2493" t="s">
        <v>2177</v>
      </c>
      <c r="C2493" t="s">
        <v>389</v>
      </c>
      <c r="D2493" t="s">
        <v>4932</v>
      </c>
      <c r="E2493">
        <v>0</v>
      </c>
      <c r="F2493" t="s">
        <v>4932</v>
      </c>
      <c r="N2493" t="str" cm="1">
        <f t="array" ref="N2493">IF(MOD(ROW()-ROW($B$2),16)=0,INDEX($M$2:$M$1000,(ROW()-ROW($B$2))/16+1),"")</f>
        <v/>
      </c>
    </row>
    <row r="2494" spans="2:14" x14ac:dyDescent="0.3">
      <c r="B2494" t="s">
        <v>2177</v>
      </c>
      <c r="C2494" t="s">
        <v>4933</v>
      </c>
      <c r="D2494" t="s">
        <v>4934</v>
      </c>
      <c r="E2494">
        <v>0</v>
      </c>
      <c r="F2494" t="s">
        <v>4934</v>
      </c>
      <c r="N2494" t="str" cm="1">
        <f t="array" ref="N2494">IF(MOD(ROW()-ROW($B$2),16)=0,INDEX($M$2:$M$1000,(ROW()-ROW($B$2))/16+1),"")</f>
        <v/>
      </c>
    </row>
    <row r="2495" spans="2:14" x14ac:dyDescent="0.3">
      <c r="B2495" t="s">
        <v>2177</v>
      </c>
      <c r="C2495" t="s">
        <v>4935</v>
      </c>
      <c r="D2495" t="s">
        <v>4936</v>
      </c>
      <c r="E2495">
        <v>0</v>
      </c>
      <c r="F2495" t="s">
        <v>4936</v>
      </c>
      <c r="N2495" t="str" cm="1">
        <f t="array" ref="N2495">IF(MOD(ROW()-ROW($B$2),16)=0,INDEX($M$2:$M$1000,(ROW()-ROW($B$2))/16+1),"")</f>
        <v/>
      </c>
    </row>
    <row r="2496" spans="2:14" x14ac:dyDescent="0.3">
      <c r="B2496" t="s">
        <v>2177</v>
      </c>
      <c r="C2496" t="s">
        <v>4937</v>
      </c>
      <c r="D2496" t="s">
        <v>4938</v>
      </c>
      <c r="E2496">
        <v>0</v>
      </c>
      <c r="F2496" t="s">
        <v>4938</v>
      </c>
      <c r="N2496" t="str" cm="1">
        <f t="array" ref="N2496">IF(MOD(ROW()-ROW($B$2),16)=0,INDEX($M$2:$M$1000,(ROW()-ROW($B$2))/16+1),"")</f>
        <v/>
      </c>
    </row>
    <row r="2497" spans="2:14" x14ac:dyDescent="0.3">
      <c r="B2497" t="s">
        <v>2177</v>
      </c>
      <c r="C2497" t="s">
        <v>4939</v>
      </c>
      <c r="D2497" t="s">
        <v>4940</v>
      </c>
      <c r="E2497">
        <v>0</v>
      </c>
      <c r="F2497" t="s">
        <v>4940</v>
      </c>
      <c r="N2497" t="str" cm="1">
        <f t="array" ref="N2497">IF(MOD(ROW()-ROW($B$2),16)=0,INDEX($M$2:$M$1000,(ROW()-ROW($B$2))/16+1),"")</f>
        <v/>
      </c>
    </row>
    <row r="2498" spans="2:14" x14ac:dyDescent="0.3">
      <c r="B2498" t="s">
        <v>2177</v>
      </c>
      <c r="C2498" t="s">
        <v>4941</v>
      </c>
      <c r="D2498" t="s">
        <v>4942</v>
      </c>
      <c r="E2498">
        <v>0</v>
      </c>
      <c r="F2498" t="s">
        <v>4942</v>
      </c>
      <c r="N2498" t="str" cm="1">
        <f t="array" ref="N2498">IF(MOD(ROW()-ROW($B$2),16)=0,INDEX($M$2:$M$1000,(ROW()-ROW($B$2))/16+1),"")</f>
        <v>Номер редактируемого задания (0)</v>
      </c>
    </row>
    <row r="2499" spans="2:14" x14ac:dyDescent="0.3">
      <c r="B2499" t="s">
        <v>2177</v>
      </c>
      <c r="C2499" t="s">
        <v>4943</v>
      </c>
      <c r="D2499" t="s">
        <v>4944</v>
      </c>
      <c r="E2499">
        <v>0</v>
      </c>
      <c r="F2499" t="s">
        <v>4944</v>
      </c>
      <c r="N2499" t="str" cm="1">
        <f t="array" ref="N2499">IF(MOD(ROW()-ROW($B$2),16)=0,INDEX($M$2:$M$1000,(ROW()-ROW($B$2))/16+1),"")</f>
        <v/>
      </c>
    </row>
    <row r="2500" spans="2:14" x14ac:dyDescent="0.3">
      <c r="B2500" t="s">
        <v>2177</v>
      </c>
      <c r="C2500" t="s">
        <v>4945</v>
      </c>
      <c r="D2500" t="s">
        <v>4946</v>
      </c>
      <c r="E2500">
        <v>0</v>
      </c>
      <c r="F2500" t="s">
        <v>4946</v>
      </c>
      <c r="N2500" t="str" cm="1">
        <f t="array" ref="N2500">IF(MOD(ROW()-ROW($B$2),16)=0,INDEX($M$2:$M$1000,(ROW()-ROW($B$2))/16+1),"")</f>
        <v/>
      </c>
    </row>
    <row r="2501" spans="2:14" x14ac:dyDescent="0.3">
      <c r="B2501" t="s">
        <v>2177</v>
      </c>
      <c r="C2501" t="s">
        <v>394</v>
      </c>
      <c r="D2501" t="s">
        <v>4947</v>
      </c>
      <c r="E2501">
        <v>0</v>
      </c>
      <c r="F2501" t="s">
        <v>4947</v>
      </c>
      <c r="N2501" t="str" cm="1">
        <f t="array" ref="N2501">IF(MOD(ROW()-ROW($B$2),16)=0,INDEX($M$2:$M$1000,(ROW()-ROW($B$2))/16+1),"")</f>
        <v/>
      </c>
    </row>
    <row r="2502" spans="2:14" x14ac:dyDescent="0.3">
      <c r="B2502" t="s">
        <v>2177</v>
      </c>
      <c r="C2502" t="s">
        <v>4948</v>
      </c>
      <c r="D2502" t="s">
        <v>4949</v>
      </c>
      <c r="E2502">
        <v>0</v>
      </c>
      <c r="F2502" t="s">
        <v>4949</v>
      </c>
      <c r="N2502" t="str" cm="1">
        <f t="array" ref="N2502">IF(MOD(ROW()-ROW($B$2),16)=0,INDEX($M$2:$M$1000,(ROW()-ROW($B$2))/16+1),"")</f>
        <v/>
      </c>
    </row>
    <row r="2503" spans="2:14" x14ac:dyDescent="0.3">
      <c r="B2503" t="s">
        <v>2177</v>
      </c>
      <c r="C2503" t="s">
        <v>4950</v>
      </c>
      <c r="D2503" t="s">
        <v>4951</v>
      </c>
      <c r="E2503">
        <v>0</v>
      </c>
      <c r="F2503" t="s">
        <v>4951</v>
      </c>
      <c r="N2503" t="str" cm="1">
        <f t="array" ref="N2503">IF(MOD(ROW()-ROW($B$2),16)=0,INDEX($M$2:$M$1000,(ROW()-ROW($B$2))/16+1),"")</f>
        <v/>
      </c>
    </row>
    <row r="2504" spans="2:14" x14ac:dyDescent="0.3">
      <c r="B2504" t="s">
        <v>2177</v>
      </c>
      <c r="C2504" t="s">
        <v>4952</v>
      </c>
      <c r="D2504" t="s">
        <v>4953</v>
      </c>
      <c r="E2504">
        <v>0</v>
      </c>
      <c r="F2504" t="s">
        <v>4953</v>
      </c>
      <c r="N2504" t="str" cm="1">
        <f t="array" ref="N2504">IF(MOD(ROW()-ROW($B$2),16)=0,INDEX($M$2:$M$1000,(ROW()-ROW($B$2))/16+1),"")</f>
        <v/>
      </c>
    </row>
    <row r="2505" spans="2:14" x14ac:dyDescent="0.3">
      <c r="B2505" t="s">
        <v>2177</v>
      </c>
      <c r="C2505" t="s">
        <v>4954</v>
      </c>
      <c r="D2505" t="s">
        <v>4955</v>
      </c>
      <c r="E2505">
        <v>0</v>
      </c>
      <c r="F2505" t="s">
        <v>4955</v>
      </c>
      <c r="N2505" t="str" cm="1">
        <f t="array" ref="N2505">IF(MOD(ROW()-ROW($B$2),16)=0,INDEX($M$2:$M$1000,(ROW()-ROW($B$2))/16+1),"")</f>
        <v/>
      </c>
    </row>
    <row r="2506" spans="2:14" x14ac:dyDescent="0.3">
      <c r="B2506" t="s">
        <v>2177</v>
      </c>
      <c r="C2506" t="s">
        <v>4956</v>
      </c>
      <c r="D2506" t="s">
        <v>4957</v>
      </c>
      <c r="E2506">
        <v>0</v>
      </c>
      <c r="F2506" t="s">
        <v>4957</v>
      </c>
      <c r="N2506" t="str" cm="1">
        <f t="array" ref="N2506">IF(MOD(ROW()-ROW($B$2),16)=0,INDEX($M$2:$M$1000,(ROW()-ROW($B$2))/16+1),"")</f>
        <v/>
      </c>
    </row>
    <row r="2507" spans="2:14" x14ac:dyDescent="0.3">
      <c r="B2507" t="s">
        <v>2177</v>
      </c>
      <c r="C2507" t="s">
        <v>4958</v>
      </c>
      <c r="D2507" t="s">
        <v>4959</v>
      </c>
      <c r="E2507">
        <v>0</v>
      </c>
      <c r="F2507" t="s">
        <v>4959</v>
      </c>
      <c r="N2507" t="str" cm="1">
        <f t="array" ref="N2507">IF(MOD(ROW()-ROW($B$2),16)=0,INDEX($M$2:$M$1000,(ROW()-ROW($B$2))/16+1),"")</f>
        <v/>
      </c>
    </row>
    <row r="2508" spans="2:14" x14ac:dyDescent="0.3">
      <c r="B2508" t="s">
        <v>2177</v>
      </c>
      <c r="C2508" t="s">
        <v>4960</v>
      </c>
      <c r="D2508" t="s">
        <v>4961</v>
      </c>
      <c r="E2508">
        <v>0</v>
      </c>
      <c r="F2508" t="s">
        <v>4961</v>
      </c>
      <c r="N2508" t="str" cm="1">
        <f t="array" ref="N2508">IF(MOD(ROW()-ROW($B$2),16)=0,INDEX($M$2:$M$1000,(ROW()-ROW($B$2))/16+1),"")</f>
        <v/>
      </c>
    </row>
    <row r="2509" spans="2:14" x14ac:dyDescent="0.3">
      <c r="B2509" t="s">
        <v>2177</v>
      </c>
      <c r="C2509" t="s">
        <v>395</v>
      </c>
      <c r="D2509" t="s">
        <v>4962</v>
      </c>
      <c r="E2509">
        <v>0</v>
      </c>
      <c r="F2509" t="s">
        <v>4962</v>
      </c>
      <c r="N2509" t="str" cm="1">
        <f t="array" ref="N2509">IF(MOD(ROW()-ROW($B$2),16)=0,INDEX($M$2:$M$1000,(ROW()-ROW($B$2))/16+1),"")</f>
        <v/>
      </c>
    </row>
    <row r="2510" spans="2:14" x14ac:dyDescent="0.3">
      <c r="B2510" t="s">
        <v>2177</v>
      </c>
      <c r="C2510" t="s">
        <v>4963</v>
      </c>
      <c r="D2510" t="s">
        <v>4964</v>
      </c>
      <c r="E2510">
        <v>0</v>
      </c>
      <c r="F2510" t="s">
        <v>4964</v>
      </c>
      <c r="N2510" t="str" cm="1">
        <f t="array" ref="N2510">IF(MOD(ROW()-ROW($B$2),16)=0,INDEX($M$2:$M$1000,(ROW()-ROW($B$2))/16+1),"")</f>
        <v/>
      </c>
    </row>
    <row r="2511" spans="2:14" x14ac:dyDescent="0.3">
      <c r="B2511" t="s">
        <v>2177</v>
      </c>
      <c r="C2511" t="s">
        <v>4965</v>
      </c>
      <c r="D2511" t="s">
        <v>4966</v>
      </c>
      <c r="E2511">
        <v>0</v>
      </c>
      <c r="F2511" t="s">
        <v>4966</v>
      </c>
      <c r="N2511" t="str" cm="1">
        <f t="array" ref="N2511">IF(MOD(ROW()-ROW($B$2),16)=0,INDEX($M$2:$M$1000,(ROW()-ROW($B$2))/16+1),"")</f>
        <v/>
      </c>
    </row>
    <row r="2512" spans="2:14" x14ac:dyDescent="0.3">
      <c r="B2512" t="s">
        <v>2177</v>
      </c>
      <c r="C2512" t="s">
        <v>4967</v>
      </c>
      <c r="D2512" t="s">
        <v>4968</v>
      </c>
      <c r="E2512">
        <v>0</v>
      </c>
      <c r="F2512" t="s">
        <v>4968</v>
      </c>
      <c r="N2512" t="str" cm="1">
        <f t="array" ref="N2512">IF(MOD(ROW()-ROW($B$2),16)=0,INDEX($M$2:$M$1000,(ROW()-ROW($B$2))/16+1),"")</f>
        <v/>
      </c>
    </row>
    <row r="2513" spans="2:14" x14ac:dyDescent="0.3">
      <c r="B2513" t="s">
        <v>2177</v>
      </c>
      <c r="C2513" t="s">
        <v>4969</v>
      </c>
      <c r="D2513" t="s">
        <v>4970</v>
      </c>
      <c r="E2513">
        <v>0</v>
      </c>
      <c r="F2513" t="s">
        <v>4970</v>
      </c>
      <c r="N2513" t="str" cm="1">
        <f t="array" ref="N2513">IF(MOD(ROW()-ROW($B$2),16)=0,INDEX($M$2:$M$1000,(ROW()-ROW($B$2))/16+1),"")</f>
        <v/>
      </c>
    </row>
    <row r="2514" spans="2:14" x14ac:dyDescent="0.3">
      <c r="B2514" t="s">
        <v>2177</v>
      </c>
      <c r="C2514" t="s">
        <v>4971</v>
      </c>
      <c r="D2514" t="s">
        <v>4972</v>
      </c>
      <c r="E2514">
        <v>0</v>
      </c>
      <c r="F2514" t="s">
        <v>4972</v>
      </c>
      <c r="N2514" t="str" cm="1">
        <f t="array" ref="N2514">IF(MOD(ROW()-ROW($B$2),16)=0,INDEX($M$2:$M$1000,(ROW()-ROW($B$2))/16+1),"")</f>
        <v>Счётчик страницы пластин (0)</v>
      </c>
    </row>
    <row r="2515" spans="2:14" x14ac:dyDescent="0.3">
      <c r="B2515" t="s">
        <v>2177</v>
      </c>
      <c r="C2515" t="s">
        <v>4973</v>
      </c>
      <c r="D2515" t="s">
        <v>4974</v>
      </c>
      <c r="E2515">
        <v>0</v>
      </c>
      <c r="F2515" t="s">
        <v>4974</v>
      </c>
      <c r="N2515" t="str" cm="1">
        <f t="array" ref="N2515">IF(MOD(ROW()-ROW($B$2),16)=0,INDEX($M$2:$M$1000,(ROW()-ROW($B$2))/16+1),"")</f>
        <v/>
      </c>
    </row>
    <row r="2516" spans="2:14" x14ac:dyDescent="0.3">
      <c r="B2516" t="s">
        <v>2177</v>
      </c>
      <c r="C2516" t="s">
        <v>4975</v>
      </c>
      <c r="D2516" t="s">
        <v>4976</v>
      </c>
      <c r="E2516">
        <v>0</v>
      </c>
      <c r="F2516" t="s">
        <v>4976</v>
      </c>
      <c r="N2516" t="str" cm="1">
        <f t="array" ref="N2516">IF(MOD(ROW()-ROW($B$2),16)=0,INDEX($M$2:$M$1000,(ROW()-ROW($B$2))/16+1),"")</f>
        <v/>
      </c>
    </row>
    <row r="2517" spans="2:14" x14ac:dyDescent="0.3">
      <c r="B2517" t="s">
        <v>2177</v>
      </c>
      <c r="C2517" t="s">
        <v>396</v>
      </c>
      <c r="D2517" t="s">
        <v>4977</v>
      </c>
      <c r="E2517">
        <v>0</v>
      </c>
      <c r="F2517" t="s">
        <v>4977</v>
      </c>
      <c r="N2517" t="str" cm="1">
        <f t="array" ref="N2517">IF(MOD(ROW()-ROW($B$2),16)=0,INDEX($M$2:$M$1000,(ROW()-ROW($B$2))/16+1),"")</f>
        <v/>
      </c>
    </row>
    <row r="2518" spans="2:14" x14ac:dyDescent="0.3">
      <c r="B2518" t="s">
        <v>2177</v>
      </c>
      <c r="C2518" t="s">
        <v>4978</v>
      </c>
      <c r="D2518" t="s">
        <v>4979</v>
      </c>
      <c r="E2518">
        <v>0</v>
      </c>
      <c r="F2518" t="s">
        <v>4979</v>
      </c>
      <c r="N2518" t="str" cm="1">
        <f t="array" ref="N2518">IF(MOD(ROW()-ROW($B$2),16)=0,INDEX($M$2:$M$1000,(ROW()-ROW($B$2))/16+1),"")</f>
        <v/>
      </c>
    </row>
    <row r="2519" spans="2:14" x14ac:dyDescent="0.3">
      <c r="B2519" t="s">
        <v>2177</v>
      </c>
      <c r="C2519" t="s">
        <v>4980</v>
      </c>
      <c r="D2519" t="s">
        <v>4981</v>
      </c>
      <c r="E2519">
        <v>0</v>
      </c>
      <c r="F2519" t="s">
        <v>4981</v>
      </c>
      <c r="N2519" t="str" cm="1">
        <f t="array" ref="N2519">IF(MOD(ROW()-ROW($B$2),16)=0,INDEX($M$2:$M$1000,(ROW()-ROW($B$2))/16+1),"")</f>
        <v/>
      </c>
    </row>
    <row r="2520" spans="2:14" x14ac:dyDescent="0.3">
      <c r="B2520" t="s">
        <v>2177</v>
      </c>
      <c r="C2520" t="s">
        <v>4982</v>
      </c>
      <c r="D2520" t="s">
        <v>4983</v>
      </c>
      <c r="E2520">
        <v>0</v>
      </c>
      <c r="F2520" t="s">
        <v>4983</v>
      </c>
      <c r="N2520" t="str" cm="1">
        <f t="array" ref="N2520">IF(MOD(ROW()-ROW($B$2),16)=0,INDEX($M$2:$M$1000,(ROW()-ROW($B$2))/16+1),"")</f>
        <v/>
      </c>
    </row>
    <row r="2521" spans="2:14" x14ac:dyDescent="0.3">
      <c r="B2521" t="s">
        <v>2177</v>
      </c>
      <c r="C2521" t="s">
        <v>4984</v>
      </c>
      <c r="D2521" t="s">
        <v>4985</v>
      </c>
      <c r="E2521">
        <v>0</v>
      </c>
      <c r="F2521" t="s">
        <v>4985</v>
      </c>
      <c r="N2521" t="str" cm="1">
        <f t="array" ref="N2521">IF(MOD(ROW()-ROW($B$2),16)=0,INDEX($M$2:$M$1000,(ROW()-ROW($B$2))/16+1),"")</f>
        <v/>
      </c>
    </row>
    <row r="2522" spans="2:14" x14ac:dyDescent="0.3">
      <c r="B2522" t="s">
        <v>2177</v>
      </c>
      <c r="C2522" t="s">
        <v>4986</v>
      </c>
      <c r="D2522" t="s">
        <v>4987</v>
      </c>
      <c r="E2522">
        <v>0</v>
      </c>
      <c r="F2522" t="s">
        <v>4987</v>
      </c>
      <c r="N2522" t="str" cm="1">
        <f t="array" ref="N2522">IF(MOD(ROW()-ROW($B$2),16)=0,INDEX($M$2:$M$1000,(ROW()-ROW($B$2))/16+1),"")</f>
        <v/>
      </c>
    </row>
    <row r="2523" spans="2:14" x14ac:dyDescent="0.3">
      <c r="B2523" t="s">
        <v>2177</v>
      </c>
      <c r="C2523" t="s">
        <v>4988</v>
      </c>
      <c r="D2523" t="s">
        <v>4989</v>
      </c>
      <c r="E2523">
        <v>0</v>
      </c>
      <c r="F2523" t="s">
        <v>4989</v>
      </c>
      <c r="N2523" t="str" cm="1">
        <f t="array" ref="N2523">IF(MOD(ROW()-ROW($B$2),16)=0,INDEX($M$2:$M$1000,(ROW()-ROW($B$2))/16+1),"")</f>
        <v/>
      </c>
    </row>
    <row r="2524" spans="2:14" x14ac:dyDescent="0.3">
      <c r="B2524" t="s">
        <v>2177</v>
      </c>
      <c r="C2524" t="s">
        <v>4990</v>
      </c>
      <c r="D2524" t="s">
        <v>4991</v>
      </c>
      <c r="E2524">
        <v>0</v>
      </c>
      <c r="F2524" t="s">
        <v>4991</v>
      </c>
      <c r="N2524" t="str" cm="1">
        <f t="array" ref="N2524">IF(MOD(ROW()-ROW($B$2),16)=0,INDEX($M$2:$M$1000,(ROW()-ROW($B$2))/16+1),"")</f>
        <v/>
      </c>
    </row>
    <row r="2525" spans="2:14" x14ac:dyDescent="0.3">
      <c r="B2525" t="s">
        <v>2177</v>
      </c>
      <c r="C2525" t="s">
        <v>397</v>
      </c>
      <c r="D2525" t="s">
        <v>4992</v>
      </c>
      <c r="E2525">
        <v>0</v>
      </c>
      <c r="F2525" t="s">
        <v>4992</v>
      </c>
      <c r="N2525" t="str" cm="1">
        <f t="array" ref="N2525">IF(MOD(ROW()-ROW($B$2),16)=0,INDEX($M$2:$M$1000,(ROW()-ROW($B$2))/16+1),"")</f>
        <v/>
      </c>
    </row>
    <row r="2526" spans="2:14" x14ac:dyDescent="0.3">
      <c r="B2526" t="s">
        <v>2177</v>
      </c>
      <c r="C2526" t="s">
        <v>4993</v>
      </c>
      <c r="D2526" t="s">
        <v>4994</v>
      </c>
      <c r="E2526">
        <v>0</v>
      </c>
      <c r="F2526" t="s">
        <v>4994</v>
      </c>
      <c r="N2526" t="str" cm="1">
        <f t="array" ref="N2526">IF(MOD(ROW()-ROW($B$2),16)=0,INDEX($M$2:$M$1000,(ROW()-ROW($B$2))/16+1),"")</f>
        <v/>
      </c>
    </row>
    <row r="2527" spans="2:14" x14ac:dyDescent="0.3">
      <c r="B2527" t="s">
        <v>2177</v>
      </c>
      <c r="C2527" t="s">
        <v>4995</v>
      </c>
      <c r="D2527" t="s">
        <v>4996</v>
      </c>
      <c r="E2527">
        <v>0</v>
      </c>
      <c r="F2527" t="s">
        <v>4996</v>
      </c>
      <c r="N2527" t="str" cm="1">
        <f t="array" ref="N2527">IF(MOD(ROW()-ROW($B$2),16)=0,INDEX($M$2:$M$1000,(ROW()-ROW($B$2))/16+1),"")</f>
        <v/>
      </c>
    </row>
    <row r="2528" spans="2:14" x14ac:dyDescent="0.3">
      <c r="B2528" t="s">
        <v>2177</v>
      </c>
      <c r="C2528" t="s">
        <v>4997</v>
      </c>
      <c r="D2528" t="s">
        <v>4998</v>
      </c>
      <c r="E2528">
        <v>0</v>
      </c>
      <c r="F2528" t="s">
        <v>4998</v>
      </c>
      <c r="N2528" t="str" cm="1">
        <f t="array" ref="N2528">IF(MOD(ROW()-ROW($B$2),16)=0,INDEX($M$2:$M$1000,(ROW()-ROW($B$2))/16+1),"")</f>
        <v/>
      </c>
    </row>
    <row r="2529" spans="2:14" x14ac:dyDescent="0.3">
      <c r="B2529" t="s">
        <v>2177</v>
      </c>
      <c r="C2529" t="s">
        <v>4999</v>
      </c>
      <c r="D2529" t="s">
        <v>5000</v>
      </c>
      <c r="E2529">
        <v>0</v>
      </c>
      <c r="F2529" t="s">
        <v>5000</v>
      </c>
      <c r="N2529" t="str" cm="1">
        <f t="array" ref="N2529">IF(MOD(ROW()-ROW($B$2),16)=0,INDEX($M$2:$M$1000,(ROW()-ROW($B$2))/16+1),"")</f>
        <v/>
      </c>
    </row>
    <row r="2530" spans="2:14" x14ac:dyDescent="0.3">
      <c r="B2530" t="s">
        <v>2177</v>
      </c>
      <c r="C2530" t="s">
        <v>5001</v>
      </c>
      <c r="D2530" t="s">
        <v>5002</v>
      </c>
      <c r="E2530">
        <v>0</v>
      </c>
      <c r="F2530" t="s">
        <v>5002</v>
      </c>
      <c r="N2530" t="str" cm="1">
        <f t="array" ref="N2530">IF(MOD(ROW()-ROW($B$2),16)=0,INDEX($M$2:$M$1000,(ROW()-ROW($B$2))/16+1),"")</f>
        <v>Оффсет номера страницы списка пластин (0)</v>
      </c>
    </row>
    <row r="2531" spans="2:14" x14ac:dyDescent="0.3">
      <c r="B2531" t="s">
        <v>2177</v>
      </c>
      <c r="C2531" t="s">
        <v>5003</v>
      </c>
      <c r="D2531" t="s">
        <v>5004</v>
      </c>
      <c r="E2531">
        <v>0</v>
      </c>
      <c r="F2531" t="s">
        <v>5004</v>
      </c>
      <c r="N2531" t="str" cm="1">
        <f t="array" ref="N2531">IF(MOD(ROW()-ROW($B$2),16)=0,INDEX($M$2:$M$1000,(ROW()-ROW($B$2))/16+1),"")</f>
        <v/>
      </c>
    </row>
    <row r="2532" spans="2:14" x14ac:dyDescent="0.3">
      <c r="B2532" t="s">
        <v>2177</v>
      </c>
      <c r="C2532" t="s">
        <v>5005</v>
      </c>
      <c r="D2532" t="s">
        <v>5006</v>
      </c>
      <c r="E2532">
        <v>0</v>
      </c>
      <c r="F2532" t="s">
        <v>5006</v>
      </c>
      <c r="N2532" t="str" cm="1">
        <f t="array" ref="N2532">IF(MOD(ROW()-ROW($B$2),16)=0,INDEX($M$2:$M$1000,(ROW()-ROW($B$2))/16+1),"")</f>
        <v/>
      </c>
    </row>
    <row r="2533" spans="2:14" x14ac:dyDescent="0.3">
      <c r="B2533" t="s">
        <v>2177</v>
      </c>
      <c r="C2533" t="s">
        <v>398</v>
      </c>
      <c r="D2533" t="s">
        <v>5007</v>
      </c>
      <c r="E2533">
        <v>0</v>
      </c>
      <c r="F2533" t="s">
        <v>5007</v>
      </c>
      <c r="N2533" t="str" cm="1">
        <f t="array" ref="N2533">IF(MOD(ROW()-ROW($B$2),16)=0,INDEX($M$2:$M$1000,(ROW()-ROW($B$2))/16+1),"")</f>
        <v/>
      </c>
    </row>
    <row r="2534" spans="2:14" x14ac:dyDescent="0.3">
      <c r="B2534" t="s">
        <v>2177</v>
      </c>
      <c r="C2534" t="s">
        <v>5008</v>
      </c>
      <c r="D2534" t="s">
        <v>5009</v>
      </c>
      <c r="E2534">
        <v>0</v>
      </c>
      <c r="F2534" t="s">
        <v>5009</v>
      </c>
      <c r="N2534" t="str" cm="1">
        <f t="array" ref="N2534">IF(MOD(ROW()-ROW($B$2),16)=0,INDEX($M$2:$M$1000,(ROW()-ROW($B$2))/16+1),"")</f>
        <v/>
      </c>
    </row>
    <row r="2535" spans="2:14" x14ac:dyDescent="0.3">
      <c r="B2535" t="s">
        <v>2177</v>
      </c>
      <c r="C2535" t="s">
        <v>5010</v>
      </c>
      <c r="D2535" t="s">
        <v>5011</v>
      </c>
      <c r="E2535">
        <v>0</v>
      </c>
      <c r="F2535" t="s">
        <v>5011</v>
      </c>
      <c r="N2535" t="str" cm="1">
        <f t="array" ref="N2535">IF(MOD(ROW()-ROW($B$2),16)=0,INDEX($M$2:$M$1000,(ROW()-ROW($B$2))/16+1),"")</f>
        <v/>
      </c>
    </row>
    <row r="2536" spans="2:14" x14ac:dyDescent="0.3">
      <c r="B2536" t="s">
        <v>2177</v>
      </c>
      <c r="C2536" t="s">
        <v>5012</v>
      </c>
      <c r="D2536" t="s">
        <v>5013</v>
      </c>
      <c r="E2536">
        <v>0</v>
      </c>
      <c r="F2536" t="s">
        <v>5013</v>
      </c>
      <c r="N2536" t="str" cm="1">
        <f t="array" ref="N2536">IF(MOD(ROW()-ROW($B$2),16)=0,INDEX($M$2:$M$1000,(ROW()-ROW($B$2))/16+1),"")</f>
        <v/>
      </c>
    </row>
    <row r="2537" spans="2:14" x14ac:dyDescent="0.3">
      <c r="B2537" t="s">
        <v>2177</v>
      </c>
      <c r="C2537" t="s">
        <v>400</v>
      </c>
      <c r="D2537" t="s">
        <v>5014</v>
      </c>
      <c r="E2537">
        <v>0</v>
      </c>
      <c r="F2537" t="s">
        <v>5014</v>
      </c>
      <c r="N2537" t="str" cm="1">
        <f t="array" ref="N2537">IF(MOD(ROW()-ROW($B$2),16)=0,INDEX($M$2:$M$1000,(ROW()-ROW($B$2))/16+1),"")</f>
        <v/>
      </c>
    </row>
    <row r="2538" spans="2:14" x14ac:dyDescent="0.3">
      <c r="B2538" t="s">
        <v>2177</v>
      </c>
      <c r="C2538" t="s">
        <v>5015</v>
      </c>
      <c r="D2538" t="s">
        <v>5016</v>
      </c>
      <c r="E2538">
        <v>0</v>
      </c>
      <c r="F2538" t="s">
        <v>5016</v>
      </c>
      <c r="N2538" t="str" cm="1">
        <f t="array" ref="N2538">IF(MOD(ROW()-ROW($B$2),16)=0,INDEX($M$2:$M$1000,(ROW()-ROW($B$2))/16+1),"")</f>
        <v/>
      </c>
    </row>
    <row r="2539" spans="2:14" x14ac:dyDescent="0.3">
      <c r="B2539" t="s">
        <v>2177</v>
      </c>
      <c r="C2539" t="s">
        <v>5017</v>
      </c>
      <c r="D2539" t="s">
        <v>5018</v>
      </c>
      <c r="E2539">
        <v>0</v>
      </c>
      <c r="F2539" t="s">
        <v>5018</v>
      </c>
      <c r="N2539" t="str" cm="1">
        <f t="array" ref="N2539">IF(MOD(ROW()-ROW($B$2),16)=0,INDEX($M$2:$M$1000,(ROW()-ROW($B$2))/16+1),"")</f>
        <v/>
      </c>
    </row>
    <row r="2540" spans="2:14" x14ac:dyDescent="0.3">
      <c r="B2540" t="s">
        <v>2177</v>
      </c>
      <c r="C2540" t="s">
        <v>5019</v>
      </c>
      <c r="D2540" t="s">
        <v>5020</v>
      </c>
      <c r="E2540">
        <v>0</v>
      </c>
      <c r="F2540" t="s">
        <v>5020</v>
      </c>
      <c r="N2540" t="str" cm="1">
        <f t="array" ref="N2540">IF(MOD(ROW()-ROW($B$2),16)=0,INDEX($M$2:$M$1000,(ROW()-ROW($B$2))/16+1),"")</f>
        <v/>
      </c>
    </row>
    <row r="2541" spans="2:14" x14ac:dyDescent="0.3">
      <c r="B2541" t="s">
        <v>2177</v>
      </c>
      <c r="C2541" t="s">
        <v>401</v>
      </c>
      <c r="D2541" t="s">
        <v>5021</v>
      </c>
      <c r="E2541">
        <v>0</v>
      </c>
      <c r="F2541" t="s">
        <v>5021</v>
      </c>
      <c r="N2541" t="str" cm="1">
        <f t="array" ref="N2541">IF(MOD(ROW()-ROW($B$2),16)=0,INDEX($M$2:$M$1000,(ROW()-ROW($B$2))/16+1),"")</f>
        <v/>
      </c>
    </row>
    <row r="2542" spans="2:14" x14ac:dyDescent="0.3">
      <c r="B2542" t="s">
        <v>2177</v>
      </c>
      <c r="C2542" t="s">
        <v>5022</v>
      </c>
      <c r="D2542" t="s">
        <v>5023</v>
      </c>
      <c r="E2542">
        <v>0</v>
      </c>
      <c r="F2542" t="s">
        <v>5023</v>
      </c>
      <c r="N2542" t="str" cm="1">
        <f t="array" ref="N2542">IF(MOD(ROW()-ROW($B$2),16)=0,INDEX($M$2:$M$1000,(ROW()-ROW($B$2))/16+1),"")</f>
        <v/>
      </c>
    </row>
    <row r="2543" spans="2:14" x14ac:dyDescent="0.3">
      <c r="B2543" t="s">
        <v>2177</v>
      </c>
      <c r="C2543" t="s">
        <v>5024</v>
      </c>
      <c r="D2543" t="s">
        <v>5025</v>
      </c>
      <c r="E2543">
        <v>0</v>
      </c>
      <c r="F2543" t="s">
        <v>5025</v>
      </c>
      <c r="N2543" t="str" cm="1">
        <f t="array" ref="N2543">IF(MOD(ROW()-ROW($B$2),16)=0,INDEX($M$2:$M$1000,(ROW()-ROW($B$2))/16+1),"")</f>
        <v/>
      </c>
    </row>
    <row r="2544" spans="2:14" x14ac:dyDescent="0.3">
      <c r="B2544" t="s">
        <v>2177</v>
      </c>
      <c r="C2544" t="s">
        <v>5026</v>
      </c>
      <c r="D2544" t="s">
        <v>5027</v>
      </c>
      <c r="E2544">
        <v>0</v>
      </c>
      <c r="F2544" t="s">
        <v>5027</v>
      </c>
      <c r="N2544" t="str" cm="1">
        <f t="array" ref="N2544">IF(MOD(ROW()-ROW($B$2),16)=0,INDEX($M$2:$M$1000,(ROW()-ROW($B$2))/16+1),"")</f>
        <v/>
      </c>
    </row>
    <row r="2545" spans="2:14" x14ac:dyDescent="0.3">
      <c r="B2545" t="s">
        <v>2177</v>
      </c>
      <c r="C2545" t="s">
        <v>403</v>
      </c>
      <c r="D2545" t="s">
        <v>5028</v>
      </c>
      <c r="E2545">
        <v>0</v>
      </c>
      <c r="F2545" t="s">
        <v>5028</v>
      </c>
      <c r="N2545" t="str" cm="1">
        <f t="array" ref="N2545">IF(MOD(ROW()-ROW($B$2),16)=0,INDEX($M$2:$M$1000,(ROW()-ROW($B$2))/16+1),"")</f>
        <v/>
      </c>
    </row>
    <row r="2546" spans="2:14" x14ac:dyDescent="0.3">
      <c r="B2546" t="s">
        <v>2177</v>
      </c>
      <c r="C2546" t="s">
        <v>5029</v>
      </c>
      <c r="D2546" t="s">
        <v>5030</v>
      </c>
      <c r="E2546">
        <v>0</v>
      </c>
      <c r="F2546" t="s">
        <v>5030</v>
      </c>
      <c r="N2546" t="str" cm="1">
        <f t="array" ref="N2546">IF(MOD(ROW()-ROW($B$2),16)=0,INDEX($M$2:$M$1000,(ROW()-ROW($B$2))/16+1),"")</f>
        <v>MULNULL (0)</v>
      </c>
    </row>
    <row r="2547" spans="2:14" x14ac:dyDescent="0.3">
      <c r="B2547" t="s">
        <v>2177</v>
      </c>
      <c r="C2547" t="s">
        <v>5031</v>
      </c>
      <c r="D2547" t="s">
        <v>5032</v>
      </c>
      <c r="E2547">
        <v>0</v>
      </c>
      <c r="F2547" t="s">
        <v>5032</v>
      </c>
      <c r="N2547" t="str" cm="1">
        <f t="array" ref="N2547">IF(MOD(ROW()-ROW($B$2),16)=0,INDEX($M$2:$M$1000,(ROW()-ROW($B$2))/16+1),"")</f>
        <v/>
      </c>
    </row>
    <row r="2548" spans="2:14" x14ac:dyDescent="0.3">
      <c r="B2548" t="s">
        <v>2177</v>
      </c>
      <c r="C2548" t="s">
        <v>5033</v>
      </c>
      <c r="D2548" t="s">
        <v>5034</v>
      </c>
      <c r="E2548">
        <v>0</v>
      </c>
      <c r="F2548" t="s">
        <v>5034</v>
      </c>
      <c r="N2548" t="str" cm="1">
        <f t="array" ref="N2548">IF(MOD(ROW()-ROW($B$2),16)=0,INDEX($M$2:$M$1000,(ROW()-ROW($B$2))/16+1),"")</f>
        <v/>
      </c>
    </row>
    <row r="2549" spans="2:14" x14ac:dyDescent="0.3">
      <c r="B2549" t="s">
        <v>2177</v>
      </c>
      <c r="C2549" t="s">
        <v>5035</v>
      </c>
      <c r="D2549" t="s">
        <v>5036</v>
      </c>
      <c r="E2549">
        <v>0</v>
      </c>
      <c r="F2549" t="s">
        <v>5036</v>
      </c>
      <c r="N2549" t="str" cm="1">
        <f t="array" ref="N2549">IF(MOD(ROW()-ROW($B$2),16)=0,INDEX($M$2:$M$1000,(ROW()-ROW($B$2))/16+1),"")</f>
        <v/>
      </c>
    </row>
    <row r="2550" spans="2:14" x14ac:dyDescent="0.3">
      <c r="B2550" t="s">
        <v>2177</v>
      </c>
      <c r="C2550" t="s">
        <v>5037</v>
      </c>
      <c r="D2550" t="s">
        <v>5038</v>
      </c>
      <c r="E2550">
        <v>0</v>
      </c>
      <c r="F2550" t="s">
        <v>5038</v>
      </c>
      <c r="N2550" t="str" cm="1">
        <f t="array" ref="N2550">IF(MOD(ROW()-ROW($B$2),16)=0,INDEX($M$2:$M$1000,(ROW()-ROW($B$2))/16+1),"")</f>
        <v/>
      </c>
    </row>
    <row r="2551" spans="2:14" x14ac:dyDescent="0.3">
      <c r="B2551" t="s">
        <v>2177</v>
      </c>
      <c r="C2551" t="s">
        <v>5039</v>
      </c>
      <c r="D2551" t="s">
        <v>5040</v>
      </c>
      <c r="E2551">
        <v>0</v>
      </c>
      <c r="F2551" t="s">
        <v>5040</v>
      </c>
      <c r="N2551" t="str" cm="1">
        <f t="array" ref="N2551">IF(MOD(ROW()-ROW($B$2),16)=0,INDEX($M$2:$M$1000,(ROW()-ROW($B$2))/16+1),"")</f>
        <v/>
      </c>
    </row>
    <row r="2552" spans="2:14" x14ac:dyDescent="0.3">
      <c r="B2552" t="s">
        <v>2177</v>
      </c>
      <c r="C2552" t="s">
        <v>5041</v>
      </c>
      <c r="D2552" t="s">
        <v>5042</v>
      </c>
      <c r="E2552">
        <v>0</v>
      </c>
      <c r="F2552" t="s">
        <v>5042</v>
      </c>
      <c r="N2552" t="str" cm="1">
        <f t="array" ref="N2552">IF(MOD(ROW()-ROW($B$2),16)=0,INDEX($M$2:$M$1000,(ROW()-ROW($B$2))/16+1),"")</f>
        <v/>
      </c>
    </row>
    <row r="2553" spans="2:14" x14ac:dyDescent="0.3">
      <c r="B2553" t="s">
        <v>2177</v>
      </c>
      <c r="C2553" t="s">
        <v>5043</v>
      </c>
      <c r="D2553" t="s">
        <v>5044</v>
      </c>
      <c r="E2553">
        <v>0</v>
      </c>
      <c r="F2553" t="s">
        <v>5044</v>
      </c>
      <c r="N2553" t="str" cm="1">
        <f t="array" ref="N2553">IF(MOD(ROW()-ROW($B$2),16)=0,INDEX($M$2:$M$1000,(ROW()-ROW($B$2))/16+1),"")</f>
        <v/>
      </c>
    </row>
    <row r="2554" spans="2:14" x14ac:dyDescent="0.3">
      <c r="B2554" t="s">
        <v>2177</v>
      </c>
      <c r="C2554" t="s">
        <v>5045</v>
      </c>
      <c r="D2554" t="s">
        <v>5046</v>
      </c>
      <c r="E2554">
        <v>0</v>
      </c>
      <c r="F2554" t="s">
        <v>5046</v>
      </c>
      <c r="N2554" t="str" cm="1">
        <f t="array" ref="N2554">IF(MOD(ROW()-ROW($B$2),16)=0,INDEX($M$2:$M$1000,(ROW()-ROW($B$2))/16+1),"")</f>
        <v/>
      </c>
    </row>
    <row r="2555" spans="2:14" x14ac:dyDescent="0.3">
      <c r="B2555" t="s">
        <v>2177</v>
      </c>
      <c r="C2555" t="s">
        <v>5047</v>
      </c>
      <c r="D2555" t="s">
        <v>5048</v>
      </c>
      <c r="E2555">
        <v>0</v>
      </c>
      <c r="F2555" t="s">
        <v>5048</v>
      </c>
      <c r="N2555" t="str" cm="1">
        <f t="array" ref="N2555">IF(MOD(ROW()-ROW($B$2),16)=0,INDEX($M$2:$M$1000,(ROW()-ROW($B$2))/16+1),"")</f>
        <v/>
      </c>
    </row>
    <row r="2556" spans="2:14" x14ac:dyDescent="0.3">
      <c r="B2556" t="s">
        <v>2177</v>
      </c>
      <c r="C2556" t="s">
        <v>5049</v>
      </c>
      <c r="D2556" t="s">
        <v>5050</v>
      </c>
      <c r="E2556">
        <v>0</v>
      </c>
      <c r="F2556" t="s">
        <v>5050</v>
      </c>
      <c r="N2556" t="str" cm="1">
        <f t="array" ref="N2556">IF(MOD(ROW()-ROW($B$2),16)=0,INDEX($M$2:$M$1000,(ROW()-ROW($B$2))/16+1),"")</f>
        <v/>
      </c>
    </row>
    <row r="2557" spans="2:14" x14ac:dyDescent="0.3">
      <c r="B2557" t="s">
        <v>2177</v>
      </c>
      <c r="C2557" t="s">
        <v>5051</v>
      </c>
      <c r="D2557" t="s">
        <v>5052</v>
      </c>
      <c r="E2557">
        <v>0</v>
      </c>
      <c r="F2557" t="s">
        <v>5052</v>
      </c>
      <c r="N2557" t="str" cm="1">
        <f t="array" ref="N2557">IF(MOD(ROW()-ROW($B$2),16)=0,INDEX($M$2:$M$1000,(ROW()-ROW($B$2))/16+1),"")</f>
        <v/>
      </c>
    </row>
    <row r="2558" spans="2:14" x14ac:dyDescent="0.3">
      <c r="B2558" t="s">
        <v>2177</v>
      </c>
      <c r="C2558" t="s">
        <v>5053</v>
      </c>
      <c r="D2558" t="s">
        <v>5054</v>
      </c>
      <c r="E2558">
        <v>0</v>
      </c>
      <c r="F2558" t="s">
        <v>5054</v>
      </c>
      <c r="N2558" t="str" cm="1">
        <f t="array" ref="N2558">IF(MOD(ROW()-ROW($B$2),16)=0,INDEX($M$2:$M$1000,(ROW()-ROW($B$2))/16+1),"")</f>
        <v/>
      </c>
    </row>
    <row r="2559" spans="2:14" x14ac:dyDescent="0.3">
      <c r="B2559" t="s">
        <v>2177</v>
      </c>
      <c r="C2559" t="s">
        <v>5055</v>
      </c>
      <c r="D2559" t="s">
        <v>5056</v>
      </c>
      <c r="E2559">
        <v>0</v>
      </c>
      <c r="F2559" t="s">
        <v>5056</v>
      </c>
      <c r="N2559" t="str" cm="1">
        <f t="array" ref="N2559">IF(MOD(ROW()-ROW($B$2),16)=0,INDEX($M$2:$M$1000,(ROW()-ROW($B$2))/16+1),"")</f>
        <v/>
      </c>
    </row>
    <row r="2560" spans="2:14" x14ac:dyDescent="0.3">
      <c r="B2560" t="s">
        <v>2177</v>
      </c>
      <c r="C2560" t="s">
        <v>5057</v>
      </c>
      <c r="D2560" t="s">
        <v>5058</v>
      </c>
      <c r="E2560">
        <v>0</v>
      </c>
      <c r="F2560" t="s">
        <v>5058</v>
      </c>
      <c r="N2560" t="str" cm="1">
        <f t="array" ref="N2560">IF(MOD(ROW()-ROW($B$2),16)=0,INDEX($M$2:$M$1000,(ROW()-ROW($B$2))/16+1),"")</f>
        <v/>
      </c>
    </row>
    <row r="2561" spans="2:14" x14ac:dyDescent="0.3">
      <c r="B2561" t="s">
        <v>2177</v>
      </c>
      <c r="C2561" t="s">
        <v>404</v>
      </c>
      <c r="D2561" t="s">
        <v>5059</v>
      </c>
      <c r="E2561">
        <v>0</v>
      </c>
      <c r="F2561" t="s">
        <v>5059</v>
      </c>
      <c r="N2561" t="str" cm="1">
        <f t="array" ref="N2561">IF(MOD(ROW()-ROW($B$2),16)=0,INDEX($M$2:$M$1000,(ROW()-ROW($B$2))/16+1),"")</f>
        <v/>
      </c>
    </row>
    <row r="2562" spans="2:14" x14ac:dyDescent="0.3">
      <c r="B2562" t="s">
        <v>2177</v>
      </c>
      <c r="C2562" t="s">
        <v>5060</v>
      </c>
      <c r="D2562" t="s">
        <v>5061</v>
      </c>
      <c r="E2562">
        <v>0</v>
      </c>
      <c r="F2562" t="s">
        <v>5061</v>
      </c>
      <c r="N2562" t="str" cm="1">
        <f t="array" ref="N2562">IF(MOD(ROW()-ROW($B$2),16)=0,INDEX($M$2:$M$1000,(ROW()-ROW($B$2))/16+1),"")</f>
        <v>MULNULL (0)</v>
      </c>
    </row>
    <row r="2563" spans="2:14" x14ac:dyDescent="0.3">
      <c r="B2563" t="s">
        <v>2177</v>
      </c>
      <c r="C2563" t="s">
        <v>5062</v>
      </c>
      <c r="D2563" t="s">
        <v>5063</v>
      </c>
      <c r="E2563">
        <v>0</v>
      </c>
      <c r="F2563" t="s">
        <v>5063</v>
      </c>
      <c r="N2563" t="str" cm="1">
        <f t="array" ref="N2563">IF(MOD(ROW()-ROW($B$2),16)=0,INDEX($M$2:$M$1000,(ROW()-ROW($B$2))/16+1),"")</f>
        <v/>
      </c>
    </row>
    <row r="2564" spans="2:14" x14ac:dyDescent="0.3">
      <c r="B2564" t="s">
        <v>2177</v>
      </c>
      <c r="C2564" t="s">
        <v>5064</v>
      </c>
      <c r="D2564" t="s">
        <v>5065</v>
      </c>
      <c r="E2564">
        <v>0</v>
      </c>
      <c r="F2564" t="s">
        <v>5065</v>
      </c>
      <c r="N2564" t="str" cm="1">
        <f t="array" ref="N2564">IF(MOD(ROW()-ROW($B$2),16)=0,INDEX($M$2:$M$1000,(ROW()-ROW($B$2))/16+1),"")</f>
        <v/>
      </c>
    </row>
    <row r="2565" spans="2:14" x14ac:dyDescent="0.3">
      <c r="B2565" t="s">
        <v>2177</v>
      </c>
      <c r="C2565" t="s">
        <v>5066</v>
      </c>
      <c r="D2565" t="s">
        <v>5067</v>
      </c>
      <c r="E2565">
        <v>0</v>
      </c>
      <c r="F2565" t="s">
        <v>5067</v>
      </c>
      <c r="N2565" t="str" cm="1">
        <f t="array" ref="N2565">IF(MOD(ROW()-ROW($B$2),16)=0,INDEX($M$2:$M$1000,(ROW()-ROW($B$2))/16+1),"")</f>
        <v/>
      </c>
    </row>
    <row r="2566" spans="2:14" x14ac:dyDescent="0.3">
      <c r="B2566" t="s">
        <v>2177</v>
      </c>
      <c r="C2566" t="s">
        <v>5068</v>
      </c>
      <c r="D2566" t="s">
        <v>5069</v>
      </c>
      <c r="E2566">
        <v>0</v>
      </c>
      <c r="F2566" t="s">
        <v>5069</v>
      </c>
      <c r="N2566" t="str" cm="1">
        <f t="array" ref="N2566">IF(MOD(ROW()-ROW($B$2),16)=0,INDEX($M$2:$M$1000,(ROW()-ROW($B$2))/16+1),"")</f>
        <v/>
      </c>
    </row>
    <row r="2567" spans="2:14" x14ac:dyDescent="0.3">
      <c r="B2567" t="s">
        <v>2177</v>
      </c>
      <c r="C2567" t="s">
        <v>5070</v>
      </c>
      <c r="D2567" t="s">
        <v>5071</v>
      </c>
      <c r="E2567">
        <v>0</v>
      </c>
      <c r="F2567" t="s">
        <v>5071</v>
      </c>
      <c r="N2567" t="str" cm="1">
        <f t="array" ref="N2567">IF(MOD(ROW()-ROW($B$2),16)=0,INDEX($M$2:$M$1000,(ROW()-ROW($B$2))/16+1),"")</f>
        <v/>
      </c>
    </row>
    <row r="2568" spans="2:14" x14ac:dyDescent="0.3">
      <c r="B2568" t="s">
        <v>2177</v>
      </c>
      <c r="C2568" t="s">
        <v>5072</v>
      </c>
      <c r="D2568" t="s">
        <v>5073</v>
      </c>
      <c r="E2568">
        <v>0</v>
      </c>
      <c r="F2568" t="s">
        <v>5073</v>
      </c>
      <c r="N2568" t="str" cm="1">
        <f t="array" ref="N2568">IF(MOD(ROW()-ROW($B$2),16)=0,INDEX($M$2:$M$1000,(ROW()-ROW($B$2))/16+1),"")</f>
        <v/>
      </c>
    </row>
    <row r="2569" spans="2:14" x14ac:dyDescent="0.3">
      <c r="B2569" t="s">
        <v>2177</v>
      </c>
      <c r="C2569" t="s">
        <v>5074</v>
      </c>
      <c r="D2569" t="s">
        <v>5075</v>
      </c>
      <c r="E2569">
        <v>0</v>
      </c>
      <c r="F2569" t="s">
        <v>5075</v>
      </c>
      <c r="N2569" t="str" cm="1">
        <f t="array" ref="N2569">IF(MOD(ROW()-ROW($B$2),16)=0,INDEX($M$2:$M$1000,(ROW()-ROW($B$2))/16+1),"")</f>
        <v/>
      </c>
    </row>
    <row r="2570" spans="2:14" x14ac:dyDescent="0.3">
      <c r="B2570" t="s">
        <v>2177</v>
      </c>
      <c r="C2570" t="s">
        <v>5076</v>
      </c>
      <c r="D2570" t="s">
        <v>5077</v>
      </c>
      <c r="E2570">
        <v>0</v>
      </c>
      <c r="F2570" t="s">
        <v>5077</v>
      </c>
      <c r="N2570" t="str" cm="1">
        <f t="array" ref="N2570">IF(MOD(ROW()-ROW($B$2),16)=0,INDEX($M$2:$M$1000,(ROW()-ROW($B$2))/16+1),"")</f>
        <v/>
      </c>
    </row>
    <row r="2571" spans="2:14" x14ac:dyDescent="0.3">
      <c r="B2571" t="s">
        <v>2177</v>
      </c>
      <c r="C2571" t="s">
        <v>5078</v>
      </c>
      <c r="D2571" t="s">
        <v>5079</v>
      </c>
      <c r="E2571">
        <v>0</v>
      </c>
      <c r="F2571" t="s">
        <v>5079</v>
      </c>
      <c r="N2571" t="str" cm="1">
        <f t="array" ref="N2571">IF(MOD(ROW()-ROW($B$2),16)=0,INDEX($M$2:$M$1000,(ROW()-ROW($B$2))/16+1),"")</f>
        <v/>
      </c>
    </row>
    <row r="2572" spans="2:14" x14ac:dyDescent="0.3">
      <c r="B2572" t="s">
        <v>2177</v>
      </c>
      <c r="C2572" t="s">
        <v>5080</v>
      </c>
      <c r="D2572" t="s">
        <v>5081</v>
      </c>
      <c r="E2572">
        <v>0</v>
      </c>
      <c r="F2572" t="s">
        <v>5081</v>
      </c>
      <c r="N2572" t="str" cm="1">
        <f t="array" ref="N2572">IF(MOD(ROW()-ROW($B$2),16)=0,INDEX($M$2:$M$1000,(ROW()-ROW($B$2))/16+1),"")</f>
        <v/>
      </c>
    </row>
    <row r="2573" spans="2:14" x14ac:dyDescent="0.3">
      <c r="B2573" t="s">
        <v>2177</v>
      </c>
      <c r="C2573" t="s">
        <v>5082</v>
      </c>
      <c r="D2573" t="s">
        <v>5083</v>
      </c>
      <c r="E2573">
        <v>0</v>
      </c>
      <c r="F2573" t="s">
        <v>5083</v>
      </c>
      <c r="N2573" t="str" cm="1">
        <f t="array" ref="N2573">IF(MOD(ROW()-ROW($B$2),16)=0,INDEX($M$2:$M$1000,(ROW()-ROW($B$2))/16+1),"")</f>
        <v/>
      </c>
    </row>
    <row r="2574" spans="2:14" x14ac:dyDescent="0.3">
      <c r="B2574" t="s">
        <v>2177</v>
      </c>
      <c r="C2574" t="s">
        <v>5084</v>
      </c>
      <c r="D2574" t="s">
        <v>5085</v>
      </c>
      <c r="E2574">
        <v>0</v>
      </c>
      <c r="F2574" t="s">
        <v>5085</v>
      </c>
      <c r="N2574" t="str" cm="1">
        <f t="array" ref="N2574">IF(MOD(ROW()-ROW($B$2),16)=0,INDEX($M$2:$M$1000,(ROW()-ROW($B$2))/16+1),"")</f>
        <v/>
      </c>
    </row>
    <row r="2575" spans="2:14" x14ac:dyDescent="0.3">
      <c r="B2575" t="s">
        <v>2177</v>
      </c>
      <c r="C2575" t="s">
        <v>5086</v>
      </c>
      <c r="D2575" t="s">
        <v>5087</v>
      </c>
      <c r="E2575">
        <v>0</v>
      </c>
      <c r="F2575" t="s">
        <v>5087</v>
      </c>
      <c r="N2575" t="str" cm="1">
        <f t="array" ref="N2575">IF(MOD(ROW()-ROW($B$2),16)=0,INDEX($M$2:$M$1000,(ROW()-ROW($B$2))/16+1),"")</f>
        <v/>
      </c>
    </row>
    <row r="2576" spans="2:14" x14ac:dyDescent="0.3">
      <c r="B2576" t="s">
        <v>2177</v>
      </c>
      <c r="C2576" t="s">
        <v>5088</v>
      </c>
      <c r="D2576" t="s">
        <v>5089</v>
      </c>
      <c r="E2576">
        <v>0</v>
      </c>
      <c r="F2576" t="s">
        <v>5089</v>
      </c>
      <c r="N2576" t="str" cm="1">
        <f t="array" ref="N2576">IF(MOD(ROW()-ROW($B$2),16)=0,INDEX($M$2:$M$1000,(ROW()-ROW($B$2))/16+1),"")</f>
        <v/>
      </c>
    </row>
    <row r="2577" spans="2:14" x14ac:dyDescent="0.3">
      <c r="B2577" t="s">
        <v>2177</v>
      </c>
      <c r="C2577" t="s">
        <v>405</v>
      </c>
      <c r="D2577" t="s">
        <v>5090</v>
      </c>
      <c r="E2577">
        <v>0</v>
      </c>
      <c r="F2577" t="s">
        <v>5090</v>
      </c>
      <c r="N2577" t="str" cm="1">
        <f t="array" ref="N2577">IF(MOD(ROW()-ROW($B$2),16)=0,INDEX($M$2:$M$1000,(ROW()-ROW($B$2))/16+1),"")</f>
        <v/>
      </c>
    </row>
    <row r="2578" spans="2:14" x14ac:dyDescent="0.3">
      <c r="B2578" t="s">
        <v>2177</v>
      </c>
      <c r="C2578" t="s">
        <v>5091</v>
      </c>
      <c r="D2578" t="s">
        <v>5092</v>
      </c>
      <c r="E2578">
        <v>0</v>
      </c>
      <c r="F2578" t="s">
        <v>5092</v>
      </c>
      <c r="N2578" t="str" cm="1">
        <f t="array" ref="N2578">IF(MOD(ROW()-ROW($B$2),16)=0,INDEX($M$2:$M$1000,(ROW()-ROW($B$2))/16+1),"")</f>
        <v>MULNULL (0)</v>
      </c>
    </row>
    <row r="2579" spans="2:14" x14ac:dyDescent="0.3">
      <c r="B2579" t="s">
        <v>2177</v>
      </c>
      <c r="C2579" t="s">
        <v>5093</v>
      </c>
      <c r="D2579" t="s">
        <v>5094</v>
      </c>
      <c r="E2579">
        <v>0</v>
      </c>
      <c r="F2579" t="s">
        <v>5094</v>
      </c>
      <c r="N2579" t="str" cm="1">
        <f t="array" ref="N2579">IF(MOD(ROW()-ROW($B$2),16)=0,INDEX($M$2:$M$1000,(ROW()-ROW($B$2))/16+1),"")</f>
        <v/>
      </c>
    </row>
    <row r="2580" spans="2:14" x14ac:dyDescent="0.3">
      <c r="B2580" t="s">
        <v>2177</v>
      </c>
      <c r="C2580" t="s">
        <v>5095</v>
      </c>
      <c r="D2580" t="s">
        <v>5096</v>
      </c>
      <c r="E2580">
        <v>0</v>
      </c>
      <c r="F2580" t="s">
        <v>5096</v>
      </c>
      <c r="N2580" t="str" cm="1">
        <f t="array" ref="N2580">IF(MOD(ROW()-ROW($B$2),16)=0,INDEX($M$2:$M$1000,(ROW()-ROW($B$2))/16+1),"")</f>
        <v/>
      </c>
    </row>
    <row r="2581" spans="2:14" x14ac:dyDescent="0.3">
      <c r="B2581" t="s">
        <v>2177</v>
      </c>
      <c r="C2581" t="s">
        <v>5097</v>
      </c>
      <c r="D2581" t="s">
        <v>5098</v>
      </c>
      <c r="E2581">
        <v>0</v>
      </c>
      <c r="F2581" t="s">
        <v>5098</v>
      </c>
      <c r="N2581" t="str" cm="1">
        <f t="array" ref="N2581">IF(MOD(ROW()-ROW($B$2),16)=0,INDEX($M$2:$M$1000,(ROW()-ROW($B$2))/16+1),"")</f>
        <v/>
      </c>
    </row>
    <row r="2582" spans="2:14" x14ac:dyDescent="0.3">
      <c r="B2582" t="s">
        <v>2177</v>
      </c>
      <c r="C2582" t="s">
        <v>5099</v>
      </c>
      <c r="D2582" t="s">
        <v>5100</v>
      </c>
      <c r="E2582">
        <v>0</v>
      </c>
      <c r="F2582" t="s">
        <v>5100</v>
      </c>
      <c r="N2582" t="str" cm="1">
        <f t="array" ref="N2582">IF(MOD(ROW()-ROW($B$2),16)=0,INDEX($M$2:$M$1000,(ROW()-ROW($B$2))/16+1),"")</f>
        <v/>
      </c>
    </row>
    <row r="2583" spans="2:14" x14ac:dyDescent="0.3">
      <c r="B2583" t="s">
        <v>2177</v>
      </c>
      <c r="C2583" t="s">
        <v>5101</v>
      </c>
      <c r="D2583" t="s">
        <v>5102</v>
      </c>
      <c r="E2583">
        <v>0</v>
      </c>
      <c r="F2583" t="s">
        <v>5102</v>
      </c>
      <c r="N2583" t="str" cm="1">
        <f t="array" ref="N2583">IF(MOD(ROW()-ROW($B$2),16)=0,INDEX($M$2:$M$1000,(ROW()-ROW($B$2))/16+1),"")</f>
        <v/>
      </c>
    </row>
    <row r="2584" spans="2:14" x14ac:dyDescent="0.3">
      <c r="B2584" t="s">
        <v>2177</v>
      </c>
      <c r="C2584" t="s">
        <v>5103</v>
      </c>
      <c r="D2584" t="s">
        <v>5104</v>
      </c>
      <c r="E2584">
        <v>0</v>
      </c>
      <c r="F2584" t="s">
        <v>5104</v>
      </c>
      <c r="N2584" t="str" cm="1">
        <f t="array" ref="N2584">IF(MOD(ROW()-ROW($B$2),16)=0,INDEX($M$2:$M$1000,(ROW()-ROW($B$2))/16+1),"")</f>
        <v/>
      </c>
    </row>
    <row r="2585" spans="2:14" x14ac:dyDescent="0.3">
      <c r="B2585" t="s">
        <v>2177</v>
      </c>
      <c r="C2585" t="s">
        <v>5105</v>
      </c>
      <c r="D2585" t="s">
        <v>5106</v>
      </c>
      <c r="E2585">
        <v>0</v>
      </c>
      <c r="F2585" t="s">
        <v>5106</v>
      </c>
      <c r="N2585" t="str" cm="1">
        <f t="array" ref="N2585">IF(MOD(ROW()-ROW($B$2),16)=0,INDEX($M$2:$M$1000,(ROW()-ROW($B$2))/16+1),"")</f>
        <v/>
      </c>
    </row>
    <row r="2586" spans="2:14" x14ac:dyDescent="0.3">
      <c r="B2586" t="s">
        <v>2177</v>
      </c>
      <c r="C2586" t="s">
        <v>5107</v>
      </c>
      <c r="D2586" t="s">
        <v>5108</v>
      </c>
      <c r="E2586">
        <v>0</v>
      </c>
      <c r="F2586" t="s">
        <v>5108</v>
      </c>
      <c r="N2586" t="str" cm="1">
        <f t="array" ref="N2586">IF(MOD(ROW()-ROW($B$2),16)=0,INDEX($M$2:$M$1000,(ROW()-ROW($B$2))/16+1),"")</f>
        <v/>
      </c>
    </row>
    <row r="2587" spans="2:14" x14ac:dyDescent="0.3">
      <c r="B2587" t="s">
        <v>2177</v>
      </c>
      <c r="C2587" t="s">
        <v>5109</v>
      </c>
      <c r="D2587" t="s">
        <v>5110</v>
      </c>
      <c r="E2587">
        <v>0</v>
      </c>
      <c r="F2587" t="s">
        <v>5110</v>
      </c>
      <c r="N2587" t="str" cm="1">
        <f t="array" ref="N2587">IF(MOD(ROW()-ROW($B$2),16)=0,INDEX($M$2:$M$1000,(ROW()-ROW($B$2))/16+1),"")</f>
        <v/>
      </c>
    </row>
    <row r="2588" spans="2:14" x14ac:dyDescent="0.3">
      <c r="B2588" t="s">
        <v>2177</v>
      </c>
      <c r="C2588" t="s">
        <v>5111</v>
      </c>
      <c r="D2588" t="s">
        <v>5112</v>
      </c>
      <c r="E2588">
        <v>0</v>
      </c>
      <c r="F2588" t="s">
        <v>5112</v>
      </c>
      <c r="N2588" t="str" cm="1">
        <f t="array" ref="N2588">IF(MOD(ROW()-ROW($B$2),16)=0,INDEX($M$2:$M$1000,(ROW()-ROW($B$2))/16+1),"")</f>
        <v/>
      </c>
    </row>
    <row r="2589" spans="2:14" x14ac:dyDescent="0.3">
      <c r="B2589" t="s">
        <v>2177</v>
      </c>
      <c r="C2589" t="s">
        <v>5113</v>
      </c>
      <c r="D2589" t="s">
        <v>5114</v>
      </c>
      <c r="E2589">
        <v>0</v>
      </c>
      <c r="F2589" t="s">
        <v>5114</v>
      </c>
      <c r="N2589" t="str" cm="1">
        <f t="array" ref="N2589">IF(MOD(ROW()-ROW($B$2),16)=0,INDEX($M$2:$M$1000,(ROW()-ROW($B$2))/16+1),"")</f>
        <v/>
      </c>
    </row>
    <row r="2590" spans="2:14" x14ac:dyDescent="0.3">
      <c r="B2590" t="s">
        <v>2177</v>
      </c>
      <c r="C2590" t="s">
        <v>5115</v>
      </c>
      <c r="D2590" t="s">
        <v>5116</v>
      </c>
      <c r="E2590">
        <v>0</v>
      </c>
      <c r="F2590" t="s">
        <v>5116</v>
      </c>
      <c r="N2590" t="str" cm="1">
        <f t="array" ref="N2590">IF(MOD(ROW()-ROW($B$2),16)=0,INDEX($M$2:$M$1000,(ROW()-ROW($B$2))/16+1),"")</f>
        <v/>
      </c>
    </row>
    <row r="2591" spans="2:14" x14ac:dyDescent="0.3">
      <c r="B2591" t="s">
        <v>2177</v>
      </c>
      <c r="C2591" t="s">
        <v>5117</v>
      </c>
      <c r="D2591" t="s">
        <v>5118</v>
      </c>
      <c r="E2591">
        <v>0</v>
      </c>
      <c r="F2591" t="s">
        <v>5118</v>
      </c>
      <c r="N2591" t="str" cm="1">
        <f t="array" ref="N2591">IF(MOD(ROW()-ROW($B$2),16)=0,INDEX($M$2:$M$1000,(ROW()-ROW($B$2))/16+1),"")</f>
        <v/>
      </c>
    </row>
    <row r="2592" spans="2:14" x14ac:dyDescent="0.3">
      <c r="B2592" t="s">
        <v>2177</v>
      </c>
      <c r="C2592" t="s">
        <v>5119</v>
      </c>
      <c r="D2592" t="s">
        <v>5120</v>
      </c>
      <c r="E2592">
        <v>0</v>
      </c>
      <c r="F2592" t="s">
        <v>5120</v>
      </c>
      <c r="N2592" t="str" cm="1">
        <f t="array" ref="N2592">IF(MOD(ROW()-ROW($B$2),16)=0,INDEX($M$2:$M$1000,(ROW()-ROW($B$2))/16+1),"")</f>
        <v/>
      </c>
    </row>
    <row r="2593" spans="2:14" x14ac:dyDescent="0.3">
      <c r="B2593" t="s">
        <v>2177</v>
      </c>
      <c r="C2593" t="s">
        <v>406</v>
      </c>
      <c r="D2593" t="s">
        <v>5121</v>
      </c>
      <c r="E2593">
        <v>0</v>
      </c>
      <c r="F2593" t="s">
        <v>5121</v>
      </c>
      <c r="N2593" t="str" cm="1">
        <f t="array" ref="N2593">IF(MOD(ROW()-ROW($B$2),16)=0,INDEX($M$2:$M$1000,(ROW()-ROW($B$2))/16+1),"")</f>
        <v/>
      </c>
    </row>
    <row r="2594" spans="2:14" x14ac:dyDescent="0.3">
      <c r="B2594" t="s">
        <v>2177</v>
      </c>
      <c r="C2594" t="s">
        <v>5122</v>
      </c>
      <c r="D2594" t="s">
        <v>5123</v>
      </c>
      <c r="E2594">
        <v>0</v>
      </c>
      <c r="F2594" t="s">
        <v>5123</v>
      </c>
      <c r="N2594" t="str" cm="1">
        <f t="array" ref="N2594">IF(MOD(ROW()-ROW($B$2),16)=0,INDEX($M$2:$M$1000,(ROW()-ROW($B$2))/16+1),"")</f>
        <v>Оффсет строки страницы списка пластин (0)</v>
      </c>
    </row>
    <row r="2595" spans="2:14" x14ac:dyDescent="0.3">
      <c r="B2595" t="s">
        <v>2177</v>
      </c>
      <c r="C2595" t="s">
        <v>5124</v>
      </c>
      <c r="D2595" t="s">
        <v>5125</v>
      </c>
      <c r="E2595">
        <v>0</v>
      </c>
      <c r="F2595" t="s">
        <v>5125</v>
      </c>
      <c r="N2595" t="str" cm="1">
        <f t="array" ref="N2595">IF(MOD(ROW()-ROW($B$2),16)=0,INDEX($M$2:$M$1000,(ROW()-ROW($B$2))/16+1),"")</f>
        <v/>
      </c>
    </row>
    <row r="2596" spans="2:14" x14ac:dyDescent="0.3">
      <c r="B2596" t="s">
        <v>2177</v>
      </c>
      <c r="C2596" t="s">
        <v>5126</v>
      </c>
      <c r="D2596" t="s">
        <v>5127</v>
      </c>
      <c r="E2596">
        <v>0</v>
      </c>
      <c r="F2596" t="s">
        <v>5127</v>
      </c>
      <c r="N2596" t="str" cm="1">
        <f t="array" ref="N2596">IF(MOD(ROW()-ROW($B$2),16)=0,INDEX($M$2:$M$1000,(ROW()-ROW($B$2))/16+1),"")</f>
        <v/>
      </c>
    </row>
    <row r="2597" spans="2:14" x14ac:dyDescent="0.3">
      <c r="B2597" t="s">
        <v>2177</v>
      </c>
      <c r="C2597" t="s">
        <v>5128</v>
      </c>
      <c r="D2597" t="s">
        <v>5129</v>
      </c>
      <c r="E2597">
        <v>0</v>
      </c>
      <c r="F2597" t="s">
        <v>5129</v>
      </c>
      <c r="N2597" t="str" cm="1">
        <f t="array" ref="N2597">IF(MOD(ROW()-ROW($B$2),16)=0,INDEX($M$2:$M$1000,(ROW()-ROW($B$2))/16+1),"")</f>
        <v/>
      </c>
    </row>
    <row r="2598" spans="2:14" x14ac:dyDescent="0.3">
      <c r="B2598" t="s">
        <v>2177</v>
      </c>
      <c r="C2598" t="s">
        <v>5130</v>
      </c>
      <c r="D2598" t="s">
        <v>5131</v>
      </c>
      <c r="E2598">
        <v>0</v>
      </c>
      <c r="F2598" t="s">
        <v>5131</v>
      </c>
      <c r="N2598" t="str" cm="1">
        <f t="array" ref="N2598">IF(MOD(ROW()-ROW($B$2),16)=0,INDEX($M$2:$M$1000,(ROW()-ROW($B$2))/16+1),"")</f>
        <v/>
      </c>
    </row>
    <row r="2599" spans="2:14" x14ac:dyDescent="0.3">
      <c r="B2599" t="s">
        <v>2177</v>
      </c>
      <c r="C2599" t="s">
        <v>5132</v>
      </c>
      <c r="D2599" t="s">
        <v>5133</v>
      </c>
      <c r="E2599">
        <v>0</v>
      </c>
      <c r="F2599" t="s">
        <v>5133</v>
      </c>
      <c r="N2599" t="str" cm="1">
        <f t="array" ref="N2599">IF(MOD(ROW()-ROW($B$2),16)=0,INDEX($M$2:$M$1000,(ROW()-ROW($B$2))/16+1),"")</f>
        <v/>
      </c>
    </row>
    <row r="2600" spans="2:14" x14ac:dyDescent="0.3">
      <c r="B2600" t="s">
        <v>2177</v>
      </c>
      <c r="C2600" t="s">
        <v>5134</v>
      </c>
      <c r="D2600" t="s">
        <v>5135</v>
      </c>
      <c r="E2600">
        <v>0</v>
      </c>
      <c r="F2600" t="s">
        <v>5135</v>
      </c>
      <c r="N2600" t="str" cm="1">
        <f t="array" ref="N2600">IF(MOD(ROW()-ROW($B$2),16)=0,INDEX($M$2:$M$1000,(ROW()-ROW($B$2))/16+1),"")</f>
        <v/>
      </c>
    </row>
    <row r="2601" spans="2:14" x14ac:dyDescent="0.3">
      <c r="B2601" t="s">
        <v>2177</v>
      </c>
      <c r="C2601" t="s">
        <v>5136</v>
      </c>
      <c r="D2601" t="s">
        <v>5137</v>
      </c>
      <c r="E2601">
        <v>0</v>
      </c>
      <c r="F2601" t="s">
        <v>5137</v>
      </c>
      <c r="N2601" t="str" cm="1">
        <f t="array" ref="N2601">IF(MOD(ROW()-ROW($B$2),16)=0,INDEX($M$2:$M$1000,(ROW()-ROW($B$2))/16+1),"")</f>
        <v/>
      </c>
    </row>
    <row r="2602" spans="2:14" x14ac:dyDescent="0.3">
      <c r="B2602" t="s">
        <v>2177</v>
      </c>
      <c r="C2602" t="s">
        <v>5138</v>
      </c>
      <c r="D2602" t="s">
        <v>5139</v>
      </c>
      <c r="E2602">
        <v>0</v>
      </c>
      <c r="F2602" t="s">
        <v>5139</v>
      </c>
      <c r="N2602" t="str" cm="1">
        <f t="array" ref="N2602">IF(MOD(ROW()-ROW($B$2),16)=0,INDEX($M$2:$M$1000,(ROW()-ROW($B$2))/16+1),"")</f>
        <v/>
      </c>
    </row>
    <row r="2603" spans="2:14" x14ac:dyDescent="0.3">
      <c r="B2603" t="s">
        <v>2177</v>
      </c>
      <c r="C2603" t="s">
        <v>5140</v>
      </c>
      <c r="D2603" t="s">
        <v>5141</v>
      </c>
      <c r="E2603">
        <v>0</v>
      </c>
      <c r="F2603" t="s">
        <v>5141</v>
      </c>
      <c r="N2603" t="str" cm="1">
        <f t="array" ref="N2603">IF(MOD(ROW()-ROW($B$2),16)=0,INDEX($M$2:$M$1000,(ROW()-ROW($B$2))/16+1),"")</f>
        <v/>
      </c>
    </row>
    <row r="2604" spans="2:14" x14ac:dyDescent="0.3">
      <c r="B2604" t="s">
        <v>2177</v>
      </c>
      <c r="C2604" t="s">
        <v>5142</v>
      </c>
      <c r="D2604" t="s">
        <v>5143</v>
      </c>
      <c r="E2604">
        <v>0</v>
      </c>
      <c r="F2604" t="s">
        <v>5143</v>
      </c>
      <c r="N2604" t="str" cm="1">
        <f t="array" ref="N2604">IF(MOD(ROW()-ROW($B$2),16)=0,INDEX($M$2:$M$1000,(ROW()-ROW($B$2))/16+1),"")</f>
        <v/>
      </c>
    </row>
    <row r="2605" spans="2:14" x14ac:dyDescent="0.3">
      <c r="B2605" t="s">
        <v>2177</v>
      </c>
      <c r="C2605" t="s">
        <v>5144</v>
      </c>
      <c r="D2605" t="s">
        <v>5145</v>
      </c>
      <c r="E2605">
        <v>0</v>
      </c>
      <c r="F2605" t="s">
        <v>5145</v>
      </c>
      <c r="N2605" t="str" cm="1">
        <f t="array" ref="N2605">IF(MOD(ROW()-ROW($B$2),16)=0,INDEX($M$2:$M$1000,(ROW()-ROW($B$2))/16+1),"")</f>
        <v/>
      </c>
    </row>
    <row r="2606" spans="2:14" x14ac:dyDescent="0.3">
      <c r="B2606" t="s">
        <v>2177</v>
      </c>
      <c r="C2606" t="s">
        <v>5146</v>
      </c>
      <c r="D2606" t="s">
        <v>5147</v>
      </c>
      <c r="E2606">
        <v>0</v>
      </c>
      <c r="F2606" t="s">
        <v>5147</v>
      </c>
      <c r="N2606" t="str" cm="1">
        <f t="array" ref="N2606">IF(MOD(ROW()-ROW($B$2),16)=0,INDEX($M$2:$M$1000,(ROW()-ROW($B$2))/16+1),"")</f>
        <v/>
      </c>
    </row>
    <row r="2607" spans="2:14" x14ac:dyDescent="0.3">
      <c r="B2607" t="s">
        <v>2177</v>
      </c>
      <c r="C2607" t="s">
        <v>5148</v>
      </c>
      <c r="D2607" t="s">
        <v>5149</v>
      </c>
      <c r="E2607">
        <v>0</v>
      </c>
      <c r="F2607" t="s">
        <v>5149</v>
      </c>
      <c r="N2607" t="str" cm="1">
        <f t="array" ref="N2607">IF(MOD(ROW()-ROW($B$2),16)=0,INDEX($M$2:$M$1000,(ROW()-ROW($B$2))/16+1),"")</f>
        <v/>
      </c>
    </row>
    <row r="2608" spans="2:14" x14ac:dyDescent="0.3">
      <c r="B2608" t="s">
        <v>2177</v>
      </c>
      <c r="C2608" t="s">
        <v>5150</v>
      </c>
      <c r="D2608" t="s">
        <v>5151</v>
      </c>
      <c r="E2608">
        <v>0</v>
      </c>
      <c r="F2608" t="s">
        <v>5151</v>
      </c>
      <c r="N2608" t="str" cm="1">
        <f t="array" ref="N2608">IF(MOD(ROW()-ROW($B$2),16)=0,INDEX($M$2:$M$1000,(ROW()-ROW($B$2))/16+1),"")</f>
        <v/>
      </c>
    </row>
    <row r="2609" spans="2:14" x14ac:dyDescent="0.3">
      <c r="B2609" t="s">
        <v>2177</v>
      </c>
      <c r="C2609" t="s">
        <v>407</v>
      </c>
      <c r="D2609" t="s">
        <v>5152</v>
      </c>
      <c r="E2609">
        <v>0</v>
      </c>
      <c r="F2609" t="s">
        <v>5152</v>
      </c>
      <c r="N2609" t="str" cm="1">
        <f t="array" ref="N2609">IF(MOD(ROW()-ROW($B$2),16)=0,INDEX($M$2:$M$1000,(ROW()-ROW($B$2))/16+1),"")</f>
        <v/>
      </c>
    </row>
    <row r="2610" spans="2:14" x14ac:dyDescent="0.3">
      <c r="B2610" t="s">
        <v>2177</v>
      </c>
      <c r="C2610" t="s">
        <v>5153</v>
      </c>
      <c r="D2610" t="s">
        <v>5154</v>
      </c>
      <c r="E2610">
        <v>0</v>
      </c>
      <c r="F2610" t="s">
        <v>5154</v>
      </c>
      <c r="N2610" t="str" cm="1">
        <f t="array" ref="N2610">IF(MOD(ROW()-ROW($B$2),16)=0,INDEX($M$2:$M$1000,(ROW()-ROW($B$2))/16+1),"")</f>
        <v>MULNULL (0)</v>
      </c>
    </row>
    <row r="2611" spans="2:14" x14ac:dyDescent="0.3">
      <c r="B2611" t="s">
        <v>2177</v>
      </c>
      <c r="C2611" t="s">
        <v>5155</v>
      </c>
      <c r="D2611" t="s">
        <v>5156</v>
      </c>
      <c r="E2611">
        <v>0</v>
      </c>
      <c r="F2611" t="s">
        <v>5156</v>
      </c>
      <c r="N2611" t="str" cm="1">
        <f t="array" ref="N2611">IF(MOD(ROW()-ROW($B$2),16)=0,INDEX($M$2:$M$1000,(ROW()-ROW($B$2))/16+1),"")</f>
        <v/>
      </c>
    </row>
    <row r="2612" spans="2:14" x14ac:dyDescent="0.3">
      <c r="B2612" t="s">
        <v>2177</v>
      </c>
      <c r="C2612" t="s">
        <v>5157</v>
      </c>
      <c r="D2612" t="s">
        <v>5158</v>
      </c>
      <c r="E2612">
        <v>0</v>
      </c>
      <c r="F2612" t="s">
        <v>5158</v>
      </c>
      <c r="N2612" t="str" cm="1">
        <f t="array" ref="N2612">IF(MOD(ROW()-ROW($B$2),16)=0,INDEX($M$2:$M$1000,(ROW()-ROW($B$2))/16+1),"")</f>
        <v/>
      </c>
    </row>
    <row r="2613" spans="2:14" x14ac:dyDescent="0.3">
      <c r="B2613" t="s">
        <v>2177</v>
      </c>
      <c r="C2613" t="s">
        <v>5159</v>
      </c>
      <c r="D2613" t="s">
        <v>5160</v>
      </c>
      <c r="E2613">
        <v>0</v>
      </c>
      <c r="F2613" t="s">
        <v>5160</v>
      </c>
      <c r="N2613" t="str" cm="1">
        <f t="array" ref="N2613">IF(MOD(ROW()-ROW($B$2),16)=0,INDEX($M$2:$M$1000,(ROW()-ROW($B$2))/16+1),"")</f>
        <v/>
      </c>
    </row>
    <row r="2614" spans="2:14" x14ac:dyDescent="0.3">
      <c r="B2614" t="s">
        <v>2177</v>
      </c>
      <c r="C2614" t="s">
        <v>5161</v>
      </c>
      <c r="D2614" t="s">
        <v>5162</v>
      </c>
      <c r="E2614">
        <v>0</v>
      </c>
      <c r="F2614" t="s">
        <v>5162</v>
      </c>
      <c r="N2614" t="str" cm="1">
        <f t="array" ref="N2614">IF(MOD(ROW()-ROW($B$2),16)=0,INDEX($M$2:$M$1000,(ROW()-ROW($B$2))/16+1),"")</f>
        <v/>
      </c>
    </row>
    <row r="2615" spans="2:14" x14ac:dyDescent="0.3">
      <c r="B2615" t="s">
        <v>2177</v>
      </c>
      <c r="C2615" t="s">
        <v>5163</v>
      </c>
      <c r="D2615" t="s">
        <v>5164</v>
      </c>
      <c r="E2615">
        <v>0</v>
      </c>
      <c r="F2615" t="s">
        <v>5164</v>
      </c>
      <c r="N2615" t="str" cm="1">
        <f t="array" ref="N2615">IF(MOD(ROW()-ROW($B$2),16)=0,INDEX($M$2:$M$1000,(ROW()-ROW($B$2))/16+1),"")</f>
        <v/>
      </c>
    </row>
    <row r="2616" spans="2:14" x14ac:dyDescent="0.3">
      <c r="B2616" t="s">
        <v>2177</v>
      </c>
      <c r="C2616" t="s">
        <v>5165</v>
      </c>
      <c r="D2616" t="s">
        <v>5166</v>
      </c>
      <c r="E2616">
        <v>0</v>
      </c>
      <c r="F2616" t="s">
        <v>5166</v>
      </c>
      <c r="N2616" t="str" cm="1">
        <f t="array" ref="N2616">IF(MOD(ROW()-ROW($B$2),16)=0,INDEX($M$2:$M$1000,(ROW()-ROW($B$2))/16+1),"")</f>
        <v/>
      </c>
    </row>
    <row r="2617" spans="2:14" x14ac:dyDescent="0.3">
      <c r="B2617" t="s">
        <v>2177</v>
      </c>
      <c r="C2617" t="s">
        <v>5167</v>
      </c>
      <c r="D2617" t="s">
        <v>5168</v>
      </c>
      <c r="E2617">
        <v>0</v>
      </c>
      <c r="F2617" t="s">
        <v>5168</v>
      </c>
      <c r="N2617" t="str" cm="1">
        <f t="array" ref="N2617">IF(MOD(ROW()-ROW($B$2),16)=0,INDEX($M$2:$M$1000,(ROW()-ROW($B$2))/16+1),"")</f>
        <v/>
      </c>
    </row>
    <row r="2618" spans="2:14" x14ac:dyDescent="0.3">
      <c r="B2618" t="s">
        <v>2177</v>
      </c>
      <c r="C2618" t="s">
        <v>5169</v>
      </c>
      <c r="D2618" t="s">
        <v>5170</v>
      </c>
      <c r="E2618">
        <v>0</v>
      </c>
      <c r="F2618" t="s">
        <v>5170</v>
      </c>
      <c r="N2618" t="str" cm="1">
        <f t="array" ref="N2618">IF(MOD(ROW()-ROW($B$2),16)=0,INDEX($M$2:$M$1000,(ROW()-ROW($B$2))/16+1),"")</f>
        <v/>
      </c>
    </row>
    <row r="2619" spans="2:14" x14ac:dyDescent="0.3">
      <c r="B2619" t="s">
        <v>2177</v>
      </c>
      <c r="C2619" t="s">
        <v>5171</v>
      </c>
      <c r="D2619" t="s">
        <v>5172</v>
      </c>
      <c r="E2619">
        <v>0</v>
      </c>
      <c r="F2619" t="s">
        <v>5172</v>
      </c>
      <c r="N2619" t="str" cm="1">
        <f t="array" ref="N2619">IF(MOD(ROW()-ROW($B$2),16)=0,INDEX($M$2:$M$1000,(ROW()-ROW($B$2))/16+1),"")</f>
        <v/>
      </c>
    </row>
    <row r="2620" spans="2:14" x14ac:dyDescent="0.3">
      <c r="B2620" t="s">
        <v>2177</v>
      </c>
      <c r="C2620" t="s">
        <v>5173</v>
      </c>
      <c r="D2620" t="s">
        <v>5174</v>
      </c>
      <c r="E2620">
        <v>0</v>
      </c>
      <c r="F2620" t="s">
        <v>5174</v>
      </c>
      <c r="N2620" t="str" cm="1">
        <f t="array" ref="N2620">IF(MOD(ROW()-ROW($B$2),16)=0,INDEX($M$2:$M$1000,(ROW()-ROW($B$2))/16+1),"")</f>
        <v/>
      </c>
    </row>
    <row r="2621" spans="2:14" x14ac:dyDescent="0.3">
      <c r="B2621" t="s">
        <v>2177</v>
      </c>
      <c r="C2621" t="s">
        <v>5175</v>
      </c>
      <c r="D2621" t="s">
        <v>5176</v>
      </c>
      <c r="E2621">
        <v>0</v>
      </c>
      <c r="F2621" t="s">
        <v>5176</v>
      </c>
      <c r="N2621" t="str" cm="1">
        <f t="array" ref="N2621">IF(MOD(ROW()-ROW($B$2),16)=0,INDEX($M$2:$M$1000,(ROW()-ROW($B$2))/16+1),"")</f>
        <v/>
      </c>
    </row>
    <row r="2622" spans="2:14" x14ac:dyDescent="0.3">
      <c r="B2622" t="s">
        <v>2177</v>
      </c>
      <c r="C2622" t="s">
        <v>5177</v>
      </c>
      <c r="D2622" t="s">
        <v>5178</v>
      </c>
      <c r="E2622">
        <v>0</v>
      </c>
      <c r="F2622" t="s">
        <v>5178</v>
      </c>
      <c r="N2622" t="str" cm="1">
        <f t="array" ref="N2622">IF(MOD(ROW()-ROW($B$2),16)=0,INDEX($M$2:$M$1000,(ROW()-ROW($B$2))/16+1),"")</f>
        <v/>
      </c>
    </row>
    <row r="2623" spans="2:14" x14ac:dyDescent="0.3">
      <c r="B2623" t="s">
        <v>2177</v>
      </c>
      <c r="C2623" t="s">
        <v>5179</v>
      </c>
      <c r="D2623" t="s">
        <v>5180</v>
      </c>
      <c r="E2623">
        <v>0</v>
      </c>
      <c r="F2623" t="s">
        <v>5180</v>
      </c>
      <c r="N2623" t="str" cm="1">
        <f t="array" ref="N2623">IF(MOD(ROW()-ROW($B$2),16)=0,INDEX($M$2:$M$1000,(ROW()-ROW($B$2))/16+1),"")</f>
        <v/>
      </c>
    </row>
    <row r="2624" spans="2:14" x14ac:dyDescent="0.3">
      <c r="B2624" t="s">
        <v>2177</v>
      </c>
      <c r="C2624" t="s">
        <v>5181</v>
      </c>
      <c r="D2624" t="s">
        <v>5182</v>
      </c>
      <c r="E2624">
        <v>0</v>
      </c>
      <c r="F2624" t="s">
        <v>5182</v>
      </c>
      <c r="N2624" t="str" cm="1">
        <f t="array" ref="N2624">IF(MOD(ROW()-ROW($B$2),16)=0,INDEX($M$2:$M$1000,(ROW()-ROW($B$2))/16+1),"")</f>
        <v/>
      </c>
    </row>
    <row r="2625" spans="2:14" x14ac:dyDescent="0.3">
      <c r="B2625" t="s">
        <v>2177</v>
      </c>
      <c r="C2625" t="s">
        <v>410</v>
      </c>
      <c r="D2625" t="s">
        <v>5183</v>
      </c>
      <c r="E2625">
        <v>0</v>
      </c>
      <c r="F2625" t="s">
        <v>5183</v>
      </c>
      <c r="N2625" t="str" cm="1">
        <f t="array" ref="N2625">IF(MOD(ROW()-ROW($B$2),16)=0,INDEX($M$2:$M$1000,(ROW()-ROW($B$2))/16+1),"")</f>
        <v/>
      </c>
    </row>
    <row r="2626" spans="2:14" x14ac:dyDescent="0.3">
      <c r="B2626" t="s">
        <v>2177</v>
      </c>
      <c r="C2626" t="s">
        <v>5184</v>
      </c>
      <c r="D2626" t="s">
        <v>5185</v>
      </c>
      <c r="E2626">
        <v>0</v>
      </c>
      <c r="F2626" t="s">
        <v>5185</v>
      </c>
      <c r="N2626" t="str" cm="1">
        <f t="array" ref="N2626">IF(MOD(ROW()-ROW($B$2),16)=0,INDEX($M$2:$M$1000,(ROW()-ROW($B$2))/16+1),"")</f>
        <v>MULNULL (0)</v>
      </c>
    </row>
    <row r="2627" spans="2:14" x14ac:dyDescent="0.3">
      <c r="B2627" t="s">
        <v>2177</v>
      </c>
      <c r="C2627" t="s">
        <v>5186</v>
      </c>
      <c r="D2627" t="s">
        <v>5187</v>
      </c>
      <c r="E2627">
        <v>0</v>
      </c>
      <c r="F2627" t="s">
        <v>5187</v>
      </c>
      <c r="N2627" t="str" cm="1">
        <f t="array" ref="N2627">IF(MOD(ROW()-ROW($B$2),16)=0,INDEX($M$2:$M$1000,(ROW()-ROW($B$2))/16+1),"")</f>
        <v/>
      </c>
    </row>
    <row r="2628" spans="2:14" x14ac:dyDescent="0.3">
      <c r="B2628" t="s">
        <v>2177</v>
      </c>
      <c r="C2628" t="s">
        <v>5188</v>
      </c>
      <c r="D2628" t="s">
        <v>5189</v>
      </c>
      <c r="E2628">
        <v>0</v>
      </c>
      <c r="F2628" t="s">
        <v>5189</v>
      </c>
      <c r="N2628" t="str" cm="1">
        <f t="array" ref="N2628">IF(MOD(ROW()-ROW($B$2),16)=0,INDEX($M$2:$M$1000,(ROW()-ROW($B$2))/16+1),"")</f>
        <v/>
      </c>
    </row>
    <row r="2629" spans="2:14" x14ac:dyDescent="0.3">
      <c r="B2629" t="s">
        <v>2177</v>
      </c>
      <c r="C2629" t="s">
        <v>5190</v>
      </c>
      <c r="D2629" t="s">
        <v>5191</v>
      </c>
      <c r="E2629">
        <v>0</v>
      </c>
      <c r="F2629" t="s">
        <v>5191</v>
      </c>
      <c r="N2629" t="str" cm="1">
        <f t="array" ref="N2629">IF(MOD(ROW()-ROW($B$2),16)=0,INDEX($M$2:$M$1000,(ROW()-ROW($B$2))/16+1),"")</f>
        <v/>
      </c>
    </row>
    <row r="2630" spans="2:14" x14ac:dyDescent="0.3">
      <c r="B2630" t="s">
        <v>2177</v>
      </c>
      <c r="C2630" t="s">
        <v>5192</v>
      </c>
      <c r="D2630" t="s">
        <v>5193</v>
      </c>
      <c r="E2630">
        <v>0</v>
      </c>
      <c r="F2630" t="s">
        <v>5193</v>
      </c>
      <c r="N2630" t="str" cm="1">
        <f t="array" ref="N2630">IF(MOD(ROW()-ROW($B$2),16)=0,INDEX($M$2:$M$1000,(ROW()-ROW($B$2))/16+1),"")</f>
        <v/>
      </c>
    </row>
    <row r="2631" spans="2:14" x14ac:dyDescent="0.3">
      <c r="B2631" t="s">
        <v>2177</v>
      </c>
      <c r="C2631" t="s">
        <v>5194</v>
      </c>
      <c r="D2631" t="s">
        <v>5195</v>
      </c>
      <c r="E2631">
        <v>0</v>
      </c>
      <c r="F2631" t="s">
        <v>5195</v>
      </c>
      <c r="N2631" t="str" cm="1">
        <f t="array" ref="N2631">IF(MOD(ROW()-ROW($B$2),16)=0,INDEX($M$2:$M$1000,(ROW()-ROW($B$2))/16+1),"")</f>
        <v/>
      </c>
    </row>
    <row r="2632" spans="2:14" x14ac:dyDescent="0.3">
      <c r="B2632" t="s">
        <v>2177</v>
      </c>
      <c r="C2632" t="s">
        <v>5196</v>
      </c>
      <c r="D2632" t="s">
        <v>5197</v>
      </c>
      <c r="E2632">
        <v>0</v>
      </c>
      <c r="F2632" t="s">
        <v>5197</v>
      </c>
      <c r="N2632" t="str" cm="1">
        <f t="array" ref="N2632">IF(MOD(ROW()-ROW($B$2),16)=0,INDEX($M$2:$M$1000,(ROW()-ROW($B$2))/16+1),"")</f>
        <v/>
      </c>
    </row>
    <row r="2633" spans="2:14" x14ac:dyDescent="0.3">
      <c r="B2633" t="s">
        <v>2177</v>
      </c>
      <c r="C2633" t="s">
        <v>411</v>
      </c>
      <c r="D2633" t="s">
        <v>5198</v>
      </c>
      <c r="E2633">
        <v>0</v>
      </c>
      <c r="F2633" t="s">
        <v>5198</v>
      </c>
      <c r="N2633" t="str" cm="1">
        <f t="array" ref="N2633">IF(MOD(ROW()-ROW($B$2),16)=0,INDEX($M$2:$M$1000,(ROW()-ROW($B$2))/16+1),"")</f>
        <v/>
      </c>
    </row>
    <row r="2634" spans="2:14" x14ac:dyDescent="0.3">
      <c r="B2634" t="s">
        <v>2177</v>
      </c>
      <c r="C2634" t="s">
        <v>5199</v>
      </c>
      <c r="D2634" t="s">
        <v>5200</v>
      </c>
      <c r="E2634">
        <v>0</v>
      </c>
      <c r="F2634" t="s">
        <v>5200</v>
      </c>
      <c r="N2634" t="str" cm="1">
        <f t="array" ref="N2634">IF(MOD(ROW()-ROW($B$2),16)=0,INDEX($M$2:$M$1000,(ROW()-ROW($B$2))/16+1),"")</f>
        <v/>
      </c>
    </row>
    <row r="2635" spans="2:14" x14ac:dyDescent="0.3">
      <c r="B2635" t="s">
        <v>2177</v>
      </c>
      <c r="C2635" t="s">
        <v>5201</v>
      </c>
      <c r="D2635" t="s">
        <v>5202</v>
      </c>
      <c r="E2635">
        <v>0</v>
      </c>
      <c r="F2635" t="s">
        <v>5202</v>
      </c>
      <c r="N2635" t="str" cm="1">
        <f t="array" ref="N2635">IF(MOD(ROW()-ROW($B$2),16)=0,INDEX($M$2:$M$1000,(ROW()-ROW($B$2))/16+1),"")</f>
        <v/>
      </c>
    </row>
    <row r="2636" spans="2:14" x14ac:dyDescent="0.3">
      <c r="B2636" t="s">
        <v>2177</v>
      </c>
      <c r="C2636" t="s">
        <v>5203</v>
      </c>
      <c r="D2636" t="s">
        <v>5204</v>
      </c>
      <c r="E2636">
        <v>0</v>
      </c>
      <c r="F2636" t="s">
        <v>5204</v>
      </c>
      <c r="N2636" t="str" cm="1">
        <f t="array" ref="N2636">IF(MOD(ROW()-ROW($B$2),16)=0,INDEX($M$2:$M$1000,(ROW()-ROW($B$2))/16+1),"")</f>
        <v/>
      </c>
    </row>
    <row r="2637" spans="2:14" x14ac:dyDescent="0.3">
      <c r="B2637" t="s">
        <v>2177</v>
      </c>
      <c r="C2637" t="s">
        <v>5205</v>
      </c>
      <c r="D2637" t="s">
        <v>5206</v>
      </c>
      <c r="E2637">
        <v>0</v>
      </c>
      <c r="F2637" t="s">
        <v>5206</v>
      </c>
      <c r="N2637" t="str" cm="1">
        <f t="array" ref="N2637">IF(MOD(ROW()-ROW($B$2),16)=0,INDEX($M$2:$M$1000,(ROW()-ROW($B$2))/16+1),"")</f>
        <v/>
      </c>
    </row>
    <row r="2638" spans="2:14" x14ac:dyDescent="0.3">
      <c r="B2638" t="s">
        <v>2177</v>
      </c>
      <c r="C2638" t="s">
        <v>5207</v>
      </c>
      <c r="D2638" t="s">
        <v>5208</v>
      </c>
      <c r="E2638">
        <v>0</v>
      </c>
      <c r="F2638" t="s">
        <v>5208</v>
      </c>
      <c r="N2638" t="str" cm="1">
        <f t="array" ref="N2638">IF(MOD(ROW()-ROW($B$2),16)=0,INDEX($M$2:$M$1000,(ROW()-ROW($B$2))/16+1),"")</f>
        <v/>
      </c>
    </row>
    <row r="2639" spans="2:14" x14ac:dyDescent="0.3">
      <c r="B2639" t="s">
        <v>2177</v>
      </c>
      <c r="C2639" t="s">
        <v>5209</v>
      </c>
      <c r="D2639" t="s">
        <v>5210</v>
      </c>
      <c r="E2639">
        <v>0</v>
      </c>
      <c r="F2639" t="s">
        <v>5210</v>
      </c>
      <c r="N2639" t="str" cm="1">
        <f t="array" ref="N2639">IF(MOD(ROW()-ROW($B$2),16)=0,INDEX($M$2:$M$1000,(ROW()-ROW($B$2))/16+1),"")</f>
        <v/>
      </c>
    </row>
    <row r="2640" spans="2:14" x14ac:dyDescent="0.3">
      <c r="B2640" t="s">
        <v>2177</v>
      </c>
      <c r="C2640" t="s">
        <v>5211</v>
      </c>
      <c r="D2640" t="s">
        <v>5212</v>
      </c>
      <c r="E2640">
        <v>0</v>
      </c>
      <c r="F2640" t="s">
        <v>5212</v>
      </c>
      <c r="N2640" t="str" cm="1">
        <f t="array" ref="N2640">IF(MOD(ROW()-ROW($B$2),16)=0,INDEX($M$2:$M$1000,(ROW()-ROW($B$2))/16+1),"")</f>
        <v/>
      </c>
    </row>
    <row r="2641" spans="2:14" x14ac:dyDescent="0.3">
      <c r="B2641" t="s">
        <v>2177</v>
      </c>
      <c r="C2641" t="s">
        <v>412</v>
      </c>
      <c r="D2641" t="s">
        <v>5213</v>
      </c>
      <c r="E2641">
        <v>0</v>
      </c>
      <c r="F2641" t="s">
        <v>5213</v>
      </c>
      <c r="N2641" t="str" cm="1">
        <f t="array" ref="N2641">IF(MOD(ROW()-ROW($B$2),16)=0,INDEX($M$2:$M$1000,(ROW()-ROW($B$2))/16+1),"")</f>
        <v/>
      </c>
    </row>
    <row r="2642" spans="2:14" x14ac:dyDescent="0.3">
      <c r="B2642" t="s">
        <v>2177</v>
      </c>
      <c r="C2642" t="s">
        <v>5214</v>
      </c>
      <c r="D2642" t="s">
        <v>5215</v>
      </c>
      <c r="E2642">
        <v>0</v>
      </c>
      <c r="F2642" t="s">
        <v>5215</v>
      </c>
      <c r="N2642" t="str" cm="1">
        <f t="array" ref="N2642">IF(MOD(ROW()-ROW($B$2),16)=0,INDEX($M$2:$M$1000,(ROW()-ROW($B$2))/16+1),"")</f>
        <v>MULNULL (0)</v>
      </c>
    </row>
    <row r="2643" spans="2:14" x14ac:dyDescent="0.3">
      <c r="B2643" t="s">
        <v>2177</v>
      </c>
      <c r="C2643" t="s">
        <v>5216</v>
      </c>
      <c r="D2643" t="s">
        <v>5217</v>
      </c>
      <c r="E2643">
        <v>0</v>
      </c>
      <c r="F2643" t="s">
        <v>5217</v>
      </c>
      <c r="N2643" t="str" cm="1">
        <f t="array" ref="N2643">IF(MOD(ROW()-ROW($B$2),16)=0,INDEX($M$2:$M$1000,(ROW()-ROW($B$2))/16+1),"")</f>
        <v/>
      </c>
    </row>
    <row r="2644" spans="2:14" x14ac:dyDescent="0.3">
      <c r="B2644" t="s">
        <v>2177</v>
      </c>
      <c r="C2644" t="s">
        <v>5218</v>
      </c>
      <c r="D2644" t="s">
        <v>5219</v>
      </c>
      <c r="E2644">
        <v>0</v>
      </c>
      <c r="F2644" t="s">
        <v>5219</v>
      </c>
      <c r="N2644" t="str" cm="1">
        <f t="array" ref="N2644">IF(MOD(ROW()-ROW($B$2),16)=0,INDEX($M$2:$M$1000,(ROW()-ROW($B$2))/16+1),"")</f>
        <v/>
      </c>
    </row>
    <row r="2645" spans="2:14" x14ac:dyDescent="0.3">
      <c r="B2645" t="s">
        <v>2177</v>
      </c>
      <c r="C2645" t="s">
        <v>5220</v>
      </c>
      <c r="D2645" t="s">
        <v>5221</v>
      </c>
      <c r="E2645">
        <v>0</v>
      </c>
      <c r="F2645" t="s">
        <v>5221</v>
      </c>
      <c r="N2645" t="str" cm="1">
        <f t="array" ref="N2645">IF(MOD(ROW()-ROW($B$2),16)=0,INDEX($M$2:$M$1000,(ROW()-ROW($B$2))/16+1),"")</f>
        <v/>
      </c>
    </row>
    <row r="2646" spans="2:14" x14ac:dyDescent="0.3">
      <c r="B2646" t="s">
        <v>2177</v>
      </c>
      <c r="C2646" t="s">
        <v>5222</v>
      </c>
      <c r="D2646" t="s">
        <v>5223</v>
      </c>
      <c r="E2646">
        <v>0</v>
      </c>
      <c r="F2646" t="s">
        <v>5223</v>
      </c>
      <c r="N2646" t="str" cm="1">
        <f t="array" ref="N2646">IF(MOD(ROW()-ROW($B$2),16)=0,INDEX($M$2:$M$1000,(ROW()-ROW($B$2))/16+1),"")</f>
        <v/>
      </c>
    </row>
    <row r="2647" spans="2:14" x14ac:dyDescent="0.3">
      <c r="B2647" t="s">
        <v>2177</v>
      </c>
      <c r="C2647" t="s">
        <v>5224</v>
      </c>
      <c r="D2647" t="s">
        <v>5225</v>
      </c>
      <c r="E2647">
        <v>0</v>
      </c>
      <c r="F2647" t="s">
        <v>5225</v>
      </c>
      <c r="N2647" t="str" cm="1">
        <f t="array" ref="N2647">IF(MOD(ROW()-ROW($B$2),16)=0,INDEX($M$2:$M$1000,(ROW()-ROW($B$2))/16+1),"")</f>
        <v/>
      </c>
    </row>
    <row r="2648" spans="2:14" x14ac:dyDescent="0.3">
      <c r="B2648" t="s">
        <v>2177</v>
      </c>
      <c r="C2648" t="s">
        <v>5226</v>
      </c>
      <c r="D2648" t="s">
        <v>5227</v>
      </c>
      <c r="E2648">
        <v>0</v>
      </c>
      <c r="F2648" t="s">
        <v>5227</v>
      </c>
      <c r="N2648" t="str" cm="1">
        <f t="array" ref="N2648">IF(MOD(ROW()-ROW($B$2),16)=0,INDEX($M$2:$M$1000,(ROW()-ROW($B$2))/16+1),"")</f>
        <v/>
      </c>
    </row>
    <row r="2649" spans="2:14" x14ac:dyDescent="0.3">
      <c r="B2649" t="s">
        <v>2177</v>
      </c>
      <c r="C2649" t="s">
        <v>439</v>
      </c>
      <c r="D2649" t="s">
        <v>5228</v>
      </c>
      <c r="E2649">
        <v>0</v>
      </c>
      <c r="F2649" t="s">
        <v>5228</v>
      </c>
      <c r="N2649" t="str" cm="1">
        <f t="array" ref="N2649">IF(MOD(ROW()-ROW($B$2),16)=0,INDEX($M$2:$M$1000,(ROW()-ROW($B$2))/16+1),"")</f>
        <v/>
      </c>
    </row>
    <row r="2650" spans="2:14" x14ac:dyDescent="0.3">
      <c r="B2650" t="s">
        <v>2177</v>
      </c>
      <c r="C2650" t="s">
        <v>5229</v>
      </c>
      <c r="D2650" t="s">
        <v>5230</v>
      </c>
      <c r="E2650">
        <v>0</v>
      </c>
      <c r="F2650" t="s">
        <v>5230</v>
      </c>
      <c r="N2650" t="str" cm="1">
        <f t="array" ref="N2650">IF(MOD(ROW()-ROW($B$2),16)=0,INDEX($M$2:$M$1000,(ROW()-ROW($B$2))/16+1),"")</f>
        <v/>
      </c>
    </row>
    <row r="2651" spans="2:14" x14ac:dyDescent="0.3">
      <c r="B2651" t="s">
        <v>2177</v>
      </c>
      <c r="C2651" t="s">
        <v>5231</v>
      </c>
      <c r="D2651" t="s">
        <v>5232</v>
      </c>
      <c r="E2651">
        <v>0</v>
      </c>
      <c r="F2651" t="s">
        <v>5232</v>
      </c>
      <c r="N2651" t="str" cm="1">
        <f t="array" ref="N2651">IF(MOD(ROW()-ROW($B$2),16)=0,INDEX($M$2:$M$1000,(ROW()-ROW($B$2))/16+1),"")</f>
        <v/>
      </c>
    </row>
    <row r="2652" spans="2:14" x14ac:dyDescent="0.3">
      <c r="B2652" t="s">
        <v>2177</v>
      </c>
      <c r="C2652" t="s">
        <v>5233</v>
      </c>
      <c r="D2652" t="s">
        <v>5234</v>
      </c>
      <c r="E2652">
        <v>0</v>
      </c>
      <c r="F2652" t="s">
        <v>5234</v>
      </c>
      <c r="N2652" t="str" cm="1">
        <f t="array" ref="N2652">IF(MOD(ROW()-ROW($B$2),16)=0,INDEX($M$2:$M$1000,(ROW()-ROW($B$2))/16+1),"")</f>
        <v/>
      </c>
    </row>
    <row r="2653" spans="2:14" x14ac:dyDescent="0.3">
      <c r="B2653" t="s">
        <v>2177</v>
      </c>
      <c r="C2653" t="s">
        <v>5235</v>
      </c>
      <c r="D2653" t="s">
        <v>5236</v>
      </c>
      <c r="E2653">
        <v>0</v>
      </c>
      <c r="F2653" t="s">
        <v>5236</v>
      </c>
      <c r="N2653" t="str" cm="1">
        <f t="array" ref="N2653">IF(MOD(ROW()-ROW($B$2),16)=0,INDEX($M$2:$M$1000,(ROW()-ROW($B$2))/16+1),"")</f>
        <v/>
      </c>
    </row>
    <row r="2654" spans="2:14" x14ac:dyDescent="0.3">
      <c r="B2654" t="s">
        <v>2177</v>
      </c>
      <c r="C2654" t="s">
        <v>5237</v>
      </c>
      <c r="D2654" t="s">
        <v>5238</v>
      </c>
      <c r="E2654">
        <v>0</v>
      </c>
      <c r="F2654" t="s">
        <v>5238</v>
      </c>
      <c r="N2654" t="str" cm="1">
        <f t="array" ref="N2654">IF(MOD(ROW()-ROW($B$2),16)=0,INDEX($M$2:$M$1000,(ROW()-ROW($B$2))/16+1),"")</f>
        <v/>
      </c>
    </row>
    <row r="2655" spans="2:14" x14ac:dyDescent="0.3">
      <c r="B2655" t="s">
        <v>2177</v>
      </c>
      <c r="C2655" t="s">
        <v>5239</v>
      </c>
      <c r="D2655" t="s">
        <v>5240</v>
      </c>
      <c r="E2655">
        <v>0</v>
      </c>
      <c r="F2655" t="s">
        <v>5240</v>
      </c>
      <c r="N2655" t="str" cm="1">
        <f t="array" ref="N2655">IF(MOD(ROW()-ROW($B$2),16)=0,INDEX($M$2:$M$1000,(ROW()-ROW($B$2))/16+1),"")</f>
        <v/>
      </c>
    </row>
    <row r="2656" spans="2:14" x14ac:dyDescent="0.3">
      <c r="B2656" t="s">
        <v>2177</v>
      </c>
      <c r="C2656" t="s">
        <v>5241</v>
      </c>
      <c r="D2656" t="s">
        <v>5242</v>
      </c>
      <c r="E2656">
        <v>0</v>
      </c>
      <c r="F2656" t="s">
        <v>5242</v>
      </c>
      <c r="N2656" t="str" cm="1">
        <f t="array" ref="N2656">IF(MOD(ROW()-ROW($B$2),16)=0,INDEX($M$2:$M$1000,(ROW()-ROW($B$2))/16+1),"")</f>
        <v/>
      </c>
    </row>
    <row r="2657" spans="2:14" x14ac:dyDescent="0.3">
      <c r="B2657" t="s">
        <v>2177</v>
      </c>
      <c r="C2657" t="s">
        <v>5243</v>
      </c>
      <c r="D2657" t="s">
        <v>5244</v>
      </c>
      <c r="E2657">
        <v>0</v>
      </c>
      <c r="F2657" t="s">
        <v>5244</v>
      </c>
      <c r="N2657" t="str" cm="1">
        <f t="array" ref="N2657">IF(MOD(ROW()-ROW($B$2),16)=0,INDEX($M$2:$M$1000,(ROW()-ROW($B$2))/16+1),"")</f>
        <v/>
      </c>
    </row>
    <row r="2658" spans="2:14" x14ac:dyDescent="0.3">
      <c r="B2658" t="s">
        <v>2177</v>
      </c>
      <c r="C2658" t="s">
        <v>5245</v>
      </c>
      <c r="D2658" t="s">
        <v>5246</v>
      </c>
      <c r="E2658">
        <v>0</v>
      </c>
      <c r="F2658" t="s">
        <v>5246</v>
      </c>
      <c r="N2658" t="str" cm="1">
        <f t="array" ref="N2658">IF(MOD(ROW()-ROW($B$2),16)=0,INDEX($M$2:$M$1000,(ROW()-ROW($B$2))/16+1),"")</f>
        <v>Номер кнопки на странице списка пластин (0)</v>
      </c>
    </row>
    <row r="2659" spans="2:14" x14ac:dyDescent="0.3">
      <c r="B2659" t="s">
        <v>2177</v>
      </c>
      <c r="C2659" t="s">
        <v>5247</v>
      </c>
      <c r="D2659" t="s">
        <v>5248</v>
      </c>
      <c r="E2659">
        <v>0</v>
      </c>
      <c r="F2659" t="s">
        <v>5248</v>
      </c>
      <c r="N2659" t="str" cm="1">
        <f t="array" ref="N2659">IF(MOD(ROW()-ROW($B$2),16)=0,INDEX($M$2:$M$1000,(ROW()-ROW($B$2))/16+1),"")</f>
        <v/>
      </c>
    </row>
    <row r="2660" spans="2:14" x14ac:dyDescent="0.3">
      <c r="B2660" t="s">
        <v>2177</v>
      </c>
      <c r="C2660" t="s">
        <v>5249</v>
      </c>
      <c r="D2660" t="s">
        <v>5250</v>
      </c>
      <c r="E2660">
        <v>0</v>
      </c>
      <c r="F2660" t="s">
        <v>5250</v>
      </c>
      <c r="N2660" t="str" cm="1">
        <f t="array" ref="N2660">IF(MOD(ROW()-ROW($B$2),16)=0,INDEX($M$2:$M$1000,(ROW()-ROW($B$2))/16+1),"")</f>
        <v/>
      </c>
    </row>
    <row r="2661" spans="2:14" x14ac:dyDescent="0.3">
      <c r="B2661" t="s">
        <v>2177</v>
      </c>
      <c r="C2661" t="s">
        <v>5251</v>
      </c>
      <c r="D2661" t="s">
        <v>5252</v>
      </c>
      <c r="E2661">
        <v>0</v>
      </c>
      <c r="F2661" t="s">
        <v>5252</v>
      </c>
      <c r="N2661" t="str" cm="1">
        <f t="array" ref="N2661">IF(MOD(ROW()-ROW($B$2),16)=0,INDEX($M$2:$M$1000,(ROW()-ROW($B$2))/16+1),"")</f>
        <v/>
      </c>
    </row>
    <row r="2662" spans="2:14" x14ac:dyDescent="0.3">
      <c r="B2662" t="s">
        <v>2177</v>
      </c>
      <c r="C2662" t="s">
        <v>5253</v>
      </c>
      <c r="D2662" t="s">
        <v>5254</v>
      </c>
      <c r="E2662">
        <v>0</v>
      </c>
      <c r="F2662" t="s">
        <v>5254</v>
      </c>
      <c r="N2662" t="str" cm="1">
        <f t="array" ref="N2662">IF(MOD(ROW()-ROW($B$2),16)=0,INDEX($M$2:$M$1000,(ROW()-ROW($B$2))/16+1),"")</f>
        <v/>
      </c>
    </row>
    <row r="2663" spans="2:14" x14ac:dyDescent="0.3">
      <c r="B2663" t="s">
        <v>2177</v>
      </c>
      <c r="C2663" t="s">
        <v>5255</v>
      </c>
      <c r="D2663" t="s">
        <v>5256</v>
      </c>
      <c r="E2663">
        <v>0</v>
      </c>
      <c r="F2663" t="s">
        <v>5256</v>
      </c>
      <c r="N2663" t="str" cm="1">
        <f t="array" ref="N2663">IF(MOD(ROW()-ROW($B$2),16)=0,INDEX($M$2:$M$1000,(ROW()-ROW($B$2))/16+1),"")</f>
        <v/>
      </c>
    </row>
    <row r="2664" spans="2:14" x14ac:dyDescent="0.3">
      <c r="B2664" t="s">
        <v>2177</v>
      </c>
      <c r="C2664" t="s">
        <v>5257</v>
      </c>
      <c r="D2664" t="s">
        <v>5258</v>
      </c>
      <c r="E2664">
        <v>0</v>
      </c>
      <c r="F2664" t="s">
        <v>5258</v>
      </c>
      <c r="N2664" t="str" cm="1">
        <f t="array" ref="N2664">IF(MOD(ROW()-ROW($B$2),16)=0,INDEX($M$2:$M$1000,(ROW()-ROW($B$2))/16+1),"")</f>
        <v/>
      </c>
    </row>
    <row r="2665" spans="2:14" x14ac:dyDescent="0.3">
      <c r="B2665" t="s">
        <v>2177</v>
      </c>
      <c r="C2665" t="s">
        <v>5259</v>
      </c>
      <c r="D2665" t="s">
        <v>5260</v>
      </c>
      <c r="E2665">
        <v>0</v>
      </c>
      <c r="F2665" t="s">
        <v>5260</v>
      </c>
      <c r="N2665" t="str" cm="1">
        <f t="array" ref="N2665">IF(MOD(ROW()-ROW($B$2),16)=0,INDEX($M$2:$M$1000,(ROW()-ROW($B$2))/16+1),"")</f>
        <v/>
      </c>
    </row>
    <row r="2666" spans="2:14" x14ac:dyDescent="0.3">
      <c r="B2666" t="s">
        <v>2177</v>
      </c>
      <c r="C2666" t="s">
        <v>456</v>
      </c>
      <c r="D2666" t="s">
        <v>442</v>
      </c>
      <c r="E2666">
        <v>0</v>
      </c>
      <c r="F2666" t="s">
        <v>442</v>
      </c>
      <c r="N2666" t="str" cm="1">
        <f t="array" ref="N2666">IF(MOD(ROW()-ROW($B$2),16)=0,INDEX($M$2:$M$1000,(ROW()-ROW($B$2))/16+1),"")</f>
        <v/>
      </c>
    </row>
    <row r="2667" spans="2:14" x14ac:dyDescent="0.3">
      <c r="B2667" t="s">
        <v>2177</v>
      </c>
      <c r="C2667" t="s">
        <v>457</v>
      </c>
      <c r="D2667" t="s">
        <v>443</v>
      </c>
      <c r="E2667">
        <v>0</v>
      </c>
      <c r="F2667" t="s">
        <v>443</v>
      </c>
      <c r="N2667" t="str" cm="1">
        <f t="array" ref="N2667">IF(MOD(ROW()-ROW($B$2),16)=0,INDEX($M$2:$M$1000,(ROW()-ROW($B$2))/16+1),"")</f>
        <v/>
      </c>
    </row>
    <row r="2668" spans="2:14" x14ac:dyDescent="0.3">
      <c r="B2668" t="s">
        <v>2177</v>
      </c>
      <c r="C2668" t="s">
        <v>5261</v>
      </c>
      <c r="D2668" t="s">
        <v>458</v>
      </c>
      <c r="E2668">
        <v>0</v>
      </c>
      <c r="F2668" t="s">
        <v>458</v>
      </c>
      <c r="N2668" t="str" cm="1">
        <f t="array" ref="N2668">IF(MOD(ROW()-ROW($B$2),16)=0,INDEX($M$2:$M$1000,(ROW()-ROW($B$2))/16+1),"")</f>
        <v/>
      </c>
    </row>
    <row r="2669" spans="2:14" x14ac:dyDescent="0.3">
      <c r="B2669" t="s">
        <v>2177</v>
      </c>
      <c r="C2669" t="s">
        <v>5262</v>
      </c>
      <c r="D2669" t="s">
        <v>459</v>
      </c>
      <c r="E2669">
        <v>0</v>
      </c>
      <c r="F2669" t="s">
        <v>459</v>
      </c>
      <c r="N2669" t="str" cm="1">
        <f t="array" ref="N2669">IF(MOD(ROW()-ROW($B$2),16)=0,INDEX($M$2:$M$1000,(ROW()-ROW($B$2))/16+1),"")</f>
        <v/>
      </c>
    </row>
    <row r="2670" spans="2:14" x14ac:dyDescent="0.3">
      <c r="B2670" t="s">
        <v>2177</v>
      </c>
      <c r="C2670" t="s">
        <v>5263</v>
      </c>
      <c r="D2670" t="s">
        <v>460</v>
      </c>
      <c r="E2670">
        <v>0</v>
      </c>
      <c r="F2670" t="s">
        <v>460</v>
      </c>
      <c r="N2670" t="str" cm="1">
        <f t="array" ref="N2670">IF(MOD(ROW()-ROW($B$2),16)=0,INDEX($M$2:$M$1000,(ROW()-ROW($B$2))/16+1),"")</f>
        <v/>
      </c>
    </row>
    <row r="2671" spans="2:14" x14ac:dyDescent="0.3">
      <c r="B2671" t="s">
        <v>2177</v>
      </c>
      <c r="C2671" t="s">
        <v>5264</v>
      </c>
      <c r="D2671" t="s">
        <v>462</v>
      </c>
      <c r="E2671">
        <v>0</v>
      </c>
      <c r="F2671" t="s">
        <v>462</v>
      </c>
      <c r="N2671" t="str" cm="1">
        <f t="array" ref="N2671">IF(MOD(ROW()-ROW($B$2),16)=0,INDEX($M$2:$M$1000,(ROW()-ROW($B$2))/16+1),"")</f>
        <v/>
      </c>
    </row>
    <row r="2672" spans="2:14" x14ac:dyDescent="0.3">
      <c r="B2672" t="s">
        <v>2177</v>
      </c>
      <c r="C2672" t="s">
        <v>5265</v>
      </c>
      <c r="D2672" t="s">
        <v>461</v>
      </c>
      <c r="E2672">
        <v>0</v>
      </c>
      <c r="F2672" t="s">
        <v>461</v>
      </c>
      <c r="N2672" t="str" cm="1">
        <f t="array" ref="N2672">IF(MOD(ROW()-ROW($B$2),16)=0,INDEX($M$2:$M$1000,(ROW()-ROW($B$2))/16+1),"")</f>
        <v/>
      </c>
    </row>
    <row r="2673" spans="2:14" x14ac:dyDescent="0.3">
      <c r="B2673" t="s">
        <v>2177</v>
      </c>
      <c r="C2673" t="s">
        <v>5266</v>
      </c>
      <c r="D2673" t="s">
        <v>463</v>
      </c>
      <c r="E2673">
        <v>0</v>
      </c>
      <c r="F2673" t="s">
        <v>463</v>
      </c>
      <c r="N2673" t="str" cm="1">
        <f t="array" ref="N2673">IF(MOD(ROW()-ROW($B$2),16)=0,INDEX($M$2:$M$1000,(ROW()-ROW($B$2))/16+1),"")</f>
        <v/>
      </c>
    </row>
    <row r="2674" spans="2:14" x14ac:dyDescent="0.3">
      <c r="B2674" t="s">
        <v>2173</v>
      </c>
      <c r="C2674" t="s">
        <v>5267</v>
      </c>
      <c r="D2674" t="s">
        <v>4535</v>
      </c>
      <c r="E2674">
        <v>0</v>
      </c>
      <c r="F2674" t="s">
        <v>4535</v>
      </c>
      <c r="N2674" t="str" cm="1">
        <f t="array" ref="N2674">IF(MOD(ROW()-ROW($B$2),16)=0,INDEX($M$2:$M$1000,(ROW()-ROW($B$2))/16+1),"")</f>
        <v>Номер редактируемой пластины (0)</v>
      </c>
    </row>
    <row r="2675" spans="2:14" x14ac:dyDescent="0.3">
      <c r="B2675" t="s">
        <v>2173</v>
      </c>
      <c r="C2675" t="s">
        <v>5268</v>
      </c>
      <c r="D2675" t="s">
        <v>4567</v>
      </c>
      <c r="E2675">
        <v>0</v>
      </c>
      <c r="F2675" t="s">
        <v>4567</v>
      </c>
      <c r="N2675" t="str" cm="1">
        <f t="array" ref="N2675">IF(MOD(ROW()-ROW($B$2),16)=0,INDEX($M$2:$M$1000,(ROW()-ROW($B$2))/16+1),"")</f>
        <v/>
      </c>
    </row>
    <row r="2676" spans="2:14" x14ac:dyDescent="0.3">
      <c r="B2676" t="s">
        <v>2173</v>
      </c>
      <c r="C2676" t="s">
        <v>5269</v>
      </c>
      <c r="D2676" t="s">
        <v>4599</v>
      </c>
      <c r="E2676">
        <v>0</v>
      </c>
      <c r="F2676" t="s">
        <v>4599</v>
      </c>
      <c r="N2676" t="str" cm="1">
        <f t="array" ref="N2676">IF(MOD(ROW()-ROW($B$2),16)=0,INDEX($M$2:$M$1000,(ROW()-ROW($B$2))/16+1),"")</f>
        <v/>
      </c>
    </row>
    <row r="2677" spans="2:14" x14ac:dyDescent="0.3">
      <c r="B2677" t="s">
        <v>2173</v>
      </c>
      <c r="C2677" t="s">
        <v>5270</v>
      </c>
      <c r="D2677" t="s">
        <v>4631</v>
      </c>
      <c r="E2677">
        <v>0</v>
      </c>
      <c r="F2677" t="s">
        <v>4631</v>
      </c>
      <c r="N2677" t="str" cm="1">
        <f t="array" ref="N2677">IF(MOD(ROW()-ROW($B$2),16)=0,INDEX($M$2:$M$1000,(ROW()-ROW($B$2))/16+1),"")</f>
        <v/>
      </c>
    </row>
    <row r="2678" spans="2:14" x14ac:dyDescent="0.3">
      <c r="B2678" t="s">
        <v>2173</v>
      </c>
      <c r="C2678" t="s">
        <v>5271</v>
      </c>
      <c r="D2678" t="s">
        <v>4669</v>
      </c>
      <c r="E2678">
        <v>0</v>
      </c>
      <c r="F2678" t="s">
        <v>4669</v>
      </c>
      <c r="N2678" t="str" cm="1">
        <f t="array" ref="N2678">IF(MOD(ROW()-ROW($B$2),16)=0,INDEX($M$2:$M$1000,(ROW()-ROW($B$2))/16+1),"")</f>
        <v/>
      </c>
    </row>
    <row r="2679" spans="2:14" x14ac:dyDescent="0.3">
      <c r="B2679" t="s">
        <v>2173</v>
      </c>
      <c r="C2679" t="s">
        <v>5272</v>
      </c>
      <c r="D2679" t="s">
        <v>4685</v>
      </c>
      <c r="E2679">
        <v>0</v>
      </c>
      <c r="F2679" t="s">
        <v>4685</v>
      </c>
      <c r="N2679" t="str" cm="1">
        <f t="array" ref="N2679">IF(MOD(ROW()-ROW($B$2),16)=0,INDEX($M$2:$M$1000,(ROW()-ROW($B$2))/16+1),"")</f>
        <v/>
      </c>
    </row>
    <row r="2680" spans="2:14" x14ac:dyDescent="0.3">
      <c r="B2680" t="s">
        <v>2173</v>
      </c>
      <c r="C2680" t="s">
        <v>5273</v>
      </c>
      <c r="D2680" t="s">
        <v>4717</v>
      </c>
      <c r="E2680">
        <v>0</v>
      </c>
      <c r="F2680" t="s">
        <v>4717</v>
      </c>
      <c r="N2680" t="str" cm="1">
        <f t="array" ref="N2680">IF(MOD(ROW()-ROW($B$2),16)=0,INDEX($M$2:$M$1000,(ROW()-ROW($B$2))/16+1),"")</f>
        <v/>
      </c>
    </row>
    <row r="2681" spans="2:14" x14ac:dyDescent="0.3">
      <c r="B2681" t="s">
        <v>2173</v>
      </c>
      <c r="C2681" t="s">
        <v>5274</v>
      </c>
      <c r="D2681" t="s">
        <v>4725</v>
      </c>
      <c r="E2681">
        <v>0</v>
      </c>
      <c r="F2681" t="s">
        <v>4725</v>
      </c>
      <c r="N2681" t="str" cm="1">
        <f t="array" ref="N2681">IF(MOD(ROW()-ROW($B$2),16)=0,INDEX($M$2:$M$1000,(ROW()-ROW($B$2))/16+1),"")</f>
        <v/>
      </c>
    </row>
    <row r="2682" spans="2:14" x14ac:dyDescent="0.3">
      <c r="B2682" t="s">
        <v>2173</v>
      </c>
      <c r="C2682" t="s">
        <v>5275</v>
      </c>
      <c r="D2682" t="s">
        <v>4757</v>
      </c>
      <c r="E2682">
        <v>0</v>
      </c>
      <c r="F2682" t="s">
        <v>4757</v>
      </c>
      <c r="N2682" t="str" cm="1">
        <f t="array" ref="N2682">IF(MOD(ROW()-ROW($B$2),16)=0,INDEX($M$2:$M$1000,(ROW()-ROW($B$2))/16+1),"")</f>
        <v/>
      </c>
    </row>
    <row r="2683" spans="2:14" x14ac:dyDescent="0.3">
      <c r="B2683" t="s">
        <v>2173</v>
      </c>
      <c r="C2683" t="s">
        <v>5276</v>
      </c>
      <c r="D2683" t="s">
        <v>4293</v>
      </c>
      <c r="E2683">
        <v>0</v>
      </c>
      <c r="F2683" t="s">
        <v>4293</v>
      </c>
      <c r="N2683" t="str" cm="1">
        <f t="array" ref="N2683">IF(MOD(ROW()-ROW($B$2),16)=0,INDEX($M$2:$M$1000,(ROW()-ROW($B$2))/16+1),"")</f>
        <v/>
      </c>
    </row>
    <row r="2684" spans="2:14" x14ac:dyDescent="0.3">
      <c r="B2684" t="s">
        <v>2173</v>
      </c>
      <c r="C2684" t="s">
        <v>5277</v>
      </c>
      <c r="D2684" t="s">
        <v>4296</v>
      </c>
      <c r="E2684">
        <v>0</v>
      </c>
      <c r="F2684" t="s">
        <v>4296</v>
      </c>
      <c r="N2684" t="str" cm="1">
        <f t="array" ref="N2684">IF(MOD(ROW()-ROW($B$2),16)=0,INDEX($M$2:$M$1000,(ROW()-ROW($B$2))/16+1),"")</f>
        <v/>
      </c>
    </row>
    <row r="2685" spans="2:14" x14ac:dyDescent="0.3">
      <c r="B2685" t="s">
        <v>2173</v>
      </c>
      <c r="C2685" t="s">
        <v>5278</v>
      </c>
      <c r="D2685" t="s">
        <v>4300</v>
      </c>
      <c r="E2685">
        <v>0</v>
      </c>
      <c r="F2685" t="s">
        <v>4300</v>
      </c>
      <c r="N2685" t="str" cm="1">
        <f t="array" ref="N2685">IF(MOD(ROW()-ROW($B$2),16)=0,INDEX($M$2:$M$1000,(ROW()-ROW($B$2))/16+1),"")</f>
        <v/>
      </c>
    </row>
    <row r="2686" spans="2:14" x14ac:dyDescent="0.3">
      <c r="B2686" t="s">
        <v>2173</v>
      </c>
      <c r="C2686" t="s">
        <v>5279</v>
      </c>
      <c r="D2686" t="s">
        <v>4902</v>
      </c>
      <c r="E2686">
        <v>0</v>
      </c>
      <c r="F2686" t="s">
        <v>4902</v>
      </c>
      <c r="N2686" t="str" cm="1">
        <f t="array" ref="N2686">IF(MOD(ROW()-ROW($B$2),16)=0,INDEX($M$2:$M$1000,(ROW()-ROW($B$2))/16+1),"")</f>
        <v/>
      </c>
    </row>
    <row r="2687" spans="2:14" x14ac:dyDescent="0.3">
      <c r="B2687" t="s">
        <v>2173</v>
      </c>
      <c r="C2687" t="s">
        <v>5280</v>
      </c>
      <c r="D2687" t="s">
        <v>4932</v>
      </c>
      <c r="E2687">
        <v>0</v>
      </c>
      <c r="F2687" t="s">
        <v>4932</v>
      </c>
      <c r="N2687" t="str" cm="1">
        <f t="array" ref="N2687">IF(MOD(ROW()-ROW($B$2),16)=0,INDEX($M$2:$M$1000,(ROW()-ROW($B$2))/16+1),"")</f>
        <v/>
      </c>
    </row>
    <row r="2688" spans="2:14" x14ac:dyDescent="0.3">
      <c r="B2688" t="s">
        <v>2173</v>
      </c>
      <c r="C2688" t="s">
        <v>5281</v>
      </c>
      <c r="D2688" t="s">
        <v>4962</v>
      </c>
      <c r="E2688">
        <v>0</v>
      </c>
      <c r="F2688" t="s">
        <v>4962</v>
      </c>
      <c r="N2688" t="str" cm="1">
        <f t="array" ref="N2688">IF(MOD(ROW()-ROW($B$2),16)=0,INDEX($M$2:$M$1000,(ROW()-ROW($B$2))/16+1),"")</f>
        <v/>
      </c>
    </row>
    <row r="2689" spans="2:14" x14ac:dyDescent="0.3">
      <c r="B2689" t="s">
        <v>2173</v>
      </c>
      <c r="C2689" t="s">
        <v>5282</v>
      </c>
      <c r="D2689" t="s">
        <v>4992</v>
      </c>
      <c r="E2689">
        <v>0</v>
      </c>
      <c r="F2689" t="s">
        <v>4992</v>
      </c>
      <c r="N2689" t="str" cm="1">
        <f t="array" ref="N2689">IF(MOD(ROW()-ROW($B$2),16)=0,INDEX($M$2:$M$1000,(ROW()-ROW($B$2))/16+1),"")</f>
        <v/>
      </c>
    </row>
    <row r="2690" spans="2:14" x14ac:dyDescent="0.3">
      <c r="B2690" t="s">
        <v>2173</v>
      </c>
      <c r="C2690" t="s">
        <v>5283</v>
      </c>
      <c r="D2690" t="s">
        <v>5021</v>
      </c>
      <c r="E2690">
        <v>0</v>
      </c>
      <c r="F2690" t="s">
        <v>5021</v>
      </c>
      <c r="N2690" t="str" cm="1">
        <f t="array" ref="N2690">IF(MOD(ROW()-ROW($B$2),16)=0,INDEX($M$2:$M$1000,(ROW()-ROW($B$2))/16+1),"")</f>
        <v>Смещение номера ред. пластины на 100 (0)</v>
      </c>
    </row>
    <row r="2691" spans="2:14" x14ac:dyDescent="0.3">
      <c r="B2691" t="s">
        <v>2173</v>
      </c>
      <c r="C2691" t="s">
        <v>5284</v>
      </c>
      <c r="D2691" t="s">
        <v>5028</v>
      </c>
      <c r="E2691">
        <v>0</v>
      </c>
      <c r="F2691" t="s">
        <v>5028</v>
      </c>
      <c r="N2691" t="str" cm="1">
        <f t="array" ref="N2691">IF(MOD(ROW()-ROW($B$2),16)=0,INDEX($M$2:$M$1000,(ROW()-ROW($B$2))/16+1),"")</f>
        <v/>
      </c>
    </row>
    <row r="2692" spans="2:14" x14ac:dyDescent="0.3">
      <c r="B2692" t="s">
        <v>2173</v>
      </c>
      <c r="C2692" t="s">
        <v>5285</v>
      </c>
      <c r="D2692" t="s">
        <v>5059</v>
      </c>
      <c r="E2692">
        <v>0</v>
      </c>
      <c r="F2692" t="s">
        <v>5059</v>
      </c>
      <c r="N2692" t="str" cm="1">
        <f t="array" ref="N2692">IF(MOD(ROW()-ROW($B$2),16)=0,INDEX($M$2:$M$1000,(ROW()-ROW($B$2))/16+1),"")</f>
        <v/>
      </c>
    </row>
    <row r="2693" spans="2:14" x14ac:dyDescent="0.3">
      <c r="B2693" t="s">
        <v>2173</v>
      </c>
      <c r="C2693" t="s">
        <v>5286</v>
      </c>
      <c r="D2693" t="s">
        <v>5090</v>
      </c>
      <c r="E2693">
        <v>0</v>
      </c>
      <c r="F2693" t="s">
        <v>5090</v>
      </c>
      <c r="N2693" t="str" cm="1">
        <f t="array" ref="N2693">IF(MOD(ROW()-ROW($B$2),16)=0,INDEX($M$2:$M$1000,(ROW()-ROW($B$2))/16+1),"")</f>
        <v/>
      </c>
    </row>
    <row r="2694" spans="2:14" x14ac:dyDescent="0.3">
      <c r="B2694" t="s">
        <v>2173</v>
      </c>
      <c r="C2694" t="s">
        <v>5287</v>
      </c>
      <c r="D2694" t="s">
        <v>5121</v>
      </c>
      <c r="E2694">
        <v>0</v>
      </c>
      <c r="F2694" t="s">
        <v>5121</v>
      </c>
      <c r="N2694" t="str" cm="1">
        <f t="array" ref="N2694">IF(MOD(ROW()-ROW($B$2),16)=0,INDEX($M$2:$M$1000,(ROW()-ROW($B$2))/16+1),"")</f>
        <v/>
      </c>
    </row>
    <row r="2695" spans="2:14" x14ac:dyDescent="0.3">
      <c r="B2695" t="s">
        <v>2173</v>
      </c>
      <c r="C2695" t="s">
        <v>5288</v>
      </c>
      <c r="D2695" t="s">
        <v>5152</v>
      </c>
      <c r="E2695">
        <v>0</v>
      </c>
      <c r="F2695" t="s">
        <v>5152</v>
      </c>
      <c r="N2695" t="str" cm="1">
        <f t="array" ref="N2695">IF(MOD(ROW()-ROW($B$2),16)=0,INDEX($M$2:$M$1000,(ROW()-ROW($B$2))/16+1),"")</f>
        <v/>
      </c>
    </row>
    <row r="2696" spans="2:14" x14ac:dyDescent="0.3">
      <c r="B2696" t="s">
        <v>2173</v>
      </c>
      <c r="C2696" t="s">
        <v>5289</v>
      </c>
      <c r="D2696" t="s">
        <v>5183</v>
      </c>
      <c r="E2696">
        <v>0</v>
      </c>
      <c r="F2696" t="s">
        <v>5183</v>
      </c>
      <c r="N2696" t="str" cm="1">
        <f t="array" ref="N2696">IF(MOD(ROW()-ROW($B$2),16)=0,INDEX($M$2:$M$1000,(ROW()-ROW($B$2))/16+1),"")</f>
        <v/>
      </c>
    </row>
    <row r="2697" spans="2:14" x14ac:dyDescent="0.3">
      <c r="B2697" t="s">
        <v>2173</v>
      </c>
      <c r="C2697" t="s">
        <v>5290</v>
      </c>
      <c r="D2697" t="s">
        <v>5213</v>
      </c>
      <c r="E2697">
        <v>0</v>
      </c>
      <c r="F2697" t="s">
        <v>5213</v>
      </c>
      <c r="N2697" t="str" cm="1">
        <f t="array" ref="N2697">IF(MOD(ROW()-ROW($B$2),16)=0,INDEX($M$2:$M$1000,(ROW()-ROW($B$2))/16+1),"")</f>
        <v/>
      </c>
    </row>
    <row r="2698" spans="2:14" x14ac:dyDescent="0.3">
      <c r="B2698" t="s">
        <v>2173</v>
      </c>
      <c r="C2698" t="s">
        <v>5291</v>
      </c>
      <c r="D2698" t="s">
        <v>5244</v>
      </c>
      <c r="E2698">
        <v>0</v>
      </c>
      <c r="F2698" t="s">
        <v>5244</v>
      </c>
      <c r="N2698" t="str" cm="1">
        <f t="array" ref="N2698">IF(MOD(ROW()-ROW($B$2),16)=0,INDEX($M$2:$M$1000,(ROW()-ROW($B$2))/16+1),"")</f>
        <v/>
      </c>
    </row>
    <row r="2699" spans="2:14" x14ac:dyDescent="0.3">
      <c r="D2699">
        <v>0</v>
      </c>
      <c r="E2699">
        <v>0</v>
      </c>
      <c r="N2699" t="str" cm="1">
        <f t="array" ref="N2699">IF(MOD(ROW()-ROW($B$2),16)=0,INDEX($M$2:$M$1000,(ROW()-ROW($B$2))/16+1),"")</f>
        <v/>
      </c>
    </row>
    <row r="2700" spans="2:14" x14ac:dyDescent="0.3">
      <c r="N2700" t="str" cm="1">
        <f t="array" ref="N2700">IF(MOD(ROW()-ROW($B$2),16)=0,INDEX($M$2:$M$1000,(ROW()-ROW($B$2))/16+1),"")</f>
        <v/>
      </c>
    </row>
    <row r="2701" spans="2:14" x14ac:dyDescent="0.3">
      <c r="N2701" t="str" cm="1">
        <f t="array" ref="N2701">IF(MOD(ROW()-ROW($B$2),16)=0,INDEX($M$2:$M$1000,(ROW()-ROW($B$2))/16+1),"")</f>
        <v/>
      </c>
    </row>
    <row r="2702" spans="2:14" x14ac:dyDescent="0.3">
      <c r="N2702" t="str" cm="1">
        <f t="array" ref="N2702">IF(MOD(ROW()-ROW($B$2),16)=0,INDEX($M$2:$M$1000,(ROW()-ROW($B$2))/16+1),"")</f>
        <v/>
      </c>
    </row>
    <row r="2703" spans="2:14" x14ac:dyDescent="0.3">
      <c r="N2703" t="str" cm="1">
        <f t="array" ref="N2703">IF(MOD(ROW()-ROW($B$2),16)=0,INDEX($M$2:$M$1000,(ROW()-ROW($B$2))/16+1),"")</f>
        <v/>
      </c>
    </row>
    <row r="2704" spans="2:14" x14ac:dyDescent="0.3">
      <c r="N2704" t="str" cm="1">
        <f t="array" ref="N2704">IF(MOD(ROW()-ROW($B$2),16)=0,INDEX($M$2:$M$1000,(ROW()-ROW($B$2))/16+1),"")</f>
        <v/>
      </c>
    </row>
    <row r="2705" spans="14:14" x14ac:dyDescent="0.3">
      <c r="N2705" t="str" cm="1">
        <f t="array" ref="N2705">IF(MOD(ROW()-ROW($B$2),16)=0,INDEX($M$2:$M$1000,(ROW()-ROW($B$2))/16+1),"")</f>
        <v/>
      </c>
    </row>
    <row r="2706" spans="14:14" x14ac:dyDescent="0.3">
      <c r="N2706" t="str" cm="1">
        <f t="array" ref="N2706">IF(MOD(ROW()-ROW($B$2),16)=0,INDEX($M$2:$M$1000,(ROW()-ROW($B$2))/16+1),"")</f>
        <v/>
      </c>
    </row>
    <row r="2707" spans="14:14" x14ac:dyDescent="0.3">
      <c r="N2707" t="str" cm="1">
        <f t="array" ref="N2707">IF(MOD(ROW()-ROW($B$2),16)=0,INDEX($M$2:$M$1000,(ROW()-ROW($B$2))/16+1),"")</f>
        <v/>
      </c>
    </row>
    <row r="2708" spans="14:14" x14ac:dyDescent="0.3">
      <c r="N2708" t="str" cm="1">
        <f t="array" ref="N2708">IF(MOD(ROW()-ROW($B$2),16)=0,INDEX($M$2:$M$1000,(ROW()-ROW($B$2))/16+1),"")</f>
        <v/>
      </c>
    </row>
    <row r="2709" spans="14:14" x14ac:dyDescent="0.3">
      <c r="N2709" t="str" cm="1">
        <f t="array" ref="N2709">IF(MOD(ROW()-ROW($B$2),16)=0,INDEX($M$2:$M$1000,(ROW()-ROW($B$2))/16+1),"")</f>
        <v/>
      </c>
    </row>
    <row r="2710" spans="14:14" x14ac:dyDescent="0.3">
      <c r="N2710" t="str" cm="1">
        <f t="array" ref="N2710">IF(MOD(ROW()-ROW($B$2),16)=0,INDEX($M$2:$M$1000,(ROW()-ROW($B$2))/16+1),"")</f>
        <v/>
      </c>
    </row>
    <row r="2711" spans="14:14" x14ac:dyDescent="0.3">
      <c r="N2711" t="str" cm="1">
        <f t="array" ref="N2711">IF(MOD(ROW()-ROW($B$2),16)=0,INDEX($M$2:$M$1000,(ROW()-ROW($B$2))/16+1),"")</f>
        <v/>
      </c>
    </row>
    <row r="2712" spans="14:14" x14ac:dyDescent="0.3">
      <c r="N2712" t="str" cm="1">
        <f t="array" ref="N2712">IF(MOD(ROW()-ROW($B$2),16)=0,INDEX($M$2:$M$1000,(ROW()-ROW($B$2))/16+1),"")</f>
        <v/>
      </c>
    </row>
    <row r="2713" spans="14:14" x14ac:dyDescent="0.3">
      <c r="N2713" t="str" cm="1">
        <f t="array" ref="N2713">IF(MOD(ROW()-ROW($B$2),16)=0,INDEX($M$2:$M$1000,(ROW()-ROW($B$2))/16+1),"")</f>
        <v/>
      </c>
    </row>
    <row r="2714" spans="14:14" x14ac:dyDescent="0.3">
      <c r="N2714" t="str" cm="1">
        <f t="array" ref="N2714">IF(MOD(ROW()-ROW($B$2),16)=0,INDEX($M$2:$M$1000,(ROW()-ROW($B$2))/16+1),"")</f>
        <v/>
      </c>
    </row>
    <row r="2715" spans="14:14" x14ac:dyDescent="0.3">
      <c r="N2715" t="str" cm="1">
        <f t="array" ref="N2715">IF(MOD(ROW()-ROW($B$2),16)=0,INDEX($M$2:$M$1000,(ROW()-ROW($B$2))/16+1),"")</f>
        <v/>
      </c>
    </row>
    <row r="2716" spans="14:14" x14ac:dyDescent="0.3">
      <c r="N2716" t="str" cm="1">
        <f t="array" ref="N2716">IF(MOD(ROW()-ROW($B$2),16)=0,INDEX($M$2:$M$1000,(ROW()-ROW($B$2))/16+1),"")</f>
        <v/>
      </c>
    </row>
    <row r="2717" spans="14:14" x14ac:dyDescent="0.3">
      <c r="N2717" t="str" cm="1">
        <f t="array" ref="N2717">IF(MOD(ROW()-ROW($B$2),16)=0,INDEX($M$2:$M$1000,(ROW()-ROW($B$2))/16+1),"")</f>
        <v/>
      </c>
    </row>
    <row r="2718" spans="14:14" x14ac:dyDescent="0.3">
      <c r="N2718" t="str" cm="1">
        <f t="array" ref="N2718">IF(MOD(ROW()-ROW($B$2),16)=0,INDEX($M$2:$M$1000,(ROW()-ROW($B$2))/16+1),"")</f>
        <v/>
      </c>
    </row>
    <row r="2719" spans="14:14" x14ac:dyDescent="0.3">
      <c r="N2719" t="str" cm="1">
        <f t="array" ref="N2719">IF(MOD(ROW()-ROW($B$2),16)=0,INDEX($M$2:$M$1000,(ROW()-ROW($B$2))/16+1),"")</f>
        <v/>
      </c>
    </row>
    <row r="2720" spans="14:14" x14ac:dyDescent="0.3">
      <c r="N2720" t="str" cm="1">
        <f t="array" ref="N2720">IF(MOD(ROW()-ROW($B$2),16)=0,INDEX($M$2:$M$1000,(ROW()-ROW($B$2))/16+1),"")</f>
        <v/>
      </c>
    </row>
    <row r="2721" spans="14:14" x14ac:dyDescent="0.3">
      <c r="N2721" t="str" cm="1">
        <f t="array" ref="N2721">IF(MOD(ROW()-ROW($B$2),16)=0,INDEX($M$2:$M$1000,(ROW()-ROW($B$2))/16+1),"")</f>
        <v/>
      </c>
    </row>
    <row r="2722" spans="14:14" x14ac:dyDescent="0.3">
      <c r="N2722" t="str" cm="1">
        <f t="array" ref="N2722">IF(MOD(ROW()-ROW($B$2),16)=0,INDEX($M$2:$M$1000,(ROW()-ROW($B$2))/16+1),"")</f>
        <v>Предыдущее выбранное задание (0)</v>
      </c>
    </row>
    <row r="2723" spans="14:14" x14ac:dyDescent="0.3">
      <c r="N2723" t="str" cm="1">
        <f t="array" ref="N2723">IF(MOD(ROW()-ROW($B$2),16)=0,INDEX($M$2:$M$1000,(ROW()-ROW($B$2))/16+1),"")</f>
        <v/>
      </c>
    </row>
    <row r="2724" spans="14:14" x14ac:dyDescent="0.3">
      <c r="N2724" t="str" cm="1">
        <f t="array" ref="N2724">IF(MOD(ROW()-ROW($B$2),16)=0,INDEX($M$2:$M$1000,(ROW()-ROW($B$2))/16+1),"")</f>
        <v/>
      </c>
    </row>
    <row r="2725" spans="14:14" x14ac:dyDescent="0.3">
      <c r="N2725" t="str" cm="1">
        <f t="array" ref="N2725">IF(MOD(ROW()-ROW($B$2),16)=0,INDEX($M$2:$M$1000,(ROW()-ROW($B$2))/16+1),"")</f>
        <v/>
      </c>
    </row>
    <row r="2726" spans="14:14" x14ac:dyDescent="0.3">
      <c r="N2726" t="str" cm="1">
        <f t="array" ref="N2726">IF(MOD(ROW()-ROW($B$2),16)=0,INDEX($M$2:$M$1000,(ROW()-ROW($B$2))/16+1),"")</f>
        <v/>
      </c>
    </row>
    <row r="2727" spans="14:14" x14ac:dyDescent="0.3">
      <c r="N2727" t="str" cm="1">
        <f t="array" ref="N2727">IF(MOD(ROW()-ROW($B$2),16)=0,INDEX($M$2:$M$1000,(ROW()-ROW($B$2))/16+1),"")</f>
        <v/>
      </c>
    </row>
    <row r="2728" spans="14:14" x14ac:dyDescent="0.3">
      <c r="N2728" t="str" cm="1">
        <f t="array" ref="N2728">IF(MOD(ROW()-ROW($B$2),16)=0,INDEX($M$2:$M$1000,(ROW()-ROW($B$2))/16+1),"")</f>
        <v/>
      </c>
    </row>
    <row r="2729" spans="14:14" x14ac:dyDescent="0.3">
      <c r="N2729" t="str" cm="1">
        <f t="array" ref="N2729">IF(MOD(ROW()-ROW($B$2),16)=0,INDEX($M$2:$M$1000,(ROW()-ROW($B$2))/16+1),"")</f>
        <v/>
      </c>
    </row>
    <row r="2730" spans="14:14" x14ac:dyDescent="0.3">
      <c r="N2730" t="str" cm="1">
        <f t="array" ref="N2730">IF(MOD(ROW()-ROW($B$2),16)=0,INDEX($M$2:$M$1000,(ROW()-ROW($B$2))/16+1),"")</f>
        <v/>
      </c>
    </row>
    <row r="2731" spans="14:14" x14ac:dyDescent="0.3">
      <c r="N2731" t="str" cm="1">
        <f t="array" ref="N2731">IF(MOD(ROW()-ROW($B$2),16)=0,INDEX($M$2:$M$1000,(ROW()-ROW($B$2))/16+1),"")</f>
        <v/>
      </c>
    </row>
    <row r="2732" spans="14:14" x14ac:dyDescent="0.3">
      <c r="N2732" t="str" cm="1">
        <f t="array" ref="N2732">IF(MOD(ROW()-ROW($B$2),16)=0,INDEX($M$2:$M$1000,(ROW()-ROW($B$2))/16+1),"")</f>
        <v/>
      </c>
    </row>
    <row r="2733" spans="14:14" x14ac:dyDescent="0.3">
      <c r="N2733" t="str" cm="1">
        <f t="array" ref="N2733">IF(MOD(ROW()-ROW($B$2),16)=0,INDEX($M$2:$M$1000,(ROW()-ROW($B$2))/16+1),"")</f>
        <v/>
      </c>
    </row>
    <row r="2734" spans="14:14" x14ac:dyDescent="0.3">
      <c r="N2734" t="str" cm="1">
        <f t="array" ref="N2734">IF(MOD(ROW()-ROW($B$2),16)=0,INDEX($M$2:$M$1000,(ROW()-ROW($B$2))/16+1),"")</f>
        <v/>
      </c>
    </row>
    <row r="2735" spans="14:14" x14ac:dyDescent="0.3">
      <c r="N2735" t="str" cm="1">
        <f t="array" ref="N2735">IF(MOD(ROW()-ROW($B$2),16)=0,INDEX($M$2:$M$1000,(ROW()-ROW($B$2))/16+1),"")</f>
        <v/>
      </c>
    </row>
    <row r="2736" spans="14:14" x14ac:dyDescent="0.3">
      <c r="N2736" t="str" cm="1">
        <f t="array" ref="N2736">IF(MOD(ROW()-ROW($B$2),16)=0,INDEX($M$2:$M$1000,(ROW()-ROW($B$2))/16+1),"")</f>
        <v/>
      </c>
    </row>
    <row r="2737" spans="14:14" x14ac:dyDescent="0.3">
      <c r="N2737" t="str" cm="1">
        <f t="array" ref="N2737">IF(MOD(ROW()-ROW($B$2),16)=0,INDEX($M$2:$M$1000,(ROW()-ROW($B$2))/16+1),"")</f>
        <v/>
      </c>
    </row>
    <row r="2738" spans="14:14" x14ac:dyDescent="0.3">
      <c r="N2738" t="str" cm="1">
        <f t="array" ref="N2738">IF(MOD(ROW()-ROW($B$2),16)=0,INDEX($M$2:$M$1000,(ROW()-ROW($B$2))/16+1),"")</f>
        <v>Предыдущая выбранная пластина  (0)</v>
      </c>
    </row>
    <row r="2739" spans="14:14" x14ac:dyDescent="0.3">
      <c r="N2739" t="str" cm="1">
        <f t="array" ref="N2739">IF(MOD(ROW()-ROW($B$2),16)=0,INDEX($M$2:$M$1000,(ROW()-ROW($B$2))/16+1),"")</f>
        <v/>
      </c>
    </row>
    <row r="2740" spans="14:14" x14ac:dyDescent="0.3">
      <c r="N2740" t="str" cm="1">
        <f t="array" ref="N2740">IF(MOD(ROW()-ROW($B$2),16)=0,INDEX($M$2:$M$1000,(ROW()-ROW($B$2))/16+1),"")</f>
        <v/>
      </c>
    </row>
    <row r="2741" spans="14:14" x14ac:dyDescent="0.3">
      <c r="N2741" t="str" cm="1">
        <f t="array" ref="N2741">IF(MOD(ROW()-ROW($B$2),16)=0,INDEX($M$2:$M$1000,(ROW()-ROW($B$2))/16+1),"")</f>
        <v/>
      </c>
    </row>
    <row r="2742" spans="14:14" x14ac:dyDescent="0.3">
      <c r="N2742" t="str" cm="1">
        <f t="array" ref="N2742">IF(MOD(ROW()-ROW($B$2),16)=0,INDEX($M$2:$M$1000,(ROW()-ROW($B$2))/16+1),"")</f>
        <v/>
      </c>
    </row>
    <row r="2743" spans="14:14" x14ac:dyDescent="0.3">
      <c r="N2743" t="str" cm="1">
        <f t="array" ref="N2743">IF(MOD(ROW()-ROW($B$2),16)=0,INDEX($M$2:$M$1000,(ROW()-ROW($B$2))/16+1),"")</f>
        <v/>
      </c>
    </row>
    <row r="2744" spans="14:14" x14ac:dyDescent="0.3">
      <c r="N2744" t="str" cm="1">
        <f t="array" ref="N2744">IF(MOD(ROW()-ROW($B$2),16)=0,INDEX($M$2:$M$1000,(ROW()-ROW($B$2))/16+1),"")</f>
        <v/>
      </c>
    </row>
    <row r="2745" spans="14:14" x14ac:dyDescent="0.3">
      <c r="N2745" t="str" cm="1">
        <f t="array" ref="N2745">IF(MOD(ROW()-ROW($B$2),16)=0,INDEX($M$2:$M$1000,(ROW()-ROW($B$2))/16+1),"")</f>
        <v/>
      </c>
    </row>
    <row r="2746" spans="14:14" x14ac:dyDescent="0.3">
      <c r="N2746" t="str" cm="1">
        <f t="array" ref="N2746">IF(MOD(ROW()-ROW($B$2),16)=0,INDEX($M$2:$M$1000,(ROW()-ROW($B$2))/16+1),"")</f>
        <v/>
      </c>
    </row>
    <row r="2747" spans="14:14" x14ac:dyDescent="0.3">
      <c r="N2747" t="str" cm="1">
        <f t="array" ref="N2747">IF(MOD(ROW()-ROW($B$2),16)=0,INDEX($M$2:$M$1000,(ROW()-ROW($B$2))/16+1),"")</f>
        <v/>
      </c>
    </row>
    <row r="2748" spans="14:14" x14ac:dyDescent="0.3">
      <c r="N2748" t="str" cm="1">
        <f t="array" ref="N2748">IF(MOD(ROW()-ROW($B$2),16)=0,INDEX($M$2:$M$1000,(ROW()-ROW($B$2))/16+1),"")</f>
        <v/>
      </c>
    </row>
    <row r="2749" spans="14:14" x14ac:dyDescent="0.3">
      <c r="N2749" t="str" cm="1">
        <f t="array" ref="N2749">IF(MOD(ROW()-ROW($B$2),16)=0,INDEX($M$2:$M$1000,(ROW()-ROW($B$2))/16+1),"")</f>
        <v/>
      </c>
    </row>
    <row r="2750" spans="14:14" x14ac:dyDescent="0.3">
      <c r="N2750" t="str" cm="1">
        <f t="array" ref="N2750">IF(MOD(ROW()-ROW($B$2),16)=0,INDEX($M$2:$M$1000,(ROW()-ROW($B$2))/16+1),"")</f>
        <v/>
      </c>
    </row>
    <row r="2751" spans="14:14" x14ac:dyDescent="0.3">
      <c r="N2751" t="str" cm="1">
        <f t="array" ref="N2751">IF(MOD(ROW()-ROW($B$2),16)=0,INDEX($M$2:$M$1000,(ROW()-ROW($B$2))/16+1),"")</f>
        <v/>
      </c>
    </row>
    <row r="2752" spans="14:14" x14ac:dyDescent="0.3">
      <c r="N2752" t="str" cm="1">
        <f t="array" ref="N2752">IF(MOD(ROW()-ROW($B$2),16)=0,INDEX($M$2:$M$1000,(ROW()-ROW($B$2))/16+1),"")</f>
        <v/>
      </c>
    </row>
    <row r="2753" spans="14:14" x14ac:dyDescent="0.3">
      <c r="N2753" t="str" cm="1">
        <f t="array" ref="N2753">IF(MOD(ROW()-ROW($B$2),16)=0,INDEX($M$2:$M$1000,(ROW()-ROW($B$2))/16+1),"")</f>
        <v/>
      </c>
    </row>
    <row r="2754" spans="14:14" x14ac:dyDescent="0.3">
      <c r="N2754" t="str" cm="1">
        <f t="array" ref="N2754">IF(MOD(ROW()-ROW($B$2),16)=0,INDEX($M$2:$M$1000,(ROW()-ROW($B$2))/16+1),"")</f>
        <v>Номер редактируемого задания -1 (0)</v>
      </c>
    </row>
    <row r="2755" spans="14:14" x14ac:dyDescent="0.3">
      <c r="N2755" t="str" cm="1">
        <f t="array" ref="N2755">IF(MOD(ROW()-ROW($B$2),16)=0,INDEX($M$2:$M$1000,(ROW()-ROW($B$2))/16+1),"")</f>
        <v/>
      </c>
    </row>
    <row r="2756" spans="14:14" x14ac:dyDescent="0.3">
      <c r="N2756" t="str" cm="1">
        <f t="array" ref="N2756">IF(MOD(ROW()-ROW($B$2),16)=0,INDEX($M$2:$M$1000,(ROW()-ROW($B$2))/16+1),"")</f>
        <v/>
      </c>
    </row>
    <row r="2757" spans="14:14" x14ac:dyDescent="0.3">
      <c r="N2757" t="str" cm="1">
        <f t="array" ref="N2757">IF(MOD(ROW()-ROW($B$2),16)=0,INDEX($M$2:$M$1000,(ROW()-ROW($B$2))/16+1),"")</f>
        <v/>
      </c>
    </row>
    <row r="2758" spans="14:14" x14ac:dyDescent="0.3">
      <c r="N2758" t="str" cm="1">
        <f t="array" ref="N2758">IF(MOD(ROW()-ROW($B$2),16)=0,INDEX($M$2:$M$1000,(ROW()-ROW($B$2))/16+1),"")</f>
        <v/>
      </c>
    </row>
    <row r="2759" spans="14:14" x14ac:dyDescent="0.3">
      <c r="N2759" t="str" cm="1">
        <f t="array" ref="N2759">IF(MOD(ROW()-ROW($B$2),16)=0,INDEX($M$2:$M$1000,(ROW()-ROW($B$2))/16+1),"")</f>
        <v/>
      </c>
    </row>
    <row r="2760" spans="14:14" x14ac:dyDescent="0.3">
      <c r="N2760" t="str" cm="1">
        <f t="array" ref="N2760">IF(MOD(ROW()-ROW($B$2),16)=0,INDEX($M$2:$M$1000,(ROW()-ROW($B$2))/16+1),"")</f>
        <v/>
      </c>
    </row>
    <row r="2761" spans="14:14" x14ac:dyDescent="0.3">
      <c r="N2761" t="str" cm="1">
        <f t="array" ref="N2761">IF(MOD(ROW()-ROW($B$2),16)=0,INDEX($M$2:$M$1000,(ROW()-ROW($B$2))/16+1),"")</f>
        <v/>
      </c>
    </row>
    <row r="2762" spans="14:14" x14ac:dyDescent="0.3">
      <c r="N2762" t="str" cm="1">
        <f t="array" ref="N2762">IF(MOD(ROW()-ROW($B$2),16)=0,INDEX($M$2:$M$1000,(ROW()-ROW($B$2))/16+1),"")</f>
        <v/>
      </c>
    </row>
    <row r="2763" spans="14:14" x14ac:dyDescent="0.3">
      <c r="N2763" t="str" cm="1">
        <f t="array" ref="N2763">IF(MOD(ROW()-ROW($B$2),16)=0,INDEX($M$2:$M$1000,(ROW()-ROW($B$2))/16+1),"")</f>
        <v/>
      </c>
    </row>
    <row r="2764" spans="14:14" x14ac:dyDescent="0.3">
      <c r="N2764" t="str" cm="1">
        <f t="array" ref="N2764">IF(MOD(ROW()-ROW($B$2),16)=0,INDEX($M$2:$M$1000,(ROW()-ROW($B$2))/16+1),"")</f>
        <v/>
      </c>
    </row>
    <row r="2765" spans="14:14" x14ac:dyDescent="0.3">
      <c r="N2765" t="str" cm="1">
        <f t="array" ref="N2765">IF(MOD(ROW()-ROW($B$2),16)=0,INDEX($M$2:$M$1000,(ROW()-ROW($B$2))/16+1),"")</f>
        <v/>
      </c>
    </row>
    <row r="2766" spans="14:14" x14ac:dyDescent="0.3">
      <c r="N2766" t="str" cm="1">
        <f t="array" ref="N2766">IF(MOD(ROW()-ROW($B$2),16)=0,INDEX($M$2:$M$1000,(ROW()-ROW($B$2))/16+1),"")</f>
        <v/>
      </c>
    </row>
    <row r="2767" spans="14:14" x14ac:dyDescent="0.3">
      <c r="N2767" t="str" cm="1">
        <f t="array" ref="N2767">IF(MOD(ROW()-ROW($B$2),16)=0,INDEX($M$2:$M$1000,(ROW()-ROW($B$2))/16+1),"")</f>
        <v/>
      </c>
    </row>
    <row r="2768" spans="14:14" x14ac:dyDescent="0.3">
      <c r="N2768" t="str" cm="1">
        <f t="array" ref="N2768">IF(MOD(ROW()-ROW($B$2),16)=0,INDEX($M$2:$M$1000,(ROW()-ROW($B$2))/16+1),"")</f>
        <v/>
      </c>
    </row>
    <row r="2769" spans="14:14" x14ac:dyDescent="0.3">
      <c r="N2769" t="str" cm="1">
        <f t="array" ref="N2769">IF(MOD(ROW()-ROW($B$2),16)=0,INDEX($M$2:$M$1000,(ROW()-ROW($B$2))/16+1),"")</f>
        <v/>
      </c>
    </row>
    <row r="2770" spans="14:14" x14ac:dyDescent="0.3">
      <c r="N2770" t="str" cm="1">
        <f t="array" ref="N2770">IF(MOD(ROW()-ROW($B$2),16)=0,INDEX($M$2:$M$1000,(ROW()-ROW($B$2))/16+1),"")</f>
        <v>Номер редактируемой пластины -101 (0)</v>
      </c>
    </row>
    <row r="2771" spans="14:14" x14ac:dyDescent="0.3">
      <c r="N2771" t="str" cm="1">
        <f t="array" ref="N2771">IF(MOD(ROW()-ROW($B$2),16)=0,INDEX($M$2:$M$1000,(ROW()-ROW($B$2))/16+1),"")</f>
        <v/>
      </c>
    </row>
    <row r="2772" spans="14:14" x14ac:dyDescent="0.3">
      <c r="N2772" t="str" cm="1">
        <f t="array" ref="N2772">IF(MOD(ROW()-ROW($B$2),16)=0,INDEX($M$2:$M$1000,(ROW()-ROW($B$2))/16+1),"")</f>
        <v/>
      </c>
    </row>
    <row r="2773" spans="14:14" x14ac:dyDescent="0.3">
      <c r="N2773" t="str" cm="1">
        <f t="array" ref="N2773">IF(MOD(ROW()-ROW($B$2),16)=0,INDEX($M$2:$M$1000,(ROW()-ROW($B$2))/16+1),"")</f>
        <v/>
      </c>
    </row>
    <row r="2774" spans="14:14" x14ac:dyDescent="0.3">
      <c r="N2774" t="str" cm="1">
        <f t="array" ref="N2774">IF(MOD(ROW()-ROW($B$2),16)=0,INDEX($M$2:$M$1000,(ROW()-ROW($B$2))/16+1),"")</f>
        <v/>
      </c>
    </row>
    <row r="2775" spans="14:14" x14ac:dyDescent="0.3">
      <c r="N2775" t="str" cm="1">
        <f t="array" ref="N2775">IF(MOD(ROW()-ROW($B$2),16)=0,INDEX($M$2:$M$1000,(ROW()-ROW($B$2))/16+1),"")</f>
        <v/>
      </c>
    </row>
    <row r="2776" spans="14:14" x14ac:dyDescent="0.3">
      <c r="N2776" t="str" cm="1">
        <f t="array" ref="N2776">IF(MOD(ROW()-ROW($B$2),16)=0,INDEX($M$2:$M$1000,(ROW()-ROW($B$2))/16+1),"")</f>
        <v/>
      </c>
    </row>
    <row r="2777" spans="14:14" x14ac:dyDescent="0.3">
      <c r="N2777" t="str" cm="1">
        <f t="array" ref="N2777">IF(MOD(ROW()-ROW($B$2),16)=0,INDEX($M$2:$M$1000,(ROW()-ROW($B$2))/16+1),"")</f>
        <v/>
      </c>
    </row>
    <row r="2778" spans="14:14" x14ac:dyDescent="0.3">
      <c r="N2778" t="str" cm="1">
        <f t="array" ref="N2778">IF(MOD(ROW()-ROW($B$2),16)=0,INDEX($M$2:$M$1000,(ROW()-ROW($B$2))/16+1),"")</f>
        <v/>
      </c>
    </row>
    <row r="2779" spans="14:14" x14ac:dyDescent="0.3">
      <c r="N2779" t="str" cm="1">
        <f t="array" ref="N2779">IF(MOD(ROW()-ROW($B$2),16)=0,INDEX($M$2:$M$1000,(ROW()-ROW($B$2))/16+1),"")</f>
        <v/>
      </c>
    </row>
    <row r="2780" spans="14:14" x14ac:dyDescent="0.3">
      <c r="N2780" t="str" cm="1">
        <f t="array" ref="N2780">IF(MOD(ROW()-ROW($B$2),16)=0,INDEX($M$2:$M$1000,(ROW()-ROW($B$2))/16+1),"")</f>
        <v/>
      </c>
    </row>
    <row r="2781" spans="14:14" x14ac:dyDescent="0.3">
      <c r="N2781" t="str" cm="1">
        <f t="array" ref="N2781">IF(MOD(ROW()-ROW($B$2),16)=0,INDEX($M$2:$M$1000,(ROW()-ROW($B$2))/16+1),"")</f>
        <v/>
      </c>
    </row>
    <row r="2782" spans="14:14" x14ac:dyDescent="0.3">
      <c r="N2782" t="str" cm="1">
        <f t="array" ref="N2782">IF(MOD(ROW()-ROW($B$2),16)=0,INDEX($M$2:$M$1000,(ROW()-ROW($B$2))/16+1),"")</f>
        <v/>
      </c>
    </row>
    <row r="2783" spans="14:14" x14ac:dyDescent="0.3">
      <c r="N2783" t="str" cm="1">
        <f t="array" ref="N2783">IF(MOD(ROW()-ROW($B$2),16)=0,INDEX($M$2:$M$1000,(ROW()-ROW($B$2))/16+1),"")</f>
        <v/>
      </c>
    </row>
    <row r="2784" spans="14:14" x14ac:dyDescent="0.3">
      <c r="N2784" t="str" cm="1">
        <f t="array" ref="N2784">IF(MOD(ROW()-ROW($B$2),16)=0,INDEX($M$2:$M$1000,(ROW()-ROW($B$2))/16+1),"")</f>
        <v/>
      </c>
    </row>
    <row r="2785" spans="14:14" x14ac:dyDescent="0.3">
      <c r="N2785" t="str" cm="1">
        <f t="array" ref="N2785">IF(MOD(ROW()-ROW($B$2),16)=0,INDEX($M$2:$M$1000,(ROW()-ROW($B$2))/16+1),"")</f>
        <v/>
      </c>
    </row>
    <row r="2786" spans="14:14" x14ac:dyDescent="0.3">
      <c r="N2786" t="str" cm="1">
        <f t="array" ref="N2786">IF(MOD(ROW()-ROW($B$2),16)=0,INDEX($M$2:$M$1000,(ROW()-ROW($B$2))/16+1),"")</f>
        <v>Номер редактируемой пластины -1 (0)</v>
      </c>
    </row>
    <row r="2787" spans="14:14" x14ac:dyDescent="0.3">
      <c r="N2787" t="str" cm="1">
        <f t="array" ref="N2787">IF(MOD(ROW()-ROW($B$2),16)=0,INDEX($M$2:$M$1000,(ROW()-ROW($B$2))/16+1),"")</f>
        <v/>
      </c>
    </row>
    <row r="2788" spans="14:14" x14ac:dyDescent="0.3">
      <c r="N2788" t="str" cm="1">
        <f t="array" ref="N2788">IF(MOD(ROW()-ROW($B$2),16)=0,INDEX($M$2:$M$1000,(ROW()-ROW($B$2))/16+1),"")</f>
        <v/>
      </c>
    </row>
    <row r="2789" spans="14:14" x14ac:dyDescent="0.3">
      <c r="N2789" t="str" cm="1">
        <f t="array" ref="N2789">IF(MOD(ROW()-ROW($B$2),16)=0,INDEX($M$2:$M$1000,(ROW()-ROW($B$2))/16+1),"")</f>
        <v/>
      </c>
    </row>
    <row r="2790" spans="14:14" x14ac:dyDescent="0.3">
      <c r="N2790" t="str" cm="1">
        <f t="array" ref="N2790">IF(MOD(ROW()-ROW($B$2),16)=0,INDEX($M$2:$M$1000,(ROW()-ROW($B$2))/16+1),"")</f>
        <v/>
      </c>
    </row>
    <row r="2791" spans="14:14" x14ac:dyDescent="0.3">
      <c r="N2791" t="str" cm="1">
        <f t="array" ref="N2791">IF(MOD(ROW()-ROW($B$2),16)=0,INDEX($M$2:$M$1000,(ROW()-ROW($B$2))/16+1),"")</f>
        <v/>
      </c>
    </row>
    <row r="2792" spans="14:14" x14ac:dyDescent="0.3">
      <c r="N2792" t="str" cm="1">
        <f t="array" ref="N2792">IF(MOD(ROW()-ROW($B$2),16)=0,INDEX($M$2:$M$1000,(ROW()-ROW($B$2))/16+1),"")</f>
        <v/>
      </c>
    </row>
    <row r="2793" spans="14:14" x14ac:dyDescent="0.3">
      <c r="N2793" t="str" cm="1">
        <f t="array" ref="N2793">IF(MOD(ROW()-ROW($B$2),16)=0,INDEX($M$2:$M$1000,(ROW()-ROW($B$2))/16+1),"")</f>
        <v/>
      </c>
    </row>
    <row r="2794" spans="14:14" x14ac:dyDescent="0.3">
      <c r="N2794" t="str" cm="1">
        <f t="array" ref="N2794">IF(MOD(ROW()-ROW($B$2),16)=0,INDEX($M$2:$M$1000,(ROW()-ROW($B$2))/16+1),"")</f>
        <v/>
      </c>
    </row>
    <row r="2795" spans="14:14" x14ac:dyDescent="0.3">
      <c r="N2795" t="str" cm="1">
        <f t="array" ref="N2795">IF(MOD(ROW()-ROW($B$2),16)=0,INDEX($M$2:$M$1000,(ROW()-ROW($B$2))/16+1),"")</f>
        <v/>
      </c>
    </row>
    <row r="2796" spans="14:14" x14ac:dyDescent="0.3">
      <c r="N2796" t="str" cm="1">
        <f t="array" ref="N2796">IF(MOD(ROW()-ROW($B$2),16)=0,INDEX($M$2:$M$1000,(ROW()-ROW($B$2))/16+1),"")</f>
        <v/>
      </c>
    </row>
    <row r="2797" spans="14:14" x14ac:dyDescent="0.3">
      <c r="N2797" t="str" cm="1">
        <f t="array" ref="N2797">IF(MOD(ROW()-ROW($B$2),16)=0,INDEX($M$2:$M$1000,(ROW()-ROW($B$2))/16+1),"")</f>
        <v/>
      </c>
    </row>
    <row r="2798" spans="14:14" x14ac:dyDescent="0.3">
      <c r="N2798" t="str" cm="1">
        <f t="array" ref="N2798">IF(MOD(ROW()-ROW($B$2),16)=0,INDEX($M$2:$M$1000,(ROW()-ROW($B$2))/16+1),"")</f>
        <v/>
      </c>
    </row>
    <row r="2799" spans="14:14" x14ac:dyDescent="0.3">
      <c r="N2799" t="str" cm="1">
        <f t="array" ref="N2799">IF(MOD(ROW()-ROW($B$2),16)=0,INDEX($M$2:$M$1000,(ROW()-ROW($B$2))/16+1),"")</f>
        <v/>
      </c>
    </row>
    <row r="2800" spans="14:14" x14ac:dyDescent="0.3">
      <c r="N2800" t="str" cm="1">
        <f t="array" ref="N2800">IF(MOD(ROW()-ROW($B$2),16)=0,INDEX($M$2:$M$1000,(ROW()-ROW($B$2))/16+1),"")</f>
        <v/>
      </c>
    </row>
    <row r="2801" spans="14:14" x14ac:dyDescent="0.3">
      <c r="N2801" t="str" cm="1">
        <f t="array" ref="N2801">IF(MOD(ROW()-ROW($B$2),16)=0,INDEX($M$2:$M$1000,(ROW()-ROW($B$2))/16+1),"")</f>
        <v/>
      </c>
    </row>
    <row r="2802" spans="14:14" x14ac:dyDescent="0.3">
      <c r="N2802" t="str" cm="1">
        <f t="array" ref="N2802">IF(MOD(ROW()-ROW($B$2),16)=0,INDEX($M$2:$M$1000,(ROW()-ROW($B$2))/16+1),"")</f>
        <v>Оффсет строки для выбранного номера пластины (0)</v>
      </c>
    </row>
    <row r="2803" spans="14:14" x14ac:dyDescent="0.3">
      <c r="N2803" t="str" cm="1">
        <f t="array" ref="N2803">IF(MOD(ROW()-ROW($B$2),16)=0,INDEX($M$2:$M$1000,(ROW()-ROW($B$2))/16+1),"")</f>
        <v/>
      </c>
    </row>
    <row r="2804" spans="14:14" x14ac:dyDescent="0.3">
      <c r="N2804" t="str" cm="1">
        <f t="array" ref="N2804">IF(MOD(ROW()-ROW($B$2),16)=0,INDEX($M$2:$M$1000,(ROW()-ROW($B$2))/16+1),"")</f>
        <v/>
      </c>
    </row>
    <row r="2805" spans="14:14" x14ac:dyDescent="0.3">
      <c r="N2805" t="str" cm="1">
        <f t="array" ref="N2805">IF(MOD(ROW()-ROW($B$2),16)=0,INDEX($M$2:$M$1000,(ROW()-ROW($B$2))/16+1),"")</f>
        <v/>
      </c>
    </row>
    <row r="2806" spans="14:14" x14ac:dyDescent="0.3">
      <c r="N2806" t="str" cm="1">
        <f t="array" ref="N2806">IF(MOD(ROW()-ROW($B$2),16)=0,INDEX($M$2:$M$1000,(ROW()-ROW($B$2))/16+1),"")</f>
        <v/>
      </c>
    </row>
    <row r="2807" spans="14:14" x14ac:dyDescent="0.3">
      <c r="N2807" t="str" cm="1">
        <f t="array" ref="N2807">IF(MOD(ROW()-ROW($B$2),16)=0,INDEX($M$2:$M$1000,(ROW()-ROW($B$2))/16+1),"")</f>
        <v/>
      </c>
    </row>
    <row r="2808" spans="14:14" x14ac:dyDescent="0.3">
      <c r="N2808" t="str" cm="1">
        <f t="array" ref="N2808">IF(MOD(ROW()-ROW($B$2),16)=0,INDEX($M$2:$M$1000,(ROW()-ROW($B$2))/16+1),"")</f>
        <v/>
      </c>
    </row>
    <row r="2809" spans="14:14" x14ac:dyDescent="0.3">
      <c r="N2809" t="str" cm="1">
        <f t="array" ref="N2809">IF(MOD(ROW()-ROW($B$2),16)=0,INDEX($M$2:$M$1000,(ROW()-ROW($B$2))/16+1),"")</f>
        <v/>
      </c>
    </row>
    <row r="2810" spans="14:14" x14ac:dyDescent="0.3">
      <c r="N2810" t="str" cm="1">
        <f t="array" ref="N2810">IF(MOD(ROW()-ROW($B$2),16)=0,INDEX($M$2:$M$1000,(ROW()-ROW($B$2))/16+1),"")</f>
        <v/>
      </c>
    </row>
    <row r="2811" spans="14:14" x14ac:dyDescent="0.3">
      <c r="N2811" t="str" cm="1">
        <f t="array" ref="N2811">IF(MOD(ROW()-ROW($B$2),16)=0,INDEX($M$2:$M$1000,(ROW()-ROW($B$2))/16+1),"")</f>
        <v/>
      </c>
    </row>
    <row r="2812" spans="14:14" x14ac:dyDescent="0.3">
      <c r="N2812" t="str" cm="1">
        <f t="array" ref="N2812">IF(MOD(ROW()-ROW($B$2),16)=0,INDEX($M$2:$M$1000,(ROW()-ROW($B$2))/16+1),"")</f>
        <v/>
      </c>
    </row>
    <row r="2813" spans="14:14" x14ac:dyDescent="0.3">
      <c r="N2813" t="str" cm="1">
        <f t="array" ref="N2813">IF(MOD(ROW()-ROW($B$2),16)=0,INDEX($M$2:$M$1000,(ROW()-ROW($B$2))/16+1),"")</f>
        <v/>
      </c>
    </row>
    <row r="2814" spans="14:14" x14ac:dyDescent="0.3">
      <c r="N2814" t="str" cm="1">
        <f t="array" ref="N2814">IF(MOD(ROW()-ROW($B$2),16)=0,INDEX($M$2:$M$1000,(ROW()-ROW($B$2))/16+1),"")</f>
        <v/>
      </c>
    </row>
    <row r="2815" spans="14:14" x14ac:dyDescent="0.3">
      <c r="N2815" t="str" cm="1">
        <f t="array" ref="N2815">IF(MOD(ROW()-ROW($B$2),16)=0,INDEX($M$2:$M$1000,(ROW()-ROW($B$2))/16+1),"")</f>
        <v/>
      </c>
    </row>
    <row r="2816" spans="14:14" x14ac:dyDescent="0.3">
      <c r="N2816" t="str" cm="1">
        <f t="array" ref="N2816">IF(MOD(ROW()-ROW($B$2),16)=0,INDEX($M$2:$M$1000,(ROW()-ROW($B$2))/16+1),"")</f>
        <v/>
      </c>
    </row>
    <row r="2817" spans="14:14" x14ac:dyDescent="0.3">
      <c r="N2817" t="str" cm="1">
        <f t="array" ref="N2817">IF(MOD(ROW()-ROW($B$2),16)=0,INDEX($M$2:$M$1000,(ROW()-ROW($B$2))/16+1),"")</f>
        <v/>
      </c>
    </row>
    <row r="2818" spans="14:14" x14ac:dyDescent="0.3">
      <c r="N2818" t="str" cm="1">
        <f t="array" ref="N2818">IF(MOD(ROW()-ROW($B$2),16)=0,INDEX($M$2:$M$1000,(ROW()-ROW($B$2))/16+1),"")</f>
        <v>MULNULL (0)</v>
      </c>
    </row>
    <row r="2819" spans="14:14" x14ac:dyDescent="0.3">
      <c r="N2819" t="str" cm="1">
        <f t="array" ref="N2819">IF(MOD(ROW()-ROW($B$2),16)=0,INDEX($M$2:$M$1000,(ROW()-ROW($B$2))/16+1),"")</f>
        <v/>
      </c>
    </row>
    <row r="2820" spans="14:14" x14ac:dyDescent="0.3">
      <c r="N2820" t="str" cm="1">
        <f t="array" ref="N2820">IF(MOD(ROW()-ROW($B$2),16)=0,INDEX($M$2:$M$1000,(ROW()-ROW($B$2))/16+1),"")</f>
        <v/>
      </c>
    </row>
    <row r="2821" spans="14:14" x14ac:dyDescent="0.3">
      <c r="N2821" t="str" cm="1">
        <f t="array" ref="N2821">IF(MOD(ROW()-ROW($B$2),16)=0,INDEX($M$2:$M$1000,(ROW()-ROW($B$2))/16+1),"")</f>
        <v/>
      </c>
    </row>
    <row r="2822" spans="14:14" x14ac:dyDescent="0.3">
      <c r="N2822" t="str" cm="1">
        <f t="array" ref="N2822">IF(MOD(ROW()-ROW($B$2),16)=0,INDEX($M$2:$M$1000,(ROW()-ROW($B$2))/16+1),"")</f>
        <v/>
      </c>
    </row>
    <row r="2823" spans="14:14" x14ac:dyDescent="0.3">
      <c r="N2823" t="str" cm="1">
        <f t="array" ref="N2823">IF(MOD(ROW()-ROW($B$2),16)=0,INDEX($M$2:$M$1000,(ROW()-ROW($B$2))/16+1),"")</f>
        <v/>
      </c>
    </row>
    <row r="2824" spans="14:14" x14ac:dyDescent="0.3">
      <c r="N2824" t="str" cm="1">
        <f t="array" ref="N2824">IF(MOD(ROW()-ROW($B$2),16)=0,INDEX($M$2:$M$1000,(ROW()-ROW($B$2))/16+1),"")</f>
        <v/>
      </c>
    </row>
    <row r="2825" spans="14:14" x14ac:dyDescent="0.3">
      <c r="N2825" t="str" cm="1">
        <f t="array" ref="N2825">IF(MOD(ROW()-ROW($B$2),16)=0,INDEX($M$2:$M$1000,(ROW()-ROW($B$2))/16+1),"")</f>
        <v/>
      </c>
    </row>
    <row r="2826" spans="14:14" x14ac:dyDescent="0.3">
      <c r="N2826" t="str" cm="1">
        <f t="array" ref="N2826">IF(MOD(ROW()-ROW($B$2),16)=0,INDEX($M$2:$M$1000,(ROW()-ROW($B$2))/16+1),"")</f>
        <v/>
      </c>
    </row>
    <row r="2827" spans="14:14" x14ac:dyDescent="0.3">
      <c r="N2827" t="str" cm="1">
        <f t="array" ref="N2827">IF(MOD(ROW()-ROW($B$2),16)=0,INDEX($M$2:$M$1000,(ROW()-ROW($B$2))/16+1),"")</f>
        <v/>
      </c>
    </row>
    <row r="2828" spans="14:14" x14ac:dyDescent="0.3">
      <c r="N2828" t="str" cm="1">
        <f t="array" ref="N2828">IF(MOD(ROW()-ROW($B$2),16)=0,INDEX($M$2:$M$1000,(ROW()-ROW($B$2))/16+1),"")</f>
        <v/>
      </c>
    </row>
    <row r="2829" spans="14:14" x14ac:dyDescent="0.3">
      <c r="N2829" t="str" cm="1">
        <f t="array" ref="N2829">IF(MOD(ROW()-ROW($B$2),16)=0,INDEX($M$2:$M$1000,(ROW()-ROW($B$2))/16+1),"")</f>
        <v/>
      </c>
    </row>
    <row r="2830" spans="14:14" x14ac:dyDescent="0.3">
      <c r="N2830" t="str" cm="1">
        <f t="array" ref="N2830">IF(MOD(ROW()-ROW($B$2),16)=0,INDEX($M$2:$M$1000,(ROW()-ROW($B$2))/16+1),"")</f>
        <v/>
      </c>
    </row>
    <row r="2831" spans="14:14" x14ac:dyDescent="0.3">
      <c r="N2831" t="str" cm="1">
        <f t="array" ref="N2831">IF(MOD(ROW()-ROW($B$2),16)=0,INDEX($M$2:$M$1000,(ROW()-ROW($B$2))/16+1),"")</f>
        <v/>
      </c>
    </row>
    <row r="2832" spans="14:14" x14ac:dyDescent="0.3">
      <c r="N2832" t="str" cm="1">
        <f t="array" ref="N2832">IF(MOD(ROW()-ROW($B$2),16)=0,INDEX($M$2:$M$1000,(ROW()-ROW($B$2))/16+1),"")</f>
        <v/>
      </c>
    </row>
    <row r="2833" spans="14:14" x14ac:dyDescent="0.3">
      <c r="N2833" t="str" cm="1">
        <f t="array" ref="N2833">IF(MOD(ROW()-ROW($B$2),16)=0,INDEX($M$2:$M$1000,(ROW()-ROW($B$2))/16+1),"")</f>
        <v/>
      </c>
    </row>
    <row r="2834" spans="14:14" x14ac:dyDescent="0.3">
      <c r="N2834" t="str" cm="1">
        <f t="array" ref="N2834">IF(MOD(ROW()-ROW($B$2),16)=0,INDEX($M$2:$M$1000,(ROW()-ROW($B$2))/16+1),"")</f>
        <v>MULNULL (0)</v>
      </c>
    </row>
    <row r="2835" spans="14:14" x14ac:dyDescent="0.3">
      <c r="N2835" t="str" cm="1">
        <f t="array" ref="N2835">IF(MOD(ROW()-ROW($B$2),16)=0,INDEX($M$2:$M$1000,(ROW()-ROW($B$2))/16+1),"")</f>
        <v/>
      </c>
    </row>
    <row r="2836" spans="14:14" x14ac:dyDescent="0.3">
      <c r="N2836" t="str" cm="1">
        <f t="array" ref="N2836">IF(MOD(ROW()-ROW($B$2),16)=0,INDEX($M$2:$M$1000,(ROW()-ROW($B$2))/16+1),"")</f>
        <v/>
      </c>
    </row>
    <row r="2837" spans="14:14" x14ac:dyDescent="0.3">
      <c r="N2837" t="str" cm="1">
        <f t="array" ref="N2837">IF(MOD(ROW()-ROW($B$2),16)=0,INDEX($M$2:$M$1000,(ROW()-ROW($B$2))/16+1),"")</f>
        <v/>
      </c>
    </row>
    <row r="2838" spans="14:14" x14ac:dyDescent="0.3">
      <c r="N2838" t="str" cm="1">
        <f t="array" ref="N2838">IF(MOD(ROW()-ROW($B$2),16)=0,INDEX($M$2:$M$1000,(ROW()-ROW($B$2))/16+1),"")</f>
        <v/>
      </c>
    </row>
    <row r="2839" spans="14:14" x14ac:dyDescent="0.3">
      <c r="N2839" t="str" cm="1">
        <f t="array" ref="N2839">IF(MOD(ROW()-ROW($B$2),16)=0,INDEX($M$2:$M$1000,(ROW()-ROW($B$2))/16+1),"")</f>
        <v/>
      </c>
    </row>
    <row r="2840" spans="14:14" x14ac:dyDescent="0.3">
      <c r="N2840" t="str" cm="1">
        <f t="array" ref="N2840">IF(MOD(ROW()-ROW($B$2),16)=0,INDEX($M$2:$M$1000,(ROW()-ROW($B$2))/16+1),"")</f>
        <v/>
      </c>
    </row>
    <row r="2841" spans="14:14" x14ac:dyDescent="0.3">
      <c r="N2841" t="str" cm="1">
        <f t="array" ref="N2841">IF(MOD(ROW()-ROW($B$2),16)=0,INDEX($M$2:$M$1000,(ROW()-ROW($B$2))/16+1),"")</f>
        <v/>
      </c>
    </row>
    <row r="2842" spans="14:14" x14ac:dyDescent="0.3">
      <c r="N2842" t="str" cm="1">
        <f t="array" ref="N2842">IF(MOD(ROW()-ROW($B$2),16)=0,INDEX($M$2:$M$1000,(ROW()-ROW($B$2))/16+1),"")</f>
        <v/>
      </c>
    </row>
    <row r="2843" spans="14:14" x14ac:dyDescent="0.3">
      <c r="N2843" t="str" cm="1">
        <f t="array" ref="N2843">IF(MOD(ROW()-ROW($B$2),16)=0,INDEX($M$2:$M$1000,(ROW()-ROW($B$2))/16+1),"")</f>
        <v/>
      </c>
    </row>
    <row r="2844" spans="14:14" x14ac:dyDescent="0.3">
      <c r="N2844" t="str" cm="1">
        <f t="array" ref="N2844">IF(MOD(ROW()-ROW($B$2),16)=0,INDEX($M$2:$M$1000,(ROW()-ROW($B$2))/16+1),"")</f>
        <v/>
      </c>
    </row>
    <row r="2845" spans="14:14" x14ac:dyDescent="0.3">
      <c r="N2845" t="str" cm="1">
        <f t="array" ref="N2845">IF(MOD(ROW()-ROW($B$2),16)=0,INDEX($M$2:$M$1000,(ROW()-ROW($B$2))/16+1),"")</f>
        <v/>
      </c>
    </row>
    <row r="2846" spans="14:14" x14ac:dyDescent="0.3">
      <c r="N2846" t="str" cm="1">
        <f t="array" ref="N2846">IF(MOD(ROW()-ROW($B$2),16)=0,INDEX($M$2:$M$1000,(ROW()-ROW($B$2))/16+1),"")</f>
        <v/>
      </c>
    </row>
    <row r="2847" spans="14:14" x14ac:dyDescent="0.3">
      <c r="N2847" t="str" cm="1">
        <f t="array" ref="N2847">IF(MOD(ROW()-ROW($B$2),16)=0,INDEX($M$2:$M$1000,(ROW()-ROW($B$2))/16+1),"")</f>
        <v/>
      </c>
    </row>
    <row r="2848" spans="14:14" x14ac:dyDescent="0.3">
      <c r="N2848" t="str" cm="1">
        <f t="array" ref="N2848">IF(MOD(ROW()-ROW($B$2),16)=0,INDEX($M$2:$M$1000,(ROW()-ROW($B$2))/16+1),"")</f>
        <v/>
      </c>
    </row>
    <row r="2849" spans="14:14" x14ac:dyDescent="0.3">
      <c r="N2849" t="str" cm="1">
        <f t="array" ref="N2849">IF(MOD(ROW()-ROW($B$2),16)=0,INDEX($M$2:$M$1000,(ROW()-ROW($B$2))/16+1),"")</f>
        <v/>
      </c>
    </row>
    <row r="2850" spans="14:14" x14ac:dyDescent="0.3">
      <c r="N2850" t="str" cm="1">
        <f t="array" ref="N2850">IF(MOD(ROW()-ROW($B$2),16)=0,INDEX($M$2:$M$1000,(ROW()-ROW($B$2))/16+1),"")</f>
        <v>MULNULL (0)</v>
      </c>
    </row>
    <row r="2851" spans="14:14" x14ac:dyDescent="0.3">
      <c r="N2851" t="str" cm="1">
        <f t="array" ref="N2851">IF(MOD(ROW()-ROW($B$2),16)=0,INDEX($M$2:$M$1000,(ROW()-ROW($B$2))/16+1),"")</f>
        <v/>
      </c>
    </row>
    <row r="2852" spans="14:14" x14ac:dyDescent="0.3">
      <c r="N2852" t="str" cm="1">
        <f t="array" ref="N2852">IF(MOD(ROW()-ROW($B$2),16)=0,INDEX($M$2:$M$1000,(ROW()-ROW($B$2))/16+1),"")</f>
        <v/>
      </c>
    </row>
    <row r="2853" spans="14:14" x14ac:dyDescent="0.3">
      <c r="N2853" t="str" cm="1">
        <f t="array" ref="N2853">IF(MOD(ROW()-ROW($B$2),16)=0,INDEX($M$2:$M$1000,(ROW()-ROW($B$2))/16+1),"")</f>
        <v/>
      </c>
    </row>
    <row r="2854" spans="14:14" x14ac:dyDescent="0.3">
      <c r="N2854" t="str" cm="1">
        <f t="array" ref="N2854">IF(MOD(ROW()-ROW($B$2),16)=0,INDEX($M$2:$M$1000,(ROW()-ROW($B$2))/16+1),"")</f>
        <v/>
      </c>
    </row>
    <row r="2855" spans="14:14" x14ac:dyDescent="0.3">
      <c r="N2855" t="str" cm="1">
        <f t="array" ref="N2855">IF(MOD(ROW()-ROW($B$2),16)=0,INDEX($M$2:$M$1000,(ROW()-ROW($B$2))/16+1),"")</f>
        <v/>
      </c>
    </row>
    <row r="2856" spans="14:14" x14ac:dyDescent="0.3">
      <c r="N2856" t="str" cm="1">
        <f t="array" ref="N2856">IF(MOD(ROW()-ROW($B$2),16)=0,INDEX($M$2:$M$1000,(ROW()-ROW($B$2))/16+1),"")</f>
        <v/>
      </c>
    </row>
    <row r="2857" spans="14:14" x14ac:dyDescent="0.3">
      <c r="N2857" t="str" cm="1">
        <f t="array" ref="N2857">IF(MOD(ROW()-ROW($B$2),16)=0,INDEX($M$2:$M$1000,(ROW()-ROW($B$2))/16+1),"")</f>
        <v/>
      </c>
    </row>
    <row r="2858" spans="14:14" x14ac:dyDescent="0.3">
      <c r="N2858" t="str" cm="1">
        <f t="array" ref="N2858">IF(MOD(ROW()-ROW($B$2),16)=0,INDEX($M$2:$M$1000,(ROW()-ROW($B$2))/16+1),"")</f>
        <v/>
      </c>
    </row>
    <row r="2859" spans="14:14" x14ac:dyDescent="0.3">
      <c r="N2859" t="str" cm="1">
        <f t="array" ref="N2859">IF(MOD(ROW()-ROW($B$2),16)=0,INDEX($M$2:$M$1000,(ROW()-ROW($B$2))/16+1),"")</f>
        <v/>
      </c>
    </row>
    <row r="2860" spans="14:14" x14ac:dyDescent="0.3">
      <c r="N2860" t="str" cm="1">
        <f t="array" ref="N2860">IF(MOD(ROW()-ROW($B$2),16)=0,INDEX($M$2:$M$1000,(ROW()-ROW($B$2))/16+1),"")</f>
        <v/>
      </c>
    </row>
    <row r="2861" spans="14:14" x14ac:dyDescent="0.3">
      <c r="N2861" t="str" cm="1">
        <f t="array" ref="N2861">IF(MOD(ROW()-ROW($B$2),16)=0,INDEX($M$2:$M$1000,(ROW()-ROW($B$2))/16+1),"")</f>
        <v/>
      </c>
    </row>
    <row r="2862" spans="14:14" x14ac:dyDescent="0.3">
      <c r="N2862" t="str" cm="1">
        <f t="array" ref="N2862">IF(MOD(ROW()-ROW($B$2),16)=0,INDEX($M$2:$M$1000,(ROW()-ROW($B$2))/16+1),"")</f>
        <v/>
      </c>
    </row>
    <row r="2863" spans="14:14" x14ac:dyDescent="0.3">
      <c r="N2863" t="str" cm="1">
        <f t="array" ref="N2863">IF(MOD(ROW()-ROW($B$2),16)=0,INDEX($M$2:$M$1000,(ROW()-ROW($B$2))/16+1),"")</f>
        <v/>
      </c>
    </row>
    <row r="2864" spans="14:14" x14ac:dyDescent="0.3">
      <c r="N2864" t="str" cm="1">
        <f t="array" ref="N2864">IF(MOD(ROW()-ROW($B$2),16)=0,INDEX($M$2:$M$1000,(ROW()-ROW($B$2))/16+1),"")</f>
        <v/>
      </c>
    </row>
    <row r="2865" spans="14:14" x14ac:dyDescent="0.3">
      <c r="N2865" t="str" cm="1">
        <f t="array" ref="N2865">IF(MOD(ROW()-ROW($B$2),16)=0,INDEX($M$2:$M$1000,(ROW()-ROW($B$2))/16+1),"")</f>
        <v/>
      </c>
    </row>
    <row r="2866" spans="14:14" x14ac:dyDescent="0.3">
      <c r="N2866" t="str" cm="1">
        <f t="array" ref="N2866">IF(MOD(ROW()-ROW($B$2),16)=0,INDEX($M$2:$M$1000,(ROW()-ROW($B$2))/16+1),"")</f>
        <v/>
      </c>
    </row>
    <row r="2867" spans="14:14" x14ac:dyDescent="0.3">
      <c r="N2867" t="str" cm="1">
        <f t="array" ref="N2867">IF(MOD(ROW()-ROW($B$2),16)=0,INDEX($M$2:$M$1000,(ROW()-ROW($B$2))/16+1),"")</f>
        <v/>
      </c>
    </row>
    <row r="2868" spans="14:14" x14ac:dyDescent="0.3">
      <c r="N2868" t="str" cm="1">
        <f t="array" ref="N2868">IF(MOD(ROW()-ROW($B$2),16)=0,INDEX($M$2:$M$1000,(ROW()-ROW($B$2))/16+1),"")</f>
        <v/>
      </c>
    </row>
    <row r="2869" spans="14:14" x14ac:dyDescent="0.3">
      <c r="N2869" t="str" cm="1">
        <f t="array" ref="N2869">IF(MOD(ROW()-ROW($B$2),16)=0,INDEX($M$2:$M$1000,(ROW()-ROW($B$2))/16+1),"")</f>
        <v/>
      </c>
    </row>
    <row r="2870" spans="14:14" x14ac:dyDescent="0.3">
      <c r="N2870" t="str" cm="1">
        <f t="array" ref="N2870">IF(MOD(ROW()-ROW($B$2),16)=0,INDEX($M$2:$M$1000,(ROW()-ROW($B$2))/16+1),"")</f>
        <v/>
      </c>
    </row>
    <row r="2871" spans="14:14" x14ac:dyDescent="0.3">
      <c r="N2871" t="str" cm="1">
        <f t="array" ref="N2871">IF(MOD(ROW()-ROW($B$2),16)=0,INDEX($M$2:$M$1000,(ROW()-ROW($B$2))/16+1),"")</f>
        <v/>
      </c>
    </row>
    <row r="2872" spans="14:14" x14ac:dyDescent="0.3">
      <c r="N2872" t="str" cm="1">
        <f t="array" ref="N2872">IF(MOD(ROW()-ROW($B$2),16)=0,INDEX($M$2:$M$1000,(ROW()-ROW($B$2))/16+1),"")</f>
        <v/>
      </c>
    </row>
    <row r="2873" spans="14:14" x14ac:dyDescent="0.3">
      <c r="N2873" t="str" cm="1">
        <f t="array" ref="N2873">IF(MOD(ROW()-ROW($B$2),16)=0,INDEX($M$2:$M$1000,(ROW()-ROW($B$2))/16+1),"")</f>
        <v/>
      </c>
    </row>
    <row r="2874" spans="14:14" x14ac:dyDescent="0.3">
      <c r="N2874" t="str" cm="1">
        <f t="array" ref="N2874">IF(MOD(ROW()-ROW($B$2),16)=0,INDEX($M$2:$M$1000,(ROW()-ROW($B$2))/16+1),"")</f>
        <v/>
      </c>
    </row>
    <row r="2875" spans="14:14" x14ac:dyDescent="0.3">
      <c r="N2875" t="str" cm="1">
        <f t="array" ref="N2875">IF(MOD(ROW()-ROW($B$2),16)=0,INDEX($M$2:$M$1000,(ROW()-ROW($B$2))/16+1),"")</f>
        <v/>
      </c>
    </row>
    <row r="2876" spans="14:14" x14ac:dyDescent="0.3">
      <c r="N2876" t="str" cm="1">
        <f t="array" ref="N2876">IF(MOD(ROW()-ROW($B$2),16)=0,INDEX($M$2:$M$1000,(ROW()-ROW($B$2))/16+1),"")</f>
        <v/>
      </c>
    </row>
    <row r="2877" spans="14:14" x14ac:dyDescent="0.3">
      <c r="N2877" t="str" cm="1">
        <f t="array" ref="N2877">IF(MOD(ROW()-ROW($B$2),16)=0,INDEX($M$2:$M$1000,(ROW()-ROW($B$2))/16+1),"")</f>
        <v/>
      </c>
    </row>
    <row r="2878" spans="14:14" x14ac:dyDescent="0.3">
      <c r="N2878" t="str" cm="1">
        <f t="array" ref="N2878">IF(MOD(ROW()-ROW($B$2),16)=0,INDEX($M$2:$M$1000,(ROW()-ROW($B$2))/16+1),"")</f>
        <v/>
      </c>
    </row>
    <row r="2879" spans="14:14" x14ac:dyDescent="0.3">
      <c r="N2879" t="str" cm="1">
        <f t="array" ref="N2879">IF(MOD(ROW()-ROW($B$2),16)=0,INDEX($M$2:$M$1000,(ROW()-ROW($B$2))/16+1),"")</f>
        <v/>
      </c>
    </row>
    <row r="2880" spans="14:14" x14ac:dyDescent="0.3">
      <c r="N2880" t="str" cm="1">
        <f t="array" ref="N2880">IF(MOD(ROW()-ROW($B$2),16)=0,INDEX($M$2:$M$1000,(ROW()-ROW($B$2))/16+1),"")</f>
        <v/>
      </c>
    </row>
    <row r="2881" spans="14:14" x14ac:dyDescent="0.3">
      <c r="N2881" t="str" cm="1">
        <f t="array" ref="N2881">IF(MOD(ROW()-ROW($B$2),16)=0,INDEX($M$2:$M$1000,(ROW()-ROW($B$2))/16+1),"")</f>
        <v/>
      </c>
    </row>
    <row r="2882" spans="14:14" x14ac:dyDescent="0.3">
      <c r="N2882" t="str" cm="1">
        <f t="array" ref="N2882">IF(MOD(ROW()-ROW($B$2),16)=0,INDEX($M$2:$M$1000,(ROW()-ROW($B$2))/16+1),"")</f>
        <v>Последняя загруженная пластина (0)</v>
      </c>
    </row>
    <row r="2883" spans="14:14" x14ac:dyDescent="0.3">
      <c r="N2883" t="str" cm="1">
        <f t="array" ref="N2883">IF(MOD(ROW()-ROW($B$2),16)=0,INDEX($M$2:$M$1000,(ROW()-ROW($B$2))/16+1),"")</f>
        <v/>
      </c>
    </row>
    <row r="2884" spans="14:14" x14ac:dyDescent="0.3">
      <c r="N2884" t="str" cm="1">
        <f t="array" ref="N2884">IF(MOD(ROW()-ROW($B$2),16)=0,INDEX($M$2:$M$1000,(ROW()-ROW($B$2))/16+1),"")</f>
        <v/>
      </c>
    </row>
    <row r="2885" spans="14:14" x14ac:dyDescent="0.3">
      <c r="N2885" t="str" cm="1">
        <f t="array" ref="N2885">IF(MOD(ROW()-ROW($B$2),16)=0,INDEX($M$2:$M$1000,(ROW()-ROW($B$2))/16+1),"")</f>
        <v/>
      </c>
    </row>
    <row r="2886" spans="14:14" x14ac:dyDescent="0.3">
      <c r="N2886" t="str" cm="1">
        <f t="array" ref="N2886">IF(MOD(ROW()-ROW($B$2),16)=0,INDEX($M$2:$M$1000,(ROW()-ROW($B$2))/16+1),"")</f>
        <v/>
      </c>
    </row>
    <row r="2887" spans="14:14" x14ac:dyDescent="0.3">
      <c r="N2887" t="str" cm="1">
        <f t="array" ref="N2887">IF(MOD(ROW()-ROW($B$2),16)=0,INDEX($M$2:$M$1000,(ROW()-ROW($B$2))/16+1),"")</f>
        <v/>
      </c>
    </row>
    <row r="2888" spans="14:14" x14ac:dyDescent="0.3">
      <c r="N2888" t="str" cm="1">
        <f t="array" ref="N2888">IF(MOD(ROW()-ROW($B$2),16)=0,INDEX($M$2:$M$1000,(ROW()-ROW($B$2))/16+1),"")</f>
        <v/>
      </c>
    </row>
    <row r="2889" spans="14:14" x14ac:dyDescent="0.3">
      <c r="N2889" t="str" cm="1">
        <f t="array" ref="N2889">IF(MOD(ROW()-ROW($B$2),16)=0,INDEX($M$2:$M$1000,(ROW()-ROW($B$2))/16+1),"")</f>
        <v/>
      </c>
    </row>
    <row r="2890" spans="14:14" x14ac:dyDescent="0.3">
      <c r="N2890" t="str" cm="1">
        <f t="array" ref="N2890">IF(MOD(ROW()-ROW($B$2),16)=0,INDEX($M$2:$M$1000,(ROW()-ROW($B$2))/16+1),"")</f>
        <v/>
      </c>
    </row>
    <row r="2891" spans="14:14" x14ac:dyDescent="0.3">
      <c r="N2891" t="str" cm="1">
        <f t="array" ref="N2891">IF(MOD(ROW()-ROW($B$2),16)=0,INDEX($M$2:$M$1000,(ROW()-ROW($B$2))/16+1),"")</f>
        <v/>
      </c>
    </row>
    <row r="2892" spans="14:14" x14ac:dyDescent="0.3">
      <c r="N2892" t="str" cm="1">
        <f t="array" ref="N2892">IF(MOD(ROW()-ROW($B$2),16)=0,INDEX($M$2:$M$1000,(ROW()-ROW($B$2))/16+1),"")</f>
        <v/>
      </c>
    </row>
    <row r="2893" spans="14:14" x14ac:dyDescent="0.3">
      <c r="N2893" t="str" cm="1">
        <f t="array" ref="N2893">IF(MOD(ROW()-ROW($B$2),16)=0,INDEX($M$2:$M$1000,(ROW()-ROW($B$2))/16+1),"")</f>
        <v/>
      </c>
    </row>
    <row r="2894" spans="14:14" x14ac:dyDescent="0.3">
      <c r="N2894" t="str" cm="1">
        <f t="array" ref="N2894">IF(MOD(ROW()-ROW($B$2),16)=0,INDEX($M$2:$M$1000,(ROW()-ROW($B$2))/16+1),"")</f>
        <v/>
      </c>
    </row>
    <row r="2895" spans="14:14" x14ac:dyDescent="0.3">
      <c r="N2895" t="str" cm="1">
        <f t="array" ref="N2895">IF(MOD(ROW()-ROW($B$2),16)=0,INDEX($M$2:$M$1000,(ROW()-ROW($B$2))/16+1),"")</f>
        <v/>
      </c>
    </row>
    <row r="2896" spans="14:14" x14ac:dyDescent="0.3">
      <c r="N2896" t="str" cm="1">
        <f t="array" ref="N2896">IF(MOD(ROW()-ROW($B$2),16)=0,INDEX($M$2:$M$1000,(ROW()-ROW($B$2))/16+1),"")</f>
        <v/>
      </c>
    </row>
    <row r="2897" spans="14:14" x14ac:dyDescent="0.3">
      <c r="N2897" t="str" cm="1">
        <f t="array" ref="N2897">IF(MOD(ROW()-ROW($B$2),16)=0,INDEX($M$2:$M$1000,(ROW()-ROW($B$2))/16+1),"")</f>
        <v/>
      </c>
    </row>
    <row r="2898" spans="14:14" x14ac:dyDescent="0.3">
      <c r="N2898" t="str" cm="1">
        <f t="array" ref="N2898">IF(MOD(ROW()-ROW($B$2),16)=0,INDEX($M$2:$M$1000,(ROW()-ROW($B$2))/16+1),"")</f>
        <v/>
      </c>
    </row>
    <row r="2899" spans="14:14" x14ac:dyDescent="0.3">
      <c r="N2899" t="str" cm="1">
        <f t="array" ref="N2899">IF(MOD(ROW()-ROW($B$2),16)=0,INDEX($M$2:$M$1000,(ROW()-ROW($B$2))/16+1),"")</f>
        <v/>
      </c>
    </row>
    <row r="2900" spans="14:14" x14ac:dyDescent="0.3">
      <c r="N2900" t="str" cm="1">
        <f t="array" ref="N2900">IF(MOD(ROW()-ROW($B$2),16)=0,INDEX($M$2:$M$1000,(ROW()-ROW($B$2))/16+1),"")</f>
        <v/>
      </c>
    </row>
    <row r="2901" spans="14:14" x14ac:dyDescent="0.3">
      <c r="N2901" t="str" cm="1">
        <f t="array" ref="N2901">IF(MOD(ROW()-ROW($B$2),16)=0,INDEX($M$2:$M$1000,(ROW()-ROW($B$2))/16+1),"")</f>
        <v/>
      </c>
    </row>
    <row r="2902" spans="14:14" x14ac:dyDescent="0.3">
      <c r="N2902" t="str" cm="1">
        <f t="array" ref="N2902">IF(MOD(ROW()-ROW($B$2),16)=0,INDEX($M$2:$M$1000,(ROW()-ROW($B$2))/16+1),"")</f>
        <v/>
      </c>
    </row>
    <row r="2903" spans="14:14" x14ac:dyDescent="0.3">
      <c r="N2903" t="str" cm="1">
        <f t="array" ref="N2903">IF(MOD(ROW()-ROW($B$2),16)=0,INDEX($M$2:$M$1000,(ROW()-ROW($B$2))/16+1),"")</f>
        <v/>
      </c>
    </row>
    <row r="2904" spans="14:14" x14ac:dyDescent="0.3">
      <c r="N2904" t="str" cm="1">
        <f t="array" ref="N2904">IF(MOD(ROW()-ROW($B$2),16)=0,INDEX($M$2:$M$1000,(ROW()-ROW($B$2))/16+1),"")</f>
        <v/>
      </c>
    </row>
    <row r="2905" spans="14:14" x14ac:dyDescent="0.3">
      <c r="N2905" t="str" cm="1">
        <f t="array" ref="N2905">IF(MOD(ROW()-ROW($B$2),16)=0,INDEX($M$2:$M$1000,(ROW()-ROW($B$2))/16+1),"")</f>
        <v/>
      </c>
    </row>
    <row r="2906" spans="14:14" x14ac:dyDescent="0.3">
      <c r="N2906" t="str" cm="1">
        <f t="array" ref="N2906">IF(MOD(ROW()-ROW($B$2),16)=0,INDEX($M$2:$M$1000,(ROW()-ROW($B$2))/16+1),"")</f>
        <v/>
      </c>
    </row>
    <row r="2907" spans="14:14" x14ac:dyDescent="0.3">
      <c r="N2907" t="str" cm="1">
        <f t="array" ref="N2907">IF(MOD(ROW()-ROW($B$2),16)=0,INDEX($M$2:$M$1000,(ROW()-ROW($B$2))/16+1),"")</f>
        <v/>
      </c>
    </row>
    <row r="2908" spans="14:14" x14ac:dyDescent="0.3">
      <c r="N2908" t="str" cm="1">
        <f t="array" ref="N2908">IF(MOD(ROW()-ROW($B$2),16)=0,INDEX($M$2:$M$1000,(ROW()-ROW($B$2))/16+1),"")</f>
        <v/>
      </c>
    </row>
    <row r="2909" spans="14:14" x14ac:dyDescent="0.3">
      <c r="N2909" t="str" cm="1">
        <f t="array" ref="N2909">IF(MOD(ROW()-ROW($B$2),16)=0,INDEX($M$2:$M$1000,(ROW()-ROW($B$2))/16+1),"")</f>
        <v/>
      </c>
    </row>
    <row r="2910" spans="14:14" x14ac:dyDescent="0.3">
      <c r="N2910" t="str" cm="1">
        <f t="array" ref="N2910">IF(MOD(ROW()-ROW($B$2),16)=0,INDEX($M$2:$M$1000,(ROW()-ROW($B$2))/16+1),"")</f>
        <v/>
      </c>
    </row>
    <row r="2911" spans="14:14" x14ac:dyDescent="0.3">
      <c r="N2911" t="str" cm="1">
        <f t="array" ref="N2911">IF(MOD(ROW()-ROW($B$2),16)=0,INDEX($M$2:$M$1000,(ROW()-ROW($B$2))/16+1),"")</f>
        <v/>
      </c>
    </row>
    <row r="2912" spans="14:14" x14ac:dyDescent="0.3">
      <c r="N2912" t="str" cm="1">
        <f t="array" ref="N2912">IF(MOD(ROW()-ROW($B$2),16)=0,INDEX($M$2:$M$1000,(ROW()-ROW($B$2))/16+1),"")</f>
        <v/>
      </c>
    </row>
    <row r="2913" spans="14:14" x14ac:dyDescent="0.3">
      <c r="N2913" t="str" cm="1">
        <f t="array" ref="N2913">IF(MOD(ROW()-ROW($B$2),16)=0,INDEX($M$2:$M$1000,(ROW()-ROW($B$2))/16+1),"")</f>
        <v/>
      </c>
    </row>
    <row r="2914" spans="14:14" x14ac:dyDescent="0.3">
      <c r="N2914" t="str" cm="1">
        <f t="array" ref="N2914">IF(MOD(ROW()-ROW($B$2),16)=0,INDEX($M$2:$M$1000,(ROW()-ROW($B$2))/16+1),"")</f>
        <v/>
      </c>
    </row>
    <row r="2915" spans="14:14" x14ac:dyDescent="0.3">
      <c r="N2915" t="str" cm="1">
        <f t="array" ref="N2915">IF(MOD(ROW()-ROW($B$2),16)=0,INDEX($M$2:$M$1000,(ROW()-ROW($B$2))/16+1),"")</f>
        <v/>
      </c>
    </row>
    <row r="2916" spans="14:14" x14ac:dyDescent="0.3">
      <c r="N2916" t="str" cm="1">
        <f t="array" ref="N2916">IF(MOD(ROW()-ROW($B$2),16)=0,INDEX($M$2:$M$1000,(ROW()-ROW($B$2))/16+1),"")</f>
        <v/>
      </c>
    </row>
    <row r="2917" spans="14:14" x14ac:dyDescent="0.3">
      <c r="N2917" t="str" cm="1">
        <f t="array" ref="N2917">IF(MOD(ROW()-ROW($B$2),16)=0,INDEX($M$2:$M$1000,(ROW()-ROW($B$2))/16+1),"")</f>
        <v/>
      </c>
    </row>
    <row r="2918" spans="14:14" x14ac:dyDescent="0.3">
      <c r="N2918" t="str" cm="1">
        <f t="array" ref="N2918">IF(MOD(ROW()-ROW($B$2),16)=0,INDEX($M$2:$M$1000,(ROW()-ROW($B$2))/16+1),"")</f>
        <v/>
      </c>
    </row>
    <row r="2919" spans="14:14" x14ac:dyDescent="0.3">
      <c r="N2919" t="str" cm="1">
        <f t="array" ref="N2919">IF(MOD(ROW()-ROW($B$2),16)=0,INDEX($M$2:$M$1000,(ROW()-ROW($B$2))/16+1),"")</f>
        <v/>
      </c>
    </row>
    <row r="2920" spans="14:14" x14ac:dyDescent="0.3">
      <c r="N2920" t="str" cm="1">
        <f t="array" ref="N2920">IF(MOD(ROW()-ROW($B$2),16)=0,INDEX($M$2:$M$1000,(ROW()-ROW($B$2))/16+1),"")</f>
        <v/>
      </c>
    </row>
    <row r="2921" spans="14:14" x14ac:dyDescent="0.3">
      <c r="N2921" t="str" cm="1">
        <f t="array" ref="N2921">IF(MOD(ROW()-ROW($B$2),16)=0,INDEX($M$2:$M$1000,(ROW()-ROW($B$2))/16+1),"")</f>
        <v/>
      </c>
    </row>
    <row r="2922" spans="14:14" x14ac:dyDescent="0.3">
      <c r="N2922" t="str" cm="1">
        <f t="array" ref="N2922">IF(MOD(ROW()-ROW($B$2),16)=0,INDEX($M$2:$M$1000,(ROW()-ROW($B$2))/16+1),"")</f>
        <v/>
      </c>
    </row>
    <row r="2923" spans="14:14" x14ac:dyDescent="0.3">
      <c r="N2923" t="str" cm="1">
        <f t="array" ref="N2923">IF(MOD(ROW()-ROW($B$2),16)=0,INDEX($M$2:$M$1000,(ROW()-ROW($B$2))/16+1),"")</f>
        <v/>
      </c>
    </row>
    <row r="2924" spans="14:14" x14ac:dyDescent="0.3">
      <c r="N2924" t="str" cm="1">
        <f t="array" ref="N2924">IF(MOD(ROW()-ROW($B$2),16)=0,INDEX($M$2:$M$1000,(ROW()-ROW($B$2))/16+1),"")</f>
        <v/>
      </c>
    </row>
    <row r="2925" spans="14:14" x14ac:dyDescent="0.3">
      <c r="N2925" t="str" cm="1">
        <f t="array" ref="N2925">IF(MOD(ROW()-ROW($B$2),16)=0,INDEX($M$2:$M$1000,(ROW()-ROW($B$2))/16+1),"")</f>
        <v/>
      </c>
    </row>
    <row r="2926" spans="14:14" x14ac:dyDescent="0.3">
      <c r="N2926" t="str" cm="1">
        <f t="array" ref="N2926">IF(MOD(ROW()-ROW($B$2),16)=0,INDEX($M$2:$M$1000,(ROW()-ROW($B$2))/16+1),"")</f>
        <v/>
      </c>
    </row>
    <row r="2927" spans="14:14" x14ac:dyDescent="0.3">
      <c r="N2927" t="str" cm="1">
        <f t="array" ref="N2927">IF(MOD(ROW()-ROW($B$2),16)=0,INDEX($M$2:$M$1000,(ROW()-ROW($B$2))/16+1),"")</f>
        <v/>
      </c>
    </row>
    <row r="2928" spans="14:14" x14ac:dyDescent="0.3">
      <c r="N2928" t="str" cm="1">
        <f t="array" ref="N2928">IF(MOD(ROW()-ROW($B$2),16)=0,INDEX($M$2:$M$1000,(ROW()-ROW($B$2))/16+1),"")</f>
        <v/>
      </c>
    </row>
    <row r="2929" spans="14:14" x14ac:dyDescent="0.3">
      <c r="N2929" t="str" cm="1">
        <f t="array" ref="N2929">IF(MOD(ROW()-ROW($B$2),16)=0,INDEX($M$2:$M$1000,(ROW()-ROW($B$2))/16+1),"")</f>
        <v/>
      </c>
    </row>
    <row r="2930" spans="14:14" x14ac:dyDescent="0.3">
      <c r="N2930" t="str" cm="1">
        <f t="array" ref="N2930">IF(MOD(ROW()-ROW($B$2),16)=0,INDEX($M$2:$M$1000,(ROW()-ROW($B$2))/16+1),"")</f>
        <v/>
      </c>
    </row>
    <row r="2931" spans="14:14" x14ac:dyDescent="0.3">
      <c r="N2931" t="str" cm="1">
        <f t="array" ref="N2931">IF(MOD(ROW()-ROW($B$2),16)=0,INDEX($M$2:$M$1000,(ROW()-ROW($B$2))/16+1),"")</f>
        <v/>
      </c>
    </row>
    <row r="2932" spans="14:14" x14ac:dyDescent="0.3">
      <c r="N2932" t="str" cm="1">
        <f t="array" ref="N2932">IF(MOD(ROW()-ROW($B$2),16)=0,INDEX($M$2:$M$1000,(ROW()-ROW($B$2))/16+1),"")</f>
        <v/>
      </c>
    </row>
    <row r="2933" spans="14:14" x14ac:dyDescent="0.3">
      <c r="N2933" t="str" cm="1">
        <f t="array" ref="N2933">IF(MOD(ROW()-ROW($B$2),16)=0,INDEX($M$2:$M$1000,(ROW()-ROW($B$2))/16+1),"")</f>
        <v/>
      </c>
    </row>
    <row r="2934" spans="14:14" x14ac:dyDescent="0.3">
      <c r="N2934" t="str" cm="1">
        <f t="array" ref="N2934">IF(MOD(ROW()-ROW($B$2),16)=0,INDEX($M$2:$M$1000,(ROW()-ROW($B$2))/16+1),"")</f>
        <v/>
      </c>
    </row>
    <row r="2935" spans="14:14" x14ac:dyDescent="0.3">
      <c r="N2935" t="str" cm="1">
        <f t="array" ref="N2935">IF(MOD(ROW()-ROW($B$2),16)=0,INDEX($M$2:$M$1000,(ROW()-ROW($B$2))/16+1),"")</f>
        <v/>
      </c>
    </row>
    <row r="2936" spans="14:14" x14ac:dyDescent="0.3">
      <c r="N2936" t="str" cm="1">
        <f t="array" ref="N2936">IF(MOD(ROW()-ROW($B$2),16)=0,INDEX($M$2:$M$1000,(ROW()-ROW($B$2))/16+1),"")</f>
        <v/>
      </c>
    </row>
    <row r="2937" spans="14:14" x14ac:dyDescent="0.3">
      <c r="N2937" t="str" cm="1">
        <f t="array" ref="N2937">IF(MOD(ROW()-ROW($B$2),16)=0,INDEX($M$2:$M$1000,(ROW()-ROW($B$2))/16+1),"")</f>
        <v/>
      </c>
    </row>
    <row r="2938" spans="14:14" x14ac:dyDescent="0.3">
      <c r="N2938" t="str" cm="1">
        <f t="array" ref="N2938">IF(MOD(ROW()-ROW($B$2),16)=0,INDEX($M$2:$M$1000,(ROW()-ROW($B$2))/16+1),"")</f>
        <v/>
      </c>
    </row>
    <row r="2939" spans="14:14" x14ac:dyDescent="0.3">
      <c r="N2939" t="str" cm="1">
        <f t="array" ref="N2939">IF(MOD(ROW()-ROW($B$2),16)=0,INDEX($M$2:$M$1000,(ROW()-ROW($B$2))/16+1),"")</f>
        <v/>
      </c>
    </row>
    <row r="2940" spans="14:14" x14ac:dyDescent="0.3">
      <c r="N2940" t="str" cm="1">
        <f t="array" ref="N2940">IF(MOD(ROW()-ROW($B$2),16)=0,INDEX($M$2:$M$1000,(ROW()-ROW($B$2))/16+1),"")</f>
        <v/>
      </c>
    </row>
    <row r="2941" spans="14:14" x14ac:dyDescent="0.3">
      <c r="N2941" t="str" cm="1">
        <f t="array" ref="N2941">IF(MOD(ROW()-ROW($B$2),16)=0,INDEX($M$2:$M$1000,(ROW()-ROW($B$2))/16+1),"")</f>
        <v/>
      </c>
    </row>
    <row r="2942" spans="14:14" x14ac:dyDescent="0.3">
      <c r="N2942" t="str" cm="1">
        <f t="array" ref="N2942">IF(MOD(ROW()-ROW($B$2),16)=0,INDEX($M$2:$M$1000,(ROW()-ROW($B$2))/16+1),"")</f>
        <v/>
      </c>
    </row>
    <row r="2943" spans="14:14" x14ac:dyDescent="0.3">
      <c r="N2943" t="str" cm="1">
        <f t="array" ref="N2943">IF(MOD(ROW()-ROW($B$2),16)=0,INDEX($M$2:$M$1000,(ROW()-ROW($B$2))/16+1),"")</f>
        <v/>
      </c>
    </row>
    <row r="2944" spans="14:14" x14ac:dyDescent="0.3">
      <c r="N2944" t="str" cm="1">
        <f t="array" ref="N2944">IF(MOD(ROW()-ROW($B$2),16)=0,INDEX($M$2:$M$1000,(ROW()-ROW($B$2))/16+1),"")</f>
        <v/>
      </c>
    </row>
    <row r="2945" spans="14:14" x14ac:dyDescent="0.3">
      <c r="N2945" t="str" cm="1">
        <f t="array" ref="N2945">IF(MOD(ROW()-ROW($B$2),16)=0,INDEX($M$2:$M$1000,(ROW()-ROW($B$2))/16+1),"")</f>
        <v/>
      </c>
    </row>
    <row r="2946" spans="14:14" x14ac:dyDescent="0.3">
      <c r="N2946" t="str" cm="1">
        <f t="array" ref="N2946">IF(MOD(ROW()-ROW($B$2),16)=0,INDEX($M$2:$M$1000,(ROW()-ROW($B$2))/16+1),"")</f>
        <v/>
      </c>
    </row>
    <row r="2947" spans="14:14" x14ac:dyDescent="0.3">
      <c r="N2947" t="str" cm="1">
        <f t="array" ref="N2947">IF(MOD(ROW()-ROW($B$2),16)=0,INDEX($M$2:$M$1000,(ROW()-ROW($B$2))/16+1),"")</f>
        <v/>
      </c>
    </row>
    <row r="2948" spans="14:14" x14ac:dyDescent="0.3">
      <c r="N2948" t="str" cm="1">
        <f t="array" ref="N2948">IF(MOD(ROW()-ROW($B$2),16)=0,INDEX($M$2:$M$1000,(ROW()-ROW($B$2))/16+1),"")</f>
        <v/>
      </c>
    </row>
    <row r="2949" spans="14:14" x14ac:dyDescent="0.3">
      <c r="N2949" t="str" cm="1">
        <f t="array" ref="N2949">IF(MOD(ROW()-ROW($B$2),16)=0,INDEX($M$2:$M$1000,(ROW()-ROW($B$2))/16+1),"")</f>
        <v/>
      </c>
    </row>
    <row r="2950" spans="14:14" x14ac:dyDescent="0.3">
      <c r="N2950" t="str" cm="1">
        <f t="array" ref="N2950">IF(MOD(ROW()-ROW($B$2),16)=0,INDEX($M$2:$M$1000,(ROW()-ROW($B$2))/16+1),"")</f>
        <v/>
      </c>
    </row>
    <row r="2951" spans="14:14" x14ac:dyDescent="0.3">
      <c r="N2951" t="str" cm="1">
        <f t="array" ref="N2951">IF(MOD(ROW()-ROW($B$2),16)=0,INDEX($M$2:$M$1000,(ROW()-ROW($B$2))/16+1),"")</f>
        <v/>
      </c>
    </row>
    <row r="2952" spans="14:14" x14ac:dyDescent="0.3">
      <c r="N2952" t="str" cm="1">
        <f t="array" ref="N2952">IF(MOD(ROW()-ROW($B$2),16)=0,INDEX($M$2:$M$1000,(ROW()-ROW($B$2))/16+1),"")</f>
        <v/>
      </c>
    </row>
    <row r="2953" spans="14:14" x14ac:dyDescent="0.3">
      <c r="N2953" t="str" cm="1">
        <f t="array" ref="N2953">IF(MOD(ROW()-ROW($B$2),16)=0,INDEX($M$2:$M$1000,(ROW()-ROW($B$2))/16+1),"")</f>
        <v/>
      </c>
    </row>
    <row r="2954" spans="14:14" x14ac:dyDescent="0.3">
      <c r="N2954" t="str" cm="1">
        <f t="array" ref="N2954">IF(MOD(ROW()-ROW($B$2),16)=0,INDEX($M$2:$M$1000,(ROW()-ROW($B$2))/16+1),"")</f>
        <v/>
      </c>
    </row>
    <row r="2955" spans="14:14" x14ac:dyDescent="0.3">
      <c r="N2955" t="str" cm="1">
        <f t="array" ref="N2955">IF(MOD(ROW()-ROW($B$2),16)=0,INDEX($M$2:$M$1000,(ROW()-ROW($B$2))/16+1),"")</f>
        <v/>
      </c>
    </row>
    <row r="2956" spans="14:14" x14ac:dyDescent="0.3">
      <c r="N2956" t="str" cm="1">
        <f t="array" ref="N2956">IF(MOD(ROW()-ROW($B$2),16)=0,INDEX($M$2:$M$1000,(ROW()-ROW($B$2))/16+1),"")</f>
        <v/>
      </c>
    </row>
    <row r="2957" spans="14:14" x14ac:dyDescent="0.3">
      <c r="N2957" t="str" cm="1">
        <f t="array" ref="N2957">IF(MOD(ROW()-ROW($B$2),16)=0,INDEX($M$2:$M$1000,(ROW()-ROW($B$2))/16+1),"")</f>
        <v/>
      </c>
    </row>
    <row r="2958" spans="14:14" x14ac:dyDescent="0.3">
      <c r="N2958" t="str" cm="1">
        <f t="array" ref="N2958">IF(MOD(ROW()-ROW($B$2),16)=0,INDEX($M$2:$M$1000,(ROW()-ROW($B$2))/16+1),"")</f>
        <v/>
      </c>
    </row>
    <row r="2959" spans="14:14" x14ac:dyDescent="0.3">
      <c r="N2959" t="str" cm="1">
        <f t="array" ref="N2959">IF(MOD(ROW()-ROW($B$2),16)=0,INDEX($M$2:$M$1000,(ROW()-ROW($B$2))/16+1),"")</f>
        <v/>
      </c>
    </row>
    <row r="2960" spans="14:14" x14ac:dyDescent="0.3">
      <c r="N2960" t="str" cm="1">
        <f t="array" ref="N2960">IF(MOD(ROW()-ROW($B$2),16)=0,INDEX($M$2:$M$1000,(ROW()-ROW($B$2))/16+1),"")</f>
        <v/>
      </c>
    </row>
    <row r="2961" spans="14:14" x14ac:dyDescent="0.3">
      <c r="N2961" t="str" cm="1">
        <f t="array" ref="N2961">IF(MOD(ROW()-ROW($B$2),16)=0,INDEX($M$2:$M$1000,(ROW()-ROW($B$2))/16+1),"")</f>
        <v/>
      </c>
    </row>
    <row r="2962" spans="14:14" x14ac:dyDescent="0.3">
      <c r="N2962" t="str" cm="1">
        <f t="array" ref="N2962">IF(MOD(ROW()-ROW($B$2),16)=0,INDEX($M$2:$M$1000,(ROW()-ROW($B$2))/16+1),"")</f>
        <v/>
      </c>
    </row>
    <row r="2963" spans="14:14" x14ac:dyDescent="0.3">
      <c r="N2963" t="str" cm="1">
        <f t="array" ref="N2963">IF(MOD(ROW()-ROW($B$2),16)=0,INDEX($M$2:$M$1000,(ROW()-ROW($B$2))/16+1),"")</f>
        <v/>
      </c>
    </row>
    <row r="2964" spans="14:14" x14ac:dyDescent="0.3">
      <c r="N2964" t="str" cm="1">
        <f t="array" ref="N2964">IF(MOD(ROW()-ROW($B$2),16)=0,INDEX($M$2:$M$1000,(ROW()-ROW($B$2))/16+1),"")</f>
        <v/>
      </c>
    </row>
    <row r="2965" spans="14:14" x14ac:dyDescent="0.3">
      <c r="N2965" t="str" cm="1">
        <f t="array" ref="N2965">IF(MOD(ROW()-ROW($B$2),16)=0,INDEX($M$2:$M$1000,(ROW()-ROW($B$2))/16+1),"")</f>
        <v/>
      </c>
    </row>
    <row r="2966" spans="14:14" x14ac:dyDescent="0.3">
      <c r="N2966" t="str" cm="1">
        <f t="array" ref="N2966">IF(MOD(ROW()-ROW($B$2),16)=0,INDEX($M$2:$M$1000,(ROW()-ROW($B$2))/16+1),"")</f>
        <v/>
      </c>
    </row>
    <row r="2967" spans="14:14" x14ac:dyDescent="0.3">
      <c r="N2967" t="str" cm="1">
        <f t="array" ref="N2967">IF(MOD(ROW()-ROW($B$2),16)=0,INDEX($M$2:$M$1000,(ROW()-ROW($B$2))/16+1),"")</f>
        <v/>
      </c>
    </row>
    <row r="2968" spans="14:14" x14ac:dyDescent="0.3">
      <c r="N2968" t="str" cm="1">
        <f t="array" ref="N2968">IF(MOD(ROW()-ROW($B$2),16)=0,INDEX($M$2:$M$1000,(ROW()-ROW($B$2))/16+1),"")</f>
        <v/>
      </c>
    </row>
    <row r="2969" spans="14:14" x14ac:dyDescent="0.3">
      <c r="N2969" t="str" cm="1">
        <f t="array" ref="N2969">IF(MOD(ROW()-ROW($B$2),16)=0,INDEX($M$2:$M$1000,(ROW()-ROW($B$2))/16+1),"")</f>
        <v/>
      </c>
    </row>
    <row r="2970" spans="14:14" x14ac:dyDescent="0.3">
      <c r="N2970" t="str" cm="1">
        <f t="array" ref="N2970">IF(MOD(ROW()-ROW($B$2),16)=0,INDEX($M$2:$M$1000,(ROW()-ROW($B$2))/16+1),"")</f>
        <v/>
      </c>
    </row>
    <row r="2971" spans="14:14" x14ac:dyDescent="0.3">
      <c r="N2971" t="str" cm="1">
        <f t="array" ref="N2971">IF(MOD(ROW()-ROW($B$2),16)=0,INDEX($M$2:$M$1000,(ROW()-ROW($B$2))/16+1),"")</f>
        <v/>
      </c>
    </row>
    <row r="2972" spans="14:14" x14ac:dyDescent="0.3">
      <c r="N2972" t="str" cm="1">
        <f t="array" ref="N2972">IF(MOD(ROW()-ROW($B$2),16)=0,INDEX($M$2:$M$1000,(ROW()-ROW($B$2))/16+1),"")</f>
        <v/>
      </c>
    </row>
    <row r="2973" spans="14:14" x14ac:dyDescent="0.3">
      <c r="N2973" t="str" cm="1">
        <f t="array" ref="N2973">IF(MOD(ROW()-ROW($B$2),16)=0,INDEX($M$2:$M$1000,(ROW()-ROW($B$2))/16+1),"")</f>
        <v/>
      </c>
    </row>
    <row r="2974" spans="14:14" x14ac:dyDescent="0.3">
      <c r="N2974" t="str" cm="1">
        <f t="array" ref="N2974">IF(MOD(ROW()-ROW($B$2),16)=0,INDEX($M$2:$M$1000,(ROW()-ROW($B$2))/16+1),"")</f>
        <v/>
      </c>
    </row>
    <row r="2975" spans="14:14" x14ac:dyDescent="0.3">
      <c r="N2975" t="str" cm="1">
        <f t="array" ref="N2975">IF(MOD(ROW()-ROW($B$2),16)=0,INDEX($M$2:$M$1000,(ROW()-ROW($B$2))/16+1),"")</f>
        <v/>
      </c>
    </row>
    <row r="2976" spans="14:14" x14ac:dyDescent="0.3">
      <c r="N2976" t="str" cm="1">
        <f t="array" ref="N2976">IF(MOD(ROW()-ROW($B$2),16)=0,INDEX($M$2:$M$1000,(ROW()-ROW($B$2))/16+1),"")</f>
        <v/>
      </c>
    </row>
    <row r="2977" spans="14:14" x14ac:dyDescent="0.3">
      <c r="N2977" t="str" cm="1">
        <f t="array" ref="N2977">IF(MOD(ROW()-ROW($B$2),16)=0,INDEX($M$2:$M$1000,(ROW()-ROW($B$2))/16+1),"")</f>
        <v/>
      </c>
    </row>
    <row r="2978" spans="14:14" x14ac:dyDescent="0.3">
      <c r="N2978" t="str" cm="1">
        <f t="array" ref="N2978">IF(MOD(ROW()-ROW($B$2),16)=0,INDEX($M$2:$M$1000,(ROW()-ROW($B$2))/16+1),"")</f>
        <v/>
      </c>
    </row>
    <row r="2979" spans="14:14" x14ac:dyDescent="0.3">
      <c r="N2979" t="str" cm="1">
        <f t="array" ref="N2979">IF(MOD(ROW()-ROW($B$2),16)=0,INDEX($M$2:$M$1000,(ROW()-ROW($B$2))/16+1),"")</f>
        <v/>
      </c>
    </row>
    <row r="2980" spans="14:14" x14ac:dyDescent="0.3">
      <c r="N2980" t="str" cm="1">
        <f t="array" ref="N2980">IF(MOD(ROW()-ROW($B$2),16)=0,INDEX($M$2:$M$1000,(ROW()-ROW($B$2))/16+1),"")</f>
        <v/>
      </c>
    </row>
    <row r="2981" spans="14:14" x14ac:dyDescent="0.3">
      <c r="N2981" t="str" cm="1">
        <f t="array" ref="N2981">IF(MOD(ROW()-ROW($B$2),16)=0,INDEX($M$2:$M$1000,(ROW()-ROW($B$2))/16+1),"")</f>
        <v/>
      </c>
    </row>
    <row r="2982" spans="14:14" x14ac:dyDescent="0.3">
      <c r="N2982" t="str" cm="1">
        <f t="array" ref="N2982">IF(MOD(ROW()-ROW($B$2),16)=0,INDEX($M$2:$M$1000,(ROW()-ROW($B$2))/16+1),"")</f>
        <v/>
      </c>
    </row>
    <row r="2983" spans="14:14" x14ac:dyDescent="0.3">
      <c r="N2983" t="str" cm="1">
        <f t="array" ref="N2983">IF(MOD(ROW()-ROW($B$2),16)=0,INDEX($M$2:$M$1000,(ROW()-ROW($B$2))/16+1),"")</f>
        <v/>
      </c>
    </row>
    <row r="2984" spans="14:14" x14ac:dyDescent="0.3">
      <c r="N2984" t="str" cm="1">
        <f t="array" ref="N2984">IF(MOD(ROW()-ROW($B$2),16)=0,INDEX($M$2:$M$1000,(ROW()-ROW($B$2))/16+1),"")</f>
        <v/>
      </c>
    </row>
    <row r="2985" spans="14:14" x14ac:dyDescent="0.3">
      <c r="N2985" t="str" cm="1">
        <f t="array" ref="N2985">IF(MOD(ROW()-ROW($B$2),16)=0,INDEX($M$2:$M$1000,(ROW()-ROW($B$2))/16+1),"")</f>
        <v/>
      </c>
    </row>
    <row r="2986" spans="14:14" x14ac:dyDescent="0.3">
      <c r="N2986" t="str" cm="1">
        <f t="array" ref="N2986">IF(MOD(ROW()-ROW($B$2),16)=0,INDEX($M$2:$M$1000,(ROW()-ROW($B$2))/16+1),"")</f>
        <v/>
      </c>
    </row>
    <row r="2987" spans="14:14" x14ac:dyDescent="0.3">
      <c r="N2987" t="str" cm="1">
        <f t="array" ref="N2987">IF(MOD(ROW()-ROW($B$2),16)=0,INDEX($M$2:$M$1000,(ROW()-ROW($B$2))/16+1),"")</f>
        <v/>
      </c>
    </row>
    <row r="2988" spans="14:14" x14ac:dyDescent="0.3">
      <c r="N2988" t="str" cm="1">
        <f t="array" ref="N2988">IF(MOD(ROW()-ROW($B$2),16)=0,INDEX($M$2:$M$1000,(ROW()-ROW($B$2))/16+1),"")</f>
        <v/>
      </c>
    </row>
    <row r="2989" spans="14:14" x14ac:dyDescent="0.3">
      <c r="N2989" t="str" cm="1">
        <f t="array" ref="N2989">IF(MOD(ROW()-ROW($B$2),16)=0,INDEX($M$2:$M$1000,(ROW()-ROW($B$2))/16+1),"")</f>
        <v/>
      </c>
    </row>
    <row r="2990" spans="14:14" x14ac:dyDescent="0.3">
      <c r="N2990" t="str" cm="1">
        <f t="array" ref="N2990">IF(MOD(ROW()-ROW($B$2),16)=0,INDEX($M$2:$M$1000,(ROW()-ROW($B$2))/16+1),"")</f>
        <v/>
      </c>
    </row>
    <row r="2991" spans="14:14" x14ac:dyDescent="0.3">
      <c r="N2991" t="str" cm="1">
        <f t="array" ref="N2991">IF(MOD(ROW()-ROW($B$2),16)=0,INDEX($M$2:$M$1000,(ROW()-ROW($B$2))/16+1),"")</f>
        <v/>
      </c>
    </row>
    <row r="2992" spans="14:14" x14ac:dyDescent="0.3">
      <c r="N2992" t="str" cm="1">
        <f t="array" ref="N2992">IF(MOD(ROW()-ROW($B$2),16)=0,INDEX($M$2:$M$1000,(ROW()-ROW($B$2))/16+1),"")</f>
        <v/>
      </c>
    </row>
    <row r="2993" spans="14:14" x14ac:dyDescent="0.3">
      <c r="N2993" t="str" cm="1">
        <f t="array" ref="N2993">IF(MOD(ROW()-ROW($B$2),16)=0,INDEX($M$2:$M$1000,(ROW()-ROW($B$2))/16+1),"")</f>
        <v/>
      </c>
    </row>
    <row r="2994" spans="14:14" x14ac:dyDescent="0.3">
      <c r="N2994" t="str" cm="1">
        <f t="array" ref="N2994">IF(MOD(ROW()-ROW($B$2),16)=0,INDEX($M$2:$M$1000,(ROW()-ROW($B$2))/16+1),"")</f>
        <v/>
      </c>
    </row>
    <row r="2995" spans="14:14" x14ac:dyDescent="0.3">
      <c r="N2995" t="str" cm="1">
        <f t="array" ref="N2995">IF(MOD(ROW()-ROW($B$2),16)=0,INDEX($M$2:$M$1000,(ROW()-ROW($B$2))/16+1),"")</f>
        <v/>
      </c>
    </row>
    <row r="2996" spans="14:14" x14ac:dyDescent="0.3">
      <c r="N2996" t="str" cm="1">
        <f t="array" ref="N2996">IF(MOD(ROW()-ROW($B$2),16)=0,INDEX($M$2:$M$1000,(ROW()-ROW($B$2))/16+1),"")</f>
        <v/>
      </c>
    </row>
    <row r="2997" spans="14:14" x14ac:dyDescent="0.3">
      <c r="N2997" t="str" cm="1">
        <f t="array" ref="N2997">IF(MOD(ROW()-ROW($B$2),16)=0,INDEX($M$2:$M$1000,(ROW()-ROW($B$2))/16+1),"")</f>
        <v/>
      </c>
    </row>
    <row r="2998" spans="14:14" x14ac:dyDescent="0.3">
      <c r="N2998" t="str" cm="1">
        <f t="array" ref="N2998">IF(MOD(ROW()-ROW($B$2),16)=0,INDEX($M$2:$M$1000,(ROW()-ROW($B$2))/16+1),"")</f>
        <v/>
      </c>
    </row>
    <row r="2999" spans="14:14" x14ac:dyDescent="0.3">
      <c r="N2999" t="str" cm="1">
        <f t="array" ref="N2999">IF(MOD(ROW()-ROW($B$2),16)=0,INDEX($M$2:$M$1000,(ROW()-ROW($B$2))/16+1),"")</f>
        <v/>
      </c>
    </row>
    <row r="3000" spans="14:14" x14ac:dyDescent="0.3">
      <c r="N3000" t="str" cm="1">
        <f t="array" ref="N3000">IF(MOD(ROW()-ROW($B$2),16)=0,INDEX($M$2:$M$1000,(ROW()-ROW($B$2))/16+1),"")</f>
        <v/>
      </c>
    </row>
    <row r="3001" spans="14:14" x14ac:dyDescent="0.3">
      <c r="N3001" t="str" cm="1">
        <f t="array" ref="N3001">IF(MOD(ROW()-ROW($B$2),16)=0,INDEX($M$2:$M$1000,(ROW()-ROW($B$2))/16+1),"")</f>
        <v/>
      </c>
    </row>
    <row r="3002" spans="14:14" x14ac:dyDescent="0.3">
      <c r="N3002" t="str" cm="1">
        <f t="array" ref="N3002">IF(MOD(ROW()-ROW($B$2),16)=0,INDEX($M$2:$M$1000,(ROW()-ROW($B$2))/16+1),"")</f>
        <v/>
      </c>
    </row>
    <row r="3003" spans="14:14" x14ac:dyDescent="0.3">
      <c r="N3003" t="str" cm="1">
        <f t="array" ref="N3003">IF(MOD(ROW()-ROW($B$2),16)=0,INDEX($M$2:$M$1000,(ROW()-ROW($B$2))/16+1),"")</f>
        <v/>
      </c>
    </row>
    <row r="3004" spans="14:14" x14ac:dyDescent="0.3">
      <c r="N3004" t="str" cm="1">
        <f t="array" ref="N3004">IF(MOD(ROW()-ROW($B$2),16)=0,INDEX($M$2:$M$1000,(ROW()-ROW($B$2))/16+1),"")</f>
        <v/>
      </c>
    </row>
    <row r="3005" spans="14:14" x14ac:dyDescent="0.3">
      <c r="N3005" t="str" cm="1">
        <f t="array" ref="N3005">IF(MOD(ROW()-ROW($B$2),16)=0,INDEX($M$2:$M$1000,(ROW()-ROW($B$2))/16+1),"")</f>
        <v/>
      </c>
    </row>
    <row r="3006" spans="14:14" x14ac:dyDescent="0.3">
      <c r="N3006" t="str" cm="1">
        <f t="array" ref="N3006">IF(MOD(ROW()-ROW($B$2),16)=0,INDEX($M$2:$M$1000,(ROW()-ROW($B$2))/16+1),"")</f>
        <v/>
      </c>
    </row>
    <row r="3007" spans="14:14" x14ac:dyDescent="0.3">
      <c r="N3007" t="str" cm="1">
        <f t="array" ref="N3007">IF(MOD(ROW()-ROW($B$2),16)=0,INDEX($M$2:$M$1000,(ROW()-ROW($B$2))/16+1),"")</f>
        <v/>
      </c>
    </row>
    <row r="3008" spans="14:14" x14ac:dyDescent="0.3">
      <c r="N3008" t="str" cm="1">
        <f t="array" ref="N3008">IF(MOD(ROW()-ROW($B$2),16)=0,INDEX($M$2:$M$1000,(ROW()-ROW($B$2))/16+1),"")</f>
        <v/>
      </c>
    </row>
    <row r="3009" spans="14:14" x14ac:dyDescent="0.3">
      <c r="N3009" t="str" cm="1">
        <f t="array" ref="N3009">IF(MOD(ROW()-ROW($B$2),16)=0,INDEX($M$2:$M$1000,(ROW()-ROW($B$2))/16+1),"")</f>
        <v/>
      </c>
    </row>
    <row r="3010" spans="14:14" x14ac:dyDescent="0.3">
      <c r="N3010" t="str" cm="1">
        <f t="array" ref="N3010">IF(MOD(ROW()-ROW($B$2),16)=0,INDEX($M$2:$M$1000,(ROW()-ROW($B$2))/16+1),"")</f>
        <v/>
      </c>
    </row>
    <row r="3011" spans="14:14" x14ac:dyDescent="0.3">
      <c r="N3011" t="str" cm="1">
        <f t="array" ref="N3011">IF(MOD(ROW()-ROW($B$2),16)=0,INDEX($M$2:$M$1000,(ROW()-ROW($B$2))/16+1),"")</f>
        <v/>
      </c>
    </row>
    <row r="3012" spans="14:14" x14ac:dyDescent="0.3">
      <c r="N3012" t="str" cm="1">
        <f t="array" ref="N3012">IF(MOD(ROW()-ROW($B$2),16)=0,INDEX($M$2:$M$1000,(ROW()-ROW($B$2))/16+1),"")</f>
        <v/>
      </c>
    </row>
    <row r="3013" spans="14:14" x14ac:dyDescent="0.3">
      <c r="N3013" t="str" cm="1">
        <f t="array" ref="N3013">IF(MOD(ROW()-ROW($B$2),16)=0,INDEX($M$2:$M$1000,(ROW()-ROW($B$2))/16+1),"")</f>
        <v/>
      </c>
    </row>
    <row r="3014" spans="14:14" x14ac:dyDescent="0.3">
      <c r="N3014" t="str" cm="1">
        <f t="array" ref="N3014">IF(MOD(ROW()-ROW($B$2),16)=0,INDEX($M$2:$M$1000,(ROW()-ROW($B$2))/16+1),"")</f>
        <v/>
      </c>
    </row>
    <row r="3015" spans="14:14" x14ac:dyDescent="0.3">
      <c r="N3015" t="str" cm="1">
        <f t="array" ref="N3015">IF(MOD(ROW()-ROW($B$2),16)=0,INDEX($M$2:$M$1000,(ROW()-ROW($B$2))/16+1),"")</f>
        <v/>
      </c>
    </row>
    <row r="3016" spans="14:14" x14ac:dyDescent="0.3">
      <c r="N3016" t="str" cm="1">
        <f t="array" ref="N3016">IF(MOD(ROW()-ROW($B$2),16)=0,INDEX($M$2:$M$1000,(ROW()-ROW($B$2))/16+1),"")</f>
        <v/>
      </c>
    </row>
    <row r="3017" spans="14:14" x14ac:dyDescent="0.3">
      <c r="N3017" t="str" cm="1">
        <f t="array" ref="N3017">IF(MOD(ROW()-ROW($B$2),16)=0,INDEX($M$2:$M$1000,(ROW()-ROW($B$2))/16+1),"")</f>
        <v/>
      </c>
    </row>
    <row r="3018" spans="14:14" x14ac:dyDescent="0.3">
      <c r="N3018" t="str" cm="1">
        <f t="array" ref="N3018">IF(MOD(ROW()-ROW($B$2),16)=0,INDEX($M$2:$M$1000,(ROW()-ROW($B$2))/16+1),"")</f>
        <v/>
      </c>
    </row>
    <row r="3019" spans="14:14" x14ac:dyDescent="0.3">
      <c r="N3019" t="str" cm="1">
        <f t="array" ref="N3019">IF(MOD(ROW()-ROW($B$2),16)=0,INDEX($M$2:$M$1000,(ROW()-ROW($B$2))/16+1),"")</f>
        <v/>
      </c>
    </row>
    <row r="3020" spans="14:14" x14ac:dyDescent="0.3">
      <c r="N3020" t="str" cm="1">
        <f t="array" ref="N3020">IF(MOD(ROW()-ROW($B$2),16)=0,INDEX($M$2:$M$1000,(ROW()-ROW($B$2))/16+1),"")</f>
        <v/>
      </c>
    </row>
    <row r="3021" spans="14:14" x14ac:dyDescent="0.3">
      <c r="N3021" t="str" cm="1">
        <f t="array" ref="N3021">IF(MOD(ROW()-ROW($B$2),16)=0,INDEX($M$2:$M$1000,(ROW()-ROW($B$2))/16+1),"")</f>
        <v/>
      </c>
    </row>
    <row r="3022" spans="14:14" x14ac:dyDescent="0.3">
      <c r="N3022" t="str" cm="1">
        <f t="array" ref="N3022">IF(MOD(ROW()-ROW($B$2),16)=0,INDEX($M$2:$M$1000,(ROW()-ROW($B$2))/16+1),"")</f>
        <v/>
      </c>
    </row>
    <row r="3023" spans="14:14" x14ac:dyDescent="0.3">
      <c r="N3023" t="str" cm="1">
        <f t="array" ref="N3023">IF(MOD(ROW()-ROW($B$2),16)=0,INDEX($M$2:$M$1000,(ROW()-ROW($B$2))/16+1),"")</f>
        <v/>
      </c>
    </row>
    <row r="3024" spans="14:14" x14ac:dyDescent="0.3">
      <c r="N3024" t="str" cm="1">
        <f t="array" ref="N3024">IF(MOD(ROW()-ROW($B$2),16)=0,INDEX($M$2:$M$1000,(ROW()-ROW($B$2))/16+1),"")</f>
        <v/>
      </c>
    </row>
    <row r="3025" spans="14:14" x14ac:dyDescent="0.3">
      <c r="N3025" t="str" cm="1">
        <f t="array" ref="N3025">IF(MOD(ROW()-ROW($B$2),16)=0,INDEX($M$2:$M$1000,(ROW()-ROW($B$2))/16+1),"")</f>
        <v/>
      </c>
    </row>
    <row r="3026" spans="14:14" x14ac:dyDescent="0.3">
      <c r="N3026" t="str" cm="1">
        <f t="array" ref="N3026">IF(MOD(ROW()-ROW($B$2),16)=0,INDEX($M$2:$M$1000,(ROW()-ROW($B$2))/16+1),"")</f>
        <v/>
      </c>
    </row>
    <row r="3027" spans="14:14" x14ac:dyDescent="0.3">
      <c r="N3027" t="str" cm="1">
        <f t="array" ref="N3027">IF(MOD(ROW()-ROW($B$2),16)=0,INDEX($M$2:$M$1000,(ROW()-ROW($B$2))/16+1),"")</f>
        <v/>
      </c>
    </row>
    <row r="3028" spans="14:14" x14ac:dyDescent="0.3">
      <c r="N3028" t="str" cm="1">
        <f t="array" ref="N3028">IF(MOD(ROW()-ROW($B$2),16)=0,INDEX($M$2:$M$1000,(ROW()-ROW($B$2))/16+1),"")</f>
        <v/>
      </c>
    </row>
    <row r="3029" spans="14:14" x14ac:dyDescent="0.3">
      <c r="N3029" t="str" cm="1">
        <f t="array" ref="N3029">IF(MOD(ROW()-ROW($B$2),16)=0,INDEX($M$2:$M$1000,(ROW()-ROW($B$2))/16+1),"")</f>
        <v/>
      </c>
    </row>
    <row r="3030" spans="14:14" x14ac:dyDescent="0.3">
      <c r="N3030" t="str" cm="1">
        <f t="array" ref="N3030">IF(MOD(ROW()-ROW($B$2),16)=0,INDEX($M$2:$M$1000,(ROW()-ROW($B$2))/16+1),"")</f>
        <v/>
      </c>
    </row>
    <row r="3031" spans="14:14" x14ac:dyDescent="0.3">
      <c r="N3031" t="str" cm="1">
        <f t="array" ref="N3031">IF(MOD(ROW()-ROW($B$2),16)=0,INDEX($M$2:$M$1000,(ROW()-ROW($B$2))/16+1),"")</f>
        <v/>
      </c>
    </row>
    <row r="3032" spans="14:14" x14ac:dyDescent="0.3">
      <c r="N3032" t="str" cm="1">
        <f t="array" ref="N3032">IF(MOD(ROW()-ROW($B$2),16)=0,INDEX($M$2:$M$1000,(ROW()-ROW($B$2))/16+1),"")</f>
        <v/>
      </c>
    </row>
    <row r="3033" spans="14:14" x14ac:dyDescent="0.3">
      <c r="N3033" t="str" cm="1">
        <f t="array" ref="N3033">IF(MOD(ROW()-ROW($B$2),16)=0,INDEX($M$2:$M$1000,(ROW()-ROW($B$2))/16+1),"")</f>
        <v/>
      </c>
    </row>
    <row r="3034" spans="14:14" x14ac:dyDescent="0.3">
      <c r="N3034" t="str" cm="1">
        <f t="array" ref="N3034">IF(MOD(ROW()-ROW($B$2),16)=0,INDEX($M$2:$M$1000,(ROW()-ROW($B$2))/16+1),"")</f>
        <v/>
      </c>
    </row>
    <row r="3035" spans="14:14" x14ac:dyDescent="0.3">
      <c r="N3035" t="str" cm="1">
        <f t="array" ref="N3035">IF(MOD(ROW()-ROW($B$2),16)=0,INDEX($M$2:$M$1000,(ROW()-ROW($B$2))/16+1),"")</f>
        <v/>
      </c>
    </row>
    <row r="3036" spans="14:14" x14ac:dyDescent="0.3">
      <c r="N3036" t="str" cm="1">
        <f t="array" ref="N3036">IF(MOD(ROW()-ROW($B$2),16)=0,INDEX($M$2:$M$1000,(ROW()-ROW($B$2))/16+1),"")</f>
        <v/>
      </c>
    </row>
    <row r="3037" spans="14:14" x14ac:dyDescent="0.3">
      <c r="N3037" t="str" cm="1">
        <f t="array" ref="N3037">IF(MOD(ROW()-ROW($B$2),16)=0,INDEX($M$2:$M$1000,(ROW()-ROW($B$2))/16+1),"")</f>
        <v/>
      </c>
    </row>
    <row r="3038" spans="14:14" x14ac:dyDescent="0.3">
      <c r="N3038" t="str" cm="1">
        <f t="array" ref="N3038">IF(MOD(ROW()-ROW($B$2),16)=0,INDEX($M$2:$M$1000,(ROW()-ROW($B$2))/16+1),"")</f>
        <v/>
      </c>
    </row>
    <row r="3039" spans="14:14" x14ac:dyDescent="0.3">
      <c r="N3039" t="str" cm="1">
        <f t="array" ref="N3039">IF(MOD(ROW()-ROW($B$2),16)=0,INDEX($M$2:$M$1000,(ROW()-ROW($B$2))/16+1),"")</f>
        <v/>
      </c>
    </row>
    <row r="3040" spans="14:14" x14ac:dyDescent="0.3">
      <c r="N3040" t="str" cm="1">
        <f t="array" ref="N3040">IF(MOD(ROW()-ROW($B$2),16)=0,INDEX($M$2:$M$1000,(ROW()-ROW($B$2))/16+1),"")</f>
        <v/>
      </c>
    </row>
    <row r="3041" spans="14:14" x14ac:dyDescent="0.3">
      <c r="N3041" t="str" cm="1">
        <f t="array" ref="N3041">IF(MOD(ROW()-ROW($B$2),16)=0,INDEX($M$2:$M$1000,(ROW()-ROW($B$2))/16+1),"")</f>
        <v/>
      </c>
    </row>
    <row r="3042" spans="14:14" x14ac:dyDescent="0.3">
      <c r="N3042" t="str" cm="1">
        <f t="array" ref="N3042">IF(MOD(ROW()-ROW($B$2),16)=0,INDEX($M$2:$M$1000,(ROW()-ROW($B$2))/16+1),"")</f>
        <v>Выбранная пластина -1 (0)</v>
      </c>
    </row>
    <row r="3043" spans="14:14" x14ac:dyDescent="0.3">
      <c r="N3043" t="str" cm="1">
        <f t="array" ref="N3043">IF(MOD(ROW()-ROW($B$2),16)=0,INDEX($M$2:$M$1000,(ROW()-ROW($B$2))/16+1),"")</f>
        <v/>
      </c>
    </row>
    <row r="3044" spans="14:14" x14ac:dyDescent="0.3">
      <c r="N3044" t="str" cm="1">
        <f t="array" ref="N3044">IF(MOD(ROW()-ROW($B$2),16)=0,INDEX($M$2:$M$1000,(ROW()-ROW($B$2))/16+1),"")</f>
        <v/>
      </c>
    </row>
    <row r="3045" spans="14:14" x14ac:dyDescent="0.3">
      <c r="N3045" t="str" cm="1">
        <f t="array" ref="N3045">IF(MOD(ROW()-ROW($B$2),16)=0,INDEX($M$2:$M$1000,(ROW()-ROW($B$2))/16+1),"")</f>
        <v/>
      </c>
    </row>
    <row r="3046" spans="14:14" x14ac:dyDescent="0.3">
      <c r="N3046" t="str" cm="1">
        <f t="array" ref="N3046">IF(MOD(ROW()-ROW($B$2),16)=0,INDEX($M$2:$M$1000,(ROW()-ROW($B$2))/16+1),"")</f>
        <v/>
      </c>
    </row>
    <row r="3047" spans="14:14" x14ac:dyDescent="0.3">
      <c r="N3047" t="str" cm="1">
        <f t="array" ref="N3047">IF(MOD(ROW()-ROW($B$2),16)=0,INDEX($M$2:$M$1000,(ROW()-ROW($B$2))/16+1),"")</f>
        <v/>
      </c>
    </row>
    <row r="3048" spans="14:14" x14ac:dyDescent="0.3">
      <c r="N3048" t="str" cm="1">
        <f t="array" ref="N3048">IF(MOD(ROW()-ROW($B$2),16)=0,INDEX($M$2:$M$1000,(ROW()-ROW($B$2))/16+1),"")</f>
        <v/>
      </c>
    </row>
    <row r="3049" spans="14:14" x14ac:dyDescent="0.3">
      <c r="N3049" t="str" cm="1">
        <f t="array" ref="N3049">IF(MOD(ROW()-ROW($B$2),16)=0,INDEX($M$2:$M$1000,(ROW()-ROW($B$2))/16+1),"")</f>
        <v/>
      </c>
    </row>
    <row r="3050" spans="14:14" x14ac:dyDescent="0.3">
      <c r="N3050" t="str" cm="1">
        <f t="array" ref="N3050">IF(MOD(ROW()-ROW($B$2),16)=0,INDEX($M$2:$M$1000,(ROW()-ROW($B$2))/16+1),"")</f>
        <v/>
      </c>
    </row>
    <row r="3051" spans="14:14" x14ac:dyDescent="0.3">
      <c r="N3051" t="str" cm="1">
        <f t="array" ref="N3051">IF(MOD(ROW()-ROW($B$2),16)=0,INDEX($M$2:$M$1000,(ROW()-ROW($B$2))/16+1),"")</f>
        <v/>
      </c>
    </row>
    <row r="3052" spans="14:14" x14ac:dyDescent="0.3">
      <c r="N3052" t="str" cm="1">
        <f t="array" ref="N3052">IF(MOD(ROW()-ROW($B$2),16)=0,INDEX($M$2:$M$1000,(ROW()-ROW($B$2))/16+1),"")</f>
        <v/>
      </c>
    </row>
    <row r="3053" spans="14:14" x14ac:dyDescent="0.3">
      <c r="N3053" t="str" cm="1">
        <f t="array" ref="N3053">IF(MOD(ROW()-ROW($B$2),16)=0,INDEX($M$2:$M$1000,(ROW()-ROW($B$2))/16+1),"")</f>
        <v/>
      </c>
    </row>
    <row r="3054" spans="14:14" x14ac:dyDescent="0.3">
      <c r="N3054" t="str" cm="1">
        <f t="array" ref="N3054">IF(MOD(ROW()-ROW($B$2),16)=0,INDEX($M$2:$M$1000,(ROW()-ROW($B$2))/16+1),"")</f>
        <v/>
      </c>
    </row>
    <row r="3055" spans="14:14" x14ac:dyDescent="0.3">
      <c r="N3055" t="str" cm="1">
        <f t="array" ref="N3055">IF(MOD(ROW()-ROW($B$2),16)=0,INDEX($M$2:$M$1000,(ROW()-ROW($B$2))/16+1),"")</f>
        <v/>
      </c>
    </row>
    <row r="3056" spans="14:14" x14ac:dyDescent="0.3">
      <c r="N3056" t="str" cm="1">
        <f t="array" ref="N3056">IF(MOD(ROW()-ROW($B$2),16)=0,INDEX($M$2:$M$1000,(ROW()-ROW($B$2))/16+1),"")</f>
        <v/>
      </c>
    </row>
    <row r="3057" spans="14:14" x14ac:dyDescent="0.3">
      <c r="N3057" t="str" cm="1">
        <f t="array" ref="N3057">IF(MOD(ROW()-ROW($B$2),16)=0,INDEX($M$2:$M$1000,(ROW()-ROW($B$2))/16+1),"")</f>
        <v/>
      </c>
    </row>
    <row r="3058" spans="14:14" x14ac:dyDescent="0.3">
      <c r="N3058" t="str" cm="1">
        <f t="array" ref="N3058">IF(MOD(ROW()-ROW($B$2),16)=0,INDEX($M$2:$M$1000,(ROW()-ROW($B$2))/16+1),"")</f>
        <v/>
      </c>
    </row>
    <row r="3059" spans="14:14" x14ac:dyDescent="0.3">
      <c r="N3059" t="str" cm="1">
        <f t="array" ref="N3059">IF(MOD(ROW()-ROW($B$2),16)=0,INDEX($M$2:$M$1000,(ROW()-ROW($B$2))/16+1),"")</f>
        <v/>
      </c>
    </row>
    <row r="3060" spans="14:14" x14ac:dyDescent="0.3">
      <c r="N3060" t="str" cm="1">
        <f t="array" ref="N3060">IF(MOD(ROW()-ROW($B$2),16)=0,INDEX($M$2:$M$1000,(ROW()-ROW($B$2))/16+1),"")</f>
        <v/>
      </c>
    </row>
    <row r="3061" spans="14:14" x14ac:dyDescent="0.3">
      <c r="N3061" t="str" cm="1">
        <f t="array" ref="N3061">IF(MOD(ROW()-ROW($B$2),16)=0,INDEX($M$2:$M$1000,(ROW()-ROW($B$2))/16+1),"")</f>
        <v/>
      </c>
    </row>
    <row r="3062" spans="14:14" x14ac:dyDescent="0.3">
      <c r="N3062" t="str" cm="1">
        <f t="array" ref="N3062">IF(MOD(ROW()-ROW($B$2),16)=0,INDEX($M$2:$M$1000,(ROW()-ROW($B$2))/16+1),"")</f>
        <v/>
      </c>
    </row>
    <row r="3063" spans="14:14" x14ac:dyDescent="0.3">
      <c r="N3063" t="str" cm="1">
        <f t="array" ref="N3063">IF(MOD(ROW()-ROW($B$2),16)=0,INDEX($M$2:$M$1000,(ROW()-ROW($B$2))/16+1),"")</f>
        <v/>
      </c>
    </row>
    <row r="3064" spans="14:14" x14ac:dyDescent="0.3">
      <c r="N3064" t="str" cm="1">
        <f t="array" ref="N3064">IF(MOD(ROW()-ROW($B$2),16)=0,INDEX($M$2:$M$1000,(ROW()-ROW($B$2))/16+1),"")</f>
        <v/>
      </c>
    </row>
    <row r="3065" spans="14:14" x14ac:dyDescent="0.3">
      <c r="N3065" t="str" cm="1">
        <f t="array" ref="N3065">IF(MOD(ROW()-ROW($B$2),16)=0,INDEX($M$2:$M$1000,(ROW()-ROW($B$2))/16+1),"")</f>
        <v/>
      </c>
    </row>
    <row r="3066" spans="14:14" x14ac:dyDescent="0.3">
      <c r="N3066" t="str" cm="1">
        <f t="array" ref="N3066">IF(MOD(ROW()-ROW($B$2),16)=0,INDEX($M$2:$M$1000,(ROW()-ROW($B$2))/16+1),"")</f>
        <v/>
      </c>
    </row>
    <row r="3067" spans="14:14" x14ac:dyDescent="0.3">
      <c r="N3067" t="str" cm="1">
        <f t="array" ref="N3067">IF(MOD(ROW()-ROW($B$2),16)=0,INDEX($M$2:$M$1000,(ROW()-ROW($B$2))/16+1),"")</f>
        <v/>
      </c>
    </row>
    <row r="3068" spans="14:14" x14ac:dyDescent="0.3">
      <c r="N3068" t="str" cm="1">
        <f t="array" ref="N3068">IF(MOD(ROW()-ROW($B$2),16)=0,INDEX($M$2:$M$1000,(ROW()-ROW($B$2))/16+1),"")</f>
        <v/>
      </c>
    </row>
    <row r="3069" spans="14:14" x14ac:dyDescent="0.3">
      <c r="N3069" t="str" cm="1">
        <f t="array" ref="N3069">IF(MOD(ROW()-ROW($B$2),16)=0,INDEX($M$2:$M$1000,(ROW()-ROW($B$2))/16+1),"")</f>
        <v/>
      </c>
    </row>
    <row r="3070" spans="14:14" x14ac:dyDescent="0.3">
      <c r="N3070" t="str" cm="1">
        <f t="array" ref="N3070">IF(MOD(ROW()-ROW($B$2),16)=0,INDEX($M$2:$M$1000,(ROW()-ROW($B$2))/16+1),"")</f>
        <v/>
      </c>
    </row>
    <row r="3071" spans="14:14" x14ac:dyDescent="0.3">
      <c r="N3071" t="str" cm="1">
        <f t="array" ref="N3071">IF(MOD(ROW()-ROW($B$2),16)=0,INDEX($M$2:$M$1000,(ROW()-ROW($B$2))/16+1),"")</f>
        <v/>
      </c>
    </row>
    <row r="3072" spans="14:14" x14ac:dyDescent="0.3">
      <c r="N3072" t="str" cm="1">
        <f t="array" ref="N3072">IF(MOD(ROW()-ROW($B$2),16)=0,INDEX($M$2:$M$1000,(ROW()-ROW($B$2))/16+1),"")</f>
        <v/>
      </c>
    </row>
    <row r="3073" spans="14:14" x14ac:dyDescent="0.3">
      <c r="N3073" t="str" cm="1">
        <f t="array" ref="N3073">IF(MOD(ROW()-ROW($B$2),16)=0,INDEX($M$2:$M$1000,(ROW()-ROW($B$2))/16+1),"")</f>
        <v/>
      </c>
    </row>
    <row r="3074" spans="14:14" x14ac:dyDescent="0.3">
      <c r="N3074" t="str" cm="1">
        <f t="array" ref="N3074">IF(MOD(ROW()-ROW($B$2),16)=0,INDEX($M$2:$M$1000,(ROW()-ROW($B$2))/16+1),"")</f>
        <v/>
      </c>
    </row>
    <row r="3075" spans="14:14" x14ac:dyDescent="0.3">
      <c r="N3075" t="str" cm="1">
        <f t="array" ref="N3075">IF(MOD(ROW()-ROW($B$2),16)=0,INDEX($M$2:$M$1000,(ROW()-ROW($B$2))/16+1),"")</f>
        <v/>
      </c>
    </row>
    <row r="3076" spans="14:14" x14ac:dyDescent="0.3">
      <c r="N3076" t="str" cm="1">
        <f t="array" ref="N3076">IF(MOD(ROW()-ROW($B$2),16)=0,INDEX($M$2:$M$1000,(ROW()-ROW($B$2))/16+1),"")</f>
        <v/>
      </c>
    </row>
    <row r="3077" spans="14:14" x14ac:dyDescent="0.3">
      <c r="N3077" t="str" cm="1">
        <f t="array" ref="N3077">IF(MOD(ROW()-ROW($B$2),16)=0,INDEX($M$2:$M$1000,(ROW()-ROW($B$2))/16+1),"")</f>
        <v/>
      </c>
    </row>
    <row r="3078" spans="14:14" x14ac:dyDescent="0.3">
      <c r="N3078" t="str" cm="1">
        <f t="array" ref="N3078">IF(MOD(ROW()-ROW($B$2),16)=0,INDEX($M$2:$M$1000,(ROW()-ROW($B$2))/16+1),"")</f>
        <v/>
      </c>
    </row>
    <row r="3079" spans="14:14" x14ac:dyDescent="0.3">
      <c r="N3079" t="str" cm="1">
        <f t="array" ref="N3079">IF(MOD(ROW()-ROW($B$2),16)=0,INDEX($M$2:$M$1000,(ROW()-ROW($B$2))/16+1),"")</f>
        <v/>
      </c>
    </row>
    <row r="3080" spans="14:14" x14ac:dyDescent="0.3">
      <c r="N3080" t="str" cm="1">
        <f t="array" ref="N3080">IF(MOD(ROW()-ROW($B$2),16)=0,INDEX($M$2:$M$1000,(ROW()-ROW($B$2))/16+1),"")</f>
        <v/>
      </c>
    </row>
    <row r="3081" spans="14:14" x14ac:dyDescent="0.3">
      <c r="N3081" t="str" cm="1">
        <f t="array" ref="N3081">IF(MOD(ROW()-ROW($B$2),16)=0,INDEX($M$2:$M$1000,(ROW()-ROW($B$2))/16+1),"")</f>
        <v/>
      </c>
    </row>
    <row r="3082" spans="14:14" x14ac:dyDescent="0.3">
      <c r="N3082" t="str" cm="1">
        <f t="array" ref="N3082">IF(MOD(ROW()-ROW($B$2),16)=0,INDEX($M$2:$M$1000,(ROW()-ROW($B$2))/16+1),"")</f>
        <v/>
      </c>
    </row>
    <row r="3083" spans="14:14" x14ac:dyDescent="0.3">
      <c r="N3083" t="str" cm="1">
        <f t="array" ref="N3083">IF(MOD(ROW()-ROW($B$2),16)=0,INDEX($M$2:$M$1000,(ROW()-ROW($B$2))/16+1),"")</f>
        <v/>
      </c>
    </row>
    <row r="3084" spans="14:14" x14ac:dyDescent="0.3">
      <c r="N3084" t="str" cm="1">
        <f t="array" ref="N3084">IF(MOD(ROW()-ROW($B$2),16)=0,INDEX($M$2:$M$1000,(ROW()-ROW($B$2))/16+1),"")</f>
        <v/>
      </c>
    </row>
    <row r="3085" spans="14:14" x14ac:dyDescent="0.3">
      <c r="N3085" t="str" cm="1">
        <f t="array" ref="N3085">IF(MOD(ROW()-ROW($B$2),16)=0,INDEX($M$2:$M$1000,(ROW()-ROW($B$2))/16+1),"")</f>
        <v/>
      </c>
    </row>
    <row r="3086" spans="14:14" x14ac:dyDescent="0.3">
      <c r="N3086" t="str" cm="1">
        <f t="array" ref="N3086">IF(MOD(ROW()-ROW($B$2),16)=0,INDEX($M$2:$M$1000,(ROW()-ROW($B$2))/16+1),"")</f>
        <v/>
      </c>
    </row>
    <row r="3087" spans="14:14" x14ac:dyDescent="0.3">
      <c r="N3087" t="str" cm="1">
        <f t="array" ref="N3087">IF(MOD(ROW()-ROW($B$2),16)=0,INDEX($M$2:$M$1000,(ROW()-ROW($B$2))/16+1),"")</f>
        <v/>
      </c>
    </row>
    <row r="3088" spans="14:14" x14ac:dyDescent="0.3">
      <c r="N3088" t="str" cm="1">
        <f t="array" ref="N3088">IF(MOD(ROW()-ROW($B$2),16)=0,INDEX($M$2:$M$1000,(ROW()-ROW($B$2))/16+1),"")</f>
        <v/>
      </c>
    </row>
    <row r="3089" spans="14:14" x14ac:dyDescent="0.3">
      <c r="N3089" t="str" cm="1">
        <f t="array" ref="N3089">IF(MOD(ROW()-ROW($B$2),16)=0,INDEX($M$2:$M$1000,(ROW()-ROW($B$2))/16+1),"")</f>
        <v/>
      </c>
    </row>
    <row r="3090" spans="14:14" x14ac:dyDescent="0.3">
      <c r="N3090" t="str" cm="1">
        <f t="array" ref="N3090">IF(MOD(ROW()-ROW($B$2),16)=0,INDEX($M$2:$M$1000,(ROW()-ROW($B$2))/16+1),"")</f>
        <v/>
      </c>
    </row>
    <row r="3091" spans="14:14" x14ac:dyDescent="0.3">
      <c r="N3091" t="str" cm="1">
        <f t="array" ref="N3091">IF(MOD(ROW()-ROW($B$2),16)=0,INDEX($M$2:$M$1000,(ROW()-ROW($B$2))/16+1),"")</f>
        <v/>
      </c>
    </row>
    <row r="3092" spans="14:14" x14ac:dyDescent="0.3">
      <c r="N3092" t="str" cm="1">
        <f t="array" ref="N3092">IF(MOD(ROW()-ROW($B$2),16)=0,INDEX($M$2:$M$1000,(ROW()-ROW($B$2))/16+1),"")</f>
        <v/>
      </c>
    </row>
    <row r="3093" spans="14:14" x14ac:dyDescent="0.3">
      <c r="N3093" t="str" cm="1">
        <f t="array" ref="N3093">IF(MOD(ROW()-ROW($B$2),16)=0,INDEX($M$2:$M$1000,(ROW()-ROW($B$2))/16+1),"")</f>
        <v/>
      </c>
    </row>
    <row r="3094" spans="14:14" x14ac:dyDescent="0.3">
      <c r="N3094" t="str" cm="1">
        <f t="array" ref="N3094">IF(MOD(ROW()-ROW($B$2),16)=0,INDEX($M$2:$M$1000,(ROW()-ROW($B$2))/16+1),"")</f>
        <v/>
      </c>
    </row>
    <row r="3095" spans="14:14" x14ac:dyDescent="0.3">
      <c r="N3095" t="str" cm="1">
        <f t="array" ref="N3095">IF(MOD(ROW()-ROW($B$2),16)=0,INDEX($M$2:$M$1000,(ROW()-ROW($B$2))/16+1),"")</f>
        <v/>
      </c>
    </row>
    <row r="3096" spans="14:14" x14ac:dyDescent="0.3">
      <c r="N3096" t="str" cm="1">
        <f t="array" ref="N3096">IF(MOD(ROW()-ROW($B$2),16)=0,INDEX($M$2:$M$1000,(ROW()-ROW($B$2))/16+1),"")</f>
        <v/>
      </c>
    </row>
    <row r="3097" spans="14:14" x14ac:dyDescent="0.3">
      <c r="N3097" t="str" cm="1">
        <f t="array" ref="N3097">IF(MOD(ROW()-ROW($B$2),16)=0,INDEX($M$2:$M$1000,(ROW()-ROW($B$2))/16+1),"")</f>
        <v/>
      </c>
    </row>
    <row r="3098" spans="14:14" x14ac:dyDescent="0.3">
      <c r="N3098" t="str" cm="1">
        <f t="array" ref="N3098">IF(MOD(ROW()-ROW($B$2),16)=0,INDEX($M$2:$M$1000,(ROW()-ROW($B$2))/16+1),"")</f>
        <v/>
      </c>
    </row>
    <row r="3099" spans="14:14" x14ac:dyDescent="0.3">
      <c r="N3099" t="str" cm="1">
        <f t="array" ref="N3099">IF(MOD(ROW()-ROW($B$2),16)=0,INDEX($M$2:$M$1000,(ROW()-ROW($B$2))/16+1),"")</f>
        <v/>
      </c>
    </row>
    <row r="3100" spans="14:14" x14ac:dyDescent="0.3">
      <c r="N3100" t="str" cm="1">
        <f t="array" ref="N3100">IF(MOD(ROW()-ROW($B$2),16)=0,INDEX($M$2:$M$1000,(ROW()-ROW($B$2))/16+1),"")</f>
        <v/>
      </c>
    </row>
    <row r="3101" spans="14:14" x14ac:dyDescent="0.3">
      <c r="N3101" t="str" cm="1">
        <f t="array" ref="N3101">IF(MOD(ROW()-ROW($B$2),16)=0,INDEX($M$2:$M$1000,(ROW()-ROW($B$2))/16+1),"")</f>
        <v/>
      </c>
    </row>
    <row r="3102" spans="14:14" x14ac:dyDescent="0.3">
      <c r="N3102" t="str" cm="1">
        <f t="array" ref="N3102">IF(MOD(ROW()-ROW($B$2),16)=0,INDEX($M$2:$M$1000,(ROW()-ROW($B$2))/16+1),"")</f>
        <v/>
      </c>
    </row>
    <row r="3103" spans="14:14" x14ac:dyDescent="0.3">
      <c r="N3103" t="str" cm="1">
        <f t="array" ref="N3103">IF(MOD(ROW()-ROW($B$2),16)=0,INDEX($M$2:$M$1000,(ROW()-ROW($B$2))/16+1),"")</f>
        <v/>
      </c>
    </row>
    <row r="3104" spans="14:14" x14ac:dyDescent="0.3">
      <c r="N3104" t="str" cm="1">
        <f t="array" ref="N3104">IF(MOD(ROW()-ROW($B$2),16)=0,INDEX($M$2:$M$1000,(ROW()-ROW($B$2))/16+1),"")</f>
        <v/>
      </c>
    </row>
    <row r="3105" spans="14:14" x14ac:dyDescent="0.3">
      <c r="N3105" t="str" cm="1">
        <f t="array" ref="N3105">IF(MOD(ROW()-ROW($B$2),16)=0,INDEX($M$2:$M$1000,(ROW()-ROW($B$2))/16+1),"")</f>
        <v/>
      </c>
    </row>
    <row r="3106" spans="14:14" x14ac:dyDescent="0.3">
      <c r="N3106" t="str" cm="1">
        <f t="array" ref="N3106">IF(MOD(ROW()-ROW($B$2),16)=0,INDEX($M$2:$M$1000,(ROW()-ROW($B$2))/16+1),"")</f>
        <v/>
      </c>
    </row>
    <row r="3107" spans="14:14" x14ac:dyDescent="0.3">
      <c r="N3107" t="str" cm="1">
        <f t="array" ref="N3107">IF(MOD(ROW()-ROW($B$2),16)=0,INDEX($M$2:$M$1000,(ROW()-ROW($B$2))/16+1),"")</f>
        <v/>
      </c>
    </row>
    <row r="3108" spans="14:14" x14ac:dyDescent="0.3">
      <c r="N3108" t="str" cm="1">
        <f t="array" ref="N3108">IF(MOD(ROW()-ROW($B$2),16)=0,INDEX($M$2:$M$1000,(ROW()-ROW($B$2))/16+1),"")</f>
        <v/>
      </c>
    </row>
    <row r="3109" spans="14:14" x14ac:dyDescent="0.3">
      <c r="N3109" t="str" cm="1">
        <f t="array" ref="N3109">IF(MOD(ROW()-ROW($B$2),16)=0,INDEX($M$2:$M$1000,(ROW()-ROW($B$2))/16+1),"")</f>
        <v/>
      </c>
    </row>
    <row r="3110" spans="14:14" x14ac:dyDescent="0.3">
      <c r="N3110" t="str" cm="1">
        <f t="array" ref="N3110">IF(MOD(ROW()-ROW($B$2),16)=0,INDEX($M$2:$M$1000,(ROW()-ROW($B$2))/16+1),"")</f>
        <v/>
      </c>
    </row>
    <row r="3111" spans="14:14" x14ac:dyDescent="0.3">
      <c r="N3111" t="str" cm="1">
        <f t="array" ref="N3111">IF(MOD(ROW()-ROW($B$2),16)=0,INDEX($M$2:$M$1000,(ROW()-ROW($B$2))/16+1),"")</f>
        <v/>
      </c>
    </row>
    <row r="3112" spans="14:14" x14ac:dyDescent="0.3">
      <c r="N3112" t="str" cm="1">
        <f t="array" ref="N3112">IF(MOD(ROW()-ROW($B$2),16)=0,INDEX($M$2:$M$1000,(ROW()-ROW($B$2))/16+1),"")</f>
        <v/>
      </c>
    </row>
    <row r="3113" spans="14:14" x14ac:dyDescent="0.3">
      <c r="N3113" t="str" cm="1">
        <f t="array" ref="N3113">IF(MOD(ROW()-ROW($B$2),16)=0,INDEX($M$2:$M$1000,(ROW()-ROW($B$2))/16+1),"")</f>
        <v/>
      </c>
    </row>
    <row r="3114" spans="14:14" x14ac:dyDescent="0.3">
      <c r="N3114" t="str" cm="1">
        <f t="array" ref="N3114">IF(MOD(ROW()-ROW($B$2),16)=0,INDEX($M$2:$M$1000,(ROW()-ROW($B$2))/16+1),"")</f>
        <v/>
      </c>
    </row>
    <row r="3115" spans="14:14" x14ac:dyDescent="0.3">
      <c r="N3115" t="str" cm="1">
        <f t="array" ref="N3115">IF(MOD(ROW()-ROW($B$2),16)=0,INDEX($M$2:$M$1000,(ROW()-ROW($B$2))/16+1),"")</f>
        <v/>
      </c>
    </row>
    <row r="3116" spans="14:14" x14ac:dyDescent="0.3">
      <c r="N3116" t="str" cm="1">
        <f t="array" ref="N3116">IF(MOD(ROW()-ROW($B$2),16)=0,INDEX($M$2:$M$1000,(ROW()-ROW($B$2))/16+1),"")</f>
        <v/>
      </c>
    </row>
    <row r="3117" spans="14:14" x14ac:dyDescent="0.3">
      <c r="N3117" t="str" cm="1">
        <f t="array" ref="N3117">IF(MOD(ROW()-ROW($B$2),16)=0,INDEX($M$2:$M$1000,(ROW()-ROW($B$2))/16+1),"")</f>
        <v/>
      </c>
    </row>
    <row r="3118" spans="14:14" x14ac:dyDescent="0.3">
      <c r="N3118" t="str" cm="1">
        <f t="array" ref="N3118">IF(MOD(ROW()-ROW($B$2),16)=0,INDEX($M$2:$M$1000,(ROW()-ROW($B$2))/16+1),"")</f>
        <v/>
      </c>
    </row>
    <row r="3119" spans="14:14" x14ac:dyDescent="0.3">
      <c r="N3119" t="str" cm="1">
        <f t="array" ref="N3119">IF(MOD(ROW()-ROW($B$2),16)=0,INDEX($M$2:$M$1000,(ROW()-ROW($B$2))/16+1),"")</f>
        <v/>
      </c>
    </row>
    <row r="3120" spans="14:14" x14ac:dyDescent="0.3">
      <c r="N3120" t="str" cm="1">
        <f t="array" ref="N3120">IF(MOD(ROW()-ROW($B$2),16)=0,INDEX($M$2:$M$1000,(ROW()-ROW($B$2))/16+1),"")</f>
        <v/>
      </c>
    </row>
    <row r="3121" spans="14:14" x14ac:dyDescent="0.3">
      <c r="N3121" t="str" cm="1">
        <f t="array" ref="N3121">IF(MOD(ROW()-ROW($B$2),16)=0,INDEX($M$2:$M$1000,(ROW()-ROW($B$2))/16+1),"")</f>
        <v/>
      </c>
    </row>
    <row r="3122" spans="14:14" x14ac:dyDescent="0.3">
      <c r="N3122" t="str" cm="1">
        <f t="array" ref="N3122">IF(MOD(ROW()-ROW($B$2),16)=0,INDEX($M$2:$M$1000,(ROW()-ROW($B$2))/16+1),"")</f>
        <v/>
      </c>
    </row>
    <row r="3123" spans="14:14" x14ac:dyDescent="0.3">
      <c r="N3123" t="str" cm="1">
        <f t="array" ref="N3123">IF(MOD(ROW()-ROW($B$2),16)=0,INDEX($M$2:$M$1000,(ROW()-ROW($B$2))/16+1),"")</f>
        <v/>
      </c>
    </row>
    <row r="3124" spans="14:14" x14ac:dyDescent="0.3">
      <c r="N3124" t="str" cm="1">
        <f t="array" ref="N3124">IF(MOD(ROW()-ROW($B$2),16)=0,INDEX($M$2:$M$1000,(ROW()-ROW($B$2))/16+1),"")</f>
        <v/>
      </c>
    </row>
    <row r="3125" spans="14:14" x14ac:dyDescent="0.3">
      <c r="N3125" t="str" cm="1">
        <f t="array" ref="N3125">IF(MOD(ROW()-ROW($B$2),16)=0,INDEX($M$2:$M$1000,(ROW()-ROW($B$2))/16+1),"")</f>
        <v/>
      </c>
    </row>
    <row r="3126" spans="14:14" x14ac:dyDescent="0.3">
      <c r="N3126" t="str" cm="1">
        <f t="array" ref="N3126">IF(MOD(ROW()-ROW($B$2),16)=0,INDEX($M$2:$M$1000,(ROW()-ROW($B$2))/16+1),"")</f>
        <v/>
      </c>
    </row>
    <row r="3127" spans="14:14" x14ac:dyDescent="0.3">
      <c r="N3127" t="str" cm="1">
        <f t="array" ref="N3127">IF(MOD(ROW()-ROW($B$2),16)=0,INDEX($M$2:$M$1000,(ROW()-ROW($B$2))/16+1),"")</f>
        <v/>
      </c>
    </row>
    <row r="3128" spans="14:14" x14ac:dyDescent="0.3">
      <c r="N3128" t="str" cm="1">
        <f t="array" ref="N3128">IF(MOD(ROW()-ROW($B$2),16)=0,INDEX($M$2:$M$1000,(ROW()-ROW($B$2))/16+1),"")</f>
        <v/>
      </c>
    </row>
    <row r="3129" spans="14:14" x14ac:dyDescent="0.3">
      <c r="N3129" t="str" cm="1">
        <f t="array" ref="N3129">IF(MOD(ROW()-ROW($B$2),16)=0,INDEX($M$2:$M$1000,(ROW()-ROW($B$2))/16+1),"")</f>
        <v/>
      </c>
    </row>
    <row r="3130" spans="14:14" x14ac:dyDescent="0.3">
      <c r="N3130" t="str" cm="1">
        <f t="array" ref="N3130">IF(MOD(ROW()-ROW($B$2),16)=0,INDEX($M$2:$M$1000,(ROW()-ROW($B$2))/16+1),"")</f>
        <v/>
      </c>
    </row>
    <row r="3131" spans="14:14" x14ac:dyDescent="0.3">
      <c r="N3131" t="str" cm="1">
        <f t="array" ref="N3131">IF(MOD(ROW()-ROW($B$2),16)=0,INDEX($M$2:$M$1000,(ROW()-ROW($B$2))/16+1),"")</f>
        <v/>
      </c>
    </row>
    <row r="3132" spans="14:14" x14ac:dyDescent="0.3">
      <c r="N3132" t="str" cm="1">
        <f t="array" ref="N3132">IF(MOD(ROW()-ROW($B$2),16)=0,INDEX($M$2:$M$1000,(ROW()-ROW($B$2))/16+1),"")</f>
        <v/>
      </c>
    </row>
    <row r="3133" spans="14:14" x14ac:dyDescent="0.3">
      <c r="N3133" t="str" cm="1">
        <f t="array" ref="N3133">IF(MOD(ROW()-ROW($B$2),16)=0,INDEX($M$2:$M$1000,(ROW()-ROW($B$2))/16+1),"")</f>
        <v/>
      </c>
    </row>
    <row r="3134" spans="14:14" x14ac:dyDescent="0.3">
      <c r="N3134" t="str" cm="1">
        <f t="array" ref="N3134">IF(MOD(ROW()-ROW($B$2),16)=0,INDEX($M$2:$M$1000,(ROW()-ROW($B$2))/16+1),"")</f>
        <v/>
      </c>
    </row>
    <row r="3135" spans="14:14" x14ac:dyDescent="0.3">
      <c r="N3135" t="str" cm="1">
        <f t="array" ref="N3135">IF(MOD(ROW()-ROW($B$2),16)=0,INDEX($M$2:$M$1000,(ROW()-ROW($B$2))/16+1),"")</f>
        <v/>
      </c>
    </row>
    <row r="3136" spans="14:14" x14ac:dyDescent="0.3">
      <c r="N3136" t="str" cm="1">
        <f t="array" ref="N3136">IF(MOD(ROW()-ROW($B$2),16)=0,INDEX($M$2:$M$1000,(ROW()-ROW($B$2))/16+1),"")</f>
        <v/>
      </c>
    </row>
    <row r="3137" spans="14:14" x14ac:dyDescent="0.3">
      <c r="N3137" t="str" cm="1">
        <f t="array" ref="N3137">IF(MOD(ROW()-ROW($B$2),16)=0,INDEX($M$2:$M$1000,(ROW()-ROW($B$2))/16+1),"")</f>
        <v/>
      </c>
    </row>
    <row r="3138" spans="14:14" x14ac:dyDescent="0.3">
      <c r="N3138" t="str" cm="1">
        <f t="array" ref="N3138">IF(MOD(ROW()-ROW($B$2),16)=0,INDEX($M$2:$M$1000,(ROW()-ROW($B$2))/16+1),"")</f>
        <v/>
      </c>
    </row>
    <row r="3139" spans="14:14" x14ac:dyDescent="0.3">
      <c r="N3139" t="str" cm="1">
        <f t="array" ref="N3139">IF(MOD(ROW()-ROW($B$2),16)=0,INDEX($M$2:$M$1000,(ROW()-ROW($B$2))/16+1),"")</f>
        <v/>
      </c>
    </row>
    <row r="3140" spans="14:14" x14ac:dyDescent="0.3">
      <c r="N3140" t="str" cm="1">
        <f t="array" ref="N3140">IF(MOD(ROW()-ROW($B$2),16)=0,INDEX($M$2:$M$1000,(ROW()-ROW($B$2))/16+1),"")</f>
        <v/>
      </c>
    </row>
    <row r="3141" spans="14:14" x14ac:dyDescent="0.3">
      <c r="N3141" t="str" cm="1">
        <f t="array" ref="N3141">IF(MOD(ROW()-ROW($B$2),16)=0,INDEX($M$2:$M$1000,(ROW()-ROW($B$2))/16+1),"")</f>
        <v/>
      </c>
    </row>
    <row r="3142" spans="14:14" x14ac:dyDescent="0.3">
      <c r="N3142" t="str" cm="1">
        <f t="array" ref="N3142">IF(MOD(ROW()-ROW($B$2),16)=0,INDEX($M$2:$M$1000,(ROW()-ROW($B$2))/16+1),"")</f>
        <v/>
      </c>
    </row>
    <row r="3143" spans="14:14" x14ac:dyDescent="0.3">
      <c r="N3143" t="str" cm="1">
        <f t="array" ref="N3143">IF(MOD(ROW()-ROW($B$2),16)=0,INDEX($M$2:$M$1000,(ROW()-ROW($B$2))/16+1),"")</f>
        <v/>
      </c>
    </row>
    <row r="3144" spans="14:14" x14ac:dyDescent="0.3">
      <c r="N3144" t="str" cm="1">
        <f t="array" ref="N3144">IF(MOD(ROW()-ROW($B$2),16)=0,INDEX($M$2:$M$1000,(ROW()-ROW($B$2))/16+1),"")</f>
        <v/>
      </c>
    </row>
    <row r="3145" spans="14:14" x14ac:dyDescent="0.3">
      <c r="N3145" t="str" cm="1">
        <f t="array" ref="N3145">IF(MOD(ROW()-ROW($B$2),16)=0,INDEX($M$2:$M$1000,(ROW()-ROW($B$2))/16+1),"")</f>
        <v/>
      </c>
    </row>
    <row r="3146" spans="14:14" x14ac:dyDescent="0.3">
      <c r="N3146" t="str" cm="1">
        <f t="array" ref="N3146">IF(MOD(ROW()-ROW($B$2),16)=0,INDEX($M$2:$M$1000,(ROW()-ROW($B$2))/16+1),"")</f>
        <v/>
      </c>
    </row>
    <row r="3147" spans="14:14" x14ac:dyDescent="0.3">
      <c r="N3147" t="str" cm="1">
        <f t="array" ref="N3147">IF(MOD(ROW()-ROW($B$2),16)=0,INDEX($M$2:$M$1000,(ROW()-ROW($B$2))/16+1),"")</f>
        <v/>
      </c>
    </row>
    <row r="3148" spans="14:14" x14ac:dyDescent="0.3">
      <c r="N3148" t="str" cm="1">
        <f t="array" ref="N3148">IF(MOD(ROW()-ROW($B$2),16)=0,INDEX($M$2:$M$1000,(ROW()-ROW($B$2))/16+1),"")</f>
        <v/>
      </c>
    </row>
    <row r="3149" spans="14:14" x14ac:dyDescent="0.3">
      <c r="N3149" t="str" cm="1">
        <f t="array" ref="N3149">IF(MOD(ROW()-ROW($B$2),16)=0,INDEX($M$2:$M$1000,(ROW()-ROW($B$2))/16+1),"")</f>
        <v/>
      </c>
    </row>
    <row r="3150" spans="14:14" x14ac:dyDescent="0.3">
      <c r="N3150" t="str" cm="1">
        <f t="array" ref="N3150">IF(MOD(ROW()-ROW($B$2),16)=0,INDEX($M$2:$M$1000,(ROW()-ROW($B$2))/16+1),"")</f>
        <v/>
      </c>
    </row>
    <row r="3151" spans="14:14" x14ac:dyDescent="0.3">
      <c r="N3151" t="str" cm="1">
        <f t="array" ref="N3151">IF(MOD(ROW()-ROW($B$2),16)=0,INDEX($M$2:$M$1000,(ROW()-ROW($B$2))/16+1),"")</f>
        <v/>
      </c>
    </row>
    <row r="3152" spans="14:14" x14ac:dyDescent="0.3">
      <c r="N3152" t="str" cm="1">
        <f t="array" ref="N3152">IF(MOD(ROW()-ROW($B$2),16)=0,INDEX($M$2:$M$1000,(ROW()-ROW($B$2))/16+1),"")</f>
        <v/>
      </c>
    </row>
    <row r="3153" spans="14:14" x14ac:dyDescent="0.3">
      <c r="N3153" t="str" cm="1">
        <f t="array" ref="N3153">IF(MOD(ROW()-ROW($B$2),16)=0,INDEX($M$2:$M$1000,(ROW()-ROW($B$2))/16+1),"")</f>
        <v/>
      </c>
    </row>
    <row r="3154" spans="14:14" x14ac:dyDescent="0.3">
      <c r="N3154" t="str" cm="1">
        <f t="array" ref="N3154">IF(MOD(ROW()-ROW($B$2),16)=0,INDEX($M$2:$M$1000,(ROW()-ROW($B$2))/16+1),"")</f>
        <v/>
      </c>
    </row>
    <row r="3155" spans="14:14" x14ac:dyDescent="0.3">
      <c r="N3155" t="str" cm="1">
        <f t="array" ref="N3155">IF(MOD(ROW()-ROW($B$2),16)=0,INDEX($M$2:$M$1000,(ROW()-ROW($B$2))/16+1),"")</f>
        <v/>
      </c>
    </row>
    <row r="3156" spans="14:14" x14ac:dyDescent="0.3">
      <c r="N3156" t="str" cm="1">
        <f t="array" ref="N3156">IF(MOD(ROW()-ROW($B$2),16)=0,INDEX($M$2:$M$1000,(ROW()-ROW($B$2))/16+1),"")</f>
        <v/>
      </c>
    </row>
    <row r="3157" spans="14:14" x14ac:dyDescent="0.3">
      <c r="N3157" t="str" cm="1">
        <f t="array" ref="N3157">IF(MOD(ROW()-ROW($B$2),16)=0,INDEX($M$2:$M$1000,(ROW()-ROW($B$2))/16+1),"")</f>
        <v/>
      </c>
    </row>
    <row r="3158" spans="14:14" x14ac:dyDescent="0.3">
      <c r="N3158" t="str" cm="1">
        <f t="array" ref="N3158">IF(MOD(ROW()-ROW($B$2),16)=0,INDEX($M$2:$M$1000,(ROW()-ROW($B$2))/16+1),"")</f>
        <v/>
      </c>
    </row>
    <row r="3159" spans="14:14" x14ac:dyDescent="0.3">
      <c r="N3159" t="str" cm="1">
        <f t="array" ref="N3159">IF(MOD(ROW()-ROW($B$2),16)=0,INDEX($M$2:$M$1000,(ROW()-ROW($B$2))/16+1),"")</f>
        <v/>
      </c>
    </row>
    <row r="3160" spans="14:14" x14ac:dyDescent="0.3">
      <c r="N3160" t="str" cm="1">
        <f t="array" ref="N3160">IF(MOD(ROW()-ROW($B$2),16)=0,INDEX($M$2:$M$1000,(ROW()-ROW($B$2))/16+1),"")</f>
        <v/>
      </c>
    </row>
    <row r="3161" spans="14:14" x14ac:dyDescent="0.3">
      <c r="N3161" t="str" cm="1">
        <f t="array" ref="N3161">IF(MOD(ROW()-ROW($B$2),16)=0,INDEX($M$2:$M$1000,(ROW()-ROW($B$2))/16+1),"")</f>
        <v/>
      </c>
    </row>
    <row r="3162" spans="14:14" x14ac:dyDescent="0.3">
      <c r="N3162" t="str" cm="1">
        <f t="array" ref="N3162">IF(MOD(ROW()-ROW($B$2),16)=0,INDEX($M$2:$M$1000,(ROW()-ROW($B$2))/16+1),"")</f>
        <v/>
      </c>
    </row>
    <row r="3163" spans="14:14" x14ac:dyDescent="0.3">
      <c r="N3163" t="str" cm="1">
        <f t="array" ref="N3163">IF(MOD(ROW()-ROW($B$2),16)=0,INDEX($M$2:$M$1000,(ROW()-ROW($B$2))/16+1),"")</f>
        <v/>
      </c>
    </row>
    <row r="3164" spans="14:14" x14ac:dyDescent="0.3">
      <c r="N3164" t="str" cm="1">
        <f t="array" ref="N3164">IF(MOD(ROW()-ROW($B$2),16)=0,INDEX($M$2:$M$1000,(ROW()-ROW($B$2))/16+1),"")</f>
        <v/>
      </c>
    </row>
    <row r="3165" spans="14:14" x14ac:dyDescent="0.3">
      <c r="N3165" t="str" cm="1">
        <f t="array" ref="N3165">IF(MOD(ROW()-ROW($B$2),16)=0,INDEX($M$2:$M$1000,(ROW()-ROW($B$2))/16+1),"")</f>
        <v/>
      </c>
    </row>
    <row r="3166" spans="14:14" x14ac:dyDescent="0.3">
      <c r="N3166" t="str" cm="1">
        <f t="array" ref="N3166">IF(MOD(ROW()-ROW($B$2),16)=0,INDEX($M$2:$M$1000,(ROW()-ROW($B$2))/16+1),"")</f>
        <v/>
      </c>
    </row>
    <row r="3167" spans="14:14" x14ac:dyDescent="0.3">
      <c r="N3167" t="str" cm="1">
        <f t="array" ref="N3167">IF(MOD(ROW()-ROW($B$2),16)=0,INDEX($M$2:$M$1000,(ROW()-ROW($B$2))/16+1),"")</f>
        <v/>
      </c>
    </row>
    <row r="3168" spans="14:14" x14ac:dyDescent="0.3">
      <c r="N3168" t="str" cm="1">
        <f t="array" ref="N3168">IF(MOD(ROW()-ROW($B$2),16)=0,INDEX($M$2:$M$1000,(ROW()-ROW($B$2))/16+1),"")</f>
        <v/>
      </c>
    </row>
    <row r="3169" spans="14:14" x14ac:dyDescent="0.3">
      <c r="N3169" t="str" cm="1">
        <f t="array" ref="N3169">IF(MOD(ROW()-ROW($B$2),16)=0,INDEX($M$2:$M$1000,(ROW()-ROW($B$2))/16+1),"")</f>
        <v/>
      </c>
    </row>
    <row r="3170" spans="14:14" x14ac:dyDescent="0.3">
      <c r="N3170" t="str" cm="1">
        <f t="array" ref="N3170">IF(MOD(ROW()-ROW($B$2),16)=0,INDEX($M$2:$M$1000,(ROW()-ROW($B$2))/16+1),"")</f>
        <v/>
      </c>
    </row>
    <row r="3171" spans="14:14" x14ac:dyDescent="0.3">
      <c r="N3171" t="str" cm="1">
        <f t="array" ref="N3171">IF(MOD(ROW()-ROW($B$2),16)=0,INDEX($M$2:$M$1000,(ROW()-ROW($B$2))/16+1),"")</f>
        <v/>
      </c>
    </row>
    <row r="3172" spans="14:14" x14ac:dyDescent="0.3">
      <c r="N3172" t="str" cm="1">
        <f t="array" ref="N3172">IF(MOD(ROW()-ROW($B$2),16)=0,INDEX($M$2:$M$1000,(ROW()-ROW($B$2))/16+1),"")</f>
        <v/>
      </c>
    </row>
    <row r="3173" spans="14:14" x14ac:dyDescent="0.3">
      <c r="N3173" t="str" cm="1">
        <f t="array" ref="N3173">IF(MOD(ROW()-ROW($B$2),16)=0,INDEX($M$2:$M$1000,(ROW()-ROW($B$2))/16+1),"")</f>
        <v/>
      </c>
    </row>
    <row r="3174" spans="14:14" x14ac:dyDescent="0.3">
      <c r="N3174" t="str" cm="1">
        <f t="array" ref="N3174">IF(MOD(ROW()-ROW($B$2),16)=0,INDEX($M$2:$M$1000,(ROW()-ROW($B$2))/16+1),"")</f>
        <v/>
      </c>
    </row>
    <row r="3175" spans="14:14" x14ac:dyDescent="0.3">
      <c r="N3175" t="str" cm="1">
        <f t="array" ref="N3175">IF(MOD(ROW()-ROW($B$2),16)=0,INDEX($M$2:$M$1000,(ROW()-ROW($B$2))/16+1),"")</f>
        <v/>
      </c>
    </row>
    <row r="3176" spans="14:14" x14ac:dyDescent="0.3">
      <c r="N3176" t="str" cm="1">
        <f t="array" ref="N3176">IF(MOD(ROW()-ROW($B$2),16)=0,INDEX($M$2:$M$1000,(ROW()-ROW($B$2))/16+1),"")</f>
        <v/>
      </c>
    </row>
    <row r="3177" spans="14:14" x14ac:dyDescent="0.3">
      <c r="N3177" t="str" cm="1">
        <f t="array" ref="N3177">IF(MOD(ROW()-ROW($B$2),16)=0,INDEX($M$2:$M$1000,(ROW()-ROW($B$2))/16+1),"")</f>
        <v/>
      </c>
    </row>
    <row r="3178" spans="14:14" x14ac:dyDescent="0.3">
      <c r="N3178" t="str" cm="1">
        <f t="array" ref="N3178">IF(MOD(ROW()-ROW($B$2),16)=0,INDEX($M$2:$M$1000,(ROW()-ROW($B$2))/16+1),"")</f>
        <v/>
      </c>
    </row>
    <row r="3179" spans="14:14" x14ac:dyDescent="0.3">
      <c r="N3179" t="str" cm="1">
        <f t="array" ref="N3179">IF(MOD(ROW()-ROW($B$2),16)=0,INDEX($M$2:$M$1000,(ROW()-ROW($B$2))/16+1),"")</f>
        <v/>
      </c>
    </row>
    <row r="3180" spans="14:14" x14ac:dyDescent="0.3">
      <c r="N3180" t="str" cm="1">
        <f t="array" ref="N3180">IF(MOD(ROW()-ROW($B$2),16)=0,INDEX($M$2:$M$1000,(ROW()-ROW($B$2))/16+1),"")</f>
        <v/>
      </c>
    </row>
    <row r="3181" spans="14:14" x14ac:dyDescent="0.3">
      <c r="N3181" t="str" cm="1">
        <f t="array" ref="N3181">IF(MOD(ROW()-ROW($B$2),16)=0,INDEX($M$2:$M$1000,(ROW()-ROW($B$2))/16+1),"")</f>
        <v/>
      </c>
    </row>
    <row r="3182" spans="14:14" x14ac:dyDescent="0.3">
      <c r="N3182" t="str" cm="1">
        <f t="array" ref="N3182">IF(MOD(ROW()-ROW($B$2),16)=0,INDEX($M$2:$M$1000,(ROW()-ROW($B$2))/16+1),"")</f>
        <v/>
      </c>
    </row>
    <row r="3183" spans="14:14" x14ac:dyDescent="0.3">
      <c r="N3183" t="str" cm="1">
        <f t="array" ref="N3183">IF(MOD(ROW()-ROW($B$2),16)=0,INDEX($M$2:$M$1000,(ROW()-ROW($B$2))/16+1),"")</f>
        <v/>
      </c>
    </row>
    <row r="3184" spans="14:14" x14ac:dyDescent="0.3">
      <c r="N3184" t="str" cm="1">
        <f t="array" ref="N3184">IF(MOD(ROW()-ROW($B$2),16)=0,INDEX($M$2:$M$1000,(ROW()-ROW($B$2))/16+1),"")</f>
        <v/>
      </c>
    </row>
    <row r="3185" spans="14:14" x14ac:dyDescent="0.3">
      <c r="N3185" t="str" cm="1">
        <f t="array" ref="N3185">IF(MOD(ROW()-ROW($B$2),16)=0,INDEX($M$2:$M$1000,(ROW()-ROW($B$2))/16+1),"")</f>
        <v/>
      </c>
    </row>
    <row r="3186" spans="14:14" x14ac:dyDescent="0.3">
      <c r="N3186" t="str" cm="1">
        <f t="array" ref="N3186">IF(MOD(ROW()-ROW($B$2),16)=0,INDEX($M$2:$M$1000,(ROW()-ROW($B$2))/16+1),"")</f>
        <v>Номер страницы HMI (0)</v>
      </c>
    </row>
    <row r="3187" spans="14:14" x14ac:dyDescent="0.3">
      <c r="N3187" t="str" cm="1">
        <f t="array" ref="N3187">IF(MOD(ROW()-ROW($B$2),16)=0,INDEX($M$2:$M$1000,(ROW()-ROW($B$2))/16+1),"")</f>
        <v/>
      </c>
    </row>
    <row r="3188" spans="14:14" x14ac:dyDescent="0.3">
      <c r="N3188" t="str" cm="1">
        <f t="array" ref="N3188">IF(MOD(ROW()-ROW($B$2),16)=0,INDEX($M$2:$M$1000,(ROW()-ROW($B$2))/16+1),"")</f>
        <v/>
      </c>
    </row>
    <row r="3189" spans="14:14" x14ac:dyDescent="0.3">
      <c r="N3189" t="str" cm="1">
        <f t="array" ref="N3189">IF(MOD(ROW()-ROW($B$2),16)=0,INDEX($M$2:$M$1000,(ROW()-ROW($B$2))/16+1),"")</f>
        <v/>
      </c>
    </row>
    <row r="3190" spans="14:14" x14ac:dyDescent="0.3">
      <c r="N3190" t="str" cm="1">
        <f t="array" ref="N3190">IF(MOD(ROW()-ROW($B$2),16)=0,INDEX($M$2:$M$1000,(ROW()-ROW($B$2))/16+1),"")</f>
        <v/>
      </c>
    </row>
    <row r="3191" spans="14:14" x14ac:dyDescent="0.3">
      <c r="N3191" t="str" cm="1">
        <f t="array" ref="N3191">IF(MOD(ROW()-ROW($B$2),16)=0,INDEX($M$2:$M$1000,(ROW()-ROW($B$2))/16+1),"")</f>
        <v/>
      </c>
    </row>
    <row r="3192" spans="14:14" x14ac:dyDescent="0.3">
      <c r="N3192" t="str" cm="1">
        <f t="array" ref="N3192">IF(MOD(ROW()-ROW($B$2),16)=0,INDEX($M$2:$M$1000,(ROW()-ROW($B$2))/16+1),"")</f>
        <v/>
      </c>
    </row>
    <row r="3193" spans="14:14" x14ac:dyDescent="0.3">
      <c r="N3193" t="str" cm="1">
        <f t="array" ref="N3193">IF(MOD(ROW()-ROW($B$2),16)=0,INDEX($M$2:$M$1000,(ROW()-ROW($B$2))/16+1),"")</f>
        <v/>
      </c>
    </row>
    <row r="3194" spans="14:14" x14ac:dyDescent="0.3">
      <c r="N3194" t="str" cm="1">
        <f t="array" ref="N3194">IF(MOD(ROW()-ROW($B$2),16)=0,INDEX($M$2:$M$1000,(ROW()-ROW($B$2))/16+1),"")</f>
        <v/>
      </c>
    </row>
    <row r="3195" spans="14:14" x14ac:dyDescent="0.3">
      <c r="N3195" t="str" cm="1">
        <f t="array" ref="N3195">IF(MOD(ROW()-ROW($B$2),16)=0,INDEX($M$2:$M$1000,(ROW()-ROW($B$2))/16+1),"")</f>
        <v/>
      </c>
    </row>
    <row r="3196" spans="14:14" x14ac:dyDescent="0.3">
      <c r="N3196" t="str" cm="1">
        <f t="array" ref="N3196">IF(MOD(ROW()-ROW($B$2),16)=0,INDEX($M$2:$M$1000,(ROW()-ROW($B$2))/16+1),"")</f>
        <v/>
      </c>
    </row>
    <row r="3197" spans="14:14" x14ac:dyDescent="0.3">
      <c r="N3197" t="str" cm="1">
        <f t="array" ref="N3197">IF(MOD(ROW()-ROW($B$2),16)=0,INDEX($M$2:$M$1000,(ROW()-ROW($B$2))/16+1),"")</f>
        <v/>
      </c>
    </row>
    <row r="3198" spans="14:14" x14ac:dyDescent="0.3">
      <c r="N3198" t="str" cm="1">
        <f t="array" ref="N3198">IF(MOD(ROW()-ROW($B$2),16)=0,INDEX($M$2:$M$1000,(ROW()-ROW($B$2))/16+1),"")</f>
        <v/>
      </c>
    </row>
    <row r="3199" spans="14:14" x14ac:dyDescent="0.3">
      <c r="N3199" t="str" cm="1">
        <f t="array" ref="N3199">IF(MOD(ROW()-ROW($B$2),16)=0,INDEX($M$2:$M$1000,(ROW()-ROW($B$2))/16+1),"")</f>
        <v/>
      </c>
    </row>
    <row r="3200" spans="14:14" x14ac:dyDescent="0.3">
      <c r="N3200" t="str" cm="1">
        <f t="array" ref="N3200">IF(MOD(ROW()-ROW($B$2),16)=0,INDEX($M$2:$M$1000,(ROW()-ROW($B$2))/16+1),"")</f>
        <v/>
      </c>
    </row>
    <row r="3201" spans="14:14" x14ac:dyDescent="0.3">
      <c r="N3201" t="str" cm="1">
        <f t="array" ref="N3201">IF(MOD(ROW()-ROW($B$2),16)=0,INDEX($M$2:$M$1000,(ROW()-ROW($B$2))/16+1),"")</f>
        <v/>
      </c>
    </row>
    <row r="3202" spans="14:14" x14ac:dyDescent="0.3">
      <c r="N3202" t="str" cm="1">
        <f t="array" ref="N3202">IF(MOD(ROW()-ROW($B$2),16)=0,INDEX($M$2:$M$1000,(ROW()-ROW($B$2))/16+1),"")</f>
        <v>Код ошибки работы с базой данных (0)</v>
      </c>
    </row>
    <row r="3203" spans="14:14" x14ac:dyDescent="0.3">
      <c r="N3203" t="str" cm="1">
        <f t="array" ref="N3203">IF(MOD(ROW()-ROW($B$2),16)=0,INDEX($M$2:$M$1000,(ROW()-ROW($B$2))/16+1),"")</f>
        <v/>
      </c>
    </row>
    <row r="3204" spans="14:14" x14ac:dyDescent="0.3">
      <c r="N3204" t="str" cm="1">
        <f t="array" ref="N3204">IF(MOD(ROW()-ROW($B$2),16)=0,INDEX($M$2:$M$1000,(ROW()-ROW($B$2))/16+1),"")</f>
        <v/>
      </c>
    </row>
    <row r="3205" spans="14:14" x14ac:dyDescent="0.3">
      <c r="N3205" t="str" cm="1">
        <f t="array" ref="N3205">IF(MOD(ROW()-ROW($B$2),16)=0,INDEX($M$2:$M$1000,(ROW()-ROW($B$2))/16+1),"")</f>
        <v/>
      </c>
    </row>
    <row r="3206" spans="14:14" x14ac:dyDescent="0.3">
      <c r="N3206" t="str" cm="1">
        <f t="array" ref="N3206">IF(MOD(ROW()-ROW($B$2),16)=0,INDEX($M$2:$M$1000,(ROW()-ROW($B$2))/16+1),"")</f>
        <v/>
      </c>
    </row>
    <row r="3207" spans="14:14" x14ac:dyDescent="0.3">
      <c r="N3207" t="str" cm="1">
        <f t="array" ref="N3207">IF(MOD(ROW()-ROW($B$2),16)=0,INDEX($M$2:$M$1000,(ROW()-ROW($B$2))/16+1),"")</f>
        <v/>
      </c>
    </row>
    <row r="3208" spans="14:14" x14ac:dyDescent="0.3">
      <c r="N3208" t="str" cm="1">
        <f t="array" ref="N3208">IF(MOD(ROW()-ROW($B$2),16)=0,INDEX($M$2:$M$1000,(ROW()-ROW($B$2))/16+1),"")</f>
        <v/>
      </c>
    </row>
    <row r="3209" spans="14:14" x14ac:dyDescent="0.3">
      <c r="N3209" t="str" cm="1">
        <f t="array" ref="N3209">IF(MOD(ROW()-ROW($B$2),16)=0,INDEX($M$2:$M$1000,(ROW()-ROW($B$2))/16+1),"")</f>
        <v/>
      </c>
    </row>
    <row r="3210" spans="14:14" x14ac:dyDescent="0.3">
      <c r="N3210" t="str" cm="1">
        <f t="array" ref="N3210">IF(MOD(ROW()-ROW($B$2),16)=0,INDEX($M$2:$M$1000,(ROW()-ROW($B$2))/16+1),"")</f>
        <v/>
      </c>
    </row>
    <row r="3211" spans="14:14" x14ac:dyDescent="0.3">
      <c r="N3211" t="str" cm="1">
        <f t="array" ref="N3211">IF(MOD(ROW()-ROW($B$2),16)=0,INDEX($M$2:$M$1000,(ROW()-ROW($B$2))/16+1),"")</f>
        <v/>
      </c>
    </row>
    <row r="3212" spans="14:14" x14ac:dyDescent="0.3">
      <c r="N3212" t="str" cm="1">
        <f t="array" ref="N3212">IF(MOD(ROW()-ROW($B$2),16)=0,INDEX($M$2:$M$1000,(ROW()-ROW($B$2))/16+1),"")</f>
        <v/>
      </c>
    </row>
    <row r="3213" spans="14:14" x14ac:dyDescent="0.3">
      <c r="N3213" t="str" cm="1">
        <f t="array" ref="N3213">IF(MOD(ROW()-ROW($B$2),16)=0,INDEX($M$2:$M$1000,(ROW()-ROW($B$2))/16+1),"")</f>
        <v/>
      </c>
    </row>
    <row r="3214" spans="14:14" x14ac:dyDescent="0.3">
      <c r="N3214" t="str" cm="1">
        <f t="array" ref="N3214">IF(MOD(ROW()-ROW($B$2),16)=0,INDEX($M$2:$M$1000,(ROW()-ROW($B$2))/16+1),"")</f>
        <v/>
      </c>
    </row>
    <row r="3215" spans="14:14" x14ac:dyDescent="0.3">
      <c r="N3215" t="str" cm="1">
        <f t="array" ref="N3215">IF(MOD(ROW()-ROW($B$2),16)=0,INDEX($M$2:$M$1000,(ROW()-ROW($B$2))/16+1),"")</f>
        <v/>
      </c>
    </row>
    <row r="3216" spans="14:14" x14ac:dyDescent="0.3">
      <c r="N3216" t="str" cm="1">
        <f t="array" ref="N3216">IF(MOD(ROW()-ROW($B$2),16)=0,INDEX($M$2:$M$1000,(ROW()-ROW($B$2))/16+1),"")</f>
        <v/>
      </c>
    </row>
    <row r="3217" spans="14:14" x14ac:dyDescent="0.3">
      <c r="N3217" t="str" cm="1">
        <f t="array" ref="N3217">IF(MOD(ROW()-ROW($B$2),16)=0,INDEX($M$2:$M$1000,(ROW()-ROW($B$2))/16+1),"")</f>
        <v/>
      </c>
    </row>
    <row r="3218" spans="14:14" x14ac:dyDescent="0.3">
      <c r="N3218" t="str" cm="1">
        <f t="array" ref="N3218">IF(MOD(ROW()-ROW($B$2),16)=0,INDEX($M$2:$M$1000,(ROW()-ROW($B$2))/16+1),"")</f>
        <v>Выбор типа рецепта (пластины/задания) (0)</v>
      </c>
    </row>
    <row r="3219" spans="14:14" x14ac:dyDescent="0.3">
      <c r="N3219" t="str" cm="1">
        <f t="array" ref="N3219">IF(MOD(ROW()-ROW($B$2),16)=0,INDEX($M$2:$M$1000,(ROW()-ROW($B$2))/16+1),"")</f>
        <v/>
      </c>
    </row>
    <row r="3220" spans="14:14" x14ac:dyDescent="0.3">
      <c r="N3220" t="str" cm="1">
        <f t="array" ref="N3220">IF(MOD(ROW()-ROW($B$2),16)=0,INDEX($M$2:$M$1000,(ROW()-ROW($B$2))/16+1),"")</f>
        <v/>
      </c>
    </row>
    <row r="3221" spans="14:14" x14ac:dyDescent="0.3">
      <c r="N3221" t="str" cm="1">
        <f t="array" ref="N3221">IF(MOD(ROW()-ROW($B$2),16)=0,INDEX($M$2:$M$1000,(ROW()-ROW($B$2))/16+1),"")</f>
        <v/>
      </c>
    </row>
    <row r="3222" spans="14:14" x14ac:dyDescent="0.3">
      <c r="N3222" t="str" cm="1">
        <f t="array" ref="N3222">IF(MOD(ROW()-ROW($B$2),16)=0,INDEX($M$2:$M$1000,(ROW()-ROW($B$2))/16+1),"")</f>
        <v/>
      </c>
    </row>
    <row r="3223" spans="14:14" x14ac:dyDescent="0.3">
      <c r="N3223" t="str" cm="1">
        <f t="array" ref="N3223">IF(MOD(ROW()-ROW($B$2),16)=0,INDEX($M$2:$M$1000,(ROW()-ROW($B$2))/16+1),"")</f>
        <v/>
      </c>
    </row>
    <row r="3224" spans="14:14" x14ac:dyDescent="0.3">
      <c r="N3224" t="str" cm="1">
        <f t="array" ref="N3224">IF(MOD(ROW()-ROW($B$2),16)=0,INDEX($M$2:$M$1000,(ROW()-ROW($B$2))/16+1),"")</f>
        <v/>
      </c>
    </row>
    <row r="3225" spans="14:14" x14ac:dyDescent="0.3">
      <c r="N3225" t="str" cm="1">
        <f t="array" ref="N3225">IF(MOD(ROW()-ROW($B$2),16)=0,INDEX($M$2:$M$1000,(ROW()-ROW($B$2))/16+1),"")</f>
        <v/>
      </c>
    </row>
    <row r="3226" spans="14:14" x14ac:dyDescent="0.3">
      <c r="N3226" t="str" cm="1">
        <f t="array" ref="N3226">IF(MOD(ROW()-ROW($B$2),16)=0,INDEX($M$2:$M$1000,(ROW()-ROW($B$2))/16+1),"")</f>
        <v/>
      </c>
    </row>
    <row r="3227" spans="14:14" x14ac:dyDescent="0.3">
      <c r="N3227" t="str" cm="1">
        <f t="array" ref="N3227">IF(MOD(ROW()-ROW($B$2),16)=0,INDEX($M$2:$M$1000,(ROW()-ROW($B$2))/16+1),"")</f>
        <v/>
      </c>
    </row>
    <row r="3228" spans="14:14" x14ac:dyDescent="0.3">
      <c r="N3228" t="str" cm="1">
        <f t="array" ref="N3228">IF(MOD(ROW()-ROW($B$2),16)=0,INDEX($M$2:$M$1000,(ROW()-ROW($B$2))/16+1),"")</f>
        <v/>
      </c>
    </row>
    <row r="3229" spans="14:14" x14ac:dyDescent="0.3">
      <c r="N3229" t="str" cm="1">
        <f t="array" ref="N3229">IF(MOD(ROW()-ROW($B$2),16)=0,INDEX($M$2:$M$1000,(ROW()-ROW($B$2))/16+1),"")</f>
        <v/>
      </c>
    </row>
    <row r="3230" spans="14:14" x14ac:dyDescent="0.3">
      <c r="N3230" t="str" cm="1">
        <f t="array" ref="N3230">IF(MOD(ROW()-ROW($B$2),16)=0,INDEX($M$2:$M$1000,(ROW()-ROW($B$2))/16+1),"")</f>
        <v/>
      </c>
    </row>
    <row r="3231" spans="14:14" x14ac:dyDescent="0.3">
      <c r="N3231" t="str" cm="1">
        <f t="array" ref="N3231">IF(MOD(ROW()-ROW($B$2),16)=0,INDEX($M$2:$M$1000,(ROW()-ROW($B$2))/16+1),"")</f>
        <v/>
      </c>
    </row>
    <row r="3232" spans="14:14" x14ac:dyDescent="0.3">
      <c r="N3232" t="str" cm="1">
        <f t="array" ref="N3232">IF(MOD(ROW()-ROW($B$2),16)=0,INDEX($M$2:$M$1000,(ROW()-ROW($B$2))/16+1),"")</f>
        <v/>
      </c>
    </row>
    <row r="3233" spans="14:14" x14ac:dyDescent="0.3">
      <c r="N3233" t="str" cm="1">
        <f t="array" ref="N3233">IF(MOD(ROW()-ROW($B$2),16)=0,INDEX($M$2:$M$1000,(ROW()-ROW($B$2))/16+1),"")</f>
        <v/>
      </c>
    </row>
    <row r="3234" spans="14:14" x14ac:dyDescent="0.3">
      <c r="N3234" t="str" cm="1">
        <f t="array" ref="N3234">IF(MOD(ROW()-ROW($B$2),16)=0,INDEX($M$2:$M$1000,(ROW()-ROW($B$2))/16+1),"")</f>
        <v>Выбор блока рецепта (0)</v>
      </c>
    </row>
    <row r="3235" spans="14:14" x14ac:dyDescent="0.3">
      <c r="N3235" t="str" cm="1">
        <f t="array" ref="N3235">IF(MOD(ROW()-ROW($B$2),16)=0,INDEX($M$2:$M$1000,(ROW()-ROW($B$2))/16+1),"")</f>
        <v/>
      </c>
    </row>
    <row r="3236" spans="14:14" x14ac:dyDescent="0.3">
      <c r="N3236" t="str" cm="1">
        <f t="array" ref="N3236">IF(MOD(ROW()-ROW($B$2),16)=0,INDEX($M$2:$M$1000,(ROW()-ROW($B$2))/16+1),"")</f>
        <v/>
      </c>
    </row>
    <row r="3237" spans="14:14" x14ac:dyDescent="0.3">
      <c r="N3237" t="str" cm="1">
        <f t="array" ref="N3237">IF(MOD(ROW()-ROW($B$2),16)=0,INDEX($M$2:$M$1000,(ROW()-ROW($B$2))/16+1),"")</f>
        <v/>
      </c>
    </row>
    <row r="3238" spans="14:14" x14ac:dyDescent="0.3">
      <c r="N3238" t="str" cm="1">
        <f t="array" ref="N3238">IF(MOD(ROW()-ROW($B$2),16)=0,INDEX($M$2:$M$1000,(ROW()-ROW($B$2))/16+1),"")</f>
        <v/>
      </c>
    </row>
    <row r="3239" spans="14:14" x14ac:dyDescent="0.3">
      <c r="N3239" t="str" cm="1">
        <f t="array" ref="N3239">IF(MOD(ROW()-ROW($B$2),16)=0,INDEX($M$2:$M$1000,(ROW()-ROW($B$2))/16+1),"")</f>
        <v/>
      </c>
    </row>
    <row r="3240" spans="14:14" x14ac:dyDescent="0.3">
      <c r="N3240" t="str" cm="1">
        <f t="array" ref="N3240">IF(MOD(ROW()-ROW($B$2),16)=0,INDEX($M$2:$M$1000,(ROW()-ROW($B$2))/16+1),"")</f>
        <v/>
      </c>
    </row>
    <row r="3241" spans="14:14" x14ac:dyDescent="0.3">
      <c r="N3241" t="str" cm="1">
        <f t="array" ref="N3241">IF(MOD(ROW()-ROW($B$2),16)=0,INDEX($M$2:$M$1000,(ROW()-ROW($B$2))/16+1),"")</f>
        <v/>
      </c>
    </row>
    <row r="3242" spans="14:14" x14ac:dyDescent="0.3">
      <c r="N3242" t="str" cm="1">
        <f t="array" ref="N3242">IF(MOD(ROW()-ROW($B$2),16)=0,INDEX($M$2:$M$1000,(ROW()-ROW($B$2))/16+1),"")</f>
        <v/>
      </c>
    </row>
    <row r="3243" spans="14:14" x14ac:dyDescent="0.3">
      <c r="N3243" t="str" cm="1">
        <f t="array" ref="N3243">IF(MOD(ROW()-ROW($B$2),16)=0,INDEX($M$2:$M$1000,(ROW()-ROW($B$2))/16+1),"")</f>
        <v/>
      </c>
    </row>
    <row r="3244" spans="14:14" x14ac:dyDescent="0.3">
      <c r="N3244" t="str" cm="1">
        <f t="array" ref="N3244">IF(MOD(ROW()-ROW($B$2),16)=0,INDEX($M$2:$M$1000,(ROW()-ROW($B$2))/16+1),"")</f>
        <v/>
      </c>
    </row>
    <row r="3245" spans="14:14" x14ac:dyDescent="0.3">
      <c r="N3245" t="str" cm="1">
        <f t="array" ref="N3245">IF(MOD(ROW()-ROW($B$2),16)=0,INDEX($M$2:$M$1000,(ROW()-ROW($B$2))/16+1),"")</f>
        <v/>
      </c>
    </row>
    <row r="3246" spans="14:14" x14ac:dyDescent="0.3">
      <c r="N3246" t="str" cm="1">
        <f t="array" ref="N3246">IF(MOD(ROW()-ROW($B$2),16)=0,INDEX($M$2:$M$1000,(ROW()-ROW($B$2))/16+1),"")</f>
        <v/>
      </c>
    </row>
    <row r="3247" spans="14:14" x14ac:dyDescent="0.3">
      <c r="N3247" t="str" cm="1">
        <f t="array" ref="N3247">IF(MOD(ROW()-ROW($B$2),16)=0,INDEX($M$2:$M$1000,(ROW()-ROW($B$2))/16+1),"")</f>
        <v/>
      </c>
    </row>
    <row r="3248" spans="14:14" x14ac:dyDescent="0.3">
      <c r="N3248" t="str" cm="1">
        <f t="array" ref="N3248">IF(MOD(ROW()-ROW($B$2),16)=0,INDEX($M$2:$M$1000,(ROW()-ROW($B$2))/16+1),"")</f>
        <v/>
      </c>
    </row>
    <row r="3249" spans="14:14" x14ac:dyDescent="0.3">
      <c r="N3249" t="str" cm="1">
        <f t="array" ref="N3249">IF(MOD(ROW()-ROW($B$2),16)=0,INDEX($M$2:$M$1000,(ROW()-ROW($B$2))/16+1),"")</f>
        <v/>
      </c>
    </row>
    <row r="3250" spans="14:14" x14ac:dyDescent="0.3">
      <c r="N3250" t="str" cm="1">
        <f t="array" ref="N3250">IF(MOD(ROW()-ROW($B$2),16)=0,INDEX($M$2:$M$1000,(ROW()-ROW($B$2))/16+1),"")</f>
        <v>Выбор номера файла (для EFR) (0)</v>
      </c>
    </row>
    <row r="3251" spans="14:14" x14ac:dyDescent="0.3">
      <c r="N3251" t="str" cm="1">
        <f t="array" ref="N3251">IF(MOD(ROW()-ROW($B$2),16)=0,INDEX($M$2:$M$1000,(ROW()-ROW($B$2))/16+1),"")</f>
        <v/>
      </c>
    </row>
    <row r="3252" spans="14:14" x14ac:dyDescent="0.3">
      <c r="N3252" t="str" cm="1">
        <f t="array" ref="N3252">IF(MOD(ROW()-ROW($B$2),16)=0,INDEX($M$2:$M$1000,(ROW()-ROW($B$2))/16+1),"")</f>
        <v/>
      </c>
    </row>
    <row r="3253" spans="14:14" x14ac:dyDescent="0.3">
      <c r="N3253" t="str" cm="1">
        <f t="array" ref="N3253">IF(MOD(ROW()-ROW($B$2),16)=0,INDEX($M$2:$M$1000,(ROW()-ROW($B$2))/16+1),"")</f>
        <v/>
      </c>
    </row>
    <row r="3254" spans="14:14" x14ac:dyDescent="0.3">
      <c r="N3254" t="str" cm="1">
        <f t="array" ref="N3254">IF(MOD(ROW()-ROW($B$2),16)=0,INDEX($M$2:$M$1000,(ROW()-ROW($B$2))/16+1),"")</f>
        <v/>
      </c>
    </row>
    <row r="3255" spans="14:14" x14ac:dyDescent="0.3">
      <c r="N3255" t="str" cm="1">
        <f t="array" ref="N3255">IF(MOD(ROW()-ROW($B$2),16)=0,INDEX($M$2:$M$1000,(ROW()-ROW($B$2))/16+1),"")</f>
        <v/>
      </c>
    </row>
    <row r="3256" spans="14:14" x14ac:dyDescent="0.3">
      <c r="N3256" t="str" cm="1">
        <f t="array" ref="N3256">IF(MOD(ROW()-ROW($B$2),16)=0,INDEX($M$2:$M$1000,(ROW()-ROW($B$2))/16+1),"")</f>
        <v/>
      </c>
    </row>
    <row r="3257" spans="14:14" x14ac:dyDescent="0.3">
      <c r="N3257" t="str" cm="1">
        <f t="array" ref="N3257">IF(MOD(ROW()-ROW($B$2),16)=0,INDEX($M$2:$M$1000,(ROW()-ROW($B$2))/16+1),"")</f>
        <v/>
      </c>
    </row>
    <row r="3258" spans="14:14" x14ac:dyDescent="0.3">
      <c r="N3258" t="str" cm="1">
        <f t="array" ref="N3258">IF(MOD(ROW()-ROW($B$2),16)=0,INDEX($M$2:$M$1000,(ROW()-ROW($B$2))/16+1),"")</f>
        <v/>
      </c>
    </row>
    <row r="3259" spans="14:14" x14ac:dyDescent="0.3">
      <c r="N3259" t="str" cm="1">
        <f t="array" ref="N3259">IF(MOD(ROW()-ROW($B$2),16)=0,INDEX($M$2:$M$1000,(ROW()-ROW($B$2))/16+1),"")</f>
        <v/>
      </c>
    </row>
    <row r="3260" spans="14:14" x14ac:dyDescent="0.3">
      <c r="N3260" t="str" cm="1">
        <f t="array" ref="N3260">IF(MOD(ROW()-ROW($B$2),16)=0,INDEX($M$2:$M$1000,(ROW()-ROW($B$2))/16+1),"")</f>
        <v/>
      </c>
    </row>
    <row r="3261" spans="14:14" x14ac:dyDescent="0.3">
      <c r="N3261" t="str" cm="1">
        <f t="array" ref="N3261">IF(MOD(ROW()-ROW($B$2),16)=0,INDEX($M$2:$M$1000,(ROW()-ROW($B$2))/16+1),"")</f>
        <v/>
      </c>
    </row>
    <row r="3262" spans="14:14" x14ac:dyDescent="0.3">
      <c r="N3262" t="str" cm="1">
        <f t="array" ref="N3262">IF(MOD(ROW()-ROW($B$2),16)=0,INDEX($M$2:$M$1000,(ROW()-ROW($B$2))/16+1),"")</f>
        <v/>
      </c>
    </row>
    <row r="3263" spans="14:14" x14ac:dyDescent="0.3">
      <c r="N3263" t="str" cm="1">
        <f t="array" ref="N3263">IF(MOD(ROW()-ROW($B$2),16)=0,INDEX($M$2:$M$1000,(ROW()-ROW($B$2))/16+1),"")</f>
        <v/>
      </c>
    </row>
    <row r="3264" spans="14:14" x14ac:dyDescent="0.3">
      <c r="N3264" t="str" cm="1">
        <f t="array" ref="N3264">IF(MOD(ROW()-ROW($B$2),16)=0,INDEX($M$2:$M$1000,(ROW()-ROW($B$2))/16+1),"")</f>
        <v/>
      </c>
    </row>
    <row r="3265" spans="14:14" x14ac:dyDescent="0.3">
      <c r="N3265" t="str" cm="1">
        <f t="array" ref="N3265">IF(MOD(ROW()-ROW($B$2),16)=0,INDEX($M$2:$M$1000,(ROW()-ROW($B$2))/16+1),"")</f>
        <v/>
      </c>
    </row>
    <row r="3266" spans="14:14" x14ac:dyDescent="0.3">
      <c r="N3266" t="str" cm="1">
        <f t="array" ref="N3266">IF(MOD(ROW()-ROW($B$2),16)=0,INDEX($M$2:$M$1000,(ROW()-ROW($B$2))/16+1),"")</f>
        <v/>
      </c>
    </row>
    <row r="3267" spans="14:14" x14ac:dyDescent="0.3">
      <c r="N3267" t="str" cm="1">
        <f t="array" ref="N3267">IF(MOD(ROW()-ROW($B$2),16)=0,INDEX($M$2:$M$1000,(ROW()-ROW($B$2))/16+1),"")</f>
        <v/>
      </c>
    </row>
    <row r="3268" spans="14:14" x14ac:dyDescent="0.3">
      <c r="N3268" t="str" cm="1">
        <f t="array" ref="N3268">IF(MOD(ROW()-ROW($B$2),16)=0,INDEX($M$2:$M$1000,(ROW()-ROW($B$2))/16+1),"")</f>
        <v/>
      </c>
    </row>
    <row r="3269" spans="14:14" x14ac:dyDescent="0.3">
      <c r="N3269" t="str" cm="1">
        <f t="array" ref="N3269">IF(MOD(ROW()-ROW($B$2),16)=0,INDEX($M$2:$M$1000,(ROW()-ROW($B$2))/16+1),"")</f>
        <v/>
      </c>
    </row>
    <row r="3270" spans="14:14" x14ac:dyDescent="0.3">
      <c r="N3270" t="str" cm="1">
        <f t="array" ref="N3270">IF(MOD(ROW()-ROW($B$2),16)=0,INDEX($M$2:$M$1000,(ROW()-ROW($B$2))/16+1),"")</f>
        <v/>
      </c>
    </row>
    <row r="3271" spans="14:14" x14ac:dyDescent="0.3">
      <c r="N3271" t="str" cm="1">
        <f t="array" ref="N3271">IF(MOD(ROW()-ROW($B$2),16)=0,INDEX($M$2:$M$1000,(ROW()-ROW($B$2))/16+1),"")</f>
        <v/>
      </c>
    </row>
    <row r="3272" spans="14:14" x14ac:dyDescent="0.3">
      <c r="N3272" t="str" cm="1">
        <f t="array" ref="N3272">IF(MOD(ROW()-ROW($B$2),16)=0,INDEX($M$2:$M$1000,(ROW()-ROW($B$2))/16+1),"")</f>
        <v/>
      </c>
    </row>
    <row r="3273" spans="14:14" x14ac:dyDescent="0.3">
      <c r="N3273" t="str" cm="1">
        <f t="array" ref="N3273">IF(MOD(ROW()-ROW($B$2),16)=0,INDEX($M$2:$M$1000,(ROW()-ROW($B$2))/16+1),"")</f>
        <v/>
      </c>
    </row>
    <row r="3274" spans="14:14" x14ac:dyDescent="0.3">
      <c r="N3274" t="str" cm="1">
        <f t="array" ref="N3274">IF(MOD(ROW()-ROW($B$2),16)=0,INDEX($M$2:$M$1000,(ROW()-ROW($B$2))/16+1),"")</f>
        <v/>
      </c>
    </row>
    <row r="3275" spans="14:14" x14ac:dyDescent="0.3">
      <c r="N3275" t="str" cm="1">
        <f t="array" ref="N3275">IF(MOD(ROW()-ROW($B$2),16)=0,INDEX($M$2:$M$1000,(ROW()-ROW($B$2))/16+1),"")</f>
        <v/>
      </c>
    </row>
    <row r="3276" spans="14:14" x14ac:dyDescent="0.3">
      <c r="N3276" t="str" cm="1">
        <f t="array" ref="N3276">IF(MOD(ROW()-ROW($B$2),16)=0,INDEX($M$2:$M$1000,(ROW()-ROW($B$2))/16+1),"")</f>
        <v/>
      </c>
    </row>
    <row r="3277" spans="14:14" x14ac:dyDescent="0.3">
      <c r="N3277" t="str" cm="1">
        <f t="array" ref="N3277">IF(MOD(ROW()-ROW($B$2),16)=0,INDEX($M$2:$M$1000,(ROW()-ROW($B$2))/16+1),"")</f>
        <v/>
      </c>
    </row>
    <row r="3278" spans="14:14" x14ac:dyDescent="0.3">
      <c r="N3278" t="str" cm="1">
        <f t="array" ref="N3278">IF(MOD(ROW()-ROW($B$2),16)=0,INDEX($M$2:$M$1000,(ROW()-ROW($B$2))/16+1),"")</f>
        <v/>
      </c>
    </row>
    <row r="3279" spans="14:14" x14ac:dyDescent="0.3">
      <c r="N3279" t="str" cm="1">
        <f t="array" ref="N3279">IF(MOD(ROW()-ROW($B$2),16)=0,INDEX($M$2:$M$1000,(ROW()-ROW($B$2))/16+1),"")</f>
        <v/>
      </c>
    </row>
    <row r="3280" spans="14:14" x14ac:dyDescent="0.3">
      <c r="N3280" t="str" cm="1">
        <f t="array" ref="N3280">IF(MOD(ROW()-ROW($B$2),16)=0,INDEX($M$2:$M$1000,(ROW()-ROW($B$2))/16+1),"")</f>
        <v/>
      </c>
    </row>
    <row r="3281" spans="14:14" x14ac:dyDescent="0.3">
      <c r="N3281" t="str" cm="1">
        <f t="array" ref="N3281">IF(MOD(ROW()-ROW($B$2),16)=0,INDEX($M$2:$M$1000,(ROW()-ROW($B$2))/16+1),"")</f>
        <v/>
      </c>
    </row>
    <row r="3282" spans="14:14" x14ac:dyDescent="0.3">
      <c r="N3282" t="str" cm="1">
        <f t="array" ref="N3282">IF(MOD(ROW()-ROW($B$2),16)=0,INDEX($M$2:$M$1000,(ROW()-ROW($B$2))/16+1),"")</f>
        <v/>
      </c>
    </row>
    <row r="3283" spans="14:14" x14ac:dyDescent="0.3">
      <c r="N3283" t="str" cm="1">
        <f t="array" ref="N3283">IF(MOD(ROW()-ROW($B$2),16)=0,INDEX($M$2:$M$1000,(ROW()-ROW($B$2))/16+1),"")</f>
        <v/>
      </c>
    </row>
    <row r="3284" spans="14:14" x14ac:dyDescent="0.3">
      <c r="N3284" t="str" cm="1">
        <f t="array" ref="N3284">IF(MOD(ROW()-ROW($B$2),16)=0,INDEX($M$2:$M$1000,(ROW()-ROW($B$2))/16+1),"")</f>
        <v/>
      </c>
    </row>
    <row r="3285" spans="14:14" x14ac:dyDescent="0.3">
      <c r="N3285" t="str" cm="1">
        <f t="array" ref="N3285">IF(MOD(ROW()-ROW($B$2),16)=0,INDEX($M$2:$M$1000,(ROW()-ROW($B$2))/16+1),"")</f>
        <v/>
      </c>
    </row>
    <row r="3286" spans="14:14" x14ac:dyDescent="0.3">
      <c r="N3286" t="str" cm="1">
        <f t="array" ref="N3286">IF(MOD(ROW()-ROW($B$2),16)=0,INDEX($M$2:$M$1000,(ROW()-ROW($B$2))/16+1),"")</f>
        <v/>
      </c>
    </row>
    <row r="3287" spans="14:14" x14ac:dyDescent="0.3">
      <c r="N3287" t="str" cm="1">
        <f t="array" ref="N3287">IF(MOD(ROW()-ROW($B$2),16)=0,INDEX($M$2:$M$1000,(ROW()-ROW($B$2))/16+1),"")</f>
        <v/>
      </c>
    </row>
    <row r="3288" spans="14:14" x14ac:dyDescent="0.3">
      <c r="N3288" t="str" cm="1">
        <f t="array" ref="N3288">IF(MOD(ROW()-ROW($B$2),16)=0,INDEX($M$2:$M$1000,(ROW()-ROW($B$2))/16+1),"")</f>
        <v/>
      </c>
    </row>
    <row r="3289" spans="14:14" x14ac:dyDescent="0.3">
      <c r="N3289" t="str" cm="1">
        <f t="array" ref="N3289">IF(MOD(ROW()-ROW($B$2),16)=0,INDEX($M$2:$M$1000,(ROW()-ROW($B$2))/16+1),"")</f>
        <v/>
      </c>
    </row>
    <row r="3290" spans="14:14" x14ac:dyDescent="0.3">
      <c r="N3290" t="str" cm="1">
        <f t="array" ref="N3290">IF(MOD(ROW()-ROW($B$2),16)=0,INDEX($M$2:$M$1000,(ROW()-ROW($B$2))/16+1),"")</f>
        <v/>
      </c>
    </row>
    <row r="3291" spans="14:14" x14ac:dyDescent="0.3">
      <c r="N3291" t="str" cm="1">
        <f t="array" ref="N3291">IF(MOD(ROW()-ROW($B$2),16)=0,INDEX($M$2:$M$1000,(ROW()-ROW($B$2))/16+1),"")</f>
        <v/>
      </c>
    </row>
    <row r="3292" spans="14:14" x14ac:dyDescent="0.3">
      <c r="N3292" t="str" cm="1">
        <f t="array" ref="N3292">IF(MOD(ROW()-ROW($B$2),16)=0,INDEX($M$2:$M$1000,(ROW()-ROW($B$2))/16+1),"")</f>
        <v/>
      </c>
    </row>
    <row r="3293" spans="14:14" x14ac:dyDescent="0.3">
      <c r="N3293" t="str" cm="1">
        <f t="array" ref="N3293">IF(MOD(ROW()-ROW($B$2),16)=0,INDEX($M$2:$M$1000,(ROW()-ROW($B$2))/16+1),"")</f>
        <v/>
      </c>
    </row>
    <row r="3294" spans="14:14" x14ac:dyDescent="0.3">
      <c r="N3294" t="str" cm="1">
        <f t="array" ref="N3294">IF(MOD(ROW()-ROW($B$2),16)=0,INDEX($M$2:$M$1000,(ROW()-ROW($B$2))/16+1),"")</f>
        <v/>
      </c>
    </row>
    <row r="3295" spans="14:14" x14ac:dyDescent="0.3">
      <c r="N3295" t="str" cm="1">
        <f t="array" ref="N3295">IF(MOD(ROW()-ROW($B$2),16)=0,INDEX($M$2:$M$1000,(ROW()-ROW($B$2))/16+1),"")</f>
        <v/>
      </c>
    </row>
    <row r="3296" spans="14:14" x14ac:dyDescent="0.3">
      <c r="N3296" t="str" cm="1">
        <f t="array" ref="N3296">IF(MOD(ROW()-ROW($B$2),16)=0,INDEX($M$2:$M$1000,(ROW()-ROW($B$2))/16+1),"")</f>
        <v/>
      </c>
    </row>
    <row r="3297" spans="14:14" x14ac:dyDescent="0.3">
      <c r="N3297" t="str" cm="1">
        <f t="array" ref="N3297">IF(MOD(ROW()-ROW($B$2),16)=0,INDEX($M$2:$M$1000,(ROW()-ROW($B$2))/16+1),"")</f>
        <v/>
      </c>
    </row>
    <row r="3298" spans="14:14" x14ac:dyDescent="0.3">
      <c r="N3298" t="str" cm="1">
        <f t="array" ref="N3298">IF(MOD(ROW()-ROW($B$2),16)=0,INDEX($M$2:$M$1000,(ROW()-ROW($B$2))/16+1),"")</f>
        <v/>
      </c>
    </row>
    <row r="3299" spans="14:14" x14ac:dyDescent="0.3">
      <c r="N3299" t="str" cm="1">
        <f t="array" ref="N3299">IF(MOD(ROW()-ROW($B$2),16)=0,INDEX($M$2:$M$1000,(ROW()-ROW($B$2))/16+1),"")</f>
        <v/>
      </c>
    </row>
    <row r="3300" spans="14:14" x14ac:dyDescent="0.3">
      <c r="N3300" t="str" cm="1">
        <f t="array" ref="N3300">IF(MOD(ROW()-ROW($B$2),16)=0,INDEX($M$2:$M$1000,(ROW()-ROW($B$2))/16+1),"")</f>
        <v/>
      </c>
    </row>
    <row r="3301" spans="14:14" x14ac:dyDescent="0.3">
      <c r="N3301" t="str" cm="1">
        <f t="array" ref="N3301">IF(MOD(ROW()-ROW($B$2),16)=0,INDEX($M$2:$M$1000,(ROW()-ROW($B$2))/16+1),"")</f>
        <v/>
      </c>
    </row>
    <row r="3302" spans="14:14" x14ac:dyDescent="0.3">
      <c r="N3302" t="str" cm="1">
        <f t="array" ref="N3302">IF(MOD(ROW()-ROW($B$2),16)=0,INDEX($M$2:$M$1000,(ROW()-ROW($B$2))/16+1),"")</f>
        <v/>
      </c>
    </row>
    <row r="3303" spans="14:14" x14ac:dyDescent="0.3">
      <c r="N3303" t="str" cm="1">
        <f t="array" ref="N3303">IF(MOD(ROW()-ROW($B$2),16)=0,INDEX($M$2:$M$1000,(ROW()-ROW($B$2))/16+1),"")</f>
        <v/>
      </c>
    </row>
    <row r="3304" spans="14:14" x14ac:dyDescent="0.3">
      <c r="N3304" t="str" cm="1">
        <f t="array" ref="N3304">IF(MOD(ROW()-ROW($B$2),16)=0,INDEX($M$2:$M$1000,(ROW()-ROW($B$2))/16+1),"")</f>
        <v/>
      </c>
    </row>
    <row r="3305" spans="14:14" x14ac:dyDescent="0.3">
      <c r="N3305" t="str" cm="1">
        <f t="array" ref="N3305">IF(MOD(ROW()-ROW($B$2),16)=0,INDEX($M$2:$M$1000,(ROW()-ROW($B$2))/16+1),"")</f>
        <v/>
      </c>
    </row>
    <row r="3306" spans="14:14" x14ac:dyDescent="0.3">
      <c r="N3306" t="str" cm="1">
        <f t="array" ref="N3306">IF(MOD(ROW()-ROW($B$2),16)=0,INDEX($M$2:$M$1000,(ROW()-ROW($B$2))/16+1),"")</f>
        <v/>
      </c>
    </row>
    <row r="3307" spans="14:14" x14ac:dyDescent="0.3">
      <c r="N3307" t="str" cm="1">
        <f t="array" ref="N3307">IF(MOD(ROW()-ROW($B$2),16)=0,INDEX($M$2:$M$1000,(ROW()-ROW($B$2))/16+1),"")</f>
        <v/>
      </c>
    </row>
    <row r="3308" spans="14:14" x14ac:dyDescent="0.3">
      <c r="N3308" t="str" cm="1">
        <f t="array" ref="N3308">IF(MOD(ROW()-ROW($B$2),16)=0,INDEX($M$2:$M$1000,(ROW()-ROW($B$2))/16+1),"")</f>
        <v/>
      </c>
    </row>
    <row r="3309" spans="14:14" x14ac:dyDescent="0.3">
      <c r="N3309" t="str" cm="1">
        <f t="array" ref="N3309">IF(MOD(ROW()-ROW($B$2),16)=0,INDEX($M$2:$M$1000,(ROW()-ROW($B$2))/16+1),"")</f>
        <v/>
      </c>
    </row>
    <row r="3310" spans="14:14" x14ac:dyDescent="0.3">
      <c r="N3310" t="str" cm="1">
        <f t="array" ref="N3310">IF(MOD(ROW()-ROW($B$2),16)=0,INDEX($M$2:$M$1000,(ROW()-ROW($B$2))/16+1),"")</f>
        <v/>
      </c>
    </row>
    <row r="3311" spans="14:14" x14ac:dyDescent="0.3">
      <c r="N3311" t="str" cm="1">
        <f t="array" ref="N3311">IF(MOD(ROW()-ROW($B$2),16)=0,INDEX($M$2:$M$1000,(ROW()-ROW($B$2))/16+1),"")</f>
        <v/>
      </c>
    </row>
    <row r="3312" spans="14:14" x14ac:dyDescent="0.3">
      <c r="N3312" t="str" cm="1">
        <f t="array" ref="N3312">IF(MOD(ROW()-ROW($B$2),16)=0,INDEX($M$2:$M$1000,(ROW()-ROW($B$2))/16+1),"")</f>
        <v/>
      </c>
    </row>
    <row r="3313" spans="14:14" x14ac:dyDescent="0.3">
      <c r="N3313" t="str" cm="1">
        <f t="array" ref="N3313">IF(MOD(ROW()-ROW($B$2),16)=0,INDEX($M$2:$M$1000,(ROW()-ROW($B$2))/16+1),"")</f>
        <v/>
      </c>
    </row>
    <row r="3314" spans="14:14" x14ac:dyDescent="0.3">
      <c r="N3314" t="str" cm="1">
        <f t="array" ref="N3314">IF(MOD(ROW()-ROW($B$2),16)=0,INDEX($M$2:$M$1000,(ROW()-ROW($B$2))/16+1),"")</f>
        <v/>
      </c>
    </row>
    <row r="3315" spans="14:14" x14ac:dyDescent="0.3">
      <c r="N3315" t="str" cm="1">
        <f t="array" ref="N3315">IF(MOD(ROW()-ROW($B$2),16)=0,INDEX($M$2:$M$1000,(ROW()-ROW($B$2))/16+1),"")</f>
        <v/>
      </c>
    </row>
    <row r="3316" spans="14:14" x14ac:dyDescent="0.3">
      <c r="N3316" t="str" cm="1">
        <f t="array" ref="N3316">IF(MOD(ROW()-ROW($B$2),16)=0,INDEX($M$2:$M$1000,(ROW()-ROW($B$2))/16+1),"")</f>
        <v/>
      </c>
    </row>
    <row r="3317" spans="14:14" x14ac:dyDescent="0.3">
      <c r="N3317" t="str" cm="1">
        <f t="array" ref="N3317">IF(MOD(ROW()-ROW($B$2),16)=0,INDEX($M$2:$M$1000,(ROW()-ROW($B$2))/16+1),"")</f>
        <v/>
      </c>
    </row>
    <row r="3318" spans="14:14" x14ac:dyDescent="0.3">
      <c r="N3318" t="str" cm="1">
        <f t="array" ref="N3318">IF(MOD(ROW()-ROW($B$2),16)=0,INDEX($M$2:$M$1000,(ROW()-ROW($B$2))/16+1),"")</f>
        <v/>
      </c>
    </row>
    <row r="3319" spans="14:14" x14ac:dyDescent="0.3">
      <c r="N3319" t="str" cm="1">
        <f t="array" ref="N3319">IF(MOD(ROW()-ROW($B$2),16)=0,INDEX($M$2:$M$1000,(ROW()-ROW($B$2))/16+1),"")</f>
        <v/>
      </c>
    </row>
    <row r="3320" spans="14:14" x14ac:dyDescent="0.3">
      <c r="N3320" t="str" cm="1">
        <f t="array" ref="N3320">IF(MOD(ROW()-ROW($B$2),16)=0,INDEX($M$2:$M$1000,(ROW()-ROW($B$2))/16+1),"")</f>
        <v/>
      </c>
    </row>
    <row r="3321" spans="14:14" x14ac:dyDescent="0.3">
      <c r="N3321" t="str" cm="1">
        <f t="array" ref="N3321">IF(MOD(ROW()-ROW($B$2),16)=0,INDEX($M$2:$M$1000,(ROW()-ROW($B$2))/16+1),"")</f>
        <v/>
      </c>
    </row>
    <row r="3322" spans="14:14" x14ac:dyDescent="0.3">
      <c r="N3322" t="str" cm="1">
        <f t="array" ref="N3322">IF(MOD(ROW()-ROW($B$2),16)=0,INDEX($M$2:$M$1000,(ROW()-ROW($B$2))/16+1),"")</f>
        <v/>
      </c>
    </row>
    <row r="3323" spans="14:14" x14ac:dyDescent="0.3">
      <c r="N3323" t="str" cm="1">
        <f t="array" ref="N3323">IF(MOD(ROW()-ROW($B$2),16)=0,INDEX($M$2:$M$1000,(ROW()-ROW($B$2))/16+1),"")</f>
        <v/>
      </c>
    </row>
    <row r="3324" spans="14:14" x14ac:dyDescent="0.3">
      <c r="N3324" t="str" cm="1">
        <f t="array" ref="N3324">IF(MOD(ROW()-ROW($B$2),16)=0,INDEX($M$2:$M$1000,(ROW()-ROW($B$2))/16+1),"")</f>
        <v/>
      </c>
    </row>
    <row r="3325" spans="14:14" x14ac:dyDescent="0.3">
      <c r="N3325" t="str" cm="1">
        <f t="array" ref="N3325">IF(MOD(ROW()-ROW($B$2),16)=0,INDEX($M$2:$M$1000,(ROW()-ROW($B$2))/16+1),"")</f>
        <v/>
      </c>
    </row>
    <row r="3326" spans="14:14" x14ac:dyDescent="0.3">
      <c r="N3326" t="str" cm="1">
        <f t="array" ref="N3326">IF(MOD(ROW()-ROW($B$2),16)=0,INDEX($M$2:$M$1000,(ROW()-ROW($B$2))/16+1),"")</f>
        <v/>
      </c>
    </row>
    <row r="3327" spans="14:14" x14ac:dyDescent="0.3">
      <c r="N3327" t="str" cm="1">
        <f t="array" ref="N3327">IF(MOD(ROW()-ROW($B$2),16)=0,INDEX($M$2:$M$1000,(ROW()-ROW($B$2))/16+1),"")</f>
        <v/>
      </c>
    </row>
    <row r="3328" spans="14:14" x14ac:dyDescent="0.3">
      <c r="N3328" t="str" cm="1">
        <f t="array" ref="N3328">IF(MOD(ROW()-ROW($B$2),16)=0,INDEX($M$2:$M$1000,(ROW()-ROW($B$2))/16+1),"")</f>
        <v/>
      </c>
    </row>
    <row r="3329" spans="14:14" x14ac:dyDescent="0.3">
      <c r="N3329" t="str" cm="1">
        <f t="array" ref="N3329">IF(MOD(ROW()-ROW($B$2),16)=0,INDEX($M$2:$M$1000,(ROW()-ROW($B$2))/16+1),"")</f>
        <v/>
      </c>
    </row>
    <row r="3330" spans="14:14" x14ac:dyDescent="0.3">
      <c r="N3330" t="str" cm="1">
        <f t="array" ref="N3330">IF(MOD(ROW()-ROW($B$2),16)=0,INDEX($M$2:$M$1000,(ROW()-ROW($B$2))/16+1),"")</f>
        <v/>
      </c>
    </row>
    <row r="3331" spans="14:14" x14ac:dyDescent="0.3">
      <c r="N3331" t="str" cm="1">
        <f t="array" ref="N3331">IF(MOD(ROW()-ROW($B$2),16)=0,INDEX($M$2:$M$1000,(ROW()-ROW($B$2))/16+1),"")</f>
        <v/>
      </c>
    </row>
    <row r="3332" spans="14:14" x14ac:dyDescent="0.3">
      <c r="N3332" t="str" cm="1">
        <f t="array" ref="N3332">IF(MOD(ROW()-ROW($B$2),16)=0,INDEX($M$2:$M$1000,(ROW()-ROW($B$2))/16+1),"")</f>
        <v/>
      </c>
    </row>
    <row r="3333" spans="14:14" x14ac:dyDescent="0.3">
      <c r="N3333" t="str" cm="1">
        <f t="array" ref="N3333">IF(MOD(ROW()-ROW($B$2),16)=0,INDEX($M$2:$M$1000,(ROW()-ROW($B$2))/16+1),"")</f>
        <v/>
      </c>
    </row>
    <row r="3334" spans="14:14" x14ac:dyDescent="0.3">
      <c r="N3334" t="str" cm="1">
        <f t="array" ref="N3334">IF(MOD(ROW()-ROW($B$2),16)=0,INDEX($M$2:$M$1000,(ROW()-ROW($B$2))/16+1),"")</f>
        <v/>
      </c>
    </row>
    <row r="3335" spans="14:14" x14ac:dyDescent="0.3">
      <c r="N3335" t="str" cm="1">
        <f t="array" ref="N3335">IF(MOD(ROW()-ROW($B$2),16)=0,INDEX($M$2:$M$1000,(ROW()-ROW($B$2))/16+1),"")</f>
        <v/>
      </c>
    </row>
    <row r="3336" spans="14:14" x14ac:dyDescent="0.3">
      <c r="N3336" t="str" cm="1">
        <f t="array" ref="N3336">IF(MOD(ROW()-ROW($B$2),16)=0,INDEX($M$2:$M$1000,(ROW()-ROW($B$2))/16+1),"")</f>
        <v/>
      </c>
    </row>
    <row r="3337" spans="14:14" x14ac:dyDescent="0.3">
      <c r="N3337" t="str" cm="1">
        <f t="array" ref="N3337">IF(MOD(ROW()-ROW($B$2),16)=0,INDEX($M$2:$M$1000,(ROW()-ROW($B$2))/16+1),"")</f>
        <v/>
      </c>
    </row>
    <row r="3338" spans="14:14" x14ac:dyDescent="0.3">
      <c r="N3338" t="str" cm="1">
        <f t="array" ref="N3338">IF(MOD(ROW()-ROW($B$2),16)=0,INDEX($M$2:$M$1000,(ROW()-ROW($B$2))/16+1),"")</f>
        <v/>
      </c>
    </row>
    <row r="3339" spans="14:14" x14ac:dyDescent="0.3">
      <c r="N3339" t="str" cm="1">
        <f t="array" ref="N3339">IF(MOD(ROW()-ROW($B$2),16)=0,INDEX($M$2:$M$1000,(ROW()-ROW($B$2))/16+1),"")</f>
        <v/>
      </c>
    </row>
    <row r="3340" spans="14:14" x14ac:dyDescent="0.3">
      <c r="N3340" t="str" cm="1">
        <f t="array" ref="N3340">IF(MOD(ROW()-ROW($B$2),16)=0,INDEX($M$2:$M$1000,(ROW()-ROW($B$2))/16+1),"")</f>
        <v/>
      </c>
    </row>
    <row r="3341" spans="14:14" x14ac:dyDescent="0.3">
      <c r="N3341" t="str" cm="1">
        <f t="array" ref="N3341">IF(MOD(ROW()-ROW($B$2),16)=0,INDEX($M$2:$M$1000,(ROW()-ROW($B$2))/16+1),"")</f>
        <v/>
      </c>
    </row>
    <row r="3342" spans="14:14" x14ac:dyDescent="0.3">
      <c r="N3342" t="str" cm="1">
        <f t="array" ref="N3342">IF(MOD(ROW()-ROW($B$2),16)=0,INDEX($M$2:$M$1000,(ROW()-ROW($B$2))/16+1),"")</f>
        <v/>
      </c>
    </row>
    <row r="3343" spans="14:14" x14ac:dyDescent="0.3">
      <c r="N3343" t="str" cm="1">
        <f t="array" ref="N3343">IF(MOD(ROW()-ROW($B$2),16)=0,INDEX($M$2:$M$1000,(ROW()-ROW($B$2))/16+1),"")</f>
        <v/>
      </c>
    </row>
    <row r="3344" spans="14:14" x14ac:dyDescent="0.3">
      <c r="N3344" t="str" cm="1">
        <f t="array" ref="N3344">IF(MOD(ROW()-ROW($B$2),16)=0,INDEX($M$2:$M$1000,(ROW()-ROW($B$2))/16+1),"")</f>
        <v/>
      </c>
    </row>
    <row r="3345" spans="14:14" x14ac:dyDescent="0.3">
      <c r="N3345" t="str" cm="1">
        <f t="array" ref="N3345">IF(MOD(ROW()-ROW($B$2),16)=0,INDEX($M$2:$M$1000,(ROW()-ROW($B$2))/16+1),"")</f>
        <v/>
      </c>
    </row>
    <row r="3346" spans="14:14" x14ac:dyDescent="0.3">
      <c r="N3346" t="str" cm="1">
        <f t="array" ref="N3346">IF(MOD(ROW()-ROW($B$2),16)=0,INDEX($M$2:$M$1000,(ROW()-ROW($B$2))/16+1),"")</f>
        <v/>
      </c>
    </row>
    <row r="3347" spans="14:14" x14ac:dyDescent="0.3">
      <c r="N3347" t="str" cm="1">
        <f t="array" ref="N3347">IF(MOD(ROW()-ROW($B$2),16)=0,INDEX($M$2:$M$1000,(ROW()-ROW($B$2))/16+1),"")</f>
        <v/>
      </c>
    </row>
    <row r="3348" spans="14:14" x14ac:dyDescent="0.3">
      <c r="N3348" t="str" cm="1">
        <f t="array" ref="N3348">IF(MOD(ROW()-ROW($B$2),16)=0,INDEX($M$2:$M$1000,(ROW()-ROW($B$2))/16+1),"")</f>
        <v/>
      </c>
    </row>
    <row r="3349" spans="14:14" x14ac:dyDescent="0.3">
      <c r="N3349" t="str" cm="1">
        <f t="array" ref="N3349">IF(MOD(ROW()-ROW($B$2),16)=0,INDEX($M$2:$M$1000,(ROW()-ROW($B$2))/16+1),"")</f>
        <v/>
      </c>
    </row>
    <row r="3350" spans="14:14" x14ac:dyDescent="0.3">
      <c r="N3350" t="str" cm="1">
        <f t="array" ref="N3350">IF(MOD(ROW()-ROW($B$2),16)=0,INDEX($M$2:$M$1000,(ROW()-ROW($B$2))/16+1),"")</f>
        <v/>
      </c>
    </row>
    <row r="3351" spans="14:14" x14ac:dyDescent="0.3">
      <c r="N3351" t="str" cm="1">
        <f t="array" ref="N3351">IF(MOD(ROW()-ROW($B$2),16)=0,INDEX($M$2:$M$1000,(ROW()-ROW($B$2))/16+1),"")</f>
        <v/>
      </c>
    </row>
    <row r="3352" spans="14:14" x14ac:dyDescent="0.3">
      <c r="N3352" t="str" cm="1">
        <f t="array" ref="N3352">IF(MOD(ROW()-ROW($B$2),16)=0,INDEX($M$2:$M$1000,(ROW()-ROW($B$2))/16+1),"")</f>
        <v/>
      </c>
    </row>
    <row r="3353" spans="14:14" x14ac:dyDescent="0.3">
      <c r="N3353" t="str" cm="1">
        <f t="array" ref="N3353">IF(MOD(ROW()-ROW($B$2),16)=0,INDEX($M$2:$M$1000,(ROW()-ROW($B$2))/16+1),"")</f>
        <v/>
      </c>
    </row>
    <row r="3354" spans="14:14" x14ac:dyDescent="0.3">
      <c r="N3354" t="str" cm="1">
        <f t="array" ref="N3354">IF(MOD(ROW()-ROW($B$2),16)=0,INDEX($M$2:$M$1000,(ROW()-ROW($B$2))/16+1),"")</f>
        <v/>
      </c>
    </row>
    <row r="3355" spans="14:14" x14ac:dyDescent="0.3">
      <c r="N3355" t="str" cm="1">
        <f t="array" ref="N3355">IF(MOD(ROW()-ROW($B$2),16)=0,INDEX($M$2:$M$1000,(ROW()-ROW($B$2))/16+1),"")</f>
        <v/>
      </c>
    </row>
    <row r="3356" spans="14:14" x14ac:dyDescent="0.3">
      <c r="N3356" t="str" cm="1">
        <f t="array" ref="N3356">IF(MOD(ROW()-ROW($B$2),16)=0,INDEX($M$2:$M$1000,(ROW()-ROW($B$2))/16+1),"")</f>
        <v/>
      </c>
    </row>
    <row r="3357" spans="14:14" x14ac:dyDescent="0.3">
      <c r="N3357" t="str" cm="1">
        <f t="array" ref="N3357">IF(MOD(ROW()-ROW($B$2),16)=0,INDEX($M$2:$M$1000,(ROW()-ROW($B$2))/16+1),"")</f>
        <v/>
      </c>
    </row>
    <row r="3358" spans="14:14" x14ac:dyDescent="0.3">
      <c r="N3358" t="str" cm="1">
        <f t="array" ref="N3358">IF(MOD(ROW()-ROW($B$2),16)=0,INDEX($M$2:$M$1000,(ROW()-ROW($B$2))/16+1),"")</f>
        <v/>
      </c>
    </row>
    <row r="3359" spans="14:14" x14ac:dyDescent="0.3">
      <c r="N3359" t="str" cm="1">
        <f t="array" ref="N3359">IF(MOD(ROW()-ROW($B$2),16)=0,INDEX($M$2:$M$1000,(ROW()-ROW($B$2))/16+1),"")</f>
        <v/>
      </c>
    </row>
    <row r="3360" spans="14:14" x14ac:dyDescent="0.3">
      <c r="N3360" t="str" cm="1">
        <f t="array" ref="N3360">IF(MOD(ROW()-ROW($B$2),16)=0,INDEX($M$2:$M$1000,(ROW()-ROW($B$2))/16+1),"")</f>
        <v/>
      </c>
    </row>
    <row r="3361" spans="14:14" x14ac:dyDescent="0.3">
      <c r="N3361" t="str" cm="1">
        <f t="array" ref="N3361">IF(MOD(ROW()-ROW($B$2),16)=0,INDEX($M$2:$M$1000,(ROW()-ROW($B$2))/16+1),"")</f>
        <v/>
      </c>
    </row>
    <row r="3362" spans="14:14" x14ac:dyDescent="0.3">
      <c r="N3362" t="str" cm="1">
        <f t="array" ref="N3362">IF(MOD(ROW()-ROW($B$2),16)=0,INDEX($M$2:$M$1000,(ROW()-ROW($B$2))/16+1),"")</f>
        <v>Таймер открытия захвата 1 (0)</v>
      </c>
    </row>
    <row r="3363" spans="14:14" x14ac:dyDescent="0.3">
      <c r="N3363" t="str" cm="1">
        <f t="array" ref="N3363">IF(MOD(ROW()-ROW($B$2),16)=0,INDEX($M$2:$M$1000,(ROW()-ROW($B$2))/16+1),"")</f>
        <v/>
      </c>
    </row>
    <row r="3364" spans="14:14" x14ac:dyDescent="0.3">
      <c r="N3364" t="str" cm="1">
        <f t="array" ref="N3364">IF(MOD(ROW()-ROW($B$2),16)=0,INDEX($M$2:$M$1000,(ROW()-ROW($B$2))/16+1),"")</f>
        <v/>
      </c>
    </row>
    <row r="3365" spans="14:14" x14ac:dyDescent="0.3">
      <c r="N3365" t="str" cm="1">
        <f t="array" ref="N3365">IF(MOD(ROW()-ROW($B$2),16)=0,INDEX($M$2:$M$1000,(ROW()-ROW($B$2))/16+1),"")</f>
        <v/>
      </c>
    </row>
    <row r="3366" spans="14:14" x14ac:dyDescent="0.3">
      <c r="N3366" t="str" cm="1">
        <f t="array" ref="N3366">IF(MOD(ROW()-ROW($B$2),16)=0,INDEX($M$2:$M$1000,(ROW()-ROW($B$2))/16+1),"")</f>
        <v/>
      </c>
    </row>
    <row r="3367" spans="14:14" x14ac:dyDescent="0.3">
      <c r="N3367" t="str" cm="1">
        <f t="array" ref="N3367">IF(MOD(ROW()-ROW($B$2),16)=0,INDEX($M$2:$M$1000,(ROW()-ROW($B$2))/16+1),"")</f>
        <v/>
      </c>
    </row>
    <row r="3368" spans="14:14" x14ac:dyDescent="0.3">
      <c r="N3368" t="str" cm="1">
        <f t="array" ref="N3368">IF(MOD(ROW()-ROW($B$2),16)=0,INDEX($M$2:$M$1000,(ROW()-ROW($B$2))/16+1),"")</f>
        <v/>
      </c>
    </row>
    <row r="3369" spans="14:14" x14ac:dyDescent="0.3">
      <c r="N3369" t="str" cm="1">
        <f t="array" ref="N3369">IF(MOD(ROW()-ROW($B$2),16)=0,INDEX($M$2:$M$1000,(ROW()-ROW($B$2))/16+1),"")</f>
        <v/>
      </c>
    </row>
    <row r="3370" spans="14:14" x14ac:dyDescent="0.3">
      <c r="N3370" t="str" cm="1">
        <f t="array" ref="N3370">IF(MOD(ROW()-ROW($B$2),16)=0,INDEX($M$2:$M$1000,(ROW()-ROW($B$2))/16+1),"")</f>
        <v/>
      </c>
    </row>
    <row r="3371" spans="14:14" x14ac:dyDescent="0.3">
      <c r="N3371" t="str" cm="1">
        <f t="array" ref="N3371">IF(MOD(ROW()-ROW($B$2),16)=0,INDEX($M$2:$M$1000,(ROW()-ROW($B$2))/16+1),"")</f>
        <v/>
      </c>
    </row>
    <row r="3372" spans="14:14" x14ac:dyDescent="0.3">
      <c r="N3372" t="str" cm="1">
        <f t="array" ref="N3372">IF(MOD(ROW()-ROW($B$2),16)=0,INDEX($M$2:$M$1000,(ROW()-ROW($B$2))/16+1),"")</f>
        <v/>
      </c>
    </row>
    <row r="3373" spans="14:14" x14ac:dyDescent="0.3">
      <c r="N3373" t="str" cm="1">
        <f t="array" ref="N3373">IF(MOD(ROW()-ROW($B$2),16)=0,INDEX($M$2:$M$1000,(ROW()-ROW($B$2))/16+1),"")</f>
        <v/>
      </c>
    </row>
    <row r="3374" spans="14:14" x14ac:dyDescent="0.3">
      <c r="N3374" t="str" cm="1">
        <f t="array" ref="N3374">IF(MOD(ROW()-ROW($B$2),16)=0,INDEX($M$2:$M$1000,(ROW()-ROW($B$2))/16+1),"")</f>
        <v/>
      </c>
    </row>
    <row r="3375" spans="14:14" x14ac:dyDescent="0.3">
      <c r="N3375" t="str" cm="1">
        <f t="array" ref="N3375">IF(MOD(ROW()-ROW($B$2),16)=0,INDEX($M$2:$M$1000,(ROW()-ROW($B$2))/16+1),"")</f>
        <v/>
      </c>
    </row>
    <row r="3376" spans="14:14" x14ac:dyDescent="0.3">
      <c r="N3376" t="str" cm="1">
        <f t="array" ref="N3376">IF(MOD(ROW()-ROW($B$2),16)=0,INDEX($M$2:$M$1000,(ROW()-ROW($B$2))/16+1),"")</f>
        <v/>
      </c>
    </row>
    <row r="3377" spans="14:14" x14ac:dyDescent="0.3">
      <c r="N3377" t="str" cm="1">
        <f t="array" ref="N3377">IF(MOD(ROW()-ROW($B$2),16)=0,INDEX($M$2:$M$1000,(ROW()-ROW($B$2))/16+1),"")</f>
        <v/>
      </c>
    </row>
    <row r="3378" spans="14:14" x14ac:dyDescent="0.3">
      <c r="N3378" t="str" cm="1">
        <f t="array" ref="N3378">IF(MOD(ROW()-ROW($B$2),16)=0,INDEX($M$2:$M$1000,(ROW()-ROW($B$2))/16+1),"")</f>
        <v>Таймер закрытия захвата 1 (0)</v>
      </c>
    </row>
    <row r="3379" spans="14:14" x14ac:dyDescent="0.3">
      <c r="N3379" t="str" cm="1">
        <f t="array" ref="N3379">IF(MOD(ROW()-ROW($B$2),16)=0,INDEX($M$2:$M$1000,(ROW()-ROW($B$2))/16+1),"")</f>
        <v/>
      </c>
    </row>
    <row r="3380" spans="14:14" x14ac:dyDescent="0.3">
      <c r="N3380" t="str" cm="1">
        <f t="array" ref="N3380">IF(MOD(ROW()-ROW($B$2),16)=0,INDEX($M$2:$M$1000,(ROW()-ROW($B$2))/16+1),"")</f>
        <v/>
      </c>
    </row>
    <row r="3381" spans="14:14" x14ac:dyDescent="0.3">
      <c r="N3381" t="str" cm="1">
        <f t="array" ref="N3381">IF(MOD(ROW()-ROW($B$2),16)=0,INDEX($M$2:$M$1000,(ROW()-ROW($B$2))/16+1),"")</f>
        <v/>
      </c>
    </row>
    <row r="3382" spans="14:14" x14ac:dyDescent="0.3">
      <c r="N3382" t="str" cm="1">
        <f t="array" ref="N3382">IF(MOD(ROW()-ROW($B$2),16)=0,INDEX($M$2:$M$1000,(ROW()-ROW($B$2))/16+1),"")</f>
        <v/>
      </c>
    </row>
    <row r="3383" spans="14:14" x14ac:dyDescent="0.3">
      <c r="N3383" t="str" cm="1">
        <f t="array" ref="N3383">IF(MOD(ROW()-ROW($B$2),16)=0,INDEX($M$2:$M$1000,(ROW()-ROW($B$2))/16+1),"")</f>
        <v/>
      </c>
    </row>
    <row r="3384" spans="14:14" x14ac:dyDescent="0.3">
      <c r="N3384" t="str" cm="1">
        <f t="array" ref="N3384">IF(MOD(ROW()-ROW($B$2),16)=0,INDEX($M$2:$M$1000,(ROW()-ROW($B$2))/16+1),"")</f>
        <v/>
      </c>
    </row>
    <row r="3385" spans="14:14" x14ac:dyDescent="0.3">
      <c r="N3385" t="str" cm="1">
        <f t="array" ref="N3385">IF(MOD(ROW()-ROW($B$2),16)=0,INDEX($M$2:$M$1000,(ROW()-ROW($B$2))/16+1),"")</f>
        <v/>
      </c>
    </row>
    <row r="3386" spans="14:14" x14ac:dyDescent="0.3">
      <c r="N3386" t="str" cm="1">
        <f t="array" ref="N3386">IF(MOD(ROW()-ROW($B$2),16)=0,INDEX($M$2:$M$1000,(ROW()-ROW($B$2))/16+1),"")</f>
        <v/>
      </c>
    </row>
    <row r="3387" spans="14:14" x14ac:dyDescent="0.3">
      <c r="N3387" t="str" cm="1">
        <f t="array" ref="N3387">IF(MOD(ROW()-ROW($B$2),16)=0,INDEX($M$2:$M$1000,(ROW()-ROW($B$2))/16+1),"")</f>
        <v/>
      </c>
    </row>
    <row r="3388" spans="14:14" x14ac:dyDescent="0.3">
      <c r="N3388" t="str" cm="1">
        <f t="array" ref="N3388">IF(MOD(ROW()-ROW($B$2),16)=0,INDEX($M$2:$M$1000,(ROW()-ROW($B$2))/16+1),"")</f>
        <v/>
      </c>
    </row>
    <row r="3389" spans="14:14" x14ac:dyDescent="0.3">
      <c r="N3389" t="str" cm="1">
        <f t="array" ref="N3389">IF(MOD(ROW()-ROW($B$2),16)=0,INDEX($M$2:$M$1000,(ROW()-ROW($B$2))/16+1),"")</f>
        <v/>
      </c>
    </row>
    <row r="3390" spans="14:14" x14ac:dyDescent="0.3">
      <c r="N3390" t="str" cm="1">
        <f t="array" ref="N3390">IF(MOD(ROW()-ROW($B$2),16)=0,INDEX($M$2:$M$1000,(ROW()-ROW($B$2))/16+1),"")</f>
        <v/>
      </c>
    </row>
    <row r="3391" spans="14:14" x14ac:dyDescent="0.3">
      <c r="N3391" t="str" cm="1">
        <f t="array" ref="N3391">IF(MOD(ROW()-ROW($B$2),16)=0,INDEX($M$2:$M$1000,(ROW()-ROW($B$2))/16+1),"")</f>
        <v/>
      </c>
    </row>
    <row r="3392" spans="14:14" x14ac:dyDescent="0.3">
      <c r="N3392" t="str" cm="1">
        <f t="array" ref="N3392">IF(MOD(ROW()-ROW($B$2),16)=0,INDEX($M$2:$M$1000,(ROW()-ROW($B$2))/16+1),"")</f>
        <v/>
      </c>
    </row>
    <row r="3393" spans="14:14" x14ac:dyDescent="0.3">
      <c r="N3393" t="str" cm="1">
        <f t="array" ref="N3393">IF(MOD(ROW()-ROW($B$2),16)=0,INDEX($M$2:$M$1000,(ROW()-ROW($B$2))/16+1),"")</f>
        <v/>
      </c>
    </row>
    <row r="3394" spans="14:14" x14ac:dyDescent="0.3">
      <c r="N3394" t="str" cm="1">
        <f t="array" ref="N3394">IF(MOD(ROW()-ROW($B$2),16)=0,INDEX($M$2:$M$1000,(ROW()-ROW($B$2))/16+1),"")</f>
        <v>Таймер открытия захвата 2 (0)</v>
      </c>
    </row>
    <row r="3395" spans="14:14" x14ac:dyDescent="0.3">
      <c r="N3395" t="str" cm="1">
        <f t="array" ref="N3395">IF(MOD(ROW()-ROW($B$2),16)=0,INDEX($M$2:$M$1000,(ROW()-ROW($B$2))/16+1),"")</f>
        <v/>
      </c>
    </row>
    <row r="3396" spans="14:14" x14ac:dyDescent="0.3">
      <c r="N3396" t="str" cm="1">
        <f t="array" ref="N3396">IF(MOD(ROW()-ROW($B$2),16)=0,INDEX($M$2:$M$1000,(ROW()-ROW($B$2))/16+1),"")</f>
        <v/>
      </c>
    </row>
    <row r="3397" spans="14:14" x14ac:dyDescent="0.3">
      <c r="N3397" t="str" cm="1">
        <f t="array" ref="N3397">IF(MOD(ROW()-ROW($B$2),16)=0,INDEX($M$2:$M$1000,(ROW()-ROW($B$2))/16+1),"")</f>
        <v/>
      </c>
    </row>
    <row r="3398" spans="14:14" x14ac:dyDescent="0.3">
      <c r="N3398" t="str" cm="1">
        <f t="array" ref="N3398">IF(MOD(ROW()-ROW($B$2),16)=0,INDEX($M$2:$M$1000,(ROW()-ROW($B$2))/16+1),"")</f>
        <v/>
      </c>
    </row>
    <row r="3399" spans="14:14" x14ac:dyDescent="0.3">
      <c r="N3399" t="str" cm="1">
        <f t="array" ref="N3399">IF(MOD(ROW()-ROW($B$2),16)=0,INDEX($M$2:$M$1000,(ROW()-ROW($B$2))/16+1),"")</f>
        <v/>
      </c>
    </row>
    <row r="3400" spans="14:14" x14ac:dyDescent="0.3">
      <c r="N3400" t="str" cm="1">
        <f t="array" ref="N3400">IF(MOD(ROW()-ROW($B$2),16)=0,INDEX($M$2:$M$1000,(ROW()-ROW($B$2))/16+1),"")</f>
        <v/>
      </c>
    </row>
    <row r="3401" spans="14:14" x14ac:dyDescent="0.3">
      <c r="N3401" t="str" cm="1">
        <f t="array" ref="N3401">IF(MOD(ROW()-ROW($B$2),16)=0,INDEX($M$2:$M$1000,(ROW()-ROW($B$2))/16+1),"")</f>
        <v/>
      </c>
    </row>
    <row r="3402" spans="14:14" x14ac:dyDescent="0.3">
      <c r="N3402" t="str" cm="1">
        <f t="array" ref="N3402">IF(MOD(ROW()-ROW($B$2),16)=0,INDEX($M$2:$M$1000,(ROW()-ROW($B$2))/16+1),"")</f>
        <v/>
      </c>
    </row>
    <row r="3403" spans="14:14" x14ac:dyDescent="0.3">
      <c r="N3403" t="str" cm="1">
        <f t="array" ref="N3403">IF(MOD(ROW()-ROW($B$2),16)=0,INDEX($M$2:$M$1000,(ROW()-ROW($B$2))/16+1),"")</f>
        <v/>
      </c>
    </row>
    <row r="3404" spans="14:14" x14ac:dyDescent="0.3">
      <c r="N3404" t="str" cm="1">
        <f t="array" ref="N3404">IF(MOD(ROW()-ROW($B$2),16)=0,INDEX($M$2:$M$1000,(ROW()-ROW($B$2))/16+1),"")</f>
        <v/>
      </c>
    </row>
    <row r="3405" spans="14:14" x14ac:dyDescent="0.3">
      <c r="N3405" t="str" cm="1">
        <f t="array" ref="N3405">IF(MOD(ROW()-ROW($B$2),16)=0,INDEX($M$2:$M$1000,(ROW()-ROW($B$2))/16+1),"")</f>
        <v/>
      </c>
    </row>
    <row r="3406" spans="14:14" x14ac:dyDescent="0.3">
      <c r="N3406" t="str" cm="1">
        <f t="array" ref="N3406">IF(MOD(ROW()-ROW($B$2),16)=0,INDEX($M$2:$M$1000,(ROW()-ROW($B$2))/16+1),"")</f>
        <v/>
      </c>
    </row>
    <row r="3407" spans="14:14" x14ac:dyDescent="0.3">
      <c r="N3407" t="str" cm="1">
        <f t="array" ref="N3407">IF(MOD(ROW()-ROW($B$2),16)=0,INDEX($M$2:$M$1000,(ROW()-ROW($B$2))/16+1),"")</f>
        <v/>
      </c>
    </row>
    <row r="3408" spans="14:14" x14ac:dyDescent="0.3">
      <c r="N3408" t="str" cm="1">
        <f t="array" ref="N3408">IF(MOD(ROW()-ROW($B$2),16)=0,INDEX($M$2:$M$1000,(ROW()-ROW($B$2))/16+1),"")</f>
        <v/>
      </c>
    </row>
    <row r="3409" spans="14:14" x14ac:dyDescent="0.3">
      <c r="N3409" t="str" cm="1">
        <f t="array" ref="N3409">IF(MOD(ROW()-ROW($B$2),16)=0,INDEX($M$2:$M$1000,(ROW()-ROW($B$2))/16+1),"")</f>
        <v/>
      </c>
    </row>
    <row r="3410" spans="14:14" x14ac:dyDescent="0.3">
      <c r="N3410" t="str" cm="1">
        <f t="array" ref="N3410">IF(MOD(ROW()-ROW($B$2),16)=0,INDEX($M$2:$M$1000,(ROW()-ROW($B$2))/16+1),"")</f>
        <v>Таймер закрытия захвата 2 (0)</v>
      </c>
    </row>
    <row r="3411" spans="14:14" x14ac:dyDescent="0.3">
      <c r="N3411" t="str" cm="1">
        <f t="array" ref="N3411">IF(MOD(ROW()-ROW($B$2),16)=0,INDEX($M$2:$M$1000,(ROW()-ROW($B$2))/16+1),"")</f>
        <v/>
      </c>
    </row>
    <row r="3412" spans="14:14" x14ac:dyDescent="0.3">
      <c r="N3412" t="str" cm="1">
        <f t="array" ref="N3412">IF(MOD(ROW()-ROW($B$2),16)=0,INDEX($M$2:$M$1000,(ROW()-ROW($B$2))/16+1),"")</f>
        <v/>
      </c>
    </row>
    <row r="3413" spans="14:14" x14ac:dyDescent="0.3">
      <c r="N3413" t="str" cm="1">
        <f t="array" ref="N3413">IF(MOD(ROW()-ROW($B$2),16)=0,INDEX($M$2:$M$1000,(ROW()-ROW($B$2))/16+1),"")</f>
        <v/>
      </c>
    </row>
    <row r="3414" spans="14:14" x14ac:dyDescent="0.3">
      <c r="N3414" t="str" cm="1">
        <f t="array" ref="N3414">IF(MOD(ROW()-ROW($B$2),16)=0,INDEX($M$2:$M$1000,(ROW()-ROW($B$2))/16+1),"")</f>
        <v/>
      </c>
    </row>
    <row r="3415" spans="14:14" x14ac:dyDescent="0.3">
      <c r="N3415" t="str" cm="1">
        <f t="array" ref="N3415">IF(MOD(ROW()-ROW($B$2),16)=0,INDEX($M$2:$M$1000,(ROW()-ROW($B$2))/16+1),"")</f>
        <v/>
      </c>
    </row>
    <row r="3416" spans="14:14" x14ac:dyDescent="0.3">
      <c r="N3416" t="str" cm="1">
        <f t="array" ref="N3416">IF(MOD(ROW()-ROW($B$2),16)=0,INDEX($M$2:$M$1000,(ROW()-ROW($B$2))/16+1),"")</f>
        <v/>
      </c>
    </row>
    <row r="3417" spans="14:14" x14ac:dyDescent="0.3">
      <c r="N3417" t="str" cm="1">
        <f t="array" ref="N3417">IF(MOD(ROW()-ROW($B$2),16)=0,INDEX($M$2:$M$1000,(ROW()-ROW($B$2))/16+1),"")</f>
        <v/>
      </c>
    </row>
    <row r="3418" spans="14:14" x14ac:dyDescent="0.3">
      <c r="N3418" t="str" cm="1">
        <f t="array" ref="N3418">IF(MOD(ROW()-ROW($B$2),16)=0,INDEX($M$2:$M$1000,(ROW()-ROW($B$2))/16+1),"")</f>
        <v/>
      </c>
    </row>
    <row r="3419" spans="14:14" x14ac:dyDescent="0.3">
      <c r="N3419" t="str" cm="1">
        <f t="array" ref="N3419">IF(MOD(ROW()-ROW($B$2),16)=0,INDEX($M$2:$M$1000,(ROW()-ROW($B$2))/16+1),"")</f>
        <v/>
      </c>
    </row>
    <row r="3420" spans="14:14" x14ac:dyDescent="0.3">
      <c r="N3420" t="str" cm="1">
        <f t="array" ref="N3420">IF(MOD(ROW()-ROW($B$2),16)=0,INDEX($M$2:$M$1000,(ROW()-ROW($B$2))/16+1),"")</f>
        <v/>
      </c>
    </row>
    <row r="3421" spans="14:14" x14ac:dyDescent="0.3">
      <c r="N3421" t="str" cm="1">
        <f t="array" ref="N3421">IF(MOD(ROW()-ROW($B$2),16)=0,INDEX($M$2:$M$1000,(ROW()-ROW($B$2))/16+1),"")</f>
        <v/>
      </c>
    </row>
    <row r="3422" spans="14:14" x14ac:dyDescent="0.3">
      <c r="N3422" t="str" cm="1">
        <f t="array" ref="N3422">IF(MOD(ROW()-ROW($B$2),16)=0,INDEX($M$2:$M$1000,(ROW()-ROW($B$2))/16+1),"")</f>
        <v/>
      </c>
    </row>
    <row r="3423" spans="14:14" x14ac:dyDescent="0.3">
      <c r="N3423" t="str" cm="1">
        <f t="array" ref="N3423">IF(MOD(ROW()-ROW($B$2),16)=0,INDEX($M$2:$M$1000,(ROW()-ROW($B$2))/16+1),"")</f>
        <v/>
      </c>
    </row>
    <row r="3424" spans="14:14" x14ac:dyDescent="0.3">
      <c r="N3424" t="str" cm="1">
        <f t="array" ref="N3424">IF(MOD(ROW()-ROW($B$2),16)=0,INDEX($M$2:$M$1000,(ROW()-ROW($B$2))/16+1),"")</f>
        <v/>
      </c>
    </row>
    <row r="3425" spans="14:14" x14ac:dyDescent="0.3">
      <c r="N3425" t="str" cm="1">
        <f t="array" ref="N3425">IF(MOD(ROW()-ROW($B$2),16)=0,INDEX($M$2:$M$1000,(ROW()-ROW($B$2))/16+1),"")</f>
        <v/>
      </c>
    </row>
    <row r="3426" spans="14:14" x14ac:dyDescent="0.3">
      <c r="N3426" t="str" cm="1">
        <f t="array" ref="N3426">IF(MOD(ROW()-ROW($B$2),16)=0,INDEX($M$2:$M$1000,(ROW()-ROW($B$2))/16+1),"")</f>
        <v>Таймер открытия патрона 1 (0)</v>
      </c>
    </row>
    <row r="3427" spans="14:14" x14ac:dyDescent="0.3">
      <c r="N3427" t="str" cm="1">
        <f t="array" ref="N3427">IF(MOD(ROW()-ROW($B$2),16)=0,INDEX($M$2:$M$1000,(ROW()-ROW($B$2))/16+1),"")</f>
        <v/>
      </c>
    </row>
    <row r="3428" spans="14:14" x14ac:dyDescent="0.3">
      <c r="N3428" t="str" cm="1">
        <f t="array" ref="N3428">IF(MOD(ROW()-ROW($B$2),16)=0,INDEX($M$2:$M$1000,(ROW()-ROW($B$2))/16+1),"")</f>
        <v/>
      </c>
    </row>
    <row r="3429" spans="14:14" x14ac:dyDescent="0.3">
      <c r="N3429" t="str" cm="1">
        <f t="array" ref="N3429">IF(MOD(ROW()-ROW($B$2),16)=0,INDEX($M$2:$M$1000,(ROW()-ROW($B$2))/16+1),"")</f>
        <v/>
      </c>
    </row>
    <row r="3430" spans="14:14" x14ac:dyDescent="0.3">
      <c r="N3430" t="str" cm="1">
        <f t="array" ref="N3430">IF(MOD(ROW()-ROW($B$2),16)=0,INDEX($M$2:$M$1000,(ROW()-ROW($B$2))/16+1),"")</f>
        <v/>
      </c>
    </row>
    <row r="3431" spans="14:14" x14ac:dyDescent="0.3">
      <c r="N3431" t="str" cm="1">
        <f t="array" ref="N3431">IF(MOD(ROW()-ROW($B$2),16)=0,INDEX($M$2:$M$1000,(ROW()-ROW($B$2))/16+1),"")</f>
        <v/>
      </c>
    </row>
    <row r="3432" spans="14:14" x14ac:dyDescent="0.3">
      <c r="N3432" t="str" cm="1">
        <f t="array" ref="N3432">IF(MOD(ROW()-ROW($B$2),16)=0,INDEX($M$2:$M$1000,(ROW()-ROW($B$2))/16+1),"")</f>
        <v/>
      </c>
    </row>
    <row r="3433" spans="14:14" x14ac:dyDescent="0.3">
      <c r="N3433" t="str" cm="1">
        <f t="array" ref="N3433">IF(MOD(ROW()-ROW($B$2),16)=0,INDEX($M$2:$M$1000,(ROW()-ROW($B$2))/16+1),"")</f>
        <v/>
      </c>
    </row>
    <row r="3434" spans="14:14" x14ac:dyDescent="0.3">
      <c r="N3434" t="str" cm="1">
        <f t="array" ref="N3434">IF(MOD(ROW()-ROW($B$2),16)=0,INDEX($M$2:$M$1000,(ROW()-ROW($B$2))/16+1),"")</f>
        <v/>
      </c>
    </row>
    <row r="3435" spans="14:14" x14ac:dyDescent="0.3">
      <c r="N3435" t="str" cm="1">
        <f t="array" ref="N3435">IF(MOD(ROW()-ROW($B$2),16)=0,INDEX($M$2:$M$1000,(ROW()-ROW($B$2))/16+1),"")</f>
        <v/>
      </c>
    </row>
    <row r="3436" spans="14:14" x14ac:dyDescent="0.3">
      <c r="N3436" t="str" cm="1">
        <f t="array" ref="N3436">IF(MOD(ROW()-ROW($B$2),16)=0,INDEX($M$2:$M$1000,(ROW()-ROW($B$2))/16+1),"")</f>
        <v/>
      </c>
    </row>
    <row r="3437" spans="14:14" x14ac:dyDescent="0.3">
      <c r="N3437" t="str" cm="1">
        <f t="array" ref="N3437">IF(MOD(ROW()-ROW($B$2),16)=0,INDEX($M$2:$M$1000,(ROW()-ROW($B$2))/16+1),"")</f>
        <v/>
      </c>
    </row>
    <row r="3438" spans="14:14" x14ac:dyDescent="0.3">
      <c r="N3438" t="str" cm="1">
        <f t="array" ref="N3438">IF(MOD(ROW()-ROW($B$2),16)=0,INDEX($M$2:$M$1000,(ROW()-ROW($B$2))/16+1),"")</f>
        <v/>
      </c>
    </row>
    <row r="3439" spans="14:14" x14ac:dyDescent="0.3">
      <c r="N3439" t="str" cm="1">
        <f t="array" ref="N3439">IF(MOD(ROW()-ROW($B$2),16)=0,INDEX($M$2:$M$1000,(ROW()-ROW($B$2))/16+1),"")</f>
        <v/>
      </c>
    </row>
    <row r="3440" spans="14:14" x14ac:dyDescent="0.3">
      <c r="N3440" t="str" cm="1">
        <f t="array" ref="N3440">IF(MOD(ROW()-ROW($B$2),16)=0,INDEX($M$2:$M$1000,(ROW()-ROW($B$2))/16+1),"")</f>
        <v/>
      </c>
    </row>
    <row r="3441" spans="14:14" x14ac:dyDescent="0.3">
      <c r="N3441" t="str" cm="1">
        <f t="array" ref="N3441">IF(MOD(ROW()-ROW($B$2),16)=0,INDEX($M$2:$M$1000,(ROW()-ROW($B$2))/16+1),"")</f>
        <v/>
      </c>
    </row>
    <row r="3442" spans="14:14" x14ac:dyDescent="0.3">
      <c r="N3442" t="str" cm="1">
        <f t="array" ref="N3442">IF(MOD(ROW()-ROW($B$2),16)=0,INDEX($M$2:$M$1000,(ROW()-ROW($B$2))/16+1),"")</f>
        <v>Таймер закрытия патрона 1 (0)</v>
      </c>
    </row>
    <row r="3443" spans="14:14" x14ac:dyDescent="0.3">
      <c r="N3443" t="str" cm="1">
        <f t="array" ref="N3443">IF(MOD(ROW()-ROW($B$2),16)=0,INDEX($M$2:$M$1000,(ROW()-ROW($B$2))/16+1),"")</f>
        <v/>
      </c>
    </row>
    <row r="3444" spans="14:14" x14ac:dyDescent="0.3">
      <c r="N3444" t="str" cm="1">
        <f t="array" ref="N3444">IF(MOD(ROW()-ROW($B$2),16)=0,INDEX($M$2:$M$1000,(ROW()-ROW($B$2))/16+1),"")</f>
        <v/>
      </c>
    </row>
    <row r="3445" spans="14:14" x14ac:dyDescent="0.3">
      <c r="N3445" t="str" cm="1">
        <f t="array" ref="N3445">IF(MOD(ROW()-ROW($B$2),16)=0,INDEX($M$2:$M$1000,(ROW()-ROW($B$2))/16+1),"")</f>
        <v/>
      </c>
    </row>
    <row r="3446" spans="14:14" x14ac:dyDescent="0.3">
      <c r="N3446" t="str" cm="1">
        <f t="array" ref="N3446">IF(MOD(ROW()-ROW($B$2),16)=0,INDEX($M$2:$M$1000,(ROW()-ROW($B$2))/16+1),"")</f>
        <v/>
      </c>
    </row>
    <row r="3447" spans="14:14" x14ac:dyDescent="0.3">
      <c r="N3447" t="str" cm="1">
        <f t="array" ref="N3447">IF(MOD(ROW()-ROW($B$2),16)=0,INDEX($M$2:$M$1000,(ROW()-ROW($B$2))/16+1),"")</f>
        <v/>
      </c>
    </row>
    <row r="3448" spans="14:14" x14ac:dyDescent="0.3">
      <c r="N3448" t="str" cm="1">
        <f t="array" ref="N3448">IF(MOD(ROW()-ROW($B$2),16)=0,INDEX($M$2:$M$1000,(ROW()-ROW($B$2))/16+1),"")</f>
        <v/>
      </c>
    </row>
    <row r="3449" spans="14:14" x14ac:dyDescent="0.3">
      <c r="N3449" t="str" cm="1">
        <f t="array" ref="N3449">IF(MOD(ROW()-ROW($B$2),16)=0,INDEX($M$2:$M$1000,(ROW()-ROW($B$2))/16+1),"")</f>
        <v/>
      </c>
    </row>
    <row r="3450" spans="14:14" x14ac:dyDescent="0.3">
      <c r="N3450" t="str" cm="1">
        <f t="array" ref="N3450">IF(MOD(ROW()-ROW($B$2),16)=0,INDEX($M$2:$M$1000,(ROW()-ROW($B$2))/16+1),"")</f>
        <v/>
      </c>
    </row>
    <row r="3451" spans="14:14" x14ac:dyDescent="0.3">
      <c r="N3451" t="str" cm="1">
        <f t="array" ref="N3451">IF(MOD(ROW()-ROW($B$2),16)=0,INDEX($M$2:$M$1000,(ROW()-ROW($B$2))/16+1),"")</f>
        <v/>
      </c>
    </row>
    <row r="3452" spans="14:14" x14ac:dyDescent="0.3">
      <c r="N3452" t="str" cm="1">
        <f t="array" ref="N3452">IF(MOD(ROW()-ROW($B$2),16)=0,INDEX($M$2:$M$1000,(ROW()-ROW($B$2))/16+1),"")</f>
        <v/>
      </c>
    </row>
    <row r="3453" spans="14:14" x14ac:dyDescent="0.3">
      <c r="N3453" t="str" cm="1">
        <f t="array" ref="N3453">IF(MOD(ROW()-ROW($B$2),16)=0,INDEX($M$2:$M$1000,(ROW()-ROW($B$2))/16+1),"")</f>
        <v/>
      </c>
    </row>
    <row r="3454" spans="14:14" x14ac:dyDescent="0.3">
      <c r="N3454" t="str" cm="1">
        <f t="array" ref="N3454">IF(MOD(ROW()-ROW($B$2),16)=0,INDEX($M$2:$M$1000,(ROW()-ROW($B$2))/16+1),"")</f>
        <v/>
      </c>
    </row>
    <row r="3455" spans="14:14" x14ac:dyDescent="0.3">
      <c r="N3455" t="str" cm="1">
        <f t="array" ref="N3455">IF(MOD(ROW()-ROW($B$2),16)=0,INDEX($M$2:$M$1000,(ROW()-ROW($B$2))/16+1),"")</f>
        <v/>
      </c>
    </row>
    <row r="3456" spans="14:14" x14ac:dyDescent="0.3">
      <c r="N3456" t="str" cm="1">
        <f t="array" ref="N3456">IF(MOD(ROW()-ROW($B$2),16)=0,INDEX($M$2:$M$1000,(ROW()-ROW($B$2))/16+1),"")</f>
        <v/>
      </c>
    </row>
    <row r="3457" spans="14:14" x14ac:dyDescent="0.3">
      <c r="N3457" t="str" cm="1">
        <f t="array" ref="N3457">IF(MOD(ROW()-ROW($B$2),16)=0,INDEX($M$2:$M$1000,(ROW()-ROW($B$2))/16+1),"")</f>
        <v/>
      </c>
    </row>
    <row r="3458" spans="14:14" x14ac:dyDescent="0.3">
      <c r="N3458" t="str" cm="1">
        <f t="array" ref="N3458">IF(MOD(ROW()-ROW($B$2),16)=0,INDEX($M$2:$M$1000,(ROW()-ROW($B$2))/16+1),"")</f>
        <v>Таймер открытия патрона 2 / ВСП (0)</v>
      </c>
    </row>
    <row r="3459" spans="14:14" x14ac:dyDescent="0.3">
      <c r="N3459" t="str" cm="1">
        <f t="array" ref="N3459">IF(MOD(ROW()-ROW($B$2),16)=0,INDEX($M$2:$M$1000,(ROW()-ROW($B$2))/16+1),"")</f>
        <v/>
      </c>
    </row>
    <row r="3460" spans="14:14" x14ac:dyDescent="0.3">
      <c r="N3460" t="str" cm="1">
        <f t="array" ref="N3460">IF(MOD(ROW()-ROW($B$2),16)=0,INDEX($M$2:$M$1000,(ROW()-ROW($B$2))/16+1),"")</f>
        <v/>
      </c>
    </row>
    <row r="3461" spans="14:14" x14ac:dyDescent="0.3">
      <c r="N3461" t="str" cm="1">
        <f t="array" ref="N3461">IF(MOD(ROW()-ROW($B$2),16)=0,INDEX($M$2:$M$1000,(ROW()-ROW($B$2))/16+1),"")</f>
        <v/>
      </c>
    </row>
    <row r="3462" spans="14:14" x14ac:dyDescent="0.3">
      <c r="N3462" t="str" cm="1">
        <f t="array" ref="N3462">IF(MOD(ROW()-ROW($B$2),16)=0,INDEX($M$2:$M$1000,(ROW()-ROW($B$2))/16+1),"")</f>
        <v/>
      </c>
    </row>
    <row r="3463" spans="14:14" x14ac:dyDescent="0.3">
      <c r="N3463" t="str" cm="1">
        <f t="array" ref="N3463">IF(MOD(ROW()-ROW($B$2),16)=0,INDEX($M$2:$M$1000,(ROW()-ROW($B$2))/16+1),"")</f>
        <v/>
      </c>
    </row>
    <row r="3464" spans="14:14" x14ac:dyDescent="0.3">
      <c r="N3464" t="str" cm="1">
        <f t="array" ref="N3464">IF(MOD(ROW()-ROW($B$2),16)=0,INDEX($M$2:$M$1000,(ROW()-ROW($B$2))/16+1),"")</f>
        <v/>
      </c>
    </row>
    <row r="3465" spans="14:14" x14ac:dyDescent="0.3">
      <c r="N3465" t="str" cm="1">
        <f t="array" ref="N3465">IF(MOD(ROW()-ROW($B$2),16)=0,INDEX($M$2:$M$1000,(ROW()-ROW($B$2))/16+1),"")</f>
        <v/>
      </c>
    </row>
    <row r="3466" spans="14:14" x14ac:dyDescent="0.3">
      <c r="N3466" t="str" cm="1">
        <f t="array" ref="N3466">IF(MOD(ROW()-ROW($B$2),16)=0,INDEX($M$2:$M$1000,(ROW()-ROW($B$2))/16+1),"")</f>
        <v/>
      </c>
    </row>
    <row r="3467" spans="14:14" x14ac:dyDescent="0.3">
      <c r="N3467" t="str" cm="1">
        <f t="array" ref="N3467">IF(MOD(ROW()-ROW($B$2),16)=0,INDEX($M$2:$M$1000,(ROW()-ROW($B$2))/16+1),"")</f>
        <v/>
      </c>
    </row>
    <row r="3468" spans="14:14" x14ac:dyDescent="0.3">
      <c r="N3468" t="str" cm="1">
        <f t="array" ref="N3468">IF(MOD(ROW()-ROW($B$2),16)=0,INDEX($M$2:$M$1000,(ROW()-ROW($B$2))/16+1),"")</f>
        <v/>
      </c>
    </row>
    <row r="3469" spans="14:14" x14ac:dyDescent="0.3">
      <c r="N3469" t="str" cm="1">
        <f t="array" ref="N3469">IF(MOD(ROW()-ROW($B$2),16)=0,INDEX($M$2:$M$1000,(ROW()-ROW($B$2))/16+1),"")</f>
        <v/>
      </c>
    </row>
    <row r="3470" spans="14:14" x14ac:dyDescent="0.3">
      <c r="N3470" t="str" cm="1">
        <f t="array" ref="N3470">IF(MOD(ROW()-ROW($B$2),16)=0,INDEX($M$2:$M$1000,(ROW()-ROW($B$2))/16+1),"")</f>
        <v/>
      </c>
    </row>
    <row r="3471" spans="14:14" x14ac:dyDescent="0.3">
      <c r="N3471" t="str" cm="1">
        <f t="array" ref="N3471">IF(MOD(ROW()-ROW($B$2),16)=0,INDEX($M$2:$M$1000,(ROW()-ROW($B$2))/16+1),"")</f>
        <v/>
      </c>
    </row>
    <row r="3472" spans="14:14" x14ac:dyDescent="0.3">
      <c r="N3472" t="str" cm="1">
        <f t="array" ref="N3472">IF(MOD(ROW()-ROW($B$2),16)=0,INDEX($M$2:$M$1000,(ROW()-ROW($B$2))/16+1),"")</f>
        <v/>
      </c>
    </row>
    <row r="3473" spans="14:14" x14ac:dyDescent="0.3">
      <c r="N3473" t="str" cm="1">
        <f t="array" ref="N3473">IF(MOD(ROW()-ROW($B$2),16)=0,INDEX($M$2:$M$1000,(ROW()-ROW($B$2))/16+1),"")</f>
        <v/>
      </c>
    </row>
    <row r="3474" spans="14:14" x14ac:dyDescent="0.3">
      <c r="N3474" t="str" cm="1">
        <f t="array" ref="N3474">IF(MOD(ROW()-ROW($B$2),16)=0,INDEX($M$2:$M$1000,(ROW()-ROW($B$2))/16+1),"")</f>
        <v>Таймер закрытия захвата 2 / ВСП (0)</v>
      </c>
    </row>
    <row r="3475" spans="14:14" x14ac:dyDescent="0.3">
      <c r="N3475" t="str" cm="1">
        <f t="array" ref="N3475">IF(MOD(ROW()-ROW($B$2),16)=0,INDEX($M$2:$M$1000,(ROW()-ROW($B$2))/16+1),"")</f>
        <v/>
      </c>
    </row>
    <row r="3476" spans="14:14" x14ac:dyDescent="0.3">
      <c r="N3476" t="str" cm="1">
        <f t="array" ref="N3476">IF(MOD(ROW()-ROW($B$2),16)=0,INDEX($M$2:$M$1000,(ROW()-ROW($B$2))/16+1),"")</f>
        <v/>
      </c>
    </row>
    <row r="3477" spans="14:14" x14ac:dyDescent="0.3">
      <c r="N3477" t="str" cm="1">
        <f t="array" ref="N3477">IF(MOD(ROW()-ROW($B$2),16)=0,INDEX($M$2:$M$1000,(ROW()-ROW($B$2))/16+1),"")</f>
        <v/>
      </c>
    </row>
    <row r="3478" spans="14:14" x14ac:dyDescent="0.3">
      <c r="N3478" t="str" cm="1">
        <f t="array" ref="N3478">IF(MOD(ROW()-ROW($B$2),16)=0,INDEX($M$2:$M$1000,(ROW()-ROW($B$2))/16+1),"")</f>
        <v/>
      </c>
    </row>
    <row r="3479" spans="14:14" x14ac:dyDescent="0.3">
      <c r="N3479" t="str" cm="1">
        <f t="array" ref="N3479">IF(MOD(ROW()-ROW($B$2),16)=0,INDEX($M$2:$M$1000,(ROW()-ROW($B$2))/16+1),"")</f>
        <v/>
      </c>
    </row>
    <row r="3480" spans="14:14" x14ac:dyDescent="0.3">
      <c r="N3480" t="str" cm="1">
        <f t="array" ref="N3480">IF(MOD(ROW()-ROW($B$2),16)=0,INDEX($M$2:$M$1000,(ROW()-ROW($B$2))/16+1),"")</f>
        <v/>
      </c>
    </row>
    <row r="3481" spans="14:14" x14ac:dyDescent="0.3">
      <c r="N3481" t="str" cm="1">
        <f t="array" ref="N3481">IF(MOD(ROW()-ROW($B$2),16)=0,INDEX($M$2:$M$1000,(ROW()-ROW($B$2))/16+1),"")</f>
        <v/>
      </c>
    </row>
    <row r="3482" spans="14:14" x14ac:dyDescent="0.3">
      <c r="N3482" t="str" cm="1">
        <f t="array" ref="N3482">IF(MOD(ROW()-ROW($B$2),16)=0,INDEX($M$2:$M$1000,(ROW()-ROW($B$2))/16+1),"")</f>
        <v/>
      </c>
    </row>
    <row r="3483" spans="14:14" x14ac:dyDescent="0.3">
      <c r="N3483" t="str" cm="1">
        <f t="array" ref="N3483">IF(MOD(ROW()-ROW($B$2),16)=0,INDEX($M$2:$M$1000,(ROW()-ROW($B$2))/16+1),"")</f>
        <v/>
      </c>
    </row>
    <row r="3484" spans="14:14" x14ac:dyDescent="0.3">
      <c r="N3484" t="str" cm="1">
        <f t="array" ref="N3484">IF(MOD(ROW()-ROW($B$2),16)=0,INDEX($M$2:$M$1000,(ROW()-ROW($B$2))/16+1),"")</f>
        <v/>
      </c>
    </row>
    <row r="3485" spans="14:14" x14ac:dyDescent="0.3">
      <c r="N3485" t="str" cm="1">
        <f t="array" ref="N3485">IF(MOD(ROW()-ROW($B$2),16)=0,INDEX($M$2:$M$1000,(ROW()-ROW($B$2))/16+1),"")</f>
        <v/>
      </c>
    </row>
    <row r="3486" spans="14:14" x14ac:dyDescent="0.3">
      <c r="N3486" t="str" cm="1">
        <f t="array" ref="N3486">IF(MOD(ROW()-ROW($B$2),16)=0,INDEX($M$2:$M$1000,(ROW()-ROW($B$2))/16+1),"")</f>
        <v/>
      </c>
    </row>
    <row r="3487" spans="14:14" x14ac:dyDescent="0.3">
      <c r="N3487" t="str" cm="1">
        <f t="array" ref="N3487">IF(MOD(ROW()-ROW($B$2),16)=0,INDEX($M$2:$M$1000,(ROW()-ROW($B$2))/16+1),"")</f>
        <v/>
      </c>
    </row>
    <row r="3488" spans="14:14" x14ac:dyDescent="0.3">
      <c r="N3488" t="str" cm="1">
        <f t="array" ref="N3488">IF(MOD(ROW()-ROW($B$2),16)=0,INDEX($M$2:$M$1000,(ROW()-ROW($B$2))/16+1),"")</f>
        <v/>
      </c>
    </row>
    <row r="3489" spans="14:14" x14ac:dyDescent="0.3">
      <c r="N3489" t="str" cm="1">
        <f t="array" ref="N3489">IF(MOD(ROW()-ROW($B$2),16)=0,INDEX($M$2:$M$1000,(ROW()-ROW($B$2))/16+1),"")</f>
        <v/>
      </c>
    </row>
    <row r="3490" spans="14:14" x14ac:dyDescent="0.3">
      <c r="N3490" t="str" cm="1">
        <f t="array" ref="N3490">IF(MOD(ROW()-ROW($B$2),16)=0,INDEX($M$2:$M$1000,(ROW()-ROW($B$2))/16+1),"")</f>
        <v/>
      </c>
    </row>
    <row r="3491" spans="14:14" x14ac:dyDescent="0.3">
      <c r="N3491" t="str" cm="1">
        <f t="array" ref="N3491">IF(MOD(ROW()-ROW($B$2),16)=0,INDEX($M$2:$M$1000,(ROW()-ROW($B$2))/16+1),"")</f>
        <v/>
      </c>
    </row>
    <row r="3492" spans="14:14" x14ac:dyDescent="0.3">
      <c r="N3492" t="str" cm="1">
        <f t="array" ref="N3492">IF(MOD(ROW()-ROW($B$2),16)=0,INDEX($M$2:$M$1000,(ROW()-ROW($B$2))/16+1),"")</f>
        <v/>
      </c>
    </row>
    <row r="3493" spans="14:14" x14ac:dyDescent="0.3">
      <c r="N3493" t="str" cm="1">
        <f t="array" ref="N3493">IF(MOD(ROW()-ROW($B$2),16)=0,INDEX($M$2:$M$1000,(ROW()-ROW($B$2))/16+1),"")</f>
        <v/>
      </c>
    </row>
    <row r="3494" spans="14:14" x14ac:dyDescent="0.3">
      <c r="N3494" t="str" cm="1">
        <f t="array" ref="N3494">IF(MOD(ROW()-ROW($B$2),16)=0,INDEX($M$2:$M$1000,(ROW()-ROW($B$2))/16+1),"")</f>
        <v/>
      </c>
    </row>
    <row r="3495" spans="14:14" x14ac:dyDescent="0.3">
      <c r="N3495" t="str" cm="1">
        <f t="array" ref="N3495">IF(MOD(ROW()-ROW($B$2),16)=0,INDEX($M$2:$M$1000,(ROW()-ROW($B$2))/16+1),"")</f>
        <v/>
      </c>
    </row>
    <row r="3496" spans="14:14" x14ac:dyDescent="0.3">
      <c r="N3496" t="str" cm="1">
        <f t="array" ref="N3496">IF(MOD(ROW()-ROW($B$2),16)=0,INDEX($M$2:$M$1000,(ROW()-ROW($B$2))/16+1),"")</f>
        <v/>
      </c>
    </row>
    <row r="3497" spans="14:14" x14ac:dyDescent="0.3">
      <c r="N3497" t="str" cm="1">
        <f t="array" ref="N3497">IF(MOD(ROW()-ROW($B$2),16)=0,INDEX($M$2:$M$1000,(ROW()-ROW($B$2))/16+1),"")</f>
        <v/>
      </c>
    </row>
    <row r="3498" spans="14:14" x14ac:dyDescent="0.3">
      <c r="N3498" t="str" cm="1">
        <f t="array" ref="N3498">IF(MOD(ROW()-ROW($B$2),16)=0,INDEX($M$2:$M$1000,(ROW()-ROW($B$2))/16+1),"")</f>
        <v/>
      </c>
    </row>
    <row r="3499" spans="14:14" x14ac:dyDescent="0.3">
      <c r="N3499" t="str" cm="1">
        <f t="array" ref="N3499">IF(MOD(ROW()-ROW($B$2),16)=0,INDEX($M$2:$M$1000,(ROW()-ROW($B$2))/16+1),"")</f>
        <v/>
      </c>
    </row>
    <row r="3500" spans="14:14" x14ac:dyDescent="0.3">
      <c r="N3500" t="str" cm="1">
        <f t="array" ref="N3500">IF(MOD(ROW()-ROW($B$2),16)=0,INDEX($M$2:$M$1000,(ROW()-ROW($B$2))/16+1),"")</f>
        <v/>
      </c>
    </row>
    <row r="3501" spans="14:14" x14ac:dyDescent="0.3">
      <c r="N3501" t="str" cm="1">
        <f t="array" ref="N3501">IF(MOD(ROW()-ROW($B$2),16)=0,INDEX($M$2:$M$1000,(ROW()-ROW($B$2))/16+1),"")</f>
        <v/>
      </c>
    </row>
    <row r="3502" spans="14:14" x14ac:dyDescent="0.3">
      <c r="N3502" t="str" cm="1">
        <f t="array" ref="N3502">IF(MOD(ROW()-ROW($B$2),16)=0,INDEX($M$2:$M$1000,(ROW()-ROW($B$2))/16+1),"")</f>
        <v/>
      </c>
    </row>
    <row r="3503" spans="14:14" x14ac:dyDescent="0.3">
      <c r="N3503" t="str" cm="1">
        <f t="array" ref="N3503">IF(MOD(ROW()-ROW($B$2),16)=0,INDEX($M$2:$M$1000,(ROW()-ROW($B$2))/16+1),"")</f>
        <v/>
      </c>
    </row>
    <row r="3504" spans="14:14" x14ac:dyDescent="0.3">
      <c r="N3504" t="str" cm="1">
        <f t="array" ref="N3504">IF(MOD(ROW()-ROW($B$2),16)=0,INDEX($M$2:$M$1000,(ROW()-ROW($B$2))/16+1),"")</f>
        <v/>
      </c>
    </row>
    <row r="3505" spans="14:14" x14ac:dyDescent="0.3">
      <c r="N3505" t="str" cm="1">
        <f t="array" ref="N3505">IF(MOD(ROW()-ROW($B$2),16)=0,INDEX($M$2:$M$1000,(ROW()-ROW($B$2))/16+1),"")</f>
        <v/>
      </c>
    </row>
    <row r="3506" spans="14:14" x14ac:dyDescent="0.3">
      <c r="N3506" t="str" cm="1">
        <f t="array" ref="N3506">IF(MOD(ROW()-ROW($B$2),16)=0,INDEX($M$2:$M$1000,(ROW()-ROW($B$2))/16+1),"")</f>
        <v/>
      </c>
    </row>
    <row r="3507" spans="14:14" x14ac:dyDescent="0.3">
      <c r="N3507" t="str" cm="1">
        <f t="array" ref="N3507">IF(MOD(ROW()-ROW($B$2),16)=0,INDEX($M$2:$M$1000,(ROW()-ROW($B$2))/16+1),"")</f>
        <v/>
      </c>
    </row>
    <row r="3508" spans="14:14" x14ac:dyDescent="0.3">
      <c r="N3508" t="str" cm="1">
        <f t="array" ref="N3508">IF(MOD(ROW()-ROW($B$2),16)=0,INDEX($M$2:$M$1000,(ROW()-ROW($B$2))/16+1),"")</f>
        <v/>
      </c>
    </row>
    <row r="3509" spans="14:14" x14ac:dyDescent="0.3">
      <c r="N3509" t="str" cm="1">
        <f t="array" ref="N3509">IF(MOD(ROW()-ROW($B$2),16)=0,INDEX($M$2:$M$1000,(ROW()-ROW($B$2))/16+1),"")</f>
        <v/>
      </c>
    </row>
    <row r="3510" spans="14:14" x14ac:dyDescent="0.3">
      <c r="N3510" t="str" cm="1">
        <f t="array" ref="N3510">IF(MOD(ROW()-ROW($B$2),16)=0,INDEX($M$2:$M$1000,(ROW()-ROW($B$2))/16+1),"")</f>
        <v/>
      </c>
    </row>
    <row r="3511" spans="14:14" x14ac:dyDescent="0.3">
      <c r="N3511" t="str" cm="1">
        <f t="array" ref="N3511">IF(MOD(ROW()-ROW($B$2),16)=0,INDEX($M$2:$M$1000,(ROW()-ROW($B$2))/16+1),"")</f>
        <v/>
      </c>
    </row>
    <row r="3512" spans="14:14" x14ac:dyDescent="0.3">
      <c r="N3512" t="str" cm="1">
        <f t="array" ref="N3512">IF(MOD(ROW()-ROW($B$2),16)=0,INDEX($M$2:$M$1000,(ROW()-ROW($B$2))/16+1),"")</f>
        <v/>
      </c>
    </row>
    <row r="3513" spans="14:14" x14ac:dyDescent="0.3">
      <c r="N3513" t="str" cm="1">
        <f t="array" ref="N3513">IF(MOD(ROW()-ROW($B$2),16)=0,INDEX($M$2:$M$1000,(ROW()-ROW($B$2))/16+1),"")</f>
        <v/>
      </c>
    </row>
    <row r="3514" spans="14:14" x14ac:dyDescent="0.3">
      <c r="N3514" t="str" cm="1">
        <f t="array" ref="N3514">IF(MOD(ROW()-ROW($B$2),16)=0,INDEX($M$2:$M$1000,(ROW()-ROW($B$2))/16+1),"")</f>
        <v/>
      </c>
    </row>
    <row r="3515" spans="14:14" x14ac:dyDescent="0.3">
      <c r="N3515" t="str" cm="1">
        <f t="array" ref="N3515">IF(MOD(ROW()-ROW($B$2),16)=0,INDEX($M$2:$M$1000,(ROW()-ROW($B$2))/16+1),"")</f>
        <v/>
      </c>
    </row>
    <row r="3516" spans="14:14" x14ac:dyDescent="0.3">
      <c r="N3516" t="str" cm="1">
        <f t="array" ref="N3516">IF(MOD(ROW()-ROW($B$2),16)=0,INDEX($M$2:$M$1000,(ROW()-ROW($B$2))/16+1),"")</f>
        <v/>
      </c>
    </row>
    <row r="3517" spans="14:14" x14ac:dyDescent="0.3">
      <c r="N3517" t="str" cm="1">
        <f t="array" ref="N3517">IF(MOD(ROW()-ROW($B$2),16)=0,INDEX($M$2:$M$1000,(ROW()-ROW($B$2))/16+1),"")</f>
        <v/>
      </c>
    </row>
    <row r="3518" spans="14:14" x14ac:dyDescent="0.3">
      <c r="N3518" t="str" cm="1">
        <f t="array" ref="N3518">IF(MOD(ROW()-ROW($B$2),16)=0,INDEX($M$2:$M$1000,(ROW()-ROW($B$2))/16+1),"")</f>
        <v/>
      </c>
    </row>
    <row r="3519" spans="14:14" x14ac:dyDescent="0.3">
      <c r="N3519" t="str" cm="1">
        <f t="array" ref="N3519">IF(MOD(ROW()-ROW($B$2),16)=0,INDEX($M$2:$M$1000,(ROW()-ROW($B$2))/16+1),"")</f>
        <v/>
      </c>
    </row>
    <row r="3520" spans="14:14" x14ac:dyDescent="0.3">
      <c r="N3520" t="str" cm="1">
        <f t="array" ref="N3520">IF(MOD(ROW()-ROW($B$2),16)=0,INDEX($M$2:$M$1000,(ROW()-ROW($B$2))/16+1),"")</f>
        <v/>
      </c>
    </row>
    <row r="3521" spans="14:14" x14ac:dyDescent="0.3">
      <c r="N3521" t="str" cm="1">
        <f t="array" ref="N3521">IF(MOD(ROW()-ROW($B$2),16)=0,INDEX($M$2:$M$1000,(ROW()-ROW($B$2))/16+1),"")</f>
        <v/>
      </c>
    </row>
    <row r="3522" spans="14:14" x14ac:dyDescent="0.3">
      <c r="N3522" t="str" cm="1">
        <f t="array" ref="N3522">IF(MOD(ROW()-ROW($B$2),16)=0,INDEX($M$2:$M$1000,(ROW()-ROW($B$2))/16+1),"")</f>
        <v/>
      </c>
    </row>
    <row r="3523" spans="14:14" x14ac:dyDescent="0.3">
      <c r="N3523" t="str" cm="1">
        <f t="array" ref="N3523">IF(MOD(ROW()-ROW($B$2),16)=0,INDEX($M$2:$M$1000,(ROW()-ROW($B$2))/16+1),"")</f>
        <v/>
      </c>
    </row>
    <row r="3524" spans="14:14" x14ac:dyDescent="0.3">
      <c r="N3524" t="str" cm="1">
        <f t="array" ref="N3524">IF(MOD(ROW()-ROW($B$2),16)=0,INDEX($M$2:$M$1000,(ROW()-ROW($B$2))/16+1),"")</f>
        <v/>
      </c>
    </row>
    <row r="3525" spans="14:14" x14ac:dyDescent="0.3">
      <c r="N3525" t="str" cm="1">
        <f t="array" ref="N3525">IF(MOD(ROW()-ROW($B$2),16)=0,INDEX($M$2:$M$1000,(ROW()-ROW($B$2))/16+1),"")</f>
        <v/>
      </c>
    </row>
    <row r="3526" spans="14:14" x14ac:dyDescent="0.3">
      <c r="N3526" t="str" cm="1">
        <f t="array" ref="N3526">IF(MOD(ROW()-ROW($B$2),16)=0,INDEX($M$2:$M$1000,(ROW()-ROW($B$2))/16+1),"")</f>
        <v/>
      </c>
    </row>
    <row r="3527" spans="14:14" x14ac:dyDescent="0.3">
      <c r="N3527" t="str" cm="1">
        <f t="array" ref="N3527">IF(MOD(ROW()-ROW($B$2),16)=0,INDEX($M$2:$M$1000,(ROW()-ROW($B$2))/16+1),"")</f>
        <v/>
      </c>
    </row>
    <row r="3528" spans="14:14" x14ac:dyDescent="0.3">
      <c r="N3528" t="str" cm="1">
        <f t="array" ref="N3528">IF(MOD(ROW()-ROW($B$2),16)=0,INDEX($M$2:$M$1000,(ROW()-ROW($B$2))/16+1),"")</f>
        <v/>
      </c>
    </row>
    <row r="3529" spans="14:14" x14ac:dyDescent="0.3">
      <c r="N3529" t="str" cm="1">
        <f t="array" ref="N3529">IF(MOD(ROW()-ROW($B$2),16)=0,INDEX($M$2:$M$1000,(ROW()-ROW($B$2))/16+1),"")</f>
        <v/>
      </c>
    </row>
    <row r="3530" spans="14:14" x14ac:dyDescent="0.3">
      <c r="N3530" t="str" cm="1">
        <f t="array" ref="N3530">IF(MOD(ROW()-ROW($B$2),16)=0,INDEX($M$2:$M$1000,(ROW()-ROW($B$2))/16+1),"")</f>
        <v/>
      </c>
    </row>
    <row r="3531" spans="14:14" x14ac:dyDescent="0.3">
      <c r="N3531" t="str" cm="1">
        <f t="array" ref="N3531">IF(MOD(ROW()-ROW($B$2),16)=0,INDEX($M$2:$M$1000,(ROW()-ROW($B$2))/16+1),"")</f>
        <v/>
      </c>
    </row>
    <row r="3532" spans="14:14" x14ac:dyDescent="0.3">
      <c r="N3532" t="str" cm="1">
        <f t="array" ref="N3532">IF(MOD(ROW()-ROW($B$2),16)=0,INDEX($M$2:$M$1000,(ROW()-ROW($B$2))/16+1),"")</f>
        <v/>
      </c>
    </row>
    <row r="3533" spans="14:14" x14ac:dyDescent="0.3">
      <c r="N3533" t="str" cm="1">
        <f t="array" ref="N3533">IF(MOD(ROW()-ROW($B$2),16)=0,INDEX($M$2:$M$1000,(ROW()-ROW($B$2))/16+1),"")</f>
        <v/>
      </c>
    </row>
    <row r="3534" spans="14:14" x14ac:dyDescent="0.3">
      <c r="N3534" t="str" cm="1">
        <f t="array" ref="N3534">IF(MOD(ROW()-ROW($B$2),16)=0,INDEX($M$2:$M$1000,(ROW()-ROW($B$2))/16+1),"")</f>
        <v/>
      </c>
    </row>
    <row r="3535" spans="14:14" x14ac:dyDescent="0.3">
      <c r="N3535" t="str" cm="1">
        <f t="array" ref="N3535">IF(MOD(ROW()-ROW($B$2),16)=0,INDEX($M$2:$M$1000,(ROW()-ROW($B$2))/16+1),"")</f>
        <v/>
      </c>
    </row>
    <row r="3536" spans="14:14" x14ac:dyDescent="0.3">
      <c r="N3536" t="str" cm="1">
        <f t="array" ref="N3536">IF(MOD(ROW()-ROW($B$2),16)=0,INDEX($M$2:$M$1000,(ROW()-ROW($B$2))/16+1),"")</f>
        <v/>
      </c>
    </row>
    <row r="3537" spans="14:14" x14ac:dyDescent="0.3">
      <c r="N3537" t="str" cm="1">
        <f t="array" ref="N3537">IF(MOD(ROW()-ROW($B$2),16)=0,INDEX($M$2:$M$1000,(ROW()-ROW($B$2))/16+1),"")</f>
        <v/>
      </c>
    </row>
    <row r="3538" spans="14:14" x14ac:dyDescent="0.3">
      <c r="N3538" t="str" cm="1">
        <f t="array" ref="N3538">IF(MOD(ROW()-ROW($B$2),16)=0,INDEX($M$2:$M$1000,(ROW()-ROW($B$2))/16+1),"")</f>
        <v>Overshoot (0)</v>
      </c>
    </row>
    <row r="3539" spans="14:14" x14ac:dyDescent="0.3">
      <c r="N3539" t="str" cm="1">
        <f t="array" ref="N3539">IF(MOD(ROW()-ROW($B$2),16)=0,INDEX($M$2:$M$1000,(ROW()-ROW($B$2))/16+1),"")</f>
        <v/>
      </c>
    </row>
    <row r="3540" spans="14:14" x14ac:dyDescent="0.3">
      <c r="N3540" t="str" cm="1">
        <f t="array" ref="N3540">IF(MOD(ROW()-ROW($B$2),16)=0,INDEX($M$2:$M$1000,(ROW()-ROW($B$2))/16+1),"")</f>
        <v/>
      </c>
    </row>
    <row r="3541" spans="14:14" x14ac:dyDescent="0.3">
      <c r="N3541" t="str" cm="1">
        <f t="array" ref="N3541">IF(MOD(ROW()-ROW($B$2),16)=0,INDEX($M$2:$M$1000,(ROW()-ROW($B$2))/16+1),"")</f>
        <v/>
      </c>
    </row>
    <row r="3542" spans="14:14" x14ac:dyDescent="0.3">
      <c r="N3542" t="str" cm="1">
        <f t="array" ref="N3542">IF(MOD(ROW()-ROW($B$2),16)=0,INDEX($M$2:$M$1000,(ROW()-ROW($B$2))/16+1),"")</f>
        <v/>
      </c>
    </row>
    <row r="3543" spans="14:14" x14ac:dyDescent="0.3">
      <c r="N3543" t="str" cm="1">
        <f t="array" ref="N3543">IF(MOD(ROW()-ROW($B$2),16)=0,INDEX($M$2:$M$1000,(ROW()-ROW($B$2))/16+1),"")</f>
        <v/>
      </c>
    </row>
    <row r="3544" spans="14:14" x14ac:dyDescent="0.3">
      <c r="N3544" t="str" cm="1">
        <f t="array" ref="N3544">IF(MOD(ROW()-ROW($B$2),16)=0,INDEX($M$2:$M$1000,(ROW()-ROW($B$2))/16+1),"")</f>
        <v/>
      </c>
    </row>
    <row r="3545" spans="14:14" x14ac:dyDescent="0.3">
      <c r="N3545" t="str" cm="1">
        <f t="array" ref="N3545">IF(MOD(ROW()-ROW($B$2),16)=0,INDEX($M$2:$M$1000,(ROW()-ROW($B$2))/16+1),"")</f>
        <v/>
      </c>
    </row>
    <row r="3546" spans="14:14" x14ac:dyDescent="0.3">
      <c r="N3546" t="str" cm="1">
        <f t="array" ref="N3546">IF(MOD(ROW()-ROW($B$2),16)=0,INDEX($M$2:$M$1000,(ROW()-ROW($B$2))/16+1),"")</f>
        <v/>
      </c>
    </row>
    <row r="3547" spans="14:14" x14ac:dyDescent="0.3">
      <c r="N3547" t="str" cm="1">
        <f t="array" ref="N3547">IF(MOD(ROW()-ROW($B$2),16)=0,INDEX($M$2:$M$1000,(ROW()-ROW($B$2))/16+1),"")</f>
        <v/>
      </c>
    </row>
    <row r="3548" spans="14:14" x14ac:dyDescent="0.3">
      <c r="N3548" t="str" cm="1">
        <f t="array" ref="N3548">IF(MOD(ROW()-ROW($B$2),16)=0,INDEX($M$2:$M$1000,(ROW()-ROW($B$2))/16+1),"")</f>
        <v/>
      </c>
    </row>
    <row r="3549" spans="14:14" x14ac:dyDescent="0.3">
      <c r="N3549" t="str" cm="1">
        <f t="array" ref="N3549">IF(MOD(ROW()-ROW($B$2),16)=0,INDEX($M$2:$M$1000,(ROW()-ROW($B$2))/16+1),"")</f>
        <v/>
      </c>
    </row>
    <row r="3550" spans="14:14" x14ac:dyDescent="0.3">
      <c r="N3550" t="str" cm="1">
        <f t="array" ref="N3550">IF(MOD(ROW()-ROW($B$2),16)=0,INDEX($M$2:$M$1000,(ROW()-ROW($B$2))/16+1),"")</f>
        <v/>
      </c>
    </row>
    <row r="3551" spans="14:14" x14ac:dyDescent="0.3">
      <c r="N3551" t="str" cm="1">
        <f t="array" ref="N3551">IF(MOD(ROW()-ROW($B$2),16)=0,INDEX($M$2:$M$1000,(ROW()-ROW($B$2))/16+1),"")</f>
        <v/>
      </c>
    </row>
    <row r="3552" spans="14:14" x14ac:dyDescent="0.3">
      <c r="N3552" t="str" cm="1">
        <f t="array" ref="N3552">IF(MOD(ROW()-ROW($B$2),16)=0,INDEX($M$2:$M$1000,(ROW()-ROW($B$2))/16+1),"")</f>
        <v/>
      </c>
    </row>
    <row r="3553" spans="14:14" x14ac:dyDescent="0.3">
      <c r="N3553" t="str" cm="1">
        <f t="array" ref="N3553">IF(MOD(ROW()-ROW($B$2),16)=0,INDEX($M$2:$M$1000,(ROW()-ROW($B$2))/16+1),"")</f>
        <v/>
      </c>
    </row>
    <row r="3554" spans="14:14" x14ac:dyDescent="0.3">
      <c r="N3554" t="str" cm="1">
        <f t="array" ref="N3554">IF(MOD(ROW()-ROW($B$2),16)=0,INDEX($M$2:$M$1000,(ROW()-ROW($B$2))/16+1),"")</f>
        <v>Скорость поиска (0)</v>
      </c>
    </row>
    <row r="3555" spans="14:14" x14ac:dyDescent="0.3">
      <c r="N3555" t="str" cm="1">
        <f t="array" ref="N3555">IF(MOD(ROW()-ROW($B$2),16)=0,INDEX($M$2:$M$1000,(ROW()-ROW($B$2))/16+1),"")</f>
        <v/>
      </c>
    </row>
    <row r="3556" spans="14:14" x14ac:dyDescent="0.3">
      <c r="N3556" t="str" cm="1">
        <f t="array" ref="N3556">IF(MOD(ROW()-ROW($B$2),16)=0,INDEX($M$2:$M$1000,(ROW()-ROW($B$2))/16+1),"")</f>
        <v/>
      </c>
    </row>
    <row r="3557" spans="14:14" x14ac:dyDescent="0.3">
      <c r="N3557" t="str" cm="1">
        <f t="array" ref="N3557">IF(MOD(ROW()-ROW($B$2),16)=0,INDEX($M$2:$M$1000,(ROW()-ROW($B$2))/16+1),"")</f>
        <v/>
      </c>
    </row>
    <row r="3558" spans="14:14" x14ac:dyDescent="0.3">
      <c r="N3558" t="str" cm="1">
        <f t="array" ref="N3558">IF(MOD(ROW()-ROW($B$2),16)=0,INDEX($M$2:$M$1000,(ROW()-ROW($B$2))/16+1),"")</f>
        <v/>
      </c>
    </row>
    <row r="3559" spans="14:14" x14ac:dyDescent="0.3">
      <c r="N3559" t="str" cm="1">
        <f t="array" ref="N3559">IF(MOD(ROW()-ROW($B$2),16)=0,INDEX($M$2:$M$1000,(ROW()-ROW($B$2))/16+1),"")</f>
        <v/>
      </c>
    </row>
    <row r="3560" spans="14:14" x14ac:dyDescent="0.3">
      <c r="N3560" t="str" cm="1">
        <f t="array" ref="N3560">IF(MOD(ROW()-ROW($B$2),16)=0,INDEX($M$2:$M$1000,(ROW()-ROW($B$2))/16+1),"")</f>
        <v/>
      </c>
    </row>
    <row r="3561" spans="14:14" x14ac:dyDescent="0.3">
      <c r="N3561" t="str" cm="1">
        <f t="array" ref="N3561">IF(MOD(ROW()-ROW($B$2),16)=0,INDEX($M$2:$M$1000,(ROW()-ROW($B$2))/16+1),"")</f>
        <v/>
      </c>
    </row>
    <row r="3562" spans="14:14" x14ac:dyDescent="0.3">
      <c r="N3562" t="str" cm="1">
        <f t="array" ref="N3562">IF(MOD(ROW()-ROW($B$2),16)=0,INDEX($M$2:$M$1000,(ROW()-ROW($B$2))/16+1),"")</f>
        <v/>
      </c>
    </row>
    <row r="3563" spans="14:14" x14ac:dyDescent="0.3">
      <c r="N3563" t="str" cm="1">
        <f t="array" ref="N3563">IF(MOD(ROW()-ROW($B$2),16)=0,INDEX($M$2:$M$1000,(ROW()-ROW($B$2))/16+1),"")</f>
        <v/>
      </c>
    </row>
    <row r="3564" spans="14:14" x14ac:dyDescent="0.3">
      <c r="N3564" t="str" cm="1">
        <f t="array" ref="N3564">IF(MOD(ROW()-ROW($B$2),16)=0,INDEX($M$2:$M$1000,(ROW()-ROW($B$2))/16+1),"")</f>
        <v/>
      </c>
    </row>
    <row r="3565" spans="14:14" x14ac:dyDescent="0.3">
      <c r="N3565" t="str" cm="1">
        <f t="array" ref="N3565">IF(MOD(ROW()-ROW($B$2),16)=0,INDEX($M$2:$M$1000,(ROW()-ROW($B$2))/16+1),"")</f>
        <v/>
      </c>
    </row>
    <row r="3566" spans="14:14" x14ac:dyDescent="0.3">
      <c r="N3566" t="str" cm="1">
        <f t="array" ref="N3566">IF(MOD(ROW()-ROW($B$2),16)=0,INDEX($M$2:$M$1000,(ROW()-ROW($B$2))/16+1),"")</f>
        <v/>
      </c>
    </row>
    <row r="3567" spans="14:14" x14ac:dyDescent="0.3">
      <c r="N3567" t="str" cm="1">
        <f t="array" ref="N3567">IF(MOD(ROW()-ROW($B$2),16)=0,INDEX($M$2:$M$1000,(ROW()-ROW($B$2))/16+1),"")</f>
        <v/>
      </c>
    </row>
    <row r="3568" spans="14:14" x14ac:dyDescent="0.3">
      <c r="N3568" t="str" cm="1">
        <f t="array" ref="N3568">IF(MOD(ROW()-ROW($B$2),16)=0,INDEX($M$2:$M$1000,(ROW()-ROW($B$2))/16+1),"")</f>
        <v/>
      </c>
    </row>
    <row r="3569" spans="14:14" x14ac:dyDescent="0.3">
      <c r="N3569" t="str" cm="1">
        <f t="array" ref="N3569">IF(MOD(ROW()-ROW($B$2),16)=0,INDEX($M$2:$M$1000,(ROW()-ROW($B$2))/16+1),"")</f>
        <v/>
      </c>
    </row>
    <row r="3570" spans="14:14" x14ac:dyDescent="0.3">
      <c r="N3570" t="str" cm="1">
        <f t="array" ref="N3570">IF(MOD(ROW()-ROW($B$2),16)=0,INDEX($M$2:$M$1000,(ROW()-ROW($B$2))/16+1),"")</f>
        <v>Скорость обдува (0)</v>
      </c>
    </row>
    <row r="3571" spans="14:14" x14ac:dyDescent="0.3">
      <c r="N3571" t="str" cm="1">
        <f t="array" ref="N3571">IF(MOD(ROW()-ROW($B$2),16)=0,INDEX($M$2:$M$1000,(ROW()-ROW($B$2))/16+1),"")</f>
        <v/>
      </c>
    </row>
    <row r="3572" spans="14:14" x14ac:dyDescent="0.3">
      <c r="N3572" t="str" cm="1">
        <f t="array" ref="N3572">IF(MOD(ROW()-ROW($B$2),16)=0,INDEX($M$2:$M$1000,(ROW()-ROW($B$2))/16+1),"")</f>
        <v/>
      </c>
    </row>
    <row r="3573" spans="14:14" x14ac:dyDescent="0.3">
      <c r="N3573" t="str" cm="1">
        <f t="array" ref="N3573">IF(MOD(ROW()-ROW($B$2),16)=0,INDEX($M$2:$M$1000,(ROW()-ROW($B$2))/16+1),"")</f>
        <v/>
      </c>
    </row>
    <row r="3574" spans="14:14" x14ac:dyDescent="0.3">
      <c r="N3574" t="str" cm="1">
        <f t="array" ref="N3574">IF(MOD(ROW()-ROW($B$2),16)=0,INDEX($M$2:$M$1000,(ROW()-ROW($B$2))/16+1),"")</f>
        <v/>
      </c>
    </row>
    <row r="3575" spans="14:14" x14ac:dyDescent="0.3">
      <c r="N3575" t="str" cm="1">
        <f t="array" ref="N3575">IF(MOD(ROW()-ROW($B$2),16)=0,INDEX($M$2:$M$1000,(ROW()-ROW($B$2))/16+1),"")</f>
        <v/>
      </c>
    </row>
    <row r="3576" spans="14:14" x14ac:dyDescent="0.3">
      <c r="N3576" t="str" cm="1">
        <f t="array" ref="N3576">IF(MOD(ROW()-ROW($B$2),16)=0,INDEX($M$2:$M$1000,(ROW()-ROW($B$2))/16+1),"")</f>
        <v/>
      </c>
    </row>
    <row r="3577" spans="14:14" x14ac:dyDescent="0.3">
      <c r="N3577" t="str" cm="1">
        <f t="array" ref="N3577">IF(MOD(ROW()-ROW($B$2),16)=0,INDEX($M$2:$M$1000,(ROW()-ROW($B$2))/16+1),"")</f>
        <v/>
      </c>
    </row>
    <row r="3578" spans="14:14" x14ac:dyDescent="0.3">
      <c r="N3578" t="str" cm="1">
        <f t="array" ref="N3578">IF(MOD(ROW()-ROW($B$2),16)=0,INDEX($M$2:$M$1000,(ROW()-ROW($B$2))/16+1),"")</f>
        <v/>
      </c>
    </row>
    <row r="3579" spans="14:14" x14ac:dyDescent="0.3">
      <c r="N3579" t="str" cm="1">
        <f t="array" ref="N3579">IF(MOD(ROW()-ROW($B$2),16)=0,INDEX($M$2:$M$1000,(ROW()-ROW($B$2))/16+1),"")</f>
        <v/>
      </c>
    </row>
    <row r="3580" spans="14:14" x14ac:dyDescent="0.3">
      <c r="N3580" t="str" cm="1">
        <f t="array" ref="N3580">IF(MOD(ROW()-ROW($B$2),16)=0,INDEX($M$2:$M$1000,(ROW()-ROW($B$2))/16+1),"")</f>
        <v/>
      </c>
    </row>
    <row r="3581" spans="14:14" x14ac:dyDescent="0.3">
      <c r="N3581" t="str" cm="1">
        <f t="array" ref="N3581">IF(MOD(ROW()-ROW($B$2),16)=0,INDEX($M$2:$M$1000,(ROW()-ROW($B$2))/16+1),"")</f>
        <v/>
      </c>
    </row>
    <row r="3582" spans="14:14" x14ac:dyDescent="0.3">
      <c r="N3582" t="str" cm="1">
        <f t="array" ref="N3582">IF(MOD(ROW()-ROW($B$2),16)=0,INDEX($M$2:$M$1000,(ROW()-ROW($B$2))/16+1),"")</f>
        <v/>
      </c>
    </row>
    <row r="3583" spans="14:14" x14ac:dyDescent="0.3">
      <c r="N3583" t="str" cm="1">
        <f t="array" ref="N3583">IF(MOD(ROW()-ROW($B$2),16)=0,INDEX($M$2:$M$1000,(ROW()-ROW($B$2))/16+1),"")</f>
        <v/>
      </c>
    </row>
    <row r="3584" spans="14:14" x14ac:dyDescent="0.3">
      <c r="N3584" t="str" cm="1">
        <f t="array" ref="N3584">IF(MOD(ROW()-ROW($B$2),16)=0,INDEX($M$2:$M$1000,(ROW()-ROW($B$2))/16+1),"")</f>
        <v/>
      </c>
    </row>
    <row r="3585" spans="14:14" x14ac:dyDescent="0.3">
      <c r="N3585" t="str" cm="1">
        <f t="array" ref="N3585">IF(MOD(ROW()-ROW($B$2),16)=0,INDEX($M$2:$M$1000,(ROW()-ROW($B$2))/16+1),"")</f>
        <v/>
      </c>
    </row>
    <row r="3586" spans="14:14" x14ac:dyDescent="0.3">
      <c r="N3586" t="str" cm="1">
        <f t="array" ref="N3586">IF(MOD(ROW()-ROW($B$2),16)=0,INDEX($M$2:$M$1000,(ROW()-ROW($B$2))/16+1),"")</f>
        <v/>
      </c>
    </row>
    <row r="3587" spans="14:14" x14ac:dyDescent="0.3">
      <c r="N3587" t="str" cm="1">
        <f t="array" ref="N3587">IF(MOD(ROW()-ROW($B$2),16)=0,INDEX($M$2:$M$1000,(ROW()-ROW($B$2))/16+1),"")</f>
        <v/>
      </c>
    </row>
    <row r="3588" spans="14:14" x14ac:dyDescent="0.3">
      <c r="N3588" t="str" cm="1">
        <f t="array" ref="N3588">IF(MOD(ROW()-ROW($B$2),16)=0,INDEX($M$2:$M$1000,(ROW()-ROW($B$2))/16+1),"")</f>
        <v/>
      </c>
    </row>
    <row r="3589" spans="14:14" x14ac:dyDescent="0.3">
      <c r="N3589" t="str" cm="1">
        <f t="array" ref="N3589">IF(MOD(ROW()-ROW($B$2),16)=0,INDEX($M$2:$M$1000,(ROW()-ROW($B$2))/16+1),"")</f>
        <v/>
      </c>
    </row>
    <row r="3590" spans="14:14" x14ac:dyDescent="0.3">
      <c r="N3590" t="str" cm="1">
        <f t="array" ref="N3590">IF(MOD(ROW()-ROW($B$2),16)=0,INDEX($M$2:$M$1000,(ROW()-ROW($B$2))/16+1),"")</f>
        <v/>
      </c>
    </row>
    <row r="3591" spans="14:14" x14ac:dyDescent="0.3">
      <c r="N3591" t="str" cm="1">
        <f t="array" ref="N3591">IF(MOD(ROW()-ROW($B$2),16)=0,INDEX($M$2:$M$1000,(ROW()-ROW($B$2))/16+1),"")</f>
        <v/>
      </c>
    </row>
    <row r="3592" spans="14:14" x14ac:dyDescent="0.3">
      <c r="N3592" t="str" cm="1">
        <f t="array" ref="N3592">IF(MOD(ROW()-ROW($B$2),16)=0,INDEX($M$2:$M$1000,(ROW()-ROW($B$2))/16+1),"")</f>
        <v/>
      </c>
    </row>
    <row r="3593" spans="14:14" x14ac:dyDescent="0.3">
      <c r="N3593" t="str" cm="1">
        <f t="array" ref="N3593">IF(MOD(ROW()-ROW($B$2),16)=0,INDEX($M$2:$M$1000,(ROW()-ROW($B$2))/16+1),"")</f>
        <v/>
      </c>
    </row>
    <row r="3594" spans="14:14" x14ac:dyDescent="0.3">
      <c r="N3594" t="str" cm="1">
        <f t="array" ref="N3594">IF(MOD(ROW()-ROW($B$2),16)=0,INDEX($M$2:$M$1000,(ROW()-ROW($B$2))/16+1),"")</f>
        <v/>
      </c>
    </row>
    <row r="3595" spans="14:14" x14ac:dyDescent="0.3">
      <c r="N3595" t="str" cm="1">
        <f t="array" ref="N3595">IF(MOD(ROW()-ROW($B$2),16)=0,INDEX($M$2:$M$1000,(ROW()-ROW($B$2))/16+1),"")</f>
        <v/>
      </c>
    </row>
    <row r="3596" spans="14:14" x14ac:dyDescent="0.3">
      <c r="N3596" t="str" cm="1">
        <f t="array" ref="N3596">IF(MOD(ROW()-ROW($B$2),16)=0,INDEX($M$2:$M$1000,(ROW()-ROW($B$2))/16+1),"")</f>
        <v/>
      </c>
    </row>
    <row r="3597" spans="14:14" x14ac:dyDescent="0.3">
      <c r="N3597" t="str" cm="1">
        <f t="array" ref="N3597">IF(MOD(ROW()-ROW($B$2),16)=0,INDEX($M$2:$M$1000,(ROW()-ROW($B$2))/16+1),"")</f>
        <v/>
      </c>
    </row>
    <row r="3598" spans="14:14" x14ac:dyDescent="0.3">
      <c r="N3598" t="str" cm="1">
        <f t="array" ref="N3598">IF(MOD(ROW()-ROW($B$2),16)=0,INDEX($M$2:$M$1000,(ROW()-ROW($B$2))/16+1),"")</f>
        <v/>
      </c>
    </row>
    <row r="3599" spans="14:14" x14ac:dyDescent="0.3">
      <c r="N3599" t="str" cm="1">
        <f t="array" ref="N3599">IF(MOD(ROW()-ROW($B$2),16)=0,INDEX($M$2:$M$1000,(ROW()-ROW($B$2))/16+1),"")</f>
        <v/>
      </c>
    </row>
    <row r="3600" spans="14:14" x14ac:dyDescent="0.3">
      <c r="N3600" t="str" cm="1">
        <f t="array" ref="N3600">IF(MOD(ROW()-ROW($B$2),16)=0,INDEX($M$2:$M$1000,(ROW()-ROW($B$2))/16+1),"")</f>
        <v/>
      </c>
    </row>
    <row r="3601" spans="14:14" x14ac:dyDescent="0.3">
      <c r="N3601" t="str" cm="1">
        <f t="array" ref="N3601">IF(MOD(ROW()-ROW($B$2),16)=0,INDEX($M$2:$M$1000,(ROW()-ROW($B$2))/16+1),"")</f>
        <v/>
      </c>
    </row>
    <row r="3602" spans="14:14" x14ac:dyDescent="0.3">
      <c r="N3602" t="str" cm="1">
        <f t="array" ref="N3602">IF(MOD(ROW()-ROW($B$2),16)=0,INDEX($M$2:$M$1000,(ROW()-ROW($B$2))/16+1),"")</f>
        <v/>
      </c>
    </row>
    <row r="3603" spans="14:14" x14ac:dyDescent="0.3">
      <c r="N3603" t="str" cm="1">
        <f t="array" ref="N3603">IF(MOD(ROW()-ROW($B$2),16)=0,INDEX($M$2:$M$1000,(ROW()-ROW($B$2))/16+1),"")</f>
        <v/>
      </c>
    </row>
    <row r="3604" spans="14:14" x14ac:dyDescent="0.3">
      <c r="N3604" t="str" cm="1">
        <f t="array" ref="N3604">IF(MOD(ROW()-ROW($B$2),16)=0,INDEX($M$2:$M$1000,(ROW()-ROW($B$2))/16+1),"")</f>
        <v/>
      </c>
    </row>
    <row r="3605" spans="14:14" x14ac:dyDescent="0.3">
      <c r="N3605" t="str" cm="1">
        <f t="array" ref="N3605">IF(MOD(ROW()-ROW($B$2),16)=0,INDEX($M$2:$M$1000,(ROW()-ROW($B$2))/16+1),"")</f>
        <v/>
      </c>
    </row>
    <row r="3606" spans="14:14" x14ac:dyDescent="0.3">
      <c r="N3606" t="str" cm="1">
        <f t="array" ref="N3606">IF(MOD(ROW()-ROW($B$2),16)=0,INDEX($M$2:$M$1000,(ROW()-ROW($B$2))/16+1),"")</f>
        <v/>
      </c>
    </row>
    <row r="3607" spans="14:14" x14ac:dyDescent="0.3">
      <c r="N3607" t="str" cm="1">
        <f t="array" ref="N3607">IF(MOD(ROW()-ROW($B$2),16)=0,INDEX($M$2:$M$1000,(ROW()-ROW($B$2))/16+1),"")</f>
        <v/>
      </c>
    </row>
    <row r="3608" spans="14:14" x14ac:dyDescent="0.3">
      <c r="N3608" t="str" cm="1">
        <f t="array" ref="N3608">IF(MOD(ROW()-ROW($B$2),16)=0,INDEX($M$2:$M$1000,(ROW()-ROW($B$2))/16+1),"")</f>
        <v/>
      </c>
    </row>
    <row r="3609" spans="14:14" x14ac:dyDescent="0.3">
      <c r="N3609" t="str" cm="1">
        <f t="array" ref="N3609">IF(MOD(ROW()-ROW($B$2),16)=0,INDEX($M$2:$M$1000,(ROW()-ROW($B$2))/16+1),"")</f>
        <v/>
      </c>
    </row>
    <row r="3610" spans="14:14" x14ac:dyDescent="0.3">
      <c r="N3610" t="str" cm="1">
        <f t="array" ref="N3610">IF(MOD(ROW()-ROW($B$2),16)=0,INDEX($M$2:$M$1000,(ROW()-ROW($B$2))/16+1),"")</f>
        <v/>
      </c>
    </row>
    <row r="3611" spans="14:14" x14ac:dyDescent="0.3">
      <c r="N3611" t="str" cm="1">
        <f t="array" ref="N3611">IF(MOD(ROW()-ROW($B$2),16)=0,INDEX($M$2:$M$1000,(ROW()-ROW($B$2))/16+1),"")</f>
        <v/>
      </c>
    </row>
    <row r="3612" spans="14:14" x14ac:dyDescent="0.3">
      <c r="N3612" t="str" cm="1">
        <f t="array" ref="N3612">IF(MOD(ROW()-ROW($B$2),16)=0,INDEX($M$2:$M$1000,(ROW()-ROW($B$2))/16+1),"")</f>
        <v/>
      </c>
    </row>
    <row r="3613" spans="14:14" x14ac:dyDescent="0.3">
      <c r="N3613" t="str" cm="1">
        <f t="array" ref="N3613">IF(MOD(ROW()-ROW($B$2),16)=0,INDEX($M$2:$M$1000,(ROW()-ROW($B$2))/16+1),"")</f>
        <v/>
      </c>
    </row>
    <row r="3614" spans="14:14" x14ac:dyDescent="0.3">
      <c r="N3614" t="str" cm="1">
        <f t="array" ref="N3614">IF(MOD(ROW()-ROW($B$2),16)=0,INDEX($M$2:$M$1000,(ROW()-ROW($B$2))/16+1),"")</f>
        <v/>
      </c>
    </row>
    <row r="3615" spans="14:14" x14ac:dyDescent="0.3">
      <c r="N3615" t="str" cm="1">
        <f t="array" ref="N3615">IF(MOD(ROW()-ROW($B$2),16)=0,INDEX($M$2:$M$1000,(ROW()-ROW($B$2))/16+1),"")</f>
        <v/>
      </c>
    </row>
    <row r="3616" spans="14:14" x14ac:dyDescent="0.3">
      <c r="N3616" t="str" cm="1">
        <f t="array" ref="N3616">IF(MOD(ROW()-ROW($B$2),16)=0,INDEX($M$2:$M$1000,(ROW()-ROW($B$2))/16+1),"")</f>
        <v/>
      </c>
    </row>
    <row r="3617" spans="14:14" x14ac:dyDescent="0.3">
      <c r="N3617" t="str" cm="1">
        <f t="array" ref="N3617">IF(MOD(ROW()-ROW($B$2),16)=0,INDEX($M$2:$M$1000,(ROW()-ROW($B$2))/16+1),"")</f>
        <v/>
      </c>
    </row>
    <row r="3618" spans="14:14" x14ac:dyDescent="0.3">
      <c r="N3618" t="str" cm="1">
        <f t="array" ref="N3618">IF(MOD(ROW()-ROW($B$2),16)=0,INDEX($M$2:$M$1000,(ROW()-ROW($B$2))/16+1),"")</f>
        <v/>
      </c>
    </row>
    <row r="3619" spans="14:14" x14ac:dyDescent="0.3">
      <c r="N3619" t="str" cm="1">
        <f t="array" ref="N3619">IF(MOD(ROW()-ROW($B$2),16)=0,INDEX($M$2:$M$1000,(ROW()-ROW($B$2))/16+1),"")</f>
        <v/>
      </c>
    </row>
    <row r="3620" spans="14:14" x14ac:dyDescent="0.3">
      <c r="N3620" t="str" cm="1">
        <f t="array" ref="N3620">IF(MOD(ROW()-ROW($B$2),16)=0,INDEX($M$2:$M$1000,(ROW()-ROW($B$2))/16+1),"")</f>
        <v/>
      </c>
    </row>
    <row r="3621" spans="14:14" x14ac:dyDescent="0.3">
      <c r="N3621" t="str" cm="1">
        <f t="array" ref="N3621">IF(MOD(ROW()-ROW($B$2),16)=0,INDEX($M$2:$M$1000,(ROW()-ROW($B$2))/16+1),"")</f>
        <v/>
      </c>
    </row>
    <row r="3622" spans="14:14" x14ac:dyDescent="0.3">
      <c r="N3622" t="str" cm="1">
        <f t="array" ref="N3622">IF(MOD(ROW()-ROW($B$2),16)=0,INDEX($M$2:$M$1000,(ROW()-ROW($B$2))/16+1),"")</f>
        <v/>
      </c>
    </row>
    <row r="3623" spans="14:14" x14ac:dyDescent="0.3">
      <c r="N3623" t="str" cm="1">
        <f t="array" ref="N3623">IF(MOD(ROW()-ROW($B$2),16)=0,INDEX($M$2:$M$1000,(ROW()-ROW($B$2))/16+1),"")</f>
        <v/>
      </c>
    </row>
    <row r="3624" spans="14:14" x14ac:dyDescent="0.3">
      <c r="N3624" t="str" cm="1">
        <f t="array" ref="N3624">IF(MOD(ROW()-ROW($B$2),16)=0,INDEX($M$2:$M$1000,(ROW()-ROW($B$2))/16+1),"")</f>
        <v/>
      </c>
    </row>
    <row r="3625" spans="14:14" x14ac:dyDescent="0.3">
      <c r="N3625" t="str" cm="1">
        <f t="array" ref="N3625">IF(MOD(ROW()-ROW($B$2),16)=0,INDEX($M$2:$M$1000,(ROW()-ROW($B$2))/16+1),"")</f>
        <v/>
      </c>
    </row>
    <row r="3626" spans="14:14" x14ac:dyDescent="0.3">
      <c r="N3626" t="str" cm="1">
        <f t="array" ref="N3626">IF(MOD(ROW()-ROW($B$2),16)=0,INDEX($M$2:$M$1000,(ROW()-ROW($B$2))/16+1),"")</f>
        <v/>
      </c>
    </row>
    <row r="3627" spans="14:14" x14ac:dyDescent="0.3">
      <c r="N3627" t="str" cm="1">
        <f t="array" ref="N3627">IF(MOD(ROW()-ROW($B$2),16)=0,INDEX($M$2:$M$1000,(ROW()-ROW($B$2))/16+1),"")</f>
        <v/>
      </c>
    </row>
    <row r="3628" spans="14:14" x14ac:dyDescent="0.3">
      <c r="N3628" t="str" cm="1">
        <f t="array" ref="N3628">IF(MOD(ROW()-ROW($B$2),16)=0,INDEX($M$2:$M$1000,(ROW()-ROW($B$2))/16+1),"")</f>
        <v/>
      </c>
    </row>
    <row r="3629" spans="14:14" x14ac:dyDescent="0.3">
      <c r="N3629" t="str" cm="1">
        <f t="array" ref="N3629">IF(MOD(ROW()-ROW($B$2),16)=0,INDEX($M$2:$M$1000,(ROW()-ROW($B$2))/16+1),"")</f>
        <v/>
      </c>
    </row>
    <row r="3630" spans="14:14" x14ac:dyDescent="0.3">
      <c r="N3630" t="str" cm="1">
        <f t="array" ref="N3630">IF(MOD(ROW()-ROW($B$2),16)=0,INDEX($M$2:$M$1000,(ROW()-ROW($B$2))/16+1),"")</f>
        <v/>
      </c>
    </row>
    <row r="3631" spans="14:14" x14ac:dyDescent="0.3">
      <c r="N3631" t="str" cm="1">
        <f t="array" ref="N3631">IF(MOD(ROW()-ROW($B$2),16)=0,INDEX($M$2:$M$1000,(ROW()-ROW($B$2))/16+1),"")</f>
        <v/>
      </c>
    </row>
    <row r="3632" spans="14:14" x14ac:dyDescent="0.3">
      <c r="N3632" t="str" cm="1">
        <f t="array" ref="N3632">IF(MOD(ROW()-ROW($B$2),16)=0,INDEX($M$2:$M$1000,(ROW()-ROW($B$2))/16+1),"")</f>
        <v/>
      </c>
    </row>
    <row r="3633" spans="14:14" x14ac:dyDescent="0.3">
      <c r="N3633" t="str" cm="1">
        <f t="array" ref="N3633">IF(MOD(ROW()-ROW($B$2),16)=0,INDEX($M$2:$M$1000,(ROW()-ROW($B$2))/16+1),"")</f>
        <v/>
      </c>
    </row>
    <row r="3634" spans="14:14" x14ac:dyDescent="0.3">
      <c r="N3634" t="str" cm="1">
        <f t="array" ref="N3634">IF(MOD(ROW()-ROW($B$2),16)=0,INDEX($M$2:$M$1000,(ROW()-ROW($B$2))/16+1),"")</f>
        <v/>
      </c>
    </row>
    <row r="3635" spans="14:14" x14ac:dyDescent="0.3">
      <c r="N3635" t="str" cm="1">
        <f t="array" ref="N3635">IF(MOD(ROW()-ROW($B$2),16)=0,INDEX($M$2:$M$1000,(ROW()-ROW($B$2))/16+1),"")</f>
        <v/>
      </c>
    </row>
    <row r="3636" spans="14:14" x14ac:dyDescent="0.3">
      <c r="N3636" t="str" cm="1">
        <f t="array" ref="N3636">IF(MOD(ROW()-ROW($B$2),16)=0,INDEX($M$2:$M$1000,(ROW()-ROW($B$2))/16+1),"")</f>
        <v/>
      </c>
    </row>
    <row r="3637" spans="14:14" x14ac:dyDescent="0.3">
      <c r="N3637" t="str" cm="1">
        <f t="array" ref="N3637">IF(MOD(ROW()-ROW($B$2),16)=0,INDEX($M$2:$M$1000,(ROW()-ROW($B$2))/16+1),"")</f>
        <v/>
      </c>
    </row>
    <row r="3638" spans="14:14" x14ac:dyDescent="0.3">
      <c r="N3638" t="str" cm="1">
        <f t="array" ref="N3638">IF(MOD(ROW()-ROW($B$2),16)=0,INDEX($M$2:$M$1000,(ROW()-ROW($B$2))/16+1),"")</f>
        <v/>
      </c>
    </row>
    <row r="3639" spans="14:14" x14ac:dyDescent="0.3">
      <c r="N3639" t="str" cm="1">
        <f t="array" ref="N3639">IF(MOD(ROW()-ROW($B$2),16)=0,INDEX($M$2:$M$1000,(ROW()-ROW($B$2))/16+1),"")</f>
        <v/>
      </c>
    </row>
    <row r="3640" spans="14:14" x14ac:dyDescent="0.3">
      <c r="N3640" t="str" cm="1">
        <f t="array" ref="N3640">IF(MOD(ROW()-ROW($B$2),16)=0,INDEX($M$2:$M$1000,(ROW()-ROW($B$2))/16+1),"")</f>
        <v/>
      </c>
    </row>
    <row r="3641" spans="14:14" x14ac:dyDescent="0.3">
      <c r="N3641" t="str" cm="1">
        <f t="array" ref="N3641">IF(MOD(ROW()-ROW($B$2),16)=0,INDEX($M$2:$M$1000,(ROW()-ROW($B$2))/16+1),"")</f>
        <v/>
      </c>
    </row>
    <row r="3642" spans="14:14" x14ac:dyDescent="0.3">
      <c r="N3642" t="str" cm="1">
        <f t="array" ref="N3642">IF(MOD(ROW()-ROW($B$2),16)=0,INDEX($M$2:$M$1000,(ROW()-ROW($B$2))/16+1),"")</f>
        <v/>
      </c>
    </row>
    <row r="3643" spans="14:14" x14ac:dyDescent="0.3">
      <c r="N3643" t="str" cm="1">
        <f t="array" ref="N3643">IF(MOD(ROW()-ROW($B$2),16)=0,INDEX($M$2:$M$1000,(ROW()-ROW($B$2))/16+1),"")</f>
        <v/>
      </c>
    </row>
    <row r="3644" spans="14:14" x14ac:dyDescent="0.3">
      <c r="N3644" t="str" cm="1">
        <f t="array" ref="N3644">IF(MOD(ROW()-ROW($B$2),16)=0,INDEX($M$2:$M$1000,(ROW()-ROW($B$2))/16+1),"")</f>
        <v/>
      </c>
    </row>
    <row r="3645" spans="14:14" x14ac:dyDescent="0.3">
      <c r="N3645" t="str" cm="1">
        <f t="array" ref="N3645">IF(MOD(ROW()-ROW($B$2),16)=0,INDEX($M$2:$M$1000,(ROW()-ROW($B$2))/16+1),"")</f>
        <v/>
      </c>
    </row>
    <row r="3646" spans="14:14" x14ac:dyDescent="0.3">
      <c r="N3646" t="str" cm="1">
        <f t="array" ref="N3646">IF(MOD(ROW()-ROW($B$2),16)=0,INDEX($M$2:$M$1000,(ROW()-ROW($B$2))/16+1),"")</f>
        <v/>
      </c>
    </row>
    <row r="3647" spans="14:14" x14ac:dyDescent="0.3">
      <c r="N3647" t="str" cm="1">
        <f t="array" ref="N3647">IF(MOD(ROW()-ROW($B$2),16)=0,INDEX($M$2:$M$1000,(ROW()-ROW($B$2))/16+1),"")</f>
        <v/>
      </c>
    </row>
    <row r="3648" spans="14:14" x14ac:dyDescent="0.3">
      <c r="N3648" t="str" cm="1">
        <f t="array" ref="N3648">IF(MOD(ROW()-ROW($B$2),16)=0,INDEX($M$2:$M$1000,(ROW()-ROW($B$2))/16+1),"")</f>
        <v/>
      </c>
    </row>
    <row r="3649" spans="14:14" x14ac:dyDescent="0.3">
      <c r="N3649" t="str" cm="1">
        <f t="array" ref="N3649">IF(MOD(ROW()-ROW($B$2),16)=0,INDEX($M$2:$M$1000,(ROW()-ROW($B$2))/16+1),"")</f>
        <v/>
      </c>
    </row>
    <row r="3650" spans="14:14" x14ac:dyDescent="0.3">
      <c r="N3650" t="str" cm="1">
        <f t="array" ref="N3650">IF(MOD(ROW()-ROW($B$2),16)=0,INDEX($M$2:$M$1000,(ROW()-ROW($B$2))/16+1),"")</f>
        <v/>
      </c>
    </row>
    <row r="3651" spans="14:14" x14ac:dyDescent="0.3">
      <c r="N3651" t="str" cm="1">
        <f t="array" ref="N3651">IF(MOD(ROW()-ROW($B$2),16)=0,INDEX($M$2:$M$1000,(ROW()-ROW($B$2))/16+1),"")</f>
        <v/>
      </c>
    </row>
    <row r="3652" spans="14:14" x14ac:dyDescent="0.3">
      <c r="N3652" t="str" cm="1">
        <f t="array" ref="N3652">IF(MOD(ROW()-ROW($B$2),16)=0,INDEX($M$2:$M$1000,(ROW()-ROW($B$2))/16+1),"")</f>
        <v/>
      </c>
    </row>
    <row r="3653" spans="14:14" x14ac:dyDescent="0.3">
      <c r="N3653" t="str" cm="1">
        <f t="array" ref="N3653">IF(MOD(ROW()-ROW($B$2),16)=0,INDEX($M$2:$M$1000,(ROW()-ROW($B$2))/16+1),"")</f>
        <v/>
      </c>
    </row>
    <row r="3654" spans="14:14" x14ac:dyDescent="0.3">
      <c r="N3654" t="str" cm="1">
        <f t="array" ref="N3654">IF(MOD(ROW()-ROW($B$2),16)=0,INDEX($M$2:$M$1000,(ROW()-ROW($B$2))/16+1),"")</f>
        <v/>
      </c>
    </row>
    <row r="3655" spans="14:14" x14ac:dyDescent="0.3">
      <c r="N3655" t="str" cm="1">
        <f t="array" ref="N3655">IF(MOD(ROW()-ROW($B$2),16)=0,INDEX($M$2:$M$1000,(ROW()-ROW($B$2))/16+1),"")</f>
        <v/>
      </c>
    </row>
    <row r="3656" spans="14:14" x14ac:dyDescent="0.3">
      <c r="N3656" t="str" cm="1">
        <f t="array" ref="N3656">IF(MOD(ROW()-ROW($B$2),16)=0,INDEX($M$2:$M$1000,(ROW()-ROW($B$2))/16+1),"")</f>
        <v/>
      </c>
    </row>
    <row r="3657" spans="14:14" x14ac:dyDescent="0.3">
      <c r="N3657" t="str" cm="1">
        <f t="array" ref="N3657">IF(MOD(ROW()-ROW($B$2),16)=0,INDEX($M$2:$M$1000,(ROW()-ROW($B$2))/16+1),"")</f>
        <v/>
      </c>
    </row>
    <row r="3658" spans="14:14" x14ac:dyDescent="0.3">
      <c r="N3658" t="str" cm="1">
        <f t="array" ref="N3658">IF(MOD(ROW()-ROW($B$2),16)=0,INDEX($M$2:$M$1000,(ROW()-ROW($B$2))/16+1),"")</f>
        <v/>
      </c>
    </row>
    <row r="3659" spans="14:14" x14ac:dyDescent="0.3">
      <c r="N3659" t="str" cm="1">
        <f t="array" ref="N3659">IF(MOD(ROW()-ROW($B$2),16)=0,INDEX($M$2:$M$1000,(ROW()-ROW($B$2))/16+1),"")</f>
        <v/>
      </c>
    </row>
    <row r="3660" spans="14:14" x14ac:dyDescent="0.3">
      <c r="N3660" t="str" cm="1">
        <f t="array" ref="N3660">IF(MOD(ROW()-ROW($B$2),16)=0,INDEX($M$2:$M$1000,(ROW()-ROW($B$2))/16+1),"")</f>
        <v/>
      </c>
    </row>
    <row r="3661" spans="14:14" x14ac:dyDescent="0.3">
      <c r="N3661" t="str" cm="1">
        <f t="array" ref="N3661">IF(MOD(ROW()-ROW($B$2),16)=0,INDEX($M$2:$M$1000,(ROW()-ROW($B$2))/16+1),"")</f>
        <v/>
      </c>
    </row>
    <row r="3662" spans="14:14" x14ac:dyDescent="0.3">
      <c r="N3662" t="str" cm="1">
        <f t="array" ref="N3662">IF(MOD(ROW()-ROW($B$2),16)=0,INDEX($M$2:$M$1000,(ROW()-ROW($B$2))/16+1),"")</f>
        <v/>
      </c>
    </row>
    <row r="3663" spans="14:14" x14ac:dyDescent="0.3">
      <c r="N3663" t="str" cm="1">
        <f t="array" ref="N3663">IF(MOD(ROW()-ROW($B$2),16)=0,INDEX($M$2:$M$1000,(ROW()-ROW($B$2))/16+1),"")</f>
        <v/>
      </c>
    </row>
    <row r="3664" spans="14:14" x14ac:dyDescent="0.3">
      <c r="N3664" t="str" cm="1">
        <f t="array" ref="N3664">IF(MOD(ROW()-ROW($B$2),16)=0,INDEX($M$2:$M$1000,(ROW()-ROW($B$2))/16+1),"")</f>
        <v/>
      </c>
    </row>
    <row r="3665" spans="14:14" x14ac:dyDescent="0.3">
      <c r="N3665" t="str" cm="1">
        <f t="array" ref="N3665">IF(MOD(ROW()-ROW($B$2),16)=0,INDEX($M$2:$M$1000,(ROW()-ROW($B$2))/16+1),"")</f>
        <v/>
      </c>
    </row>
    <row r="3666" spans="14:14" x14ac:dyDescent="0.3">
      <c r="N3666" t="str" cm="1">
        <f t="array" ref="N3666">IF(MOD(ROW()-ROW($B$2),16)=0,INDEX($M$2:$M$1000,(ROW()-ROW($B$2))/16+1),"")</f>
        <v/>
      </c>
    </row>
    <row r="3667" spans="14:14" x14ac:dyDescent="0.3">
      <c r="N3667" t="str" cm="1">
        <f t="array" ref="N3667">IF(MOD(ROW()-ROW($B$2),16)=0,INDEX($M$2:$M$1000,(ROW()-ROW($B$2))/16+1),"")</f>
        <v/>
      </c>
    </row>
    <row r="3668" spans="14:14" x14ac:dyDescent="0.3">
      <c r="N3668" t="str" cm="1">
        <f t="array" ref="N3668">IF(MOD(ROW()-ROW($B$2),16)=0,INDEX($M$2:$M$1000,(ROW()-ROW($B$2))/16+1),"")</f>
        <v/>
      </c>
    </row>
    <row r="3669" spans="14:14" x14ac:dyDescent="0.3">
      <c r="N3669" t="str" cm="1">
        <f t="array" ref="N3669">IF(MOD(ROW()-ROW($B$2),16)=0,INDEX($M$2:$M$1000,(ROW()-ROW($B$2))/16+1),"")</f>
        <v/>
      </c>
    </row>
    <row r="3670" spans="14:14" x14ac:dyDescent="0.3">
      <c r="N3670" t="str" cm="1">
        <f t="array" ref="N3670">IF(MOD(ROW()-ROW($B$2),16)=0,INDEX($M$2:$M$1000,(ROW()-ROW($B$2))/16+1),"")</f>
        <v/>
      </c>
    </row>
    <row r="3671" spans="14:14" x14ac:dyDescent="0.3">
      <c r="N3671" t="str" cm="1">
        <f t="array" ref="N3671">IF(MOD(ROW()-ROW($B$2),16)=0,INDEX($M$2:$M$1000,(ROW()-ROW($B$2))/16+1),"")</f>
        <v/>
      </c>
    </row>
    <row r="3672" spans="14:14" x14ac:dyDescent="0.3">
      <c r="N3672" t="str" cm="1">
        <f t="array" ref="N3672">IF(MOD(ROW()-ROW($B$2),16)=0,INDEX($M$2:$M$1000,(ROW()-ROW($B$2))/16+1),"")</f>
        <v/>
      </c>
    </row>
    <row r="3673" spans="14:14" x14ac:dyDescent="0.3">
      <c r="N3673" t="str" cm="1">
        <f t="array" ref="N3673">IF(MOD(ROW()-ROW($B$2),16)=0,INDEX($M$2:$M$1000,(ROW()-ROW($B$2))/16+1),"")</f>
        <v/>
      </c>
    </row>
    <row r="3674" spans="14:14" x14ac:dyDescent="0.3">
      <c r="N3674" t="str" cm="1">
        <f t="array" ref="N3674">IF(MOD(ROW()-ROW($B$2),16)=0,INDEX($M$2:$M$1000,(ROW()-ROW($B$2))/16+1),"")</f>
        <v/>
      </c>
    </row>
    <row r="3675" spans="14:14" x14ac:dyDescent="0.3">
      <c r="N3675" t="str" cm="1">
        <f t="array" ref="N3675">IF(MOD(ROW()-ROW($B$2),16)=0,INDEX($M$2:$M$1000,(ROW()-ROW($B$2))/16+1),"")</f>
        <v/>
      </c>
    </row>
    <row r="3676" spans="14:14" x14ac:dyDescent="0.3">
      <c r="N3676" t="str" cm="1">
        <f t="array" ref="N3676">IF(MOD(ROW()-ROW($B$2),16)=0,INDEX($M$2:$M$1000,(ROW()-ROW($B$2))/16+1),"")</f>
        <v/>
      </c>
    </row>
    <row r="3677" spans="14:14" x14ac:dyDescent="0.3">
      <c r="N3677" t="str" cm="1">
        <f t="array" ref="N3677">IF(MOD(ROW()-ROW($B$2),16)=0,INDEX($M$2:$M$1000,(ROW()-ROW($B$2))/16+1),"")</f>
        <v/>
      </c>
    </row>
    <row r="3678" spans="14:14" x14ac:dyDescent="0.3">
      <c r="N3678" t="str" cm="1">
        <f t="array" ref="N3678">IF(MOD(ROW()-ROW($B$2),16)=0,INDEX($M$2:$M$1000,(ROW()-ROW($B$2))/16+1),"")</f>
        <v/>
      </c>
    </row>
    <row r="3679" spans="14:14" x14ac:dyDescent="0.3">
      <c r="N3679" t="str" cm="1">
        <f t="array" ref="N3679">IF(MOD(ROW()-ROW($B$2),16)=0,INDEX($M$2:$M$1000,(ROW()-ROW($B$2))/16+1),"")</f>
        <v/>
      </c>
    </row>
    <row r="3680" spans="14:14" x14ac:dyDescent="0.3">
      <c r="N3680" t="str" cm="1">
        <f t="array" ref="N3680">IF(MOD(ROW()-ROW($B$2),16)=0,INDEX($M$2:$M$1000,(ROW()-ROW($B$2))/16+1),"")</f>
        <v/>
      </c>
    </row>
    <row r="3681" spans="14:14" x14ac:dyDescent="0.3">
      <c r="N3681" t="str" cm="1">
        <f t="array" ref="N3681">IF(MOD(ROW()-ROW($B$2),16)=0,INDEX($M$2:$M$1000,(ROW()-ROW($B$2))/16+1),"")</f>
        <v/>
      </c>
    </row>
    <row r="3682" spans="14:14" x14ac:dyDescent="0.3">
      <c r="N3682" t="str" cm="1">
        <f t="array" ref="N3682">IF(MOD(ROW()-ROW($B$2),16)=0,INDEX($M$2:$M$1000,(ROW()-ROW($B$2))/16+1),"")</f>
        <v/>
      </c>
    </row>
    <row r="3683" spans="14:14" x14ac:dyDescent="0.3">
      <c r="N3683" t="str" cm="1">
        <f t="array" ref="N3683">IF(MOD(ROW()-ROW($B$2),16)=0,INDEX($M$2:$M$1000,(ROW()-ROW($B$2))/16+1),"")</f>
        <v/>
      </c>
    </row>
    <row r="3684" spans="14:14" x14ac:dyDescent="0.3">
      <c r="N3684" t="str" cm="1">
        <f t="array" ref="N3684">IF(MOD(ROW()-ROW($B$2),16)=0,INDEX($M$2:$M$1000,(ROW()-ROW($B$2))/16+1),"")</f>
        <v/>
      </c>
    </row>
    <row r="3685" spans="14:14" x14ac:dyDescent="0.3">
      <c r="N3685" t="str" cm="1">
        <f t="array" ref="N3685">IF(MOD(ROW()-ROW($B$2),16)=0,INDEX($M$2:$M$1000,(ROW()-ROW($B$2))/16+1),"")</f>
        <v/>
      </c>
    </row>
    <row r="3686" spans="14:14" x14ac:dyDescent="0.3">
      <c r="N3686" t="str" cm="1">
        <f t="array" ref="N3686">IF(MOD(ROW()-ROW($B$2),16)=0,INDEX($M$2:$M$1000,(ROW()-ROW($B$2))/16+1),"")</f>
        <v/>
      </c>
    </row>
    <row r="3687" spans="14:14" x14ac:dyDescent="0.3">
      <c r="N3687" t="str" cm="1">
        <f t="array" ref="N3687">IF(MOD(ROW()-ROW($B$2),16)=0,INDEX($M$2:$M$1000,(ROW()-ROW($B$2))/16+1),"")</f>
        <v/>
      </c>
    </row>
    <row r="3688" spans="14:14" x14ac:dyDescent="0.3">
      <c r="N3688" t="str" cm="1">
        <f t="array" ref="N3688">IF(MOD(ROW()-ROW($B$2),16)=0,INDEX($M$2:$M$1000,(ROW()-ROW($B$2))/16+1),"")</f>
        <v/>
      </c>
    </row>
    <row r="3689" spans="14:14" x14ac:dyDescent="0.3">
      <c r="N3689" t="str" cm="1">
        <f t="array" ref="N3689">IF(MOD(ROW()-ROW($B$2),16)=0,INDEX($M$2:$M$1000,(ROW()-ROW($B$2))/16+1),"")</f>
        <v/>
      </c>
    </row>
    <row r="3690" spans="14:14" x14ac:dyDescent="0.3">
      <c r="N3690" t="str" cm="1">
        <f t="array" ref="N3690">IF(MOD(ROW()-ROW($B$2),16)=0,INDEX($M$2:$M$1000,(ROW()-ROW($B$2))/16+1),"")</f>
        <v/>
      </c>
    </row>
    <row r="3691" spans="14:14" x14ac:dyDescent="0.3">
      <c r="N3691" t="str" cm="1">
        <f t="array" ref="N3691">IF(MOD(ROW()-ROW($B$2),16)=0,INDEX($M$2:$M$1000,(ROW()-ROW($B$2))/16+1),"")</f>
        <v/>
      </c>
    </row>
    <row r="3692" spans="14:14" x14ac:dyDescent="0.3">
      <c r="N3692" t="str" cm="1">
        <f t="array" ref="N3692">IF(MOD(ROW()-ROW($B$2),16)=0,INDEX($M$2:$M$1000,(ROW()-ROW($B$2))/16+1),"")</f>
        <v/>
      </c>
    </row>
    <row r="3693" spans="14:14" x14ac:dyDescent="0.3">
      <c r="N3693" t="str" cm="1">
        <f t="array" ref="N3693">IF(MOD(ROW()-ROW($B$2),16)=0,INDEX($M$2:$M$1000,(ROW()-ROW($B$2))/16+1),"")</f>
        <v/>
      </c>
    </row>
    <row r="3694" spans="14:14" x14ac:dyDescent="0.3">
      <c r="N3694" t="str" cm="1">
        <f t="array" ref="N3694">IF(MOD(ROW()-ROW($B$2),16)=0,INDEX($M$2:$M$1000,(ROW()-ROW($B$2))/16+1),"")</f>
        <v/>
      </c>
    </row>
    <row r="3695" spans="14:14" x14ac:dyDescent="0.3">
      <c r="N3695" t="str" cm="1">
        <f t="array" ref="N3695">IF(MOD(ROW()-ROW($B$2),16)=0,INDEX($M$2:$M$1000,(ROW()-ROW($B$2))/16+1),"")</f>
        <v/>
      </c>
    </row>
    <row r="3696" spans="14:14" x14ac:dyDescent="0.3">
      <c r="N3696" t="str" cm="1">
        <f t="array" ref="N3696">IF(MOD(ROW()-ROW($B$2),16)=0,INDEX($M$2:$M$1000,(ROW()-ROW($B$2))/16+1),"")</f>
        <v/>
      </c>
    </row>
    <row r="3697" spans="14:14" x14ac:dyDescent="0.3">
      <c r="N3697" t="str" cm="1">
        <f t="array" ref="N3697">IF(MOD(ROW()-ROW($B$2),16)=0,INDEX($M$2:$M$1000,(ROW()-ROW($B$2))/16+1),"")</f>
        <v/>
      </c>
    </row>
    <row r="3698" spans="14:14" x14ac:dyDescent="0.3">
      <c r="N3698" t="str" cm="1">
        <f t="array" ref="N3698">IF(MOD(ROW()-ROW($B$2),16)=0,INDEX($M$2:$M$1000,(ROW()-ROW($B$2))/16+1),"")</f>
        <v/>
      </c>
    </row>
    <row r="3699" spans="14:14" x14ac:dyDescent="0.3">
      <c r="N3699" t="str" cm="1">
        <f t="array" ref="N3699">IF(MOD(ROW()-ROW($B$2),16)=0,INDEX($M$2:$M$1000,(ROW()-ROW($B$2))/16+1),"")</f>
        <v/>
      </c>
    </row>
    <row r="3700" spans="14:14" x14ac:dyDescent="0.3">
      <c r="N3700" t="str" cm="1">
        <f t="array" ref="N3700">IF(MOD(ROW()-ROW($B$2),16)=0,INDEX($M$2:$M$1000,(ROW()-ROW($B$2))/16+1),"")</f>
        <v/>
      </c>
    </row>
    <row r="3701" spans="14:14" x14ac:dyDescent="0.3">
      <c r="N3701" t="str" cm="1">
        <f t="array" ref="N3701">IF(MOD(ROW()-ROW($B$2),16)=0,INDEX($M$2:$M$1000,(ROW()-ROW($B$2))/16+1),"")</f>
        <v/>
      </c>
    </row>
    <row r="3702" spans="14:14" x14ac:dyDescent="0.3">
      <c r="N3702" t="str" cm="1">
        <f t="array" ref="N3702">IF(MOD(ROW()-ROW($B$2),16)=0,INDEX($M$2:$M$1000,(ROW()-ROW($B$2))/16+1),"")</f>
        <v/>
      </c>
    </row>
    <row r="3703" spans="14:14" x14ac:dyDescent="0.3">
      <c r="N3703" t="str" cm="1">
        <f t="array" ref="N3703">IF(MOD(ROW()-ROW($B$2),16)=0,INDEX($M$2:$M$1000,(ROW()-ROW($B$2))/16+1),"")</f>
        <v/>
      </c>
    </row>
    <row r="3704" spans="14:14" x14ac:dyDescent="0.3">
      <c r="N3704" t="str" cm="1">
        <f t="array" ref="N3704">IF(MOD(ROW()-ROW($B$2),16)=0,INDEX($M$2:$M$1000,(ROW()-ROW($B$2))/16+1),"")</f>
        <v/>
      </c>
    </row>
    <row r="3705" spans="14:14" x14ac:dyDescent="0.3">
      <c r="N3705" t="str" cm="1">
        <f t="array" ref="N3705">IF(MOD(ROW()-ROW($B$2),16)=0,INDEX($M$2:$M$1000,(ROW()-ROW($B$2))/16+1),"")</f>
        <v/>
      </c>
    </row>
    <row r="3706" spans="14:14" x14ac:dyDescent="0.3">
      <c r="N3706" t="str" cm="1">
        <f t="array" ref="N3706">IF(MOD(ROW()-ROW($B$2),16)=0,INDEX($M$2:$M$1000,(ROW()-ROW($B$2))/16+1),"")</f>
        <v/>
      </c>
    </row>
    <row r="3707" spans="14:14" x14ac:dyDescent="0.3">
      <c r="N3707" t="str" cm="1">
        <f t="array" ref="N3707">IF(MOD(ROW()-ROW($B$2),16)=0,INDEX($M$2:$M$1000,(ROW()-ROW($B$2))/16+1),"")</f>
        <v/>
      </c>
    </row>
    <row r="3708" spans="14:14" x14ac:dyDescent="0.3">
      <c r="N3708" t="str" cm="1">
        <f t="array" ref="N3708">IF(MOD(ROW()-ROW($B$2),16)=0,INDEX($M$2:$M$1000,(ROW()-ROW($B$2))/16+1),"")</f>
        <v/>
      </c>
    </row>
    <row r="3709" spans="14:14" x14ac:dyDescent="0.3">
      <c r="N3709" t="str" cm="1">
        <f t="array" ref="N3709">IF(MOD(ROW()-ROW($B$2),16)=0,INDEX($M$2:$M$1000,(ROW()-ROW($B$2))/16+1),"")</f>
        <v/>
      </c>
    </row>
    <row r="3710" spans="14:14" x14ac:dyDescent="0.3">
      <c r="N3710" t="str" cm="1">
        <f t="array" ref="N3710">IF(MOD(ROW()-ROW($B$2),16)=0,INDEX($M$2:$M$1000,(ROW()-ROW($B$2))/16+1),"")</f>
        <v/>
      </c>
    </row>
    <row r="3711" spans="14:14" x14ac:dyDescent="0.3">
      <c r="N3711" t="str" cm="1">
        <f t="array" ref="N3711">IF(MOD(ROW()-ROW($B$2),16)=0,INDEX($M$2:$M$1000,(ROW()-ROW($B$2))/16+1),"")</f>
        <v/>
      </c>
    </row>
    <row r="3712" spans="14:14" x14ac:dyDescent="0.3">
      <c r="N3712" t="str" cm="1">
        <f t="array" ref="N3712">IF(MOD(ROW()-ROW($B$2),16)=0,INDEX($M$2:$M$1000,(ROW()-ROW($B$2))/16+1),"")</f>
        <v/>
      </c>
    </row>
    <row r="3713" spans="14:14" x14ac:dyDescent="0.3">
      <c r="N3713" t="str" cm="1">
        <f t="array" ref="N3713">IF(MOD(ROW()-ROW($B$2),16)=0,INDEX($M$2:$M$1000,(ROW()-ROW($B$2))/16+1),"")</f>
        <v/>
      </c>
    </row>
    <row r="3714" spans="14:14" x14ac:dyDescent="0.3">
      <c r="N3714" t="str" cm="1">
        <f t="array" ref="N3714">IF(MOD(ROW()-ROW($B$2),16)=0,INDEX($M$2:$M$1000,(ROW()-ROW($B$2))/16+1),"")</f>
        <v/>
      </c>
    </row>
    <row r="3715" spans="14:14" x14ac:dyDescent="0.3">
      <c r="N3715" t="str" cm="1">
        <f t="array" ref="N3715">IF(MOD(ROW()-ROW($B$2),16)=0,INDEX($M$2:$M$1000,(ROW()-ROW($B$2))/16+1),"")</f>
        <v/>
      </c>
    </row>
    <row r="3716" spans="14:14" x14ac:dyDescent="0.3">
      <c r="N3716" t="str" cm="1">
        <f t="array" ref="N3716">IF(MOD(ROW()-ROW($B$2),16)=0,INDEX($M$2:$M$1000,(ROW()-ROW($B$2))/16+1),"")</f>
        <v/>
      </c>
    </row>
    <row r="3717" spans="14:14" x14ac:dyDescent="0.3">
      <c r="N3717" t="str" cm="1">
        <f t="array" ref="N3717">IF(MOD(ROW()-ROW($B$2),16)=0,INDEX($M$2:$M$1000,(ROW()-ROW($B$2))/16+1),"")</f>
        <v/>
      </c>
    </row>
    <row r="3718" spans="14:14" x14ac:dyDescent="0.3">
      <c r="N3718" t="str" cm="1">
        <f t="array" ref="N3718">IF(MOD(ROW()-ROW($B$2),16)=0,INDEX($M$2:$M$1000,(ROW()-ROW($B$2))/16+1),"")</f>
        <v/>
      </c>
    </row>
    <row r="3719" spans="14:14" x14ac:dyDescent="0.3">
      <c r="N3719" t="str" cm="1">
        <f t="array" ref="N3719">IF(MOD(ROW()-ROW($B$2),16)=0,INDEX($M$2:$M$1000,(ROW()-ROW($B$2))/16+1),"")</f>
        <v/>
      </c>
    </row>
    <row r="3720" spans="14:14" x14ac:dyDescent="0.3">
      <c r="N3720" t="str" cm="1">
        <f t="array" ref="N3720">IF(MOD(ROW()-ROW($B$2),16)=0,INDEX($M$2:$M$1000,(ROW()-ROW($B$2))/16+1),"")</f>
        <v/>
      </c>
    </row>
    <row r="3721" spans="14:14" x14ac:dyDescent="0.3">
      <c r="N3721" t="str" cm="1">
        <f t="array" ref="N3721">IF(MOD(ROW()-ROW($B$2),16)=0,INDEX($M$2:$M$1000,(ROW()-ROW($B$2))/16+1),"")</f>
        <v/>
      </c>
    </row>
    <row r="3722" spans="14:14" x14ac:dyDescent="0.3">
      <c r="N3722" t="str" cm="1">
        <f t="array" ref="N3722">IF(MOD(ROW()-ROW($B$2),16)=0,INDEX($M$2:$M$1000,(ROW()-ROW($B$2))/16+1),"")</f>
        <v/>
      </c>
    </row>
    <row r="3723" spans="14:14" x14ac:dyDescent="0.3">
      <c r="N3723" t="str" cm="1">
        <f t="array" ref="N3723">IF(MOD(ROW()-ROW($B$2),16)=0,INDEX($M$2:$M$1000,(ROW()-ROW($B$2))/16+1),"")</f>
        <v/>
      </c>
    </row>
    <row r="3724" spans="14:14" x14ac:dyDescent="0.3">
      <c r="N3724" t="str" cm="1">
        <f t="array" ref="N3724">IF(MOD(ROW()-ROW($B$2),16)=0,INDEX($M$2:$M$1000,(ROW()-ROW($B$2))/16+1),"")</f>
        <v/>
      </c>
    </row>
    <row r="3725" spans="14:14" x14ac:dyDescent="0.3">
      <c r="N3725" t="str" cm="1">
        <f t="array" ref="N3725">IF(MOD(ROW()-ROW($B$2),16)=0,INDEX($M$2:$M$1000,(ROW()-ROW($B$2))/16+1),"")</f>
        <v/>
      </c>
    </row>
    <row r="3726" spans="14:14" x14ac:dyDescent="0.3">
      <c r="N3726" t="str" cm="1">
        <f t="array" ref="N3726">IF(MOD(ROW()-ROW($B$2),16)=0,INDEX($M$2:$M$1000,(ROW()-ROW($B$2))/16+1),"")</f>
        <v/>
      </c>
    </row>
    <row r="3727" spans="14:14" x14ac:dyDescent="0.3">
      <c r="N3727" t="str" cm="1">
        <f t="array" ref="N3727">IF(MOD(ROW()-ROW($B$2),16)=0,INDEX($M$2:$M$1000,(ROW()-ROW($B$2))/16+1),"")</f>
        <v/>
      </c>
    </row>
    <row r="3728" spans="14:14" x14ac:dyDescent="0.3">
      <c r="N3728" t="str" cm="1">
        <f t="array" ref="N3728">IF(MOD(ROW()-ROW($B$2),16)=0,INDEX($M$2:$M$1000,(ROW()-ROW($B$2))/16+1),"")</f>
        <v/>
      </c>
    </row>
    <row r="3729" spans="14:14" x14ac:dyDescent="0.3">
      <c r="N3729" t="str" cm="1">
        <f t="array" ref="N3729">IF(MOD(ROW()-ROW($B$2),16)=0,INDEX($M$2:$M$1000,(ROW()-ROW($B$2))/16+1),"")</f>
        <v/>
      </c>
    </row>
    <row r="3730" spans="14:14" x14ac:dyDescent="0.3">
      <c r="N3730" t="str" cm="1">
        <f t="array" ref="N3730">IF(MOD(ROW()-ROW($B$2),16)=0,INDEX($M$2:$M$1000,(ROW()-ROW($B$2))/16+1),"")</f>
        <v/>
      </c>
    </row>
    <row r="3731" spans="14:14" x14ac:dyDescent="0.3">
      <c r="N3731" t="str" cm="1">
        <f t="array" ref="N3731">IF(MOD(ROW()-ROW($B$2),16)=0,INDEX($M$2:$M$1000,(ROW()-ROW($B$2))/16+1),"")</f>
        <v/>
      </c>
    </row>
    <row r="3732" spans="14:14" x14ac:dyDescent="0.3">
      <c r="N3732" t="str" cm="1">
        <f t="array" ref="N3732">IF(MOD(ROW()-ROW($B$2),16)=0,INDEX($M$2:$M$1000,(ROW()-ROW($B$2))/16+1),"")</f>
        <v/>
      </c>
    </row>
    <row r="3733" spans="14:14" x14ac:dyDescent="0.3">
      <c r="N3733" t="str" cm="1">
        <f t="array" ref="N3733">IF(MOD(ROW()-ROW($B$2),16)=0,INDEX($M$2:$M$1000,(ROW()-ROW($B$2))/16+1),"")</f>
        <v/>
      </c>
    </row>
    <row r="3734" spans="14:14" x14ac:dyDescent="0.3">
      <c r="N3734" t="str" cm="1">
        <f t="array" ref="N3734">IF(MOD(ROW()-ROW($B$2),16)=0,INDEX($M$2:$M$1000,(ROW()-ROW($B$2))/16+1),"")</f>
        <v/>
      </c>
    </row>
    <row r="3735" spans="14:14" x14ac:dyDescent="0.3">
      <c r="N3735" t="str" cm="1">
        <f t="array" ref="N3735">IF(MOD(ROW()-ROW($B$2),16)=0,INDEX($M$2:$M$1000,(ROW()-ROW($B$2))/16+1),"")</f>
        <v/>
      </c>
    </row>
    <row r="3736" spans="14:14" x14ac:dyDescent="0.3">
      <c r="N3736" t="str" cm="1">
        <f t="array" ref="N3736">IF(MOD(ROW()-ROW($B$2),16)=0,INDEX($M$2:$M$1000,(ROW()-ROW($B$2))/16+1),"")</f>
        <v/>
      </c>
    </row>
    <row r="3737" spans="14:14" x14ac:dyDescent="0.3">
      <c r="N3737" t="str" cm="1">
        <f t="array" ref="N3737">IF(MOD(ROW()-ROW($B$2),16)=0,INDEX($M$2:$M$1000,(ROW()-ROW($B$2))/16+1),"")</f>
        <v/>
      </c>
    </row>
    <row r="3738" spans="14:14" x14ac:dyDescent="0.3">
      <c r="N3738" t="str" cm="1">
        <f t="array" ref="N3738">IF(MOD(ROW()-ROW($B$2),16)=0,INDEX($M$2:$M$1000,(ROW()-ROW($B$2))/16+1),"")</f>
        <v/>
      </c>
    </row>
    <row r="3739" spans="14:14" x14ac:dyDescent="0.3">
      <c r="N3739" t="str" cm="1">
        <f t="array" ref="N3739">IF(MOD(ROW()-ROW($B$2),16)=0,INDEX($M$2:$M$1000,(ROW()-ROW($B$2))/16+1),"")</f>
        <v/>
      </c>
    </row>
    <row r="3740" spans="14:14" x14ac:dyDescent="0.3">
      <c r="N3740" t="str" cm="1">
        <f t="array" ref="N3740">IF(MOD(ROW()-ROW($B$2),16)=0,INDEX($M$2:$M$1000,(ROW()-ROW($B$2))/16+1),"")</f>
        <v/>
      </c>
    </row>
    <row r="3741" spans="14:14" x14ac:dyDescent="0.3">
      <c r="N3741" t="str" cm="1">
        <f t="array" ref="N3741">IF(MOD(ROW()-ROW($B$2),16)=0,INDEX($M$2:$M$1000,(ROW()-ROW($B$2))/16+1),"")</f>
        <v/>
      </c>
    </row>
    <row r="3742" spans="14:14" x14ac:dyDescent="0.3">
      <c r="N3742" t="str" cm="1">
        <f t="array" ref="N3742">IF(MOD(ROW()-ROW($B$2),16)=0,INDEX($M$2:$M$1000,(ROW()-ROW($B$2))/16+1),"")</f>
        <v/>
      </c>
    </row>
    <row r="3743" spans="14:14" x14ac:dyDescent="0.3">
      <c r="N3743" t="str" cm="1">
        <f t="array" ref="N3743">IF(MOD(ROW()-ROW($B$2),16)=0,INDEX($M$2:$M$1000,(ROW()-ROW($B$2))/16+1),"")</f>
        <v/>
      </c>
    </row>
    <row r="3744" spans="14:14" x14ac:dyDescent="0.3">
      <c r="N3744" t="str" cm="1">
        <f t="array" ref="N3744">IF(MOD(ROW()-ROW($B$2),16)=0,INDEX($M$2:$M$1000,(ROW()-ROW($B$2))/16+1),"")</f>
        <v/>
      </c>
    </row>
    <row r="3745" spans="14:14" x14ac:dyDescent="0.3">
      <c r="N3745" t="str" cm="1">
        <f t="array" ref="N3745">IF(MOD(ROW()-ROW($B$2),16)=0,INDEX($M$2:$M$1000,(ROW()-ROW($B$2))/16+1),"")</f>
        <v/>
      </c>
    </row>
    <row r="3746" spans="14:14" x14ac:dyDescent="0.3">
      <c r="N3746" t="str" cm="1">
        <f t="array" ref="N3746">IF(MOD(ROW()-ROW($B$2),16)=0,INDEX($M$2:$M$1000,(ROW()-ROW($B$2))/16+1),"")</f>
        <v/>
      </c>
    </row>
    <row r="3747" spans="14:14" x14ac:dyDescent="0.3">
      <c r="N3747" t="str" cm="1">
        <f t="array" ref="N3747">IF(MOD(ROW()-ROW($B$2),16)=0,INDEX($M$2:$M$1000,(ROW()-ROW($B$2))/16+1),"")</f>
        <v/>
      </c>
    </row>
    <row r="3748" spans="14:14" x14ac:dyDescent="0.3">
      <c r="N3748" t="str" cm="1">
        <f t="array" ref="N3748">IF(MOD(ROW()-ROW($B$2),16)=0,INDEX($M$2:$M$1000,(ROW()-ROW($B$2))/16+1),"")</f>
        <v/>
      </c>
    </row>
    <row r="3749" spans="14:14" x14ac:dyDescent="0.3">
      <c r="N3749" t="str" cm="1">
        <f t="array" ref="N3749">IF(MOD(ROW()-ROW($B$2),16)=0,INDEX($M$2:$M$1000,(ROW()-ROW($B$2))/16+1),"")</f>
        <v/>
      </c>
    </row>
    <row r="3750" spans="14:14" x14ac:dyDescent="0.3">
      <c r="N3750" t="str" cm="1">
        <f t="array" ref="N3750">IF(MOD(ROW()-ROW($B$2),16)=0,INDEX($M$2:$M$1000,(ROW()-ROW($B$2))/16+1),"")</f>
        <v/>
      </c>
    </row>
    <row r="3751" spans="14:14" x14ac:dyDescent="0.3">
      <c r="N3751" t="str" cm="1">
        <f t="array" ref="N3751">IF(MOD(ROW()-ROW($B$2),16)=0,INDEX($M$2:$M$1000,(ROW()-ROW($B$2))/16+1),"")</f>
        <v/>
      </c>
    </row>
    <row r="3752" spans="14:14" x14ac:dyDescent="0.3">
      <c r="N3752" t="str" cm="1">
        <f t="array" ref="N3752">IF(MOD(ROW()-ROW($B$2),16)=0,INDEX($M$2:$M$1000,(ROW()-ROW($B$2))/16+1),"")</f>
        <v/>
      </c>
    </row>
    <row r="3753" spans="14:14" x14ac:dyDescent="0.3">
      <c r="N3753" t="str" cm="1">
        <f t="array" ref="N3753">IF(MOD(ROW()-ROW($B$2),16)=0,INDEX($M$2:$M$1000,(ROW()-ROW($B$2))/16+1),"")</f>
        <v/>
      </c>
    </row>
    <row r="3754" spans="14:14" x14ac:dyDescent="0.3">
      <c r="N3754" t="str" cm="1">
        <f t="array" ref="N3754">IF(MOD(ROW()-ROW($B$2),16)=0,INDEX($M$2:$M$1000,(ROW()-ROW($B$2))/16+1),"")</f>
        <v/>
      </c>
    </row>
    <row r="3755" spans="14:14" x14ac:dyDescent="0.3">
      <c r="N3755" t="str" cm="1">
        <f t="array" ref="N3755">IF(MOD(ROW()-ROW($B$2),16)=0,INDEX($M$2:$M$1000,(ROW()-ROW($B$2))/16+1),"")</f>
        <v/>
      </c>
    </row>
    <row r="3756" spans="14:14" x14ac:dyDescent="0.3">
      <c r="N3756" t="str" cm="1">
        <f t="array" ref="N3756">IF(MOD(ROW()-ROW($B$2),16)=0,INDEX($M$2:$M$1000,(ROW()-ROW($B$2))/16+1),"")</f>
        <v/>
      </c>
    </row>
    <row r="3757" spans="14:14" x14ac:dyDescent="0.3">
      <c r="N3757" t="str" cm="1">
        <f t="array" ref="N3757">IF(MOD(ROW()-ROW($B$2),16)=0,INDEX($M$2:$M$1000,(ROW()-ROW($B$2))/16+1),"")</f>
        <v/>
      </c>
    </row>
    <row r="3758" spans="14:14" x14ac:dyDescent="0.3">
      <c r="N3758" t="str" cm="1">
        <f t="array" ref="N3758">IF(MOD(ROW()-ROW($B$2),16)=0,INDEX($M$2:$M$1000,(ROW()-ROW($B$2))/16+1),"")</f>
        <v/>
      </c>
    </row>
    <row r="3759" spans="14:14" x14ac:dyDescent="0.3">
      <c r="N3759" t="str" cm="1">
        <f t="array" ref="N3759">IF(MOD(ROW()-ROW($B$2),16)=0,INDEX($M$2:$M$1000,(ROW()-ROW($B$2))/16+1),"")</f>
        <v/>
      </c>
    </row>
    <row r="3760" spans="14:14" x14ac:dyDescent="0.3">
      <c r="N3760" t="str" cm="1">
        <f t="array" ref="N3760">IF(MOD(ROW()-ROW($B$2),16)=0,INDEX($M$2:$M$1000,(ROW()-ROW($B$2))/16+1),"")</f>
        <v/>
      </c>
    </row>
    <row r="3761" spans="14:14" x14ac:dyDescent="0.3">
      <c r="N3761" t="str" cm="1">
        <f t="array" ref="N3761">IF(MOD(ROW()-ROW($B$2),16)=0,INDEX($M$2:$M$1000,(ROW()-ROW($B$2))/16+1),"")</f>
        <v/>
      </c>
    </row>
    <row r="3762" spans="14:14" x14ac:dyDescent="0.3">
      <c r="N3762" t="str" cm="1">
        <f t="array" ref="N3762">IF(MOD(ROW()-ROW($B$2),16)=0,INDEX($M$2:$M$1000,(ROW()-ROW($B$2))/16+1),"")</f>
        <v/>
      </c>
    </row>
    <row r="3763" spans="14:14" x14ac:dyDescent="0.3">
      <c r="N3763" t="str" cm="1">
        <f t="array" ref="N3763">IF(MOD(ROW()-ROW($B$2),16)=0,INDEX($M$2:$M$1000,(ROW()-ROW($B$2))/16+1),"")</f>
        <v/>
      </c>
    </row>
    <row r="3764" spans="14:14" x14ac:dyDescent="0.3">
      <c r="N3764" t="str" cm="1">
        <f t="array" ref="N3764">IF(MOD(ROW()-ROW($B$2),16)=0,INDEX($M$2:$M$1000,(ROW()-ROW($B$2))/16+1),"")</f>
        <v/>
      </c>
    </row>
    <row r="3765" spans="14:14" x14ac:dyDescent="0.3">
      <c r="N3765" t="str" cm="1">
        <f t="array" ref="N3765">IF(MOD(ROW()-ROW($B$2),16)=0,INDEX($M$2:$M$1000,(ROW()-ROW($B$2))/16+1),"")</f>
        <v/>
      </c>
    </row>
    <row r="3766" spans="14:14" x14ac:dyDescent="0.3">
      <c r="N3766" t="str" cm="1">
        <f t="array" ref="N3766">IF(MOD(ROW()-ROW($B$2),16)=0,INDEX($M$2:$M$1000,(ROW()-ROW($B$2))/16+1),"")</f>
        <v/>
      </c>
    </row>
    <row r="3767" spans="14:14" x14ac:dyDescent="0.3">
      <c r="N3767" t="str" cm="1">
        <f t="array" ref="N3767">IF(MOD(ROW()-ROW($B$2),16)=0,INDEX($M$2:$M$1000,(ROW()-ROW($B$2))/16+1),"")</f>
        <v/>
      </c>
    </row>
    <row r="3768" spans="14:14" x14ac:dyDescent="0.3">
      <c r="N3768" t="str" cm="1">
        <f t="array" ref="N3768">IF(MOD(ROW()-ROW($B$2),16)=0,INDEX($M$2:$M$1000,(ROW()-ROW($B$2))/16+1),"")</f>
        <v/>
      </c>
    </row>
    <row r="3769" spans="14:14" x14ac:dyDescent="0.3">
      <c r="N3769" t="str" cm="1">
        <f t="array" ref="N3769">IF(MOD(ROW()-ROW($B$2),16)=0,INDEX($M$2:$M$1000,(ROW()-ROW($B$2))/16+1),"")</f>
        <v/>
      </c>
    </row>
    <row r="3770" spans="14:14" x14ac:dyDescent="0.3">
      <c r="N3770" t="str" cm="1">
        <f t="array" ref="N3770">IF(MOD(ROW()-ROW($B$2),16)=0,INDEX($M$2:$M$1000,(ROW()-ROW($B$2))/16+1),"")</f>
        <v/>
      </c>
    </row>
    <row r="3771" spans="14:14" x14ac:dyDescent="0.3">
      <c r="N3771" t="str" cm="1">
        <f t="array" ref="N3771">IF(MOD(ROW()-ROW($B$2),16)=0,INDEX($M$2:$M$1000,(ROW()-ROW($B$2))/16+1),"")</f>
        <v/>
      </c>
    </row>
    <row r="3772" spans="14:14" x14ac:dyDescent="0.3">
      <c r="N3772" t="str" cm="1">
        <f t="array" ref="N3772">IF(MOD(ROW()-ROW($B$2),16)=0,INDEX($M$2:$M$1000,(ROW()-ROW($B$2))/16+1),"")</f>
        <v/>
      </c>
    </row>
    <row r="3773" spans="14:14" x14ac:dyDescent="0.3">
      <c r="N3773" t="str" cm="1">
        <f t="array" ref="N3773">IF(MOD(ROW()-ROW($B$2),16)=0,INDEX($M$2:$M$1000,(ROW()-ROW($B$2))/16+1),"")</f>
        <v/>
      </c>
    </row>
    <row r="3774" spans="14:14" x14ac:dyDescent="0.3">
      <c r="N3774" t="str" cm="1">
        <f t="array" ref="N3774">IF(MOD(ROW()-ROW($B$2),16)=0,INDEX($M$2:$M$1000,(ROW()-ROW($B$2))/16+1),"")</f>
        <v/>
      </c>
    </row>
    <row r="3775" spans="14:14" x14ac:dyDescent="0.3">
      <c r="N3775" t="str" cm="1">
        <f t="array" ref="N3775">IF(MOD(ROW()-ROW($B$2),16)=0,INDEX($M$2:$M$1000,(ROW()-ROW($B$2))/16+1),"")</f>
        <v/>
      </c>
    </row>
    <row r="3776" spans="14:14" x14ac:dyDescent="0.3">
      <c r="N3776" t="str" cm="1">
        <f t="array" ref="N3776">IF(MOD(ROW()-ROW($B$2),16)=0,INDEX($M$2:$M$1000,(ROW()-ROW($B$2))/16+1),"")</f>
        <v/>
      </c>
    </row>
    <row r="3777" spans="14:14" x14ac:dyDescent="0.3">
      <c r="N3777" t="str" cm="1">
        <f t="array" ref="N3777">IF(MOD(ROW()-ROW($B$2),16)=0,INDEX($M$2:$M$1000,(ROW()-ROW($B$2))/16+1),"")</f>
        <v/>
      </c>
    </row>
    <row r="3778" spans="14:14" x14ac:dyDescent="0.3">
      <c r="N3778" t="str" cm="1">
        <f t="array" ref="N3778">IF(MOD(ROW()-ROW($B$2),16)=0,INDEX($M$2:$M$1000,(ROW()-ROW($B$2))/16+1),"")</f>
        <v/>
      </c>
    </row>
    <row r="3779" spans="14:14" x14ac:dyDescent="0.3">
      <c r="N3779" t="str" cm="1">
        <f t="array" ref="N3779">IF(MOD(ROW()-ROW($B$2),16)=0,INDEX($M$2:$M$1000,(ROW()-ROW($B$2))/16+1),"")</f>
        <v/>
      </c>
    </row>
    <row r="3780" spans="14:14" x14ac:dyDescent="0.3">
      <c r="N3780" t="str" cm="1">
        <f t="array" ref="N3780">IF(MOD(ROW()-ROW($B$2),16)=0,INDEX($M$2:$M$1000,(ROW()-ROW($B$2))/16+1),"")</f>
        <v/>
      </c>
    </row>
    <row r="3781" spans="14:14" x14ac:dyDescent="0.3">
      <c r="N3781" t="str" cm="1">
        <f t="array" ref="N3781">IF(MOD(ROW()-ROW($B$2),16)=0,INDEX($M$2:$M$1000,(ROW()-ROW($B$2))/16+1),"")</f>
        <v/>
      </c>
    </row>
    <row r="3782" spans="14:14" x14ac:dyDescent="0.3">
      <c r="N3782" t="str" cm="1">
        <f t="array" ref="N3782">IF(MOD(ROW()-ROW($B$2),16)=0,INDEX($M$2:$M$1000,(ROW()-ROW($B$2))/16+1),"")</f>
        <v/>
      </c>
    </row>
    <row r="3783" spans="14:14" x14ac:dyDescent="0.3">
      <c r="N3783" t="str" cm="1">
        <f t="array" ref="N3783">IF(MOD(ROW()-ROW($B$2),16)=0,INDEX($M$2:$M$1000,(ROW()-ROW($B$2))/16+1),"")</f>
        <v/>
      </c>
    </row>
    <row r="3784" spans="14:14" x14ac:dyDescent="0.3">
      <c r="N3784" t="str" cm="1">
        <f t="array" ref="N3784">IF(MOD(ROW()-ROW($B$2),16)=0,INDEX($M$2:$M$1000,(ROW()-ROW($B$2))/16+1),"")</f>
        <v/>
      </c>
    </row>
    <row r="3785" spans="14:14" x14ac:dyDescent="0.3">
      <c r="N3785" t="str" cm="1">
        <f t="array" ref="N3785">IF(MOD(ROW()-ROW($B$2),16)=0,INDEX($M$2:$M$1000,(ROW()-ROW($B$2))/16+1),"")</f>
        <v/>
      </c>
    </row>
    <row r="3786" spans="14:14" x14ac:dyDescent="0.3">
      <c r="N3786" t="str" cm="1">
        <f t="array" ref="N3786">IF(MOD(ROW()-ROW($B$2),16)=0,INDEX($M$2:$M$1000,(ROW()-ROW($B$2))/16+1),"")</f>
        <v/>
      </c>
    </row>
    <row r="3787" spans="14:14" x14ac:dyDescent="0.3">
      <c r="N3787" t="str" cm="1">
        <f t="array" ref="N3787">IF(MOD(ROW()-ROW($B$2),16)=0,INDEX($M$2:$M$1000,(ROW()-ROW($B$2))/16+1),"")</f>
        <v/>
      </c>
    </row>
    <row r="3788" spans="14:14" x14ac:dyDescent="0.3">
      <c r="N3788" t="str" cm="1">
        <f t="array" ref="N3788">IF(MOD(ROW()-ROW($B$2),16)=0,INDEX($M$2:$M$1000,(ROW()-ROW($B$2))/16+1),"")</f>
        <v/>
      </c>
    </row>
    <row r="3789" spans="14:14" x14ac:dyDescent="0.3">
      <c r="N3789" t="str" cm="1">
        <f t="array" ref="N3789">IF(MOD(ROW()-ROW($B$2),16)=0,INDEX($M$2:$M$1000,(ROW()-ROW($B$2))/16+1),"")</f>
        <v/>
      </c>
    </row>
    <row r="3790" spans="14:14" x14ac:dyDescent="0.3">
      <c r="N3790" t="str" cm="1">
        <f t="array" ref="N3790">IF(MOD(ROW()-ROW($B$2),16)=0,INDEX($M$2:$M$1000,(ROW()-ROW($B$2))/16+1),"")</f>
        <v/>
      </c>
    </row>
    <row r="3791" spans="14:14" x14ac:dyDescent="0.3">
      <c r="N3791" t="str" cm="1">
        <f t="array" ref="N3791">IF(MOD(ROW()-ROW($B$2),16)=0,INDEX($M$2:$M$1000,(ROW()-ROW($B$2))/16+1),"")</f>
        <v/>
      </c>
    </row>
    <row r="3792" spans="14:14" x14ac:dyDescent="0.3">
      <c r="N3792" t="str" cm="1">
        <f t="array" ref="N3792">IF(MOD(ROW()-ROW($B$2),16)=0,INDEX($M$2:$M$1000,(ROW()-ROW($B$2))/16+1),"")</f>
        <v/>
      </c>
    </row>
    <row r="3793" spans="14:14" x14ac:dyDescent="0.3">
      <c r="N3793" t="str" cm="1">
        <f t="array" ref="N3793">IF(MOD(ROW()-ROW($B$2),16)=0,INDEX($M$2:$M$1000,(ROW()-ROW($B$2))/16+1),"")</f>
        <v/>
      </c>
    </row>
    <row r="3794" spans="14:14" x14ac:dyDescent="0.3">
      <c r="N3794" t="str" cm="1">
        <f t="array" ref="N3794">IF(MOD(ROW()-ROW($B$2),16)=0,INDEX($M$2:$M$1000,(ROW()-ROW($B$2))/16+1),"")</f>
        <v/>
      </c>
    </row>
    <row r="3795" spans="14:14" x14ac:dyDescent="0.3">
      <c r="N3795" t="str" cm="1">
        <f t="array" ref="N3795">IF(MOD(ROW()-ROW($B$2),16)=0,INDEX($M$2:$M$1000,(ROW()-ROW($B$2))/16+1),"")</f>
        <v/>
      </c>
    </row>
    <row r="3796" spans="14:14" x14ac:dyDescent="0.3">
      <c r="N3796" t="str" cm="1">
        <f t="array" ref="N3796">IF(MOD(ROW()-ROW($B$2),16)=0,INDEX($M$2:$M$1000,(ROW()-ROW($B$2))/16+1),"")</f>
        <v/>
      </c>
    </row>
    <row r="3797" spans="14:14" x14ac:dyDescent="0.3">
      <c r="N3797" t="str" cm="1">
        <f t="array" ref="N3797">IF(MOD(ROW()-ROW($B$2),16)=0,INDEX($M$2:$M$1000,(ROW()-ROW($B$2))/16+1),"")</f>
        <v/>
      </c>
    </row>
    <row r="3798" spans="14:14" x14ac:dyDescent="0.3">
      <c r="N3798" t="str" cm="1">
        <f t="array" ref="N3798">IF(MOD(ROW()-ROW($B$2),16)=0,INDEX($M$2:$M$1000,(ROW()-ROW($B$2))/16+1),"")</f>
        <v/>
      </c>
    </row>
    <row r="3799" spans="14:14" x14ac:dyDescent="0.3">
      <c r="N3799" t="str" cm="1">
        <f t="array" ref="N3799">IF(MOD(ROW()-ROW($B$2),16)=0,INDEX($M$2:$M$1000,(ROW()-ROW($B$2))/16+1),"")</f>
        <v/>
      </c>
    </row>
    <row r="3800" spans="14:14" x14ac:dyDescent="0.3">
      <c r="N3800" t="str" cm="1">
        <f t="array" ref="N3800">IF(MOD(ROW()-ROW($B$2),16)=0,INDEX($M$2:$M$1000,(ROW()-ROW($B$2))/16+1),"")</f>
        <v/>
      </c>
    </row>
    <row r="3801" spans="14:14" x14ac:dyDescent="0.3">
      <c r="N3801" t="str" cm="1">
        <f t="array" ref="N3801">IF(MOD(ROW()-ROW($B$2),16)=0,INDEX($M$2:$M$1000,(ROW()-ROW($B$2))/16+1),"")</f>
        <v/>
      </c>
    </row>
    <row r="3802" spans="14:14" x14ac:dyDescent="0.3">
      <c r="N3802" t="str" cm="1">
        <f t="array" ref="N3802">IF(MOD(ROW()-ROW($B$2),16)=0,INDEX($M$2:$M$1000,(ROW()-ROW($B$2))/16+1),"")</f>
        <v/>
      </c>
    </row>
    <row r="3803" spans="14:14" x14ac:dyDescent="0.3">
      <c r="N3803" t="str" cm="1">
        <f t="array" ref="N3803">IF(MOD(ROW()-ROW($B$2),16)=0,INDEX($M$2:$M$1000,(ROW()-ROW($B$2))/16+1),"")</f>
        <v/>
      </c>
    </row>
    <row r="3804" spans="14:14" x14ac:dyDescent="0.3">
      <c r="N3804" t="str" cm="1">
        <f t="array" ref="N3804">IF(MOD(ROW()-ROW($B$2),16)=0,INDEX($M$2:$M$1000,(ROW()-ROW($B$2))/16+1),"")</f>
        <v/>
      </c>
    </row>
    <row r="3805" spans="14:14" x14ac:dyDescent="0.3">
      <c r="N3805" t="str" cm="1">
        <f t="array" ref="N3805">IF(MOD(ROW()-ROW($B$2),16)=0,INDEX($M$2:$M$1000,(ROW()-ROW($B$2))/16+1),"")</f>
        <v/>
      </c>
    </row>
    <row r="3806" spans="14:14" x14ac:dyDescent="0.3">
      <c r="N3806" t="str" cm="1">
        <f t="array" ref="N3806">IF(MOD(ROW()-ROW($B$2),16)=0,INDEX($M$2:$M$1000,(ROW()-ROW($B$2))/16+1),"")</f>
        <v/>
      </c>
    </row>
    <row r="3807" spans="14:14" x14ac:dyDescent="0.3">
      <c r="N3807" t="str" cm="1">
        <f t="array" ref="N3807">IF(MOD(ROW()-ROW($B$2),16)=0,INDEX($M$2:$M$1000,(ROW()-ROW($B$2))/16+1),"")</f>
        <v/>
      </c>
    </row>
    <row r="3808" spans="14:14" x14ac:dyDescent="0.3">
      <c r="N3808" t="str" cm="1">
        <f t="array" ref="N3808">IF(MOD(ROW()-ROW($B$2),16)=0,INDEX($M$2:$M$1000,(ROW()-ROW($B$2))/16+1),"")</f>
        <v/>
      </c>
    </row>
    <row r="3809" spans="14:14" x14ac:dyDescent="0.3">
      <c r="N3809" t="str" cm="1">
        <f t="array" ref="N3809">IF(MOD(ROW()-ROW($B$2),16)=0,INDEX($M$2:$M$1000,(ROW()-ROW($B$2))/16+1),"")</f>
        <v/>
      </c>
    </row>
    <row r="3810" spans="14:14" x14ac:dyDescent="0.3">
      <c r="N3810" t="str" cm="1">
        <f t="array" ref="N3810">IF(MOD(ROW()-ROW($B$2),16)=0,INDEX($M$2:$M$1000,(ROW()-ROW($B$2))/16+1),"")</f>
        <v/>
      </c>
    </row>
    <row r="3811" spans="14:14" x14ac:dyDescent="0.3">
      <c r="N3811" t="str" cm="1">
        <f t="array" ref="N3811">IF(MOD(ROW()-ROW($B$2),16)=0,INDEX($M$2:$M$1000,(ROW()-ROW($B$2))/16+1),"")</f>
        <v/>
      </c>
    </row>
    <row r="3812" spans="14:14" x14ac:dyDescent="0.3">
      <c r="N3812" t="str" cm="1">
        <f t="array" ref="N3812">IF(MOD(ROW()-ROW($B$2),16)=0,INDEX($M$2:$M$1000,(ROW()-ROW($B$2))/16+1),"")</f>
        <v/>
      </c>
    </row>
    <row r="3813" spans="14:14" x14ac:dyDescent="0.3">
      <c r="N3813" t="str" cm="1">
        <f t="array" ref="N3813">IF(MOD(ROW()-ROW($B$2),16)=0,INDEX($M$2:$M$1000,(ROW()-ROW($B$2))/16+1),"")</f>
        <v/>
      </c>
    </row>
    <row r="3814" spans="14:14" x14ac:dyDescent="0.3">
      <c r="N3814" t="str" cm="1">
        <f t="array" ref="N3814">IF(MOD(ROW()-ROW($B$2),16)=0,INDEX($M$2:$M$1000,(ROW()-ROW($B$2))/16+1),"")</f>
        <v/>
      </c>
    </row>
    <row r="3815" spans="14:14" x14ac:dyDescent="0.3">
      <c r="N3815" t="str" cm="1">
        <f t="array" ref="N3815">IF(MOD(ROW()-ROW($B$2),16)=0,INDEX($M$2:$M$1000,(ROW()-ROW($B$2))/16+1),"")</f>
        <v/>
      </c>
    </row>
    <row r="3816" spans="14:14" x14ac:dyDescent="0.3">
      <c r="N3816" t="str" cm="1">
        <f t="array" ref="N3816">IF(MOD(ROW()-ROW($B$2),16)=0,INDEX($M$2:$M$1000,(ROW()-ROW($B$2))/16+1),"")</f>
        <v/>
      </c>
    </row>
    <row r="3817" spans="14:14" x14ac:dyDescent="0.3">
      <c r="N3817" t="str" cm="1">
        <f t="array" ref="N3817">IF(MOD(ROW()-ROW($B$2),16)=0,INDEX($M$2:$M$1000,(ROW()-ROW($B$2))/16+1),"")</f>
        <v/>
      </c>
    </row>
    <row r="3818" spans="14:14" x14ac:dyDescent="0.3">
      <c r="N3818" t="str" cm="1">
        <f t="array" ref="N3818">IF(MOD(ROW()-ROW($B$2),16)=0,INDEX($M$2:$M$1000,(ROW()-ROW($B$2))/16+1),"")</f>
        <v/>
      </c>
    </row>
    <row r="3819" spans="14:14" x14ac:dyDescent="0.3">
      <c r="N3819" t="str" cm="1">
        <f t="array" ref="N3819">IF(MOD(ROW()-ROW($B$2),16)=0,INDEX($M$2:$M$1000,(ROW()-ROW($B$2))/16+1),"")</f>
        <v/>
      </c>
    </row>
    <row r="3820" spans="14:14" x14ac:dyDescent="0.3">
      <c r="N3820" t="str" cm="1">
        <f t="array" ref="N3820">IF(MOD(ROW()-ROW($B$2),16)=0,INDEX($M$2:$M$1000,(ROW()-ROW($B$2))/16+1),"")</f>
        <v/>
      </c>
    </row>
    <row r="3821" spans="14:14" x14ac:dyDescent="0.3">
      <c r="N3821" t="str" cm="1">
        <f t="array" ref="N3821">IF(MOD(ROW()-ROW($B$2),16)=0,INDEX($M$2:$M$1000,(ROW()-ROW($B$2))/16+1),"")</f>
        <v/>
      </c>
    </row>
    <row r="3822" spans="14:14" x14ac:dyDescent="0.3">
      <c r="N3822" t="str" cm="1">
        <f t="array" ref="N3822">IF(MOD(ROW()-ROW($B$2),16)=0,INDEX($M$2:$M$1000,(ROW()-ROW($B$2))/16+1),"")</f>
        <v/>
      </c>
    </row>
    <row r="3823" spans="14:14" x14ac:dyDescent="0.3">
      <c r="N3823" t="str" cm="1">
        <f t="array" ref="N3823">IF(MOD(ROW()-ROW($B$2),16)=0,INDEX($M$2:$M$1000,(ROW()-ROW($B$2))/16+1),"")</f>
        <v/>
      </c>
    </row>
    <row r="3824" spans="14:14" x14ac:dyDescent="0.3">
      <c r="N3824" t="str" cm="1">
        <f t="array" ref="N3824">IF(MOD(ROW()-ROW($B$2),16)=0,INDEX($M$2:$M$1000,(ROW()-ROW($B$2))/16+1),"")</f>
        <v/>
      </c>
    </row>
    <row r="3825" spans="14:14" x14ac:dyDescent="0.3">
      <c r="N3825" t="str" cm="1">
        <f t="array" ref="N3825">IF(MOD(ROW()-ROW($B$2),16)=0,INDEX($M$2:$M$1000,(ROW()-ROW($B$2))/16+1),"")</f>
        <v/>
      </c>
    </row>
    <row r="3826" spans="14:14" x14ac:dyDescent="0.3">
      <c r="N3826" t="str" cm="1">
        <f t="array" ref="N3826">IF(MOD(ROW()-ROW($B$2),16)=0,INDEX($M$2:$M$1000,(ROW()-ROW($B$2))/16+1),"")</f>
        <v/>
      </c>
    </row>
    <row r="3827" spans="14:14" x14ac:dyDescent="0.3">
      <c r="N3827" t="str" cm="1">
        <f t="array" ref="N3827">IF(MOD(ROW()-ROW($B$2),16)=0,INDEX($M$2:$M$1000,(ROW()-ROW($B$2))/16+1),"")</f>
        <v/>
      </c>
    </row>
    <row r="3828" spans="14:14" x14ac:dyDescent="0.3">
      <c r="N3828" t="str" cm="1">
        <f t="array" ref="N3828">IF(MOD(ROW()-ROW($B$2),16)=0,INDEX($M$2:$M$1000,(ROW()-ROW($B$2))/16+1),"")</f>
        <v/>
      </c>
    </row>
    <row r="3829" spans="14:14" x14ac:dyDescent="0.3">
      <c r="N3829" t="str" cm="1">
        <f t="array" ref="N3829">IF(MOD(ROW()-ROW($B$2),16)=0,INDEX($M$2:$M$1000,(ROW()-ROW($B$2))/16+1),"")</f>
        <v/>
      </c>
    </row>
    <row r="3830" spans="14:14" x14ac:dyDescent="0.3">
      <c r="N3830" t="str" cm="1">
        <f t="array" ref="N3830">IF(MOD(ROW()-ROW($B$2),16)=0,INDEX($M$2:$M$1000,(ROW()-ROW($B$2))/16+1),"")</f>
        <v/>
      </c>
    </row>
    <row r="3831" spans="14:14" x14ac:dyDescent="0.3">
      <c r="N3831" t="str" cm="1">
        <f t="array" ref="N3831">IF(MOD(ROW()-ROW($B$2),16)=0,INDEX($M$2:$M$1000,(ROW()-ROW($B$2))/16+1),"")</f>
        <v/>
      </c>
    </row>
    <row r="3832" spans="14:14" x14ac:dyDescent="0.3">
      <c r="N3832" t="str" cm="1">
        <f t="array" ref="N3832">IF(MOD(ROW()-ROW($B$2),16)=0,INDEX($M$2:$M$1000,(ROW()-ROW($B$2))/16+1),"")</f>
        <v/>
      </c>
    </row>
    <row r="3833" spans="14:14" x14ac:dyDescent="0.3">
      <c r="N3833" t="str" cm="1">
        <f t="array" ref="N3833">IF(MOD(ROW()-ROW($B$2),16)=0,INDEX($M$2:$M$1000,(ROW()-ROW($B$2))/16+1),"")</f>
        <v/>
      </c>
    </row>
    <row r="3834" spans="14:14" x14ac:dyDescent="0.3">
      <c r="N3834" t="str" cm="1">
        <f t="array" ref="N3834">IF(MOD(ROW()-ROW($B$2),16)=0,INDEX($M$2:$M$1000,(ROW()-ROW($B$2))/16+1),"")</f>
        <v/>
      </c>
    </row>
    <row r="3835" spans="14:14" x14ac:dyDescent="0.3">
      <c r="N3835" t="str" cm="1">
        <f t="array" ref="N3835">IF(MOD(ROW()-ROW($B$2),16)=0,INDEX($M$2:$M$1000,(ROW()-ROW($B$2))/16+1),"")</f>
        <v/>
      </c>
    </row>
    <row r="3836" spans="14:14" x14ac:dyDescent="0.3">
      <c r="N3836" t="str" cm="1">
        <f t="array" ref="N3836">IF(MOD(ROW()-ROW($B$2),16)=0,INDEX($M$2:$M$1000,(ROW()-ROW($B$2))/16+1),"")</f>
        <v/>
      </c>
    </row>
    <row r="3837" spans="14:14" x14ac:dyDescent="0.3">
      <c r="N3837" t="str" cm="1">
        <f t="array" ref="N3837">IF(MOD(ROW()-ROW($B$2),16)=0,INDEX($M$2:$M$1000,(ROW()-ROW($B$2))/16+1),"")</f>
        <v/>
      </c>
    </row>
    <row r="3838" spans="14:14" x14ac:dyDescent="0.3">
      <c r="N3838" t="str" cm="1">
        <f t="array" ref="N3838">IF(MOD(ROW()-ROW($B$2),16)=0,INDEX($M$2:$M$1000,(ROW()-ROW($B$2))/16+1),"")</f>
        <v/>
      </c>
    </row>
    <row r="3839" spans="14:14" x14ac:dyDescent="0.3">
      <c r="N3839" t="str" cm="1">
        <f t="array" ref="N3839">IF(MOD(ROW()-ROW($B$2),16)=0,INDEX($M$2:$M$1000,(ROW()-ROW($B$2))/16+1),"")</f>
        <v/>
      </c>
    </row>
    <row r="3840" spans="14:14" x14ac:dyDescent="0.3">
      <c r="N3840" t="str" cm="1">
        <f t="array" ref="N3840">IF(MOD(ROW()-ROW($B$2),16)=0,INDEX($M$2:$M$1000,(ROW()-ROW($B$2))/16+1),"")</f>
        <v/>
      </c>
    </row>
    <row r="3841" spans="14:14" x14ac:dyDescent="0.3">
      <c r="N3841" t="str" cm="1">
        <f t="array" ref="N3841">IF(MOD(ROW()-ROW($B$2),16)=0,INDEX($M$2:$M$1000,(ROW()-ROW($B$2))/16+1),"")</f>
        <v/>
      </c>
    </row>
    <row r="3842" spans="14:14" x14ac:dyDescent="0.3">
      <c r="N3842" t="str" cm="1">
        <f t="array" ref="N3842">IF(MOD(ROW()-ROW($B$2),16)=0,INDEX($M$2:$M$1000,(ROW()-ROW($B$2))/16+1),"")</f>
        <v/>
      </c>
    </row>
    <row r="3843" spans="14:14" x14ac:dyDescent="0.3">
      <c r="N3843" t="str" cm="1">
        <f t="array" ref="N3843">IF(MOD(ROW()-ROW($B$2),16)=0,INDEX($M$2:$M$1000,(ROW()-ROW($B$2))/16+1),"")</f>
        <v/>
      </c>
    </row>
    <row r="3844" spans="14:14" x14ac:dyDescent="0.3">
      <c r="N3844" t="str" cm="1">
        <f t="array" ref="N3844">IF(MOD(ROW()-ROW($B$2),16)=0,INDEX($M$2:$M$1000,(ROW()-ROW($B$2))/16+1),"")</f>
        <v/>
      </c>
    </row>
    <row r="3845" spans="14:14" x14ac:dyDescent="0.3">
      <c r="N3845" t="str" cm="1">
        <f t="array" ref="N3845">IF(MOD(ROW()-ROW($B$2),16)=0,INDEX($M$2:$M$1000,(ROW()-ROW($B$2))/16+1),"")</f>
        <v/>
      </c>
    </row>
    <row r="3846" spans="14:14" x14ac:dyDescent="0.3">
      <c r="N3846" t="str" cm="1">
        <f t="array" ref="N3846">IF(MOD(ROW()-ROW($B$2),16)=0,INDEX($M$2:$M$1000,(ROW()-ROW($B$2))/16+1),"")</f>
        <v/>
      </c>
    </row>
    <row r="3847" spans="14:14" x14ac:dyDescent="0.3">
      <c r="N3847" t="str" cm="1">
        <f t="array" ref="N3847">IF(MOD(ROW()-ROW($B$2),16)=0,INDEX($M$2:$M$1000,(ROW()-ROW($B$2))/16+1),"")</f>
        <v/>
      </c>
    </row>
    <row r="3848" spans="14:14" x14ac:dyDescent="0.3">
      <c r="N3848" t="str" cm="1">
        <f t="array" ref="N3848">IF(MOD(ROW()-ROW($B$2),16)=0,INDEX($M$2:$M$1000,(ROW()-ROW($B$2))/16+1),"")</f>
        <v/>
      </c>
    </row>
    <row r="3849" spans="14:14" x14ac:dyDescent="0.3">
      <c r="N3849" t="str" cm="1">
        <f t="array" ref="N3849">IF(MOD(ROW()-ROW($B$2),16)=0,INDEX($M$2:$M$1000,(ROW()-ROW($B$2))/16+1),"")</f>
        <v/>
      </c>
    </row>
    <row r="3850" spans="14:14" x14ac:dyDescent="0.3">
      <c r="N3850" t="str" cm="1">
        <f t="array" ref="N3850">IF(MOD(ROW()-ROW($B$2),16)=0,INDEX($M$2:$M$1000,(ROW()-ROW($B$2))/16+1),"")</f>
        <v/>
      </c>
    </row>
    <row r="3851" spans="14:14" x14ac:dyDescent="0.3">
      <c r="N3851" t="str" cm="1">
        <f t="array" ref="N3851">IF(MOD(ROW()-ROW($B$2),16)=0,INDEX($M$2:$M$1000,(ROW()-ROW($B$2))/16+1),"")</f>
        <v/>
      </c>
    </row>
    <row r="3852" spans="14:14" x14ac:dyDescent="0.3">
      <c r="N3852" t="str" cm="1">
        <f t="array" ref="N3852">IF(MOD(ROW()-ROW($B$2),16)=0,INDEX($M$2:$M$1000,(ROW()-ROW($B$2))/16+1),"")</f>
        <v/>
      </c>
    </row>
    <row r="3853" spans="14:14" x14ac:dyDescent="0.3">
      <c r="N3853" t="str" cm="1">
        <f t="array" ref="N3853">IF(MOD(ROW()-ROW($B$2),16)=0,INDEX($M$2:$M$1000,(ROW()-ROW($B$2))/16+1),"")</f>
        <v/>
      </c>
    </row>
    <row r="3854" spans="14:14" x14ac:dyDescent="0.3">
      <c r="N3854" t="str" cm="1">
        <f t="array" ref="N3854">IF(MOD(ROW()-ROW($B$2),16)=0,INDEX($M$2:$M$1000,(ROW()-ROW($B$2))/16+1),"")</f>
        <v/>
      </c>
    </row>
    <row r="3855" spans="14:14" x14ac:dyDescent="0.3">
      <c r="N3855" t="str" cm="1">
        <f t="array" ref="N3855">IF(MOD(ROW()-ROW($B$2),16)=0,INDEX($M$2:$M$1000,(ROW()-ROW($B$2))/16+1),"")</f>
        <v/>
      </c>
    </row>
    <row r="3856" spans="14:14" x14ac:dyDescent="0.3">
      <c r="N3856" t="str" cm="1">
        <f t="array" ref="N3856">IF(MOD(ROW()-ROW($B$2),16)=0,INDEX($M$2:$M$1000,(ROW()-ROW($B$2))/16+1),"")</f>
        <v/>
      </c>
    </row>
    <row r="3857" spans="14:14" x14ac:dyDescent="0.3">
      <c r="N3857" t="str" cm="1">
        <f t="array" ref="N3857">IF(MOD(ROW()-ROW($B$2),16)=0,INDEX($M$2:$M$1000,(ROW()-ROW($B$2))/16+1),"")</f>
        <v/>
      </c>
    </row>
    <row r="3858" spans="14:14" x14ac:dyDescent="0.3">
      <c r="N3858" t="str" cm="1">
        <f t="array" ref="N3858">IF(MOD(ROW()-ROW($B$2),16)=0,INDEX($M$2:$M$1000,(ROW()-ROW($B$2))/16+1),"")</f>
        <v/>
      </c>
    </row>
    <row r="3859" spans="14:14" x14ac:dyDescent="0.3">
      <c r="N3859" t="str" cm="1">
        <f t="array" ref="N3859">IF(MOD(ROW()-ROW($B$2),16)=0,INDEX($M$2:$M$1000,(ROW()-ROW($B$2))/16+1),"")</f>
        <v/>
      </c>
    </row>
    <row r="3860" spans="14:14" x14ac:dyDescent="0.3">
      <c r="N3860" t="str" cm="1">
        <f t="array" ref="N3860">IF(MOD(ROW()-ROW($B$2),16)=0,INDEX($M$2:$M$1000,(ROW()-ROW($B$2))/16+1),"")</f>
        <v/>
      </c>
    </row>
    <row r="3861" spans="14:14" x14ac:dyDescent="0.3">
      <c r="N3861" t="str" cm="1">
        <f t="array" ref="N3861">IF(MOD(ROW()-ROW($B$2),16)=0,INDEX($M$2:$M$1000,(ROW()-ROW($B$2))/16+1),"")</f>
        <v/>
      </c>
    </row>
    <row r="3862" spans="14:14" x14ac:dyDescent="0.3">
      <c r="N3862" t="str" cm="1">
        <f t="array" ref="N3862">IF(MOD(ROW()-ROW($B$2),16)=0,INDEX($M$2:$M$1000,(ROW()-ROW($B$2))/16+1),"")</f>
        <v/>
      </c>
    </row>
    <row r="3863" spans="14:14" x14ac:dyDescent="0.3">
      <c r="N3863" t="str" cm="1">
        <f t="array" ref="N3863">IF(MOD(ROW()-ROW($B$2),16)=0,INDEX($M$2:$M$1000,(ROW()-ROW($B$2))/16+1),"")</f>
        <v/>
      </c>
    </row>
    <row r="3864" spans="14:14" x14ac:dyDescent="0.3">
      <c r="N3864" t="str" cm="1">
        <f t="array" ref="N3864">IF(MOD(ROW()-ROW($B$2),16)=0,INDEX($M$2:$M$1000,(ROW()-ROW($B$2))/16+1),"")</f>
        <v/>
      </c>
    </row>
    <row r="3865" spans="14:14" x14ac:dyDescent="0.3">
      <c r="N3865" t="str" cm="1">
        <f t="array" ref="N3865">IF(MOD(ROW()-ROW($B$2),16)=0,INDEX($M$2:$M$1000,(ROW()-ROW($B$2))/16+1),"")</f>
        <v/>
      </c>
    </row>
    <row r="3866" spans="14:14" x14ac:dyDescent="0.3">
      <c r="N3866" t="str" cm="1">
        <f t="array" ref="N3866">IF(MOD(ROW()-ROW($B$2),16)=0,INDEX($M$2:$M$1000,(ROW()-ROW($B$2))/16+1),"")</f>
        <v/>
      </c>
    </row>
    <row r="3867" spans="14:14" x14ac:dyDescent="0.3">
      <c r="N3867" t="str" cm="1">
        <f t="array" ref="N3867">IF(MOD(ROW()-ROW($B$2),16)=0,INDEX($M$2:$M$1000,(ROW()-ROW($B$2))/16+1),"")</f>
        <v/>
      </c>
    </row>
    <row r="3868" spans="14:14" x14ac:dyDescent="0.3">
      <c r="N3868" t="str" cm="1">
        <f t="array" ref="N3868">IF(MOD(ROW()-ROW($B$2),16)=0,INDEX($M$2:$M$1000,(ROW()-ROW($B$2))/16+1),"")</f>
        <v/>
      </c>
    </row>
    <row r="3869" spans="14:14" x14ac:dyDescent="0.3">
      <c r="N3869" t="str" cm="1">
        <f t="array" ref="N3869">IF(MOD(ROW()-ROW($B$2),16)=0,INDEX($M$2:$M$1000,(ROW()-ROW($B$2))/16+1),"")</f>
        <v/>
      </c>
    </row>
    <row r="3870" spans="14:14" x14ac:dyDescent="0.3">
      <c r="N3870" t="str" cm="1">
        <f t="array" ref="N3870">IF(MOD(ROW()-ROW($B$2),16)=0,INDEX($M$2:$M$1000,(ROW()-ROW($B$2))/16+1),"")</f>
        <v/>
      </c>
    </row>
    <row r="3871" spans="14:14" x14ac:dyDescent="0.3">
      <c r="N3871" t="str" cm="1">
        <f t="array" ref="N3871">IF(MOD(ROW()-ROW($B$2),16)=0,INDEX($M$2:$M$1000,(ROW()-ROW($B$2))/16+1),"")</f>
        <v/>
      </c>
    </row>
    <row r="3872" spans="14:14" x14ac:dyDescent="0.3">
      <c r="N3872" t="str" cm="1">
        <f t="array" ref="N3872">IF(MOD(ROW()-ROW($B$2),16)=0,INDEX($M$2:$M$1000,(ROW()-ROW($B$2))/16+1),"")</f>
        <v/>
      </c>
    </row>
    <row r="3873" spans="14:14" x14ac:dyDescent="0.3">
      <c r="N3873" t="str" cm="1">
        <f t="array" ref="N3873">IF(MOD(ROW()-ROW($B$2),16)=0,INDEX($M$2:$M$1000,(ROW()-ROW($B$2))/16+1),"")</f>
        <v/>
      </c>
    </row>
    <row r="3874" spans="14:14" x14ac:dyDescent="0.3">
      <c r="N3874" t="str" cm="1">
        <f t="array" ref="N3874">IF(MOD(ROW()-ROW($B$2),16)=0,INDEX($M$2:$M$1000,(ROW()-ROW($B$2))/16+1),"")</f>
        <v/>
      </c>
    </row>
    <row r="3875" spans="14:14" x14ac:dyDescent="0.3">
      <c r="N3875" t="str" cm="1">
        <f t="array" ref="N3875">IF(MOD(ROW()-ROW($B$2),16)=0,INDEX($M$2:$M$1000,(ROW()-ROW($B$2))/16+1),"")</f>
        <v/>
      </c>
    </row>
    <row r="3876" spans="14:14" x14ac:dyDescent="0.3">
      <c r="N3876" t="str" cm="1">
        <f t="array" ref="N3876">IF(MOD(ROW()-ROW($B$2),16)=0,INDEX($M$2:$M$1000,(ROW()-ROW($B$2))/16+1),"")</f>
        <v/>
      </c>
    </row>
    <row r="3877" spans="14:14" x14ac:dyDescent="0.3">
      <c r="N3877" t="str" cm="1">
        <f t="array" ref="N3877">IF(MOD(ROW()-ROW($B$2),16)=0,INDEX($M$2:$M$1000,(ROW()-ROW($B$2))/16+1),"")</f>
        <v/>
      </c>
    </row>
    <row r="3878" spans="14:14" x14ac:dyDescent="0.3">
      <c r="N3878" t="str" cm="1">
        <f t="array" ref="N3878">IF(MOD(ROW()-ROW($B$2),16)=0,INDEX($M$2:$M$1000,(ROW()-ROW($B$2))/16+1),"")</f>
        <v/>
      </c>
    </row>
    <row r="3879" spans="14:14" x14ac:dyDescent="0.3">
      <c r="N3879" t="str" cm="1">
        <f t="array" ref="N3879">IF(MOD(ROW()-ROW($B$2),16)=0,INDEX($M$2:$M$1000,(ROW()-ROW($B$2))/16+1),"")</f>
        <v/>
      </c>
    </row>
    <row r="3880" spans="14:14" x14ac:dyDescent="0.3">
      <c r="N3880" t="str" cm="1">
        <f t="array" ref="N3880">IF(MOD(ROW()-ROW($B$2),16)=0,INDEX($M$2:$M$1000,(ROW()-ROW($B$2))/16+1),"")</f>
        <v/>
      </c>
    </row>
    <row r="3881" spans="14:14" x14ac:dyDescent="0.3">
      <c r="N3881" t="str" cm="1">
        <f t="array" ref="N3881">IF(MOD(ROW()-ROW($B$2),16)=0,INDEX($M$2:$M$1000,(ROW()-ROW($B$2))/16+1),"")</f>
        <v/>
      </c>
    </row>
    <row r="3882" spans="14:14" x14ac:dyDescent="0.3">
      <c r="N3882" t="str" cm="1">
        <f t="array" ref="N3882">IF(MOD(ROW()-ROW($B$2),16)=0,INDEX($M$2:$M$1000,(ROW()-ROW($B$2))/16+1),"")</f>
        <v/>
      </c>
    </row>
    <row r="3883" spans="14:14" x14ac:dyDescent="0.3">
      <c r="N3883" t="str" cm="1">
        <f t="array" ref="N3883">IF(MOD(ROW()-ROW($B$2),16)=0,INDEX($M$2:$M$1000,(ROW()-ROW($B$2))/16+1),"")</f>
        <v/>
      </c>
    </row>
    <row r="3884" spans="14:14" x14ac:dyDescent="0.3">
      <c r="N3884" t="str" cm="1">
        <f t="array" ref="N3884">IF(MOD(ROW()-ROW($B$2),16)=0,INDEX($M$2:$M$1000,(ROW()-ROW($B$2))/16+1),"")</f>
        <v/>
      </c>
    </row>
    <row r="3885" spans="14:14" x14ac:dyDescent="0.3">
      <c r="N3885" t="str" cm="1">
        <f t="array" ref="N3885">IF(MOD(ROW()-ROW($B$2),16)=0,INDEX($M$2:$M$1000,(ROW()-ROW($B$2))/16+1),"")</f>
        <v/>
      </c>
    </row>
    <row r="3886" spans="14:14" x14ac:dyDescent="0.3">
      <c r="N3886" t="str" cm="1">
        <f t="array" ref="N3886">IF(MOD(ROW()-ROW($B$2),16)=0,INDEX($M$2:$M$1000,(ROW()-ROW($B$2))/16+1),"")</f>
        <v/>
      </c>
    </row>
    <row r="3887" spans="14:14" x14ac:dyDescent="0.3">
      <c r="N3887" t="str" cm="1">
        <f t="array" ref="N3887">IF(MOD(ROW()-ROW($B$2),16)=0,INDEX($M$2:$M$1000,(ROW()-ROW($B$2))/16+1),"")</f>
        <v/>
      </c>
    </row>
    <row r="3888" spans="14:14" x14ac:dyDescent="0.3">
      <c r="N3888" t="str" cm="1">
        <f t="array" ref="N3888">IF(MOD(ROW()-ROW($B$2),16)=0,INDEX($M$2:$M$1000,(ROW()-ROW($B$2))/16+1),"")</f>
        <v/>
      </c>
    </row>
    <row r="3889" spans="14:14" x14ac:dyDescent="0.3">
      <c r="N3889" t="str" cm="1">
        <f t="array" ref="N3889">IF(MOD(ROW()-ROW($B$2),16)=0,INDEX($M$2:$M$1000,(ROW()-ROW($B$2))/16+1),"")</f>
        <v/>
      </c>
    </row>
    <row r="3890" spans="14:14" x14ac:dyDescent="0.3">
      <c r="N3890" t="str" cm="1">
        <f t="array" ref="N3890">IF(MOD(ROW()-ROW($B$2),16)=0,INDEX($M$2:$M$1000,(ROW()-ROW($B$2))/16+1),"")</f>
        <v/>
      </c>
    </row>
    <row r="3891" spans="14:14" x14ac:dyDescent="0.3">
      <c r="N3891" t="str" cm="1">
        <f t="array" ref="N3891">IF(MOD(ROW()-ROW($B$2),16)=0,INDEX($M$2:$M$1000,(ROW()-ROW($B$2))/16+1),"")</f>
        <v/>
      </c>
    </row>
    <row r="3892" spans="14:14" x14ac:dyDescent="0.3">
      <c r="N3892" t="str" cm="1">
        <f t="array" ref="N3892">IF(MOD(ROW()-ROW($B$2),16)=0,INDEX($M$2:$M$1000,(ROW()-ROW($B$2))/16+1),"")</f>
        <v/>
      </c>
    </row>
    <row r="3893" spans="14:14" x14ac:dyDescent="0.3">
      <c r="N3893" t="str" cm="1">
        <f t="array" ref="N3893">IF(MOD(ROW()-ROW($B$2),16)=0,INDEX($M$2:$M$1000,(ROW()-ROW($B$2))/16+1),"")</f>
        <v/>
      </c>
    </row>
    <row r="3894" spans="14:14" x14ac:dyDescent="0.3">
      <c r="N3894" t="str" cm="1">
        <f t="array" ref="N3894">IF(MOD(ROW()-ROW($B$2),16)=0,INDEX($M$2:$M$1000,(ROW()-ROW($B$2))/16+1),"")</f>
        <v/>
      </c>
    </row>
    <row r="3895" spans="14:14" x14ac:dyDescent="0.3">
      <c r="N3895" t="str" cm="1">
        <f t="array" ref="N3895">IF(MOD(ROW()-ROW($B$2),16)=0,INDEX($M$2:$M$1000,(ROW()-ROW($B$2))/16+1),"")</f>
        <v/>
      </c>
    </row>
    <row r="3896" spans="14:14" x14ac:dyDescent="0.3">
      <c r="N3896" t="str" cm="1">
        <f t="array" ref="N3896">IF(MOD(ROW()-ROW($B$2),16)=0,INDEX($M$2:$M$1000,(ROW()-ROW($B$2))/16+1),"")</f>
        <v/>
      </c>
    </row>
    <row r="3897" spans="14:14" x14ac:dyDescent="0.3">
      <c r="N3897" t="str" cm="1">
        <f t="array" ref="N3897">IF(MOD(ROW()-ROW($B$2),16)=0,INDEX($M$2:$M$1000,(ROW()-ROW($B$2))/16+1),"")</f>
        <v/>
      </c>
    </row>
    <row r="3898" spans="14:14" x14ac:dyDescent="0.3">
      <c r="N3898" t="str" cm="1">
        <f t="array" ref="N3898">IF(MOD(ROW()-ROW($B$2),16)=0,INDEX($M$2:$M$1000,(ROW()-ROW($B$2))/16+1),"")</f>
        <v/>
      </c>
    </row>
    <row r="3899" spans="14:14" x14ac:dyDescent="0.3">
      <c r="N3899" t="str" cm="1">
        <f t="array" ref="N3899">IF(MOD(ROW()-ROW($B$2),16)=0,INDEX($M$2:$M$1000,(ROW()-ROW($B$2))/16+1),"")</f>
        <v/>
      </c>
    </row>
    <row r="3900" spans="14:14" x14ac:dyDescent="0.3">
      <c r="N3900" t="str" cm="1">
        <f t="array" ref="N3900">IF(MOD(ROW()-ROW($B$2),16)=0,INDEX($M$2:$M$1000,(ROW()-ROW($B$2))/16+1),"")</f>
        <v/>
      </c>
    </row>
    <row r="3901" spans="14:14" x14ac:dyDescent="0.3">
      <c r="N3901" t="str" cm="1">
        <f t="array" ref="N3901">IF(MOD(ROW()-ROW($B$2),16)=0,INDEX($M$2:$M$1000,(ROW()-ROW($B$2))/16+1),"")</f>
        <v/>
      </c>
    </row>
    <row r="3902" spans="14:14" x14ac:dyDescent="0.3">
      <c r="N3902" t="str" cm="1">
        <f t="array" ref="N3902">IF(MOD(ROW()-ROW($B$2),16)=0,INDEX($M$2:$M$1000,(ROW()-ROW($B$2))/16+1),"")</f>
        <v/>
      </c>
    </row>
    <row r="3903" spans="14:14" x14ac:dyDescent="0.3">
      <c r="N3903" t="str" cm="1">
        <f t="array" ref="N3903">IF(MOD(ROW()-ROW($B$2),16)=0,INDEX($M$2:$M$1000,(ROW()-ROW($B$2))/16+1),"")</f>
        <v/>
      </c>
    </row>
    <row r="3904" spans="14:14" x14ac:dyDescent="0.3">
      <c r="N3904" t="str" cm="1">
        <f t="array" ref="N3904">IF(MOD(ROW()-ROW($B$2),16)=0,INDEX($M$2:$M$1000,(ROW()-ROW($B$2))/16+1),"")</f>
        <v/>
      </c>
    </row>
    <row r="3905" spans="14:14" x14ac:dyDescent="0.3">
      <c r="N3905" t="str" cm="1">
        <f t="array" ref="N3905">IF(MOD(ROW()-ROW($B$2),16)=0,INDEX($M$2:$M$1000,(ROW()-ROW($B$2))/16+1),"")</f>
        <v/>
      </c>
    </row>
    <row r="3906" spans="14:14" x14ac:dyDescent="0.3">
      <c r="N3906" t="str" cm="1">
        <f t="array" ref="N3906">IF(MOD(ROW()-ROW($B$2),16)=0,INDEX($M$2:$M$1000,(ROW()-ROW($B$2))/16+1),"")</f>
        <v/>
      </c>
    </row>
    <row r="3907" spans="14:14" x14ac:dyDescent="0.3">
      <c r="N3907" t="str" cm="1">
        <f t="array" ref="N3907">IF(MOD(ROW()-ROW($B$2),16)=0,INDEX($M$2:$M$1000,(ROW()-ROW($B$2))/16+1),"")</f>
        <v/>
      </c>
    </row>
    <row r="3908" spans="14:14" x14ac:dyDescent="0.3">
      <c r="N3908" t="str" cm="1">
        <f t="array" ref="N3908">IF(MOD(ROW()-ROW($B$2),16)=0,INDEX($M$2:$M$1000,(ROW()-ROW($B$2))/16+1),"")</f>
        <v/>
      </c>
    </row>
    <row r="3909" spans="14:14" x14ac:dyDescent="0.3">
      <c r="N3909" t="str" cm="1">
        <f t="array" ref="N3909">IF(MOD(ROW()-ROW($B$2),16)=0,INDEX($M$2:$M$1000,(ROW()-ROW($B$2))/16+1),"")</f>
        <v/>
      </c>
    </row>
    <row r="3910" spans="14:14" x14ac:dyDescent="0.3">
      <c r="N3910" t="str" cm="1">
        <f t="array" ref="N3910">IF(MOD(ROW()-ROW($B$2),16)=0,INDEX($M$2:$M$1000,(ROW()-ROW($B$2))/16+1),"")</f>
        <v/>
      </c>
    </row>
    <row r="3911" spans="14:14" x14ac:dyDescent="0.3">
      <c r="N3911" t="str" cm="1">
        <f t="array" ref="N3911">IF(MOD(ROW()-ROW($B$2),16)=0,INDEX($M$2:$M$1000,(ROW()-ROW($B$2))/16+1),"")</f>
        <v/>
      </c>
    </row>
    <row r="3912" spans="14:14" x14ac:dyDescent="0.3">
      <c r="N3912" t="str" cm="1">
        <f t="array" ref="N3912">IF(MOD(ROW()-ROW($B$2),16)=0,INDEX($M$2:$M$1000,(ROW()-ROW($B$2))/16+1),"")</f>
        <v/>
      </c>
    </row>
    <row r="3913" spans="14:14" x14ac:dyDescent="0.3">
      <c r="N3913" t="str" cm="1">
        <f t="array" ref="N3913">IF(MOD(ROW()-ROW($B$2),16)=0,INDEX($M$2:$M$1000,(ROW()-ROW($B$2))/16+1),"")</f>
        <v/>
      </c>
    </row>
    <row r="3914" spans="14:14" x14ac:dyDescent="0.3">
      <c r="N3914" t="str" cm="1">
        <f t="array" ref="N3914">IF(MOD(ROW()-ROW($B$2),16)=0,INDEX($M$2:$M$1000,(ROW()-ROW($B$2))/16+1),"")</f>
        <v/>
      </c>
    </row>
    <row r="3915" spans="14:14" x14ac:dyDescent="0.3">
      <c r="N3915" t="str" cm="1">
        <f t="array" ref="N3915">IF(MOD(ROW()-ROW($B$2),16)=0,INDEX($M$2:$M$1000,(ROW()-ROW($B$2))/16+1),"")</f>
        <v/>
      </c>
    </row>
    <row r="3916" spans="14:14" x14ac:dyDescent="0.3">
      <c r="N3916" t="str" cm="1">
        <f t="array" ref="N3916">IF(MOD(ROW()-ROW($B$2),16)=0,INDEX($M$2:$M$1000,(ROW()-ROW($B$2))/16+1),"")</f>
        <v/>
      </c>
    </row>
    <row r="3917" spans="14:14" x14ac:dyDescent="0.3">
      <c r="N3917" t="str" cm="1">
        <f t="array" ref="N3917">IF(MOD(ROW()-ROW($B$2),16)=0,INDEX($M$2:$M$1000,(ROW()-ROW($B$2))/16+1),"")</f>
        <v/>
      </c>
    </row>
    <row r="3918" spans="14:14" x14ac:dyDescent="0.3">
      <c r="N3918" t="str" cm="1">
        <f t="array" ref="N3918">IF(MOD(ROW()-ROW($B$2),16)=0,INDEX($M$2:$M$1000,(ROW()-ROW($B$2))/16+1),"")</f>
        <v/>
      </c>
    </row>
    <row r="3919" spans="14:14" x14ac:dyDescent="0.3">
      <c r="N3919" t="str" cm="1">
        <f t="array" ref="N3919">IF(MOD(ROW()-ROW($B$2),16)=0,INDEX($M$2:$M$1000,(ROW()-ROW($B$2))/16+1),"")</f>
        <v/>
      </c>
    </row>
    <row r="3920" spans="14:14" x14ac:dyDescent="0.3">
      <c r="N3920" t="str" cm="1">
        <f t="array" ref="N3920">IF(MOD(ROW()-ROW($B$2),16)=0,INDEX($M$2:$M$1000,(ROW()-ROW($B$2))/16+1),"")</f>
        <v/>
      </c>
    </row>
    <row r="3921" spans="14:14" x14ac:dyDescent="0.3">
      <c r="N3921" t="str" cm="1">
        <f t="array" ref="N3921">IF(MOD(ROW()-ROW($B$2),16)=0,INDEX($M$2:$M$1000,(ROW()-ROW($B$2))/16+1),"")</f>
        <v/>
      </c>
    </row>
    <row r="3922" spans="14:14" x14ac:dyDescent="0.3">
      <c r="N3922" t="str" cm="1">
        <f t="array" ref="N3922">IF(MOD(ROW()-ROW($B$2),16)=0,INDEX($M$2:$M$1000,(ROW()-ROW($B$2))/16+1),"")</f>
        <v/>
      </c>
    </row>
    <row r="3923" spans="14:14" x14ac:dyDescent="0.3">
      <c r="N3923" t="str" cm="1">
        <f t="array" ref="N3923">IF(MOD(ROW()-ROW($B$2),16)=0,INDEX($M$2:$M$1000,(ROW()-ROW($B$2))/16+1),"")</f>
        <v/>
      </c>
    </row>
    <row r="3924" spans="14:14" x14ac:dyDescent="0.3">
      <c r="N3924" t="str" cm="1">
        <f t="array" ref="N3924">IF(MOD(ROW()-ROW($B$2),16)=0,INDEX($M$2:$M$1000,(ROW()-ROW($B$2))/16+1),"")</f>
        <v/>
      </c>
    </row>
    <row r="3925" spans="14:14" x14ac:dyDescent="0.3">
      <c r="N3925" t="str" cm="1">
        <f t="array" ref="N3925">IF(MOD(ROW()-ROW($B$2),16)=0,INDEX($M$2:$M$1000,(ROW()-ROW($B$2))/16+1),"")</f>
        <v/>
      </c>
    </row>
    <row r="3926" spans="14:14" x14ac:dyDescent="0.3">
      <c r="N3926" t="str" cm="1">
        <f t="array" ref="N3926">IF(MOD(ROW()-ROW($B$2),16)=0,INDEX($M$2:$M$1000,(ROW()-ROW($B$2))/16+1),"")</f>
        <v/>
      </c>
    </row>
    <row r="3927" spans="14:14" x14ac:dyDescent="0.3">
      <c r="N3927" t="str" cm="1">
        <f t="array" ref="N3927">IF(MOD(ROW()-ROW($B$2),16)=0,INDEX($M$2:$M$1000,(ROW()-ROW($B$2))/16+1),"")</f>
        <v/>
      </c>
    </row>
    <row r="3928" spans="14:14" x14ac:dyDescent="0.3">
      <c r="N3928" t="str" cm="1">
        <f t="array" ref="N3928">IF(MOD(ROW()-ROW($B$2),16)=0,INDEX($M$2:$M$1000,(ROW()-ROW($B$2))/16+1),"")</f>
        <v/>
      </c>
    </row>
    <row r="3929" spans="14:14" x14ac:dyDescent="0.3">
      <c r="N3929" t="str" cm="1">
        <f t="array" ref="N3929">IF(MOD(ROW()-ROW($B$2),16)=0,INDEX($M$2:$M$1000,(ROW()-ROW($B$2))/16+1),"")</f>
        <v/>
      </c>
    </row>
    <row r="3930" spans="14:14" x14ac:dyDescent="0.3">
      <c r="N3930" t="str" cm="1">
        <f t="array" ref="N3930">IF(MOD(ROW()-ROW($B$2),16)=0,INDEX($M$2:$M$1000,(ROW()-ROW($B$2))/16+1),"")</f>
        <v/>
      </c>
    </row>
    <row r="3931" spans="14:14" x14ac:dyDescent="0.3">
      <c r="N3931" t="str" cm="1">
        <f t="array" ref="N3931">IF(MOD(ROW()-ROW($B$2),16)=0,INDEX($M$2:$M$1000,(ROW()-ROW($B$2))/16+1),"")</f>
        <v/>
      </c>
    </row>
    <row r="3932" spans="14:14" x14ac:dyDescent="0.3">
      <c r="N3932" t="str" cm="1">
        <f t="array" ref="N3932">IF(MOD(ROW()-ROW($B$2),16)=0,INDEX($M$2:$M$1000,(ROW()-ROW($B$2))/16+1),"")</f>
        <v/>
      </c>
    </row>
    <row r="3933" spans="14:14" x14ac:dyDescent="0.3">
      <c r="N3933" t="str" cm="1">
        <f t="array" ref="N3933">IF(MOD(ROW()-ROW($B$2),16)=0,INDEX($M$2:$M$1000,(ROW()-ROW($B$2))/16+1),"")</f>
        <v/>
      </c>
    </row>
    <row r="3934" spans="14:14" x14ac:dyDescent="0.3">
      <c r="N3934" t="str" cm="1">
        <f t="array" ref="N3934">IF(MOD(ROW()-ROW($B$2),16)=0,INDEX($M$2:$M$1000,(ROW()-ROW($B$2))/16+1),"")</f>
        <v/>
      </c>
    </row>
    <row r="3935" spans="14:14" x14ac:dyDescent="0.3">
      <c r="N3935" t="str" cm="1">
        <f t="array" ref="N3935">IF(MOD(ROW()-ROW($B$2),16)=0,INDEX($M$2:$M$1000,(ROW()-ROW($B$2))/16+1),"")</f>
        <v/>
      </c>
    </row>
    <row r="3936" spans="14:14" x14ac:dyDescent="0.3">
      <c r="N3936" t="str" cm="1">
        <f t="array" ref="N3936">IF(MOD(ROW()-ROW($B$2),16)=0,INDEX($M$2:$M$1000,(ROW()-ROW($B$2))/16+1),"")</f>
        <v/>
      </c>
    </row>
    <row r="3937" spans="14:14" x14ac:dyDescent="0.3">
      <c r="N3937" t="str" cm="1">
        <f t="array" ref="N3937">IF(MOD(ROW()-ROW($B$2),16)=0,INDEX($M$2:$M$1000,(ROW()-ROW($B$2))/16+1),"")</f>
        <v/>
      </c>
    </row>
    <row r="3938" spans="14:14" x14ac:dyDescent="0.3">
      <c r="N3938" t="str" cm="1">
        <f t="array" ref="N3938">IF(MOD(ROW()-ROW($B$2),16)=0,INDEX($M$2:$M$1000,(ROW()-ROW($B$2))/16+1),"")</f>
        <v/>
      </c>
    </row>
    <row r="3939" spans="14:14" x14ac:dyDescent="0.3">
      <c r="N3939" t="str" cm="1">
        <f t="array" ref="N3939">IF(MOD(ROW()-ROW($B$2),16)=0,INDEX($M$2:$M$1000,(ROW()-ROW($B$2))/16+1),"")</f>
        <v/>
      </c>
    </row>
    <row r="3940" spans="14:14" x14ac:dyDescent="0.3">
      <c r="N3940" t="str" cm="1">
        <f t="array" ref="N3940">IF(MOD(ROW()-ROW($B$2),16)=0,INDEX($M$2:$M$1000,(ROW()-ROW($B$2))/16+1),"")</f>
        <v/>
      </c>
    </row>
    <row r="3941" spans="14:14" x14ac:dyDescent="0.3">
      <c r="N3941" t="str" cm="1">
        <f t="array" ref="N3941">IF(MOD(ROW()-ROW($B$2),16)=0,INDEX($M$2:$M$1000,(ROW()-ROW($B$2))/16+1),"")</f>
        <v/>
      </c>
    </row>
    <row r="3942" spans="14:14" x14ac:dyDescent="0.3">
      <c r="N3942" t="str" cm="1">
        <f t="array" ref="N3942">IF(MOD(ROW()-ROW($B$2),16)=0,INDEX($M$2:$M$1000,(ROW()-ROW($B$2))/16+1),"")</f>
        <v/>
      </c>
    </row>
    <row r="3943" spans="14:14" x14ac:dyDescent="0.3">
      <c r="N3943" t="str" cm="1">
        <f t="array" ref="N3943">IF(MOD(ROW()-ROW($B$2),16)=0,INDEX($M$2:$M$1000,(ROW()-ROW($B$2))/16+1),"")</f>
        <v/>
      </c>
    </row>
    <row r="3944" spans="14:14" x14ac:dyDescent="0.3">
      <c r="N3944" t="str" cm="1">
        <f t="array" ref="N3944">IF(MOD(ROW()-ROW($B$2),16)=0,INDEX($M$2:$M$1000,(ROW()-ROW($B$2))/16+1),"")</f>
        <v/>
      </c>
    </row>
    <row r="3945" spans="14:14" x14ac:dyDescent="0.3">
      <c r="N3945" t="str" cm="1">
        <f t="array" ref="N3945">IF(MOD(ROW()-ROW($B$2),16)=0,INDEX($M$2:$M$1000,(ROW()-ROW($B$2))/16+1),"")</f>
        <v/>
      </c>
    </row>
    <row r="3946" spans="14:14" x14ac:dyDescent="0.3">
      <c r="N3946" t="str" cm="1">
        <f t="array" ref="N3946">IF(MOD(ROW()-ROW($B$2),16)=0,INDEX($M$2:$M$1000,(ROW()-ROW($B$2))/16+1),"")</f>
        <v/>
      </c>
    </row>
    <row r="3947" spans="14:14" x14ac:dyDescent="0.3">
      <c r="N3947" t="str" cm="1">
        <f t="array" ref="N3947">IF(MOD(ROW()-ROW($B$2),16)=0,INDEX($M$2:$M$1000,(ROW()-ROW($B$2))/16+1),"")</f>
        <v/>
      </c>
    </row>
    <row r="3948" spans="14:14" x14ac:dyDescent="0.3">
      <c r="N3948" t="str" cm="1">
        <f t="array" ref="N3948">IF(MOD(ROW()-ROW($B$2),16)=0,INDEX($M$2:$M$1000,(ROW()-ROW($B$2))/16+1),"")</f>
        <v/>
      </c>
    </row>
    <row r="3949" spans="14:14" x14ac:dyDescent="0.3">
      <c r="N3949" t="str" cm="1">
        <f t="array" ref="N3949">IF(MOD(ROW()-ROW($B$2),16)=0,INDEX($M$2:$M$1000,(ROW()-ROW($B$2))/16+1),"")</f>
        <v/>
      </c>
    </row>
    <row r="3950" spans="14:14" x14ac:dyDescent="0.3">
      <c r="N3950" t="str" cm="1">
        <f t="array" ref="N3950">IF(MOD(ROW()-ROW($B$2),16)=0,INDEX($M$2:$M$1000,(ROW()-ROW($B$2))/16+1),"")</f>
        <v/>
      </c>
    </row>
    <row r="3951" spans="14:14" x14ac:dyDescent="0.3">
      <c r="N3951" t="str" cm="1">
        <f t="array" ref="N3951">IF(MOD(ROW()-ROW($B$2),16)=0,INDEX($M$2:$M$1000,(ROW()-ROW($B$2))/16+1),"")</f>
        <v/>
      </c>
    </row>
    <row r="3952" spans="14:14" x14ac:dyDescent="0.3">
      <c r="N3952" t="str" cm="1">
        <f t="array" ref="N3952">IF(MOD(ROW()-ROW($B$2),16)=0,INDEX($M$2:$M$1000,(ROW()-ROW($B$2))/16+1),"")</f>
        <v/>
      </c>
    </row>
    <row r="3953" spans="14:14" x14ac:dyDescent="0.3">
      <c r="N3953" t="str" cm="1">
        <f t="array" ref="N3953">IF(MOD(ROW()-ROW($B$2),16)=0,INDEX($M$2:$M$1000,(ROW()-ROW($B$2))/16+1),"")</f>
        <v/>
      </c>
    </row>
    <row r="3954" spans="14:14" x14ac:dyDescent="0.3">
      <c r="N3954" t="str" cm="1">
        <f t="array" ref="N3954">IF(MOD(ROW()-ROW($B$2),16)=0,INDEX($M$2:$M$1000,(ROW()-ROW($B$2))/16+1),"")</f>
        <v/>
      </c>
    </row>
    <row r="3955" spans="14:14" x14ac:dyDescent="0.3">
      <c r="N3955" t="str" cm="1">
        <f t="array" ref="N3955">IF(MOD(ROW()-ROW($B$2),16)=0,INDEX($M$2:$M$1000,(ROW()-ROW($B$2))/16+1),"")</f>
        <v/>
      </c>
    </row>
    <row r="3956" spans="14:14" x14ac:dyDescent="0.3">
      <c r="N3956" t="str" cm="1">
        <f t="array" ref="N3956">IF(MOD(ROW()-ROW($B$2),16)=0,INDEX($M$2:$M$1000,(ROW()-ROW($B$2))/16+1),"")</f>
        <v/>
      </c>
    </row>
    <row r="3957" spans="14:14" x14ac:dyDescent="0.3">
      <c r="N3957" t="str" cm="1">
        <f t="array" ref="N3957">IF(MOD(ROW()-ROW($B$2),16)=0,INDEX($M$2:$M$1000,(ROW()-ROW($B$2))/16+1),"")</f>
        <v/>
      </c>
    </row>
    <row r="3958" spans="14:14" x14ac:dyDescent="0.3">
      <c r="N3958" t="str" cm="1">
        <f t="array" ref="N3958">IF(MOD(ROW()-ROW($B$2),16)=0,INDEX($M$2:$M$1000,(ROW()-ROW($B$2))/16+1),"")</f>
        <v/>
      </c>
    </row>
    <row r="3959" spans="14:14" x14ac:dyDescent="0.3">
      <c r="N3959" t="str" cm="1">
        <f t="array" ref="N3959">IF(MOD(ROW()-ROW($B$2),16)=0,INDEX($M$2:$M$1000,(ROW()-ROW($B$2))/16+1),"")</f>
        <v/>
      </c>
    </row>
    <row r="3960" spans="14:14" x14ac:dyDescent="0.3">
      <c r="N3960" t="str" cm="1">
        <f t="array" ref="N3960">IF(MOD(ROW()-ROW($B$2),16)=0,INDEX($M$2:$M$1000,(ROW()-ROW($B$2))/16+1),"")</f>
        <v/>
      </c>
    </row>
    <row r="3961" spans="14:14" x14ac:dyDescent="0.3">
      <c r="N3961" t="str" cm="1">
        <f t="array" ref="N3961">IF(MOD(ROW()-ROW($B$2),16)=0,INDEX($M$2:$M$1000,(ROW()-ROW($B$2))/16+1),"")</f>
        <v/>
      </c>
    </row>
    <row r="3962" spans="14:14" x14ac:dyDescent="0.3">
      <c r="N3962" t="str" cm="1">
        <f t="array" ref="N3962">IF(MOD(ROW()-ROW($B$2),16)=0,INDEX($M$2:$M$1000,(ROW()-ROW($B$2))/16+1),"")</f>
        <v/>
      </c>
    </row>
    <row r="3963" spans="14:14" x14ac:dyDescent="0.3">
      <c r="N3963" t="str" cm="1">
        <f t="array" ref="N3963">IF(MOD(ROW()-ROW($B$2),16)=0,INDEX($M$2:$M$1000,(ROW()-ROW($B$2))/16+1),"")</f>
        <v/>
      </c>
    </row>
    <row r="3964" spans="14:14" x14ac:dyDescent="0.3">
      <c r="N3964" t="str" cm="1">
        <f t="array" ref="N3964">IF(MOD(ROW()-ROW($B$2),16)=0,INDEX($M$2:$M$1000,(ROW()-ROW($B$2))/16+1),"")</f>
        <v/>
      </c>
    </row>
    <row r="3965" spans="14:14" x14ac:dyDescent="0.3">
      <c r="N3965" t="str" cm="1">
        <f t="array" ref="N3965">IF(MOD(ROW()-ROW($B$2),16)=0,INDEX($M$2:$M$1000,(ROW()-ROW($B$2))/16+1),"")</f>
        <v/>
      </c>
    </row>
    <row r="3966" spans="14:14" x14ac:dyDescent="0.3">
      <c r="N3966" t="str" cm="1">
        <f t="array" ref="N3966">IF(MOD(ROW()-ROW($B$2),16)=0,INDEX($M$2:$M$1000,(ROW()-ROW($B$2))/16+1),"")</f>
        <v/>
      </c>
    </row>
    <row r="3967" spans="14:14" x14ac:dyDescent="0.3">
      <c r="N3967" t="str" cm="1">
        <f t="array" ref="N3967">IF(MOD(ROW()-ROW($B$2),16)=0,INDEX($M$2:$M$1000,(ROW()-ROW($B$2))/16+1),"")</f>
        <v/>
      </c>
    </row>
    <row r="3968" spans="14:14" x14ac:dyDescent="0.3">
      <c r="N3968" t="str" cm="1">
        <f t="array" ref="N3968">IF(MOD(ROW()-ROW($B$2),16)=0,INDEX($M$2:$M$1000,(ROW()-ROW($B$2))/16+1),"")</f>
        <v/>
      </c>
    </row>
    <row r="3969" spans="14:14" x14ac:dyDescent="0.3">
      <c r="N3969" t="str" cm="1">
        <f t="array" ref="N3969">IF(MOD(ROW()-ROW($B$2),16)=0,INDEX($M$2:$M$1000,(ROW()-ROW($B$2))/16+1),"")</f>
        <v/>
      </c>
    </row>
    <row r="3970" spans="14:14" x14ac:dyDescent="0.3">
      <c r="N3970" t="str" cm="1">
        <f t="array" ref="N3970">IF(MOD(ROW()-ROW($B$2),16)=0,INDEX($M$2:$M$1000,(ROW()-ROW($B$2))/16+1),"")</f>
        <v/>
      </c>
    </row>
    <row r="3971" spans="14:14" x14ac:dyDescent="0.3">
      <c r="N3971" t="str" cm="1">
        <f t="array" ref="N3971">IF(MOD(ROW()-ROW($B$2),16)=0,INDEX($M$2:$M$1000,(ROW()-ROW($B$2))/16+1),"")</f>
        <v/>
      </c>
    </row>
    <row r="3972" spans="14:14" x14ac:dyDescent="0.3">
      <c r="N3972" t="str" cm="1">
        <f t="array" ref="N3972">IF(MOD(ROW()-ROW($B$2),16)=0,INDEX($M$2:$M$1000,(ROW()-ROW($B$2))/16+1),"")</f>
        <v/>
      </c>
    </row>
    <row r="3973" spans="14:14" x14ac:dyDescent="0.3">
      <c r="N3973" t="str" cm="1">
        <f t="array" ref="N3973">IF(MOD(ROW()-ROW($B$2),16)=0,INDEX($M$2:$M$1000,(ROW()-ROW($B$2))/16+1),"")</f>
        <v/>
      </c>
    </row>
    <row r="3974" spans="14:14" x14ac:dyDescent="0.3">
      <c r="N3974" t="str" cm="1">
        <f t="array" ref="N3974">IF(MOD(ROW()-ROW($B$2),16)=0,INDEX($M$2:$M$1000,(ROW()-ROW($B$2))/16+1),"")</f>
        <v/>
      </c>
    </row>
    <row r="3975" spans="14:14" x14ac:dyDescent="0.3">
      <c r="N3975" t="str" cm="1">
        <f t="array" ref="N3975">IF(MOD(ROW()-ROW($B$2),16)=0,INDEX($M$2:$M$1000,(ROW()-ROW($B$2))/16+1),"")</f>
        <v/>
      </c>
    </row>
    <row r="3976" spans="14:14" x14ac:dyDescent="0.3">
      <c r="N3976" t="str" cm="1">
        <f t="array" ref="N3976">IF(MOD(ROW()-ROW($B$2),16)=0,INDEX($M$2:$M$1000,(ROW()-ROW($B$2))/16+1),"")</f>
        <v/>
      </c>
    </row>
    <row r="3977" spans="14:14" x14ac:dyDescent="0.3">
      <c r="N3977" t="str" cm="1">
        <f t="array" ref="N3977">IF(MOD(ROW()-ROW($B$2),16)=0,INDEX($M$2:$M$1000,(ROW()-ROW($B$2))/16+1),"")</f>
        <v/>
      </c>
    </row>
    <row r="3978" spans="14:14" x14ac:dyDescent="0.3">
      <c r="N3978" t="str" cm="1">
        <f t="array" ref="N3978">IF(MOD(ROW()-ROW($B$2),16)=0,INDEX($M$2:$M$1000,(ROW()-ROW($B$2))/16+1),"")</f>
        <v/>
      </c>
    </row>
    <row r="3979" spans="14:14" x14ac:dyDescent="0.3">
      <c r="N3979" t="str" cm="1">
        <f t="array" ref="N3979">IF(MOD(ROW()-ROW($B$2),16)=0,INDEX($M$2:$M$1000,(ROW()-ROW($B$2))/16+1),"")</f>
        <v/>
      </c>
    </row>
    <row r="3980" spans="14:14" x14ac:dyDescent="0.3">
      <c r="N3980" t="str" cm="1">
        <f t="array" ref="N3980">IF(MOD(ROW()-ROW($B$2),16)=0,INDEX($M$2:$M$1000,(ROW()-ROW($B$2))/16+1),"")</f>
        <v/>
      </c>
    </row>
    <row r="3981" spans="14:14" x14ac:dyDescent="0.3">
      <c r="N3981" t="str" cm="1">
        <f t="array" ref="N3981">IF(MOD(ROW()-ROW($B$2),16)=0,INDEX($M$2:$M$1000,(ROW()-ROW($B$2))/16+1),"")</f>
        <v/>
      </c>
    </row>
    <row r="3982" spans="14:14" x14ac:dyDescent="0.3">
      <c r="N3982" t="str" cm="1">
        <f t="array" ref="N3982">IF(MOD(ROW()-ROW($B$2),16)=0,INDEX($M$2:$M$1000,(ROW()-ROW($B$2))/16+1),"")</f>
        <v/>
      </c>
    </row>
    <row r="3983" spans="14:14" x14ac:dyDescent="0.3">
      <c r="N3983" t="str" cm="1">
        <f t="array" ref="N3983">IF(MOD(ROW()-ROW($B$2),16)=0,INDEX($M$2:$M$1000,(ROW()-ROW($B$2))/16+1),"")</f>
        <v/>
      </c>
    </row>
    <row r="3984" spans="14:14" x14ac:dyDescent="0.3">
      <c r="N3984" t="str" cm="1">
        <f t="array" ref="N3984">IF(MOD(ROW()-ROW($B$2),16)=0,INDEX($M$2:$M$1000,(ROW()-ROW($B$2))/16+1),"")</f>
        <v/>
      </c>
    </row>
    <row r="3985" spans="14:14" x14ac:dyDescent="0.3">
      <c r="N3985" t="str" cm="1">
        <f t="array" ref="N3985">IF(MOD(ROW()-ROW($B$2),16)=0,INDEX($M$2:$M$1000,(ROW()-ROW($B$2))/16+1),"")</f>
        <v/>
      </c>
    </row>
    <row r="3986" spans="14:14" x14ac:dyDescent="0.3">
      <c r="N3986" t="str" cm="1">
        <f t="array" ref="N3986">IF(MOD(ROW()-ROW($B$2),16)=0,INDEX($M$2:$M$1000,(ROW()-ROW($B$2))/16+1),"")</f>
        <v/>
      </c>
    </row>
    <row r="3987" spans="14:14" x14ac:dyDescent="0.3">
      <c r="N3987" t="str" cm="1">
        <f t="array" ref="N3987">IF(MOD(ROW()-ROW($B$2),16)=0,INDEX($M$2:$M$1000,(ROW()-ROW($B$2))/16+1),"")</f>
        <v/>
      </c>
    </row>
    <row r="3988" spans="14:14" x14ac:dyDescent="0.3">
      <c r="N3988" t="str" cm="1">
        <f t="array" ref="N3988">IF(MOD(ROW()-ROW($B$2),16)=0,INDEX($M$2:$M$1000,(ROW()-ROW($B$2))/16+1),"")</f>
        <v/>
      </c>
    </row>
    <row r="3989" spans="14:14" x14ac:dyDescent="0.3">
      <c r="N3989" t="str" cm="1">
        <f t="array" ref="N3989">IF(MOD(ROW()-ROW($B$2),16)=0,INDEX($M$2:$M$1000,(ROW()-ROW($B$2))/16+1),"")</f>
        <v/>
      </c>
    </row>
    <row r="3990" spans="14:14" x14ac:dyDescent="0.3">
      <c r="N3990" t="str" cm="1">
        <f t="array" ref="N3990">IF(MOD(ROW()-ROW($B$2),16)=0,INDEX($M$2:$M$1000,(ROW()-ROW($B$2))/16+1),"")</f>
        <v/>
      </c>
    </row>
    <row r="3991" spans="14:14" x14ac:dyDescent="0.3">
      <c r="N3991" t="str" cm="1">
        <f t="array" ref="N3991">IF(MOD(ROW()-ROW($B$2),16)=0,INDEX($M$2:$M$1000,(ROW()-ROW($B$2))/16+1),"")</f>
        <v/>
      </c>
    </row>
    <row r="3992" spans="14:14" x14ac:dyDescent="0.3">
      <c r="N3992" t="str" cm="1">
        <f t="array" ref="N3992">IF(MOD(ROW()-ROW($B$2),16)=0,INDEX($M$2:$M$1000,(ROW()-ROW($B$2))/16+1),"")</f>
        <v/>
      </c>
    </row>
    <row r="3993" spans="14:14" x14ac:dyDescent="0.3">
      <c r="N3993" t="str" cm="1">
        <f t="array" ref="N3993">IF(MOD(ROW()-ROW($B$2),16)=0,INDEX($M$2:$M$1000,(ROW()-ROW($B$2))/16+1),"")</f>
        <v/>
      </c>
    </row>
    <row r="3994" spans="14:14" x14ac:dyDescent="0.3">
      <c r="N3994" t="str" cm="1">
        <f t="array" ref="N3994">IF(MOD(ROW()-ROW($B$2),16)=0,INDEX($M$2:$M$1000,(ROW()-ROW($B$2))/16+1),"")</f>
        <v/>
      </c>
    </row>
    <row r="3995" spans="14:14" x14ac:dyDescent="0.3">
      <c r="N3995" t="str" cm="1">
        <f t="array" ref="N3995">IF(MOD(ROW()-ROW($B$2),16)=0,INDEX($M$2:$M$1000,(ROW()-ROW($B$2))/16+1),"")</f>
        <v/>
      </c>
    </row>
    <row r="3996" spans="14:14" x14ac:dyDescent="0.3">
      <c r="N3996" t="str" cm="1">
        <f t="array" ref="N3996">IF(MOD(ROW()-ROW($B$2),16)=0,INDEX($M$2:$M$1000,(ROW()-ROW($B$2))/16+1),"")</f>
        <v/>
      </c>
    </row>
    <row r="3997" spans="14:14" x14ac:dyDescent="0.3">
      <c r="N3997" t="str" cm="1">
        <f t="array" ref="N3997">IF(MOD(ROW()-ROW($B$2),16)=0,INDEX($M$2:$M$1000,(ROW()-ROW($B$2))/16+1),"")</f>
        <v/>
      </c>
    </row>
    <row r="3998" spans="14:14" x14ac:dyDescent="0.3">
      <c r="N3998" t="str" cm="1">
        <f t="array" ref="N3998">IF(MOD(ROW()-ROW($B$2),16)=0,INDEX($M$2:$M$1000,(ROW()-ROW($B$2))/16+1),"")</f>
        <v/>
      </c>
    </row>
    <row r="3999" spans="14:14" x14ac:dyDescent="0.3">
      <c r="N3999" t="str" cm="1">
        <f t="array" ref="N3999">IF(MOD(ROW()-ROW($B$2),16)=0,INDEX($M$2:$M$1000,(ROW()-ROW($B$2))/16+1),"")</f>
        <v/>
      </c>
    </row>
    <row r="4000" spans="14:14" x14ac:dyDescent="0.3">
      <c r="N4000" t="str" cm="1">
        <f t="array" ref="N4000">IF(MOD(ROW()-ROW($B$2),16)=0,INDEX($M$2:$M$1000,(ROW()-ROW($B$2))/16+1),"")</f>
        <v/>
      </c>
    </row>
    <row r="4001" spans="14:14" x14ac:dyDescent="0.3">
      <c r="N4001" t="str" cm="1">
        <f t="array" ref="N4001">IF(MOD(ROW()-ROW($B$2),16)=0,INDEX($M$2:$M$1000,(ROW()-ROW($B$2))/16+1),"")</f>
        <v/>
      </c>
    </row>
    <row r="4002" spans="14:14" x14ac:dyDescent="0.3">
      <c r="N4002" t="str" cm="1">
        <f t="array" ref="N4002">IF(MOD(ROW()-ROW($B$2),16)=0,INDEX($M$2:$M$1000,(ROW()-ROW($B$2))/16+1),"")</f>
        <v>Пароль от уровня 1 (0)</v>
      </c>
    </row>
    <row r="4003" spans="14:14" x14ac:dyDescent="0.3">
      <c r="N4003" t="str" cm="1">
        <f t="array" ref="N4003">IF(MOD(ROW()-ROW($B$2),16)=0,INDEX($M$2:$M$1000,(ROW()-ROW($B$2))/16+1),"")</f>
        <v/>
      </c>
    </row>
    <row r="4004" spans="14:14" x14ac:dyDescent="0.3">
      <c r="N4004" t="str" cm="1">
        <f t="array" ref="N4004">IF(MOD(ROW()-ROW($B$2),16)=0,INDEX($M$2:$M$1000,(ROW()-ROW($B$2))/16+1),"")</f>
        <v/>
      </c>
    </row>
    <row r="4005" spans="14:14" x14ac:dyDescent="0.3">
      <c r="N4005" t="str" cm="1">
        <f t="array" ref="N4005">IF(MOD(ROW()-ROW($B$2),16)=0,INDEX($M$2:$M$1000,(ROW()-ROW($B$2))/16+1),"")</f>
        <v/>
      </c>
    </row>
    <row r="4006" spans="14:14" x14ac:dyDescent="0.3">
      <c r="N4006" t="str" cm="1">
        <f t="array" ref="N4006">IF(MOD(ROW()-ROW($B$2),16)=0,INDEX($M$2:$M$1000,(ROW()-ROW($B$2))/16+1),"")</f>
        <v/>
      </c>
    </row>
    <row r="4007" spans="14:14" x14ac:dyDescent="0.3">
      <c r="N4007" t="str" cm="1">
        <f t="array" ref="N4007">IF(MOD(ROW()-ROW($B$2),16)=0,INDEX($M$2:$M$1000,(ROW()-ROW($B$2))/16+1),"")</f>
        <v/>
      </c>
    </row>
    <row r="4008" spans="14:14" x14ac:dyDescent="0.3">
      <c r="N4008" t="str" cm="1">
        <f t="array" ref="N4008">IF(MOD(ROW()-ROW($B$2),16)=0,INDEX($M$2:$M$1000,(ROW()-ROW($B$2))/16+1),"")</f>
        <v/>
      </c>
    </row>
    <row r="4009" spans="14:14" x14ac:dyDescent="0.3">
      <c r="N4009" t="str" cm="1">
        <f t="array" ref="N4009">IF(MOD(ROW()-ROW($B$2),16)=0,INDEX($M$2:$M$1000,(ROW()-ROW($B$2))/16+1),"")</f>
        <v/>
      </c>
    </row>
    <row r="4010" spans="14:14" x14ac:dyDescent="0.3">
      <c r="N4010" t="str" cm="1">
        <f t="array" ref="N4010">IF(MOD(ROW()-ROW($B$2),16)=0,INDEX($M$2:$M$1000,(ROW()-ROW($B$2))/16+1),"")</f>
        <v/>
      </c>
    </row>
    <row r="4011" spans="14:14" x14ac:dyDescent="0.3">
      <c r="N4011" t="str" cm="1">
        <f t="array" ref="N4011">IF(MOD(ROW()-ROW($B$2),16)=0,INDEX($M$2:$M$1000,(ROW()-ROW($B$2))/16+1),"")</f>
        <v/>
      </c>
    </row>
    <row r="4012" spans="14:14" x14ac:dyDescent="0.3">
      <c r="N4012" t="str" cm="1">
        <f t="array" ref="N4012">IF(MOD(ROW()-ROW($B$2),16)=0,INDEX($M$2:$M$1000,(ROW()-ROW($B$2))/16+1),"")</f>
        <v/>
      </c>
    </row>
    <row r="4013" spans="14:14" x14ac:dyDescent="0.3">
      <c r="N4013" t="str" cm="1">
        <f t="array" ref="N4013">IF(MOD(ROW()-ROW($B$2),16)=0,INDEX($M$2:$M$1000,(ROW()-ROW($B$2))/16+1),"")</f>
        <v/>
      </c>
    </row>
    <row r="4014" spans="14:14" x14ac:dyDescent="0.3">
      <c r="N4014" t="str" cm="1">
        <f t="array" ref="N4014">IF(MOD(ROW()-ROW($B$2),16)=0,INDEX($M$2:$M$1000,(ROW()-ROW($B$2))/16+1),"")</f>
        <v/>
      </c>
    </row>
    <row r="4015" spans="14:14" x14ac:dyDescent="0.3">
      <c r="N4015" t="str" cm="1">
        <f t="array" ref="N4015">IF(MOD(ROW()-ROW($B$2),16)=0,INDEX($M$2:$M$1000,(ROW()-ROW($B$2))/16+1),"")</f>
        <v/>
      </c>
    </row>
    <row r="4016" spans="14:14" x14ac:dyDescent="0.3">
      <c r="N4016" t="str" cm="1">
        <f t="array" ref="N4016">IF(MOD(ROW()-ROW($B$2),16)=0,INDEX($M$2:$M$1000,(ROW()-ROW($B$2))/16+1),"")</f>
        <v/>
      </c>
    </row>
    <row r="4017" spans="14:14" x14ac:dyDescent="0.3">
      <c r="N4017" t="str" cm="1">
        <f t="array" ref="N4017">IF(MOD(ROW()-ROW($B$2),16)=0,INDEX($M$2:$M$1000,(ROW()-ROW($B$2))/16+1),"")</f>
        <v/>
      </c>
    </row>
    <row r="4018" spans="14:14" x14ac:dyDescent="0.3">
      <c r="N4018" t="str" cm="1">
        <f t="array" ref="N4018">IF(MOD(ROW()-ROW($B$2),16)=0,INDEX($M$2:$M$1000,(ROW()-ROW($B$2))/16+1),"")</f>
        <v/>
      </c>
    </row>
    <row r="4019" spans="14:14" x14ac:dyDescent="0.3">
      <c r="N4019" t="str" cm="1">
        <f t="array" ref="N4019">IF(MOD(ROW()-ROW($B$2),16)=0,INDEX($M$2:$M$1000,(ROW()-ROW($B$2))/16+1),"")</f>
        <v/>
      </c>
    </row>
    <row r="4020" spans="14:14" x14ac:dyDescent="0.3">
      <c r="N4020" t="str" cm="1">
        <f t="array" ref="N4020">IF(MOD(ROW()-ROW($B$2),16)=0,INDEX($M$2:$M$1000,(ROW()-ROW($B$2))/16+1),"")</f>
        <v/>
      </c>
    </row>
    <row r="4021" spans="14:14" x14ac:dyDescent="0.3">
      <c r="N4021" t="str" cm="1">
        <f t="array" ref="N4021">IF(MOD(ROW()-ROW($B$2),16)=0,INDEX($M$2:$M$1000,(ROW()-ROW($B$2))/16+1),"")</f>
        <v/>
      </c>
    </row>
    <row r="4022" spans="14:14" x14ac:dyDescent="0.3">
      <c r="N4022" t="str" cm="1">
        <f t="array" ref="N4022">IF(MOD(ROW()-ROW($B$2),16)=0,INDEX($M$2:$M$1000,(ROW()-ROW($B$2))/16+1),"")</f>
        <v/>
      </c>
    </row>
    <row r="4023" spans="14:14" x14ac:dyDescent="0.3">
      <c r="N4023" t="str" cm="1">
        <f t="array" ref="N4023">IF(MOD(ROW()-ROW($B$2),16)=0,INDEX($M$2:$M$1000,(ROW()-ROW($B$2))/16+1),"")</f>
        <v/>
      </c>
    </row>
    <row r="4024" spans="14:14" x14ac:dyDescent="0.3">
      <c r="N4024" t="str" cm="1">
        <f t="array" ref="N4024">IF(MOD(ROW()-ROW($B$2),16)=0,INDEX($M$2:$M$1000,(ROW()-ROW($B$2))/16+1),"")</f>
        <v/>
      </c>
    </row>
    <row r="4025" spans="14:14" x14ac:dyDescent="0.3">
      <c r="N4025" t="str" cm="1">
        <f t="array" ref="N4025">IF(MOD(ROW()-ROW($B$2),16)=0,INDEX($M$2:$M$1000,(ROW()-ROW($B$2))/16+1),"")</f>
        <v/>
      </c>
    </row>
    <row r="4026" spans="14:14" x14ac:dyDescent="0.3">
      <c r="N4026" t="str" cm="1">
        <f t="array" ref="N4026">IF(MOD(ROW()-ROW($B$2),16)=0,INDEX($M$2:$M$1000,(ROW()-ROW($B$2))/16+1),"")</f>
        <v/>
      </c>
    </row>
    <row r="4027" spans="14:14" x14ac:dyDescent="0.3">
      <c r="N4027" t="str" cm="1">
        <f t="array" ref="N4027">IF(MOD(ROW()-ROW($B$2),16)=0,INDEX($M$2:$M$1000,(ROW()-ROW($B$2))/16+1),"")</f>
        <v/>
      </c>
    </row>
    <row r="4028" spans="14:14" x14ac:dyDescent="0.3">
      <c r="N4028" t="str" cm="1">
        <f t="array" ref="N4028">IF(MOD(ROW()-ROW($B$2),16)=0,INDEX($M$2:$M$1000,(ROW()-ROW($B$2))/16+1),"")</f>
        <v/>
      </c>
    </row>
    <row r="4029" spans="14:14" x14ac:dyDescent="0.3">
      <c r="N4029" t="str" cm="1">
        <f t="array" ref="N4029">IF(MOD(ROW()-ROW($B$2),16)=0,INDEX($M$2:$M$1000,(ROW()-ROW($B$2))/16+1),"")</f>
        <v/>
      </c>
    </row>
    <row r="4030" spans="14:14" x14ac:dyDescent="0.3">
      <c r="N4030" t="str" cm="1">
        <f t="array" ref="N4030">IF(MOD(ROW()-ROW($B$2),16)=0,INDEX($M$2:$M$1000,(ROW()-ROW($B$2))/16+1),"")</f>
        <v/>
      </c>
    </row>
    <row r="4031" spans="14:14" x14ac:dyDescent="0.3">
      <c r="N4031" t="str" cm="1">
        <f t="array" ref="N4031">IF(MOD(ROW()-ROW($B$2),16)=0,INDEX($M$2:$M$1000,(ROW()-ROW($B$2))/16+1),"")</f>
        <v/>
      </c>
    </row>
    <row r="4032" spans="14:14" x14ac:dyDescent="0.3">
      <c r="N4032" t="str" cm="1">
        <f t="array" ref="N4032">IF(MOD(ROW()-ROW($B$2),16)=0,INDEX($M$2:$M$1000,(ROW()-ROW($B$2))/16+1),"")</f>
        <v/>
      </c>
    </row>
    <row r="4033" spans="14:14" x14ac:dyDescent="0.3">
      <c r="N4033" t="str" cm="1">
        <f t="array" ref="N4033">IF(MOD(ROW()-ROW($B$2),16)=0,INDEX($M$2:$M$1000,(ROW()-ROW($B$2))/16+1),"")</f>
        <v/>
      </c>
    </row>
    <row r="4034" spans="14:14" x14ac:dyDescent="0.3">
      <c r="N4034" t="str" cm="1">
        <f t="array" ref="N4034">IF(MOD(ROW()-ROW($B$2),16)=0,INDEX($M$2:$M$1000,(ROW()-ROW($B$2))/16+1),"")</f>
        <v/>
      </c>
    </row>
    <row r="4035" spans="14:14" x14ac:dyDescent="0.3">
      <c r="N4035" t="str" cm="1">
        <f t="array" ref="N4035">IF(MOD(ROW()-ROW($B$2),16)=0,INDEX($M$2:$M$1000,(ROW()-ROW($B$2))/16+1),"")</f>
        <v/>
      </c>
    </row>
    <row r="4036" spans="14:14" x14ac:dyDescent="0.3">
      <c r="N4036" t="str" cm="1">
        <f t="array" ref="N4036">IF(MOD(ROW()-ROW($B$2),16)=0,INDEX($M$2:$M$1000,(ROW()-ROW($B$2))/16+1),"")</f>
        <v/>
      </c>
    </row>
    <row r="4037" spans="14:14" x14ac:dyDescent="0.3">
      <c r="N4037" t="str" cm="1">
        <f t="array" ref="N4037">IF(MOD(ROW()-ROW($B$2),16)=0,INDEX($M$2:$M$1000,(ROW()-ROW($B$2))/16+1),"")</f>
        <v/>
      </c>
    </row>
    <row r="4038" spans="14:14" x14ac:dyDescent="0.3">
      <c r="N4038" t="str" cm="1">
        <f t="array" ref="N4038">IF(MOD(ROW()-ROW($B$2),16)=0,INDEX($M$2:$M$1000,(ROW()-ROW($B$2))/16+1),"")</f>
        <v/>
      </c>
    </row>
    <row r="4039" spans="14:14" x14ac:dyDescent="0.3">
      <c r="N4039" t="str" cm="1">
        <f t="array" ref="N4039">IF(MOD(ROW()-ROW($B$2),16)=0,INDEX($M$2:$M$1000,(ROW()-ROW($B$2))/16+1),"")</f>
        <v/>
      </c>
    </row>
    <row r="4040" spans="14:14" x14ac:dyDescent="0.3">
      <c r="N4040" t="str" cm="1">
        <f t="array" ref="N4040">IF(MOD(ROW()-ROW($B$2),16)=0,INDEX($M$2:$M$1000,(ROW()-ROW($B$2))/16+1),"")</f>
        <v/>
      </c>
    </row>
    <row r="4041" spans="14:14" x14ac:dyDescent="0.3">
      <c r="N4041" t="str" cm="1">
        <f t="array" ref="N4041">IF(MOD(ROW()-ROW($B$2),16)=0,INDEX($M$2:$M$1000,(ROW()-ROW($B$2))/16+1),"")</f>
        <v/>
      </c>
    </row>
    <row r="4042" spans="14:14" x14ac:dyDescent="0.3">
      <c r="N4042" t="str" cm="1">
        <f t="array" ref="N4042">IF(MOD(ROW()-ROW($B$2),16)=0,INDEX($M$2:$M$1000,(ROW()-ROW($B$2))/16+1),"")</f>
        <v/>
      </c>
    </row>
    <row r="4043" spans="14:14" x14ac:dyDescent="0.3">
      <c r="N4043" t="str" cm="1">
        <f t="array" ref="N4043">IF(MOD(ROW()-ROW($B$2),16)=0,INDEX($M$2:$M$1000,(ROW()-ROW($B$2))/16+1),"")</f>
        <v/>
      </c>
    </row>
    <row r="4044" spans="14:14" x14ac:dyDescent="0.3">
      <c r="N4044" t="str" cm="1">
        <f t="array" ref="N4044">IF(MOD(ROW()-ROW($B$2),16)=0,INDEX($M$2:$M$1000,(ROW()-ROW($B$2))/16+1),"")</f>
        <v/>
      </c>
    </row>
    <row r="4045" spans="14:14" x14ac:dyDescent="0.3">
      <c r="N4045" t="str" cm="1">
        <f t="array" ref="N4045">IF(MOD(ROW()-ROW($B$2),16)=0,INDEX($M$2:$M$1000,(ROW()-ROW($B$2))/16+1),"")</f>
        <v/>
      </c>
    </row>
    <row r="4046" spans="14:14" x14ac:dyDescent="0.3">
      <c r="N4046" t="str" cm="1">
        <f t="array" ref="N4046">IF(MOD(ROW()-ROW($B$2),16)=0,INDEX($M$2:$M$1000,(ROW()-ROW($B$2))/16+1),"")</f>
        <v/>
      </c>
    </row>
    <row r="4047" spans="14:14" x14ac:dyDescent="0.3">
      <c r="N4047" t="str" cm="1">
        <f t="array" ref="N4047">IF(MOD(ROW()-ROW($B$2),16)=0,INDEX($M$2:$M$1000,(ROW()-ROW($B$2))/16+1),"")</f>
        <v/>
      </c>
    </row>
    <row r="4048" spans="14:14" x14ac:dyDescent="0.3">
      <c r="N4048" t="str" cm="1">
        <f t="array" ref="N4048">IF(MOD(ROW()-ROW($B$2),16)=0,INDEX($M$2:$M$1000,(ROW()-ROW($B$2))/16+1),"")</f>
        <v/>
      </c>
    </row>
    <row r="4049" spans="14:14" x14ac:dyDescent="0.3">
      <c r="N4049" t="str" cm="1">
        <f t="array" ref="N4049">IF(MOD(ROW()-ROW($B$2),16)=0,INDEX($M$2:$M$1000,(ROW()-ROW($B$2))/16+1),"")</f>
        <v/>
      </c>
    </row>
    <row r="4050" spans="14:14" x14ac:dyDescent="0.3">
      <c r="N4050" t="str" cm="1">
        <f t="array" ref="N4050">IF(MOD(ROW()-ROW($B$2),16)=0,INDEX($M$2:$M$1000,(ROW()-ROW($B$2))/16+1),"")</f>
        <v/>
      </c>
    </row>
    <row r="4051" spans="14:14" x14ac:dyDescent="0.3">
      <c r="N4051" t="str" cm="1">
        <f t="array" ref="N4051">IF(MOD(ROW()-ROW($B$2),16)=0,INDEX($M$2:$M$1000,(ROW()-ROW($B$2))/16+1),"")</f>
        <v/>
      </c>
    </row>
    <row r="4052" spans="14:14" x14ac:dyDescent="0.3">
      <c r="N4052" t="str" cm="1">
        <f t="array" ref="N4052">IF(MOD(ROW()-ROW($B$2),16)=0,INDEX($M$2:$M$1000,(ROW()-ROW($B$2))/16+1),"")</f>
        <v/>
      </c>
    </row>
    <row r="4053" spans="14:14" x14ac:dyDescent="0.3">
      <c r="N4053" t="str" cm="1">
        <f t="array" ref="N4053">IF(MOD(ROW()-ROW($B$2),16)=0,INDEX($M$2:$M$1000,(ROW()-ROW($B$2))/16+1),"")</f>
        <v/>
      </c>
    </row>
    <row r="4054" spans="14:14" x14ac:dyDescent="0.3">
      <c r="N4054" t="str" cm="1">
        <f t="array" ref="N4054">IF(MOD(ROW()-ROW($B$2),16)=0,INDEX($M$2:$M$1000,(ROW()-ROW($B$2))/16+1),"")</f>
        <v/>
      </c>
    </row>
    <row r="4055" spans="14:14" x14ac:dyDescent="0.3">
      <c r="N4055" t="str" cm="1">
        <f t="array" ref="N4055">IF(MOD(ROW()-ROW($B$2),16)=0,INDEX($M$2:$M$1000,(ROW()-ROW($B$2))/16+1),"")</f>
        <v/>
      </c>
    </row>
    <row r="4056" spans="14:14" x14ac:dyDescent="0.3">
      <c r="N4056" t="str" cm="1">
        <f t="array" ref="N4056">IF(MOD(ROW()-ROW($B$2),16)=0,INDEX($M$2:$M$1000,(ROW()-ROW($B$2))/16+1),"")</f>
        <v/>
      </c>
    </row>
    <row r="4057" spans="14:14" x14ac:dyDescent="0.3">
      <c r="N4057" t="str" cm="1">
        <f t="array" ref="N4057">IF(MOD(ROW()-ROW($B$2),16)=0,INDEX($M$2:$M$1000,(ROW()-ROW($B$2))/16+1),"")</f>
        <v/>
      </c>
    </row>
    <row r="4058" spans="14:14" x14ac:dyDescent="0.3">
      <c r="N4058" t="str" cm="1">
        <f t="array" ref="N4058">IF(MOD(ROW()-ROW($B$2),16)=0,INDEX($M$2:$M$1000,(ROW()-ROW($B$2))/16+1),"")</f>
        <v/>
      </c>
    </row>
    <row r="4059" spans="14:14" x14ac:dyDescent="0.3">
      <c r="N4059" t="str" cm="1">
        <f t="array" ref="N4059">IF(MOD(ROW()-ROW($B$2),16)=0,INDEX($M$2:$M$1000,(ROW()-ROW($B$2))/16+1),"")</f>
        <v/>
      </c>
    </row>
    <row r="4060" spans="14:14" x14ac:dyDescent="0.3">
      <c r="N4060" t="str" cm="1">
        <f t="array" ref="N4060">IF(MOD(ROW()-ROW($B$2),16)=0,INDEX($M$2:$M$1000,(ROW()-ROW($B$2))/16+1),"")</f>
        <v/>
      </c>
    </row>
    <row r="4061" spans="14:14" x14ac:dyDescent="0.3">
      <c r="N4061" t="str" cm="1">
        <f t="array" ref="N4061">IF(MOD(ROW()-ROW($B$2),16)=0,INDEX($M$2:$M$1000,(ROW()-ROW($B$2))/16+1),"")</f>
        <v/>
      </c>
    </row>
    <row r="4062" spans="14:14" x14ac:dyDescent="0.3">
      <c r="N4062" t="str" cm="1">
        <f t="array" ref="N4062">IF(MOD(ROW()-ROW($B$2),16)=0,INDEX($M$2:$M$1000,(ROW()-ROW($B$2))/16+1),"")</f>
        <v/>
      </c>
    </row>
    <row r="4063" spans="14:14" x14ac:dyDescent="0.3">
      <c r="N4063" t="str" cm="1">
        <f t="array" ref="N4063">IF(MOD(ROW()-ROW($B$2),16)=0,INDEX($M$2:$M$1000,(ROW()-ROW($B$2))/16+1),"")</f>
        <v/>
      </c>
    </row>
    <row r="4064" spans="14:14" x14ac:dyDescent="0.3">
      <c r="N4064" t="str" cm="1">
        <f t="array" ref="N4064">IF(MOD(ROW()-ROW($B$2),16)=0,INDEX($M$2:$M$1000,(ROW()-ROW($B$2))/16+1),"")</f>
        <v/>
      </c>
    </row>
    <row r="4065" spans="14:14" x14ac:dyDescent="0.3">
      <c r="N4065" t="str" cm="1">
        <f t="array" ref="N4065">IF(MOD(ROW()-ROW($B$2),16)=0,INDEX($M$2:$M$1000,(ROW()-ROW($B$2))/16+1),"")</f>
        <v/>
      </c>
    </row>
    <row r="4066" spans="14:14" x14ac:dyDescent="0.3">
      <c r="N4066" t="str" cm="1">
        <f t="array" ref="N4066">IF(MOD(ROW()-ROW($B$2),16)=0,INDEX($M$2:$M$1000,(ROW()-ROW($B$2))/16+1),"")</f>
        <v/>
      </c>
    </row>
    <row r="4067" spans="14:14" x14ac:dyDescent="0.3">
      <c r="N4067" t="str" cm="1">
        <f t="array" ref="N4067">IF(MOD(ROW()-ROW($B$2),16)=0,INDEX($M$2:$M$1000,(ROW()-ROW($B$2))/16+1),"")</f>
        <v/>
      </c>
    </row>
    <row r="4068" spans="14:14" x14ac:dyDescent="0.3">
      <c r="N4068" t="str" cm="1">
        <f t="array" ref="N4068">IF(MOD(ROW()-ROW($B$2),16)=0,INDEX($M$2:$M$1000,(ROW()-ROW($B$2))/16+1),"")</f>
        <v/>
      </c>
    </row>
    <row r="4069" spans="14:14" x14ac:dyDescent="0.3">
      <c r="N4069" t="str" cm="1">
        <f t="array" ref="N4069">IF(MOD(ROW()-ROW($B$2),16)=0,INDEX($M$2:$M$1000,(ROW()-ROW($B$2))/16+1),"")</f>
        <v/>
      </c>
    </row>
    <row r="4070" spans="14:14" x14ac:dyDescent="0.3">
      <c r="N4070" t="str" cm="1">
        <f t="array" ref="N4070">IF(MOD(ROW()-ROW($B$2),16)=0,INDEX($M$2:$M$1000,(ROW()-ROW($B$2))/16+1),"")</f>
        <v/>
      </c>
    </row>
    <row r="4071" spans="14:14" x14ac:dyDescent="0.3">
      <c r="N4071" t="str" cm="1">
        <f t="array" ref="N4071">IF(MOD(ROW()-ROW($B$2),16)=0,INDEX($M$2:$M$1000,(ROW()-ROW($B$2))/16+1),"")</f>
        <v/>
      </c>
    </row>
    <row r="4072" spans="14:14" x14ac:dyDescent="0.3">
      <c r="N4072" t="str" cm="1">
        <f t="array" ref="N4072">IF(MOD(ROW()-ROW($B$2),16)=0,INDEX($M$2:$M$1000,(ROW()-ROW($B$2))/16+1),"")</f>
        <v/>
      </c>
    </row>
    <row r="4073" spans="14:14" x14ac:dyDescent="0.3">
      <c r="N4073" t="str" cm="1">
        <f t="array" ref="N4073">IF(MOD(ROW()-ROW($B$2),16)=0,INDEX($M$2:$M$1000,(ROW()-ROW($B$2))/16+1),"")</f>
        <v/>
      </c>
    </row>
    <row r="4074" spans="14:14" x14ac:dyDescent="0.3">
      <c r="N4074" t="str" cm="1">
        <f t="array" ref="N4074">IF(MOD(ROW()-ROW($B$2),16)=0,INDEX($M$2:$M$1000,(ROW()-ROW($B$2))/16+1),"")</f>
        <v/>
      </c>
    </row>
    <row r="4075" spans="14:14" x14ac:dyDescent="0.3">
      <c r="N4075" t="str" cm="1">
        <f t="array" ref="N4075">IF(MOD(ROW()-ROW($B$2),16)=0,INDEX($M$2:$M$1000,(ROW()-ROW($B$2))/16+1),"")</f>
        <v/>
      </c>
    </row>
    <row r="4076" spans="14:14" x14ac:dyDescent="0.3">
      <c r="N4076" t="str" cm="1">
        <f t="array" ref="N4076">IF(MOD(ROW()-ROW($B$2),16)=0,INDEX($M$2:$M$1000,(ROW()-ROW($B$2))/16+1),"")</f>
        <v/>
      </c>
    </row>
    <row r="4077" spans="14:14" x14ac:dyDescent="0.3">
      <c r="N4077" t="str" cm="1">
        <f t="array" ref="N4077">IF(MOD(ROW()-ROW($B$2),16)=0,INDEX($M$2:$M$1000,(ROW()-ROW($B$2))/16+1),"")</f>
        <v/>
      </c>
    </row>
    <row r="4078" spans="14:14" x14ac:dyDescent="0.3">
      <c r="N4078" t="str" cm="1">
        <f t="array" ref="N4078">IF(MOD(ROW()-ROW($B$2),16)=0,INDEX($M$2:$M$1000,(ROW()-ROW($B$2))/16+1),"")</f>
        <v/>
      </c>
    </row>
    <row r="4079" spans="14:14" x14ac:dyDescent="0.3">
      <c r="N4079" t="str" cm="1">
        <f t="array" ref="N4079">IF(MOD(ROW()-ROW($B$2),16)=0,INDEX($M$2:$M$1000,(ROW()-ROW($B$2))/16+1),"")</f>
        <v/>
      </c>
    </row>
    <row r="4080" spans="14:14" x14ac:dyDescent="0.3">
      <c r="N4080" t="str" cm="1">
        <f t="array" ref="N4080">IF(MOD(ROW()-ROW($B$2),16)=0,INDEX($M$2:$M$1000,(ROW()-ROW($B$2))/16+1),"")</f>
        <v/>
      </c>
    </row>
    <row r="4081" spans="14:14" x14ac:dyDescent="0.3">
      <c r="N4081" t="str" cm="1">
        <f t="array" ref="N4081">IF(MOD(ROW()-ROW($B$2),16)=0,INDEX($M$2:$M$1000,(ROW()-ROW($B$2))/16+1),"")</f>
        <v/>
      </c>
    </row>
    <row r="4082" spans="14:14" x14ac:dyDescent="0.3">
      <c r="N4082" t="str" cm="1">
        <f t="array" ref="N4082">IF(MOD(ROW()-ROW($B$2),16)=0,INDEX($M$2:$M$1000,(ROW()-ROW($B$2))/16+1),"")</f>
        <v/>
      </c>
    </row>
    <row r="4083" spans="14:14" x14ac:dyDescent="0.3">
      <c r="N4083" t="str" cm="1">
        <f t="array" ref="N4083">IF(MOD(ROW()-ROW($B$2),16)=0,INDEX($M$2:$M$1000,(ROW()-ROW($B$2))/16+1),"")</f>
        <v/>
      </c>
    </row>
    <row r="4084" spans="14:14" x14ac:dyDescent="0.3">
      <c r="N4084" t="str" cm="1">
        <f t="array" ref="N4084">IF(MOD(ROW()-ROW($B$2),16)=0,INDEX($M$2:$M$1000,(ROW()-ROW($B$2))/16+1),"")</f>
        <v/>
      </c>
    </row>
    <row r="4085" spans="14:14" x14ac:dyDescent="0.3">
      <c r="N4085" t="str" cm="1">
        <f t="array" ref="N4085">IF(MOD(ROW()-ROW($B$2),16)=0,INDEX($M$2:$M$1000,(ROW()-ROW($B$2))/16+1),"")</f>
        <v/>
      </c>
    </row>
    <row r="4086" spans="14:14" x14ac:dyDescent="0.3">
      <c r="N4086" t="str" cm="1">
        <f t="array" ref="N4086">IF(MOD(ROW()-ROW($B$2),16)=0,INDEX($M$2:$M$1000,(ROW()-ROW($B$2))/16+1),"")</f>
        <v/>
      </c>
    </row>
    <row r="4087" spans="14:14" x14ac:dyDescent="0.3">
      <c r="N4087" t="str" cm="1">
        <f t="array" ref="N4087">IF(MOD(ROW()-ROW($B$2),16)=0,INDEX($M$2:$M$1000,(ROW()-ROW($B$2))/16+1),"")</f>
        <v/>
      </c>
    </row>
    <row r="4088" spans="14:14" x14ac:dyDescent="0.3">
      <c r="N4088" t="str" cm="1">
        <f t="array" ref="N4088">IF(MOD(ROW()-ROW($B$2),16)=0,INDEX($M$2:$M$1000,(ROW()-ROW($B$2))/16+1),"")</f>
        <v/>
      </c>
    </row>
    <row r="4089" spans="14:14" x14ac:dyDescent="0.3">
      <c r="N4089" t="str" cm="1">
        <f t="array" ref="N4089">IF(MOD(ROW()-ROW($B$2),16)=0,INDEX($M$2:$M$1000,(ROW()-ROW($B$2))/16+1),"")</f>
        <v/>
      </c>
    </row>
    <row r="4090" spans="14:14" x14ac:dyDescent="0.3">
      <c r="N4090" t="str" cm="1">
        <f t="array" ref="N4090">IF(MOD(ROW()-ROW($B$2),16)=0,INDEX($M$2:$M$1000,(ROW()-ROW($B$2))/16+1),"")</f>
        <v/>
      </c>
    </row>
    <row r="4091" spans="14:14" x14ac:dyDescent="0.3">
      <c r="N4091" t="str" cm="1">
        <f t="array" ref="N4091">IF(MOD(ROW()-ROW($B$2),16)=0,INDEX($M$2:$M$1000,(ROW()-ROW($B$2))/16+1),"")</f>
        <v/>
      </c>
    </row>
    <row r="4092" spans="14:14" x14ac:dyDescent="0.3">
      <c r="N4092" t="str" cm="1">
        <f t="array" ref="N4092">IF(MOD(ROW()-ROW($B$2),16)=0,INDEX($M$2:$M$1000,(ROW()-ROW($B$2))/16+1),"")</f>
        <v/>
      </c>
    </row>
    <row r="4093" spans="14:14" x14ac:dyDescent="0.3">
      <c r="N4093" t="str" cm="1">
        <f t="array" ref="N4093">IF(MOD(ROW()-ROW($B$2),16)=0,INDEX($M$2:$M$1000,(ROW()-ROW($B$2))/16+1),"")</f>
        <v/>
      </c>
    </row>
    <row r="4094" spans="14:14" x14ac:dyDescent="0.3">
      <c r="N4094" t="str" cm="1">
        <f t="array" ref="N4094">IF(MOD(ROW()-ROW($B$2),16)=0,INDEX($M$2:$M$1000,(ROW()-ROW($B$2))/16+1),"")</f>
        <v/>
      </c>
    </row>
    <row r="4095" spans="14:14" x14ac:dyDescent="0.3">
      <c r="N4095" t="str" cm="1">
        <f t="array" ref="N4095">IF(MOD(ROW()-ROW($B$2),16)=0,INDEX($M$2:$M$1000,(ROW()-ROW($B$2))/16+1),"")</f>
        <v/>
      </c>
    </row>
    <row r="4096" spans="14:14" x14ac:dyDescent="0.3">
      <c r="N4096" t="str" cm="1">
        <f t="array" ref="N4096">IF(MOD(ROW()-ROW($B$2),16)=0,INDEX($M$2:$M$1000,(ROW()-ROW($B$2))/16+1),"")</f>
        <v/>
      </c>
    </row>
    <row r="4097" spans="14:14" x14ac:dyDescent="0.3">
      <c r="N4097" t="str" cm="1">
        <f t="array" ref="N4097">IF(MOD(ROW()-ROW($B$2),16)=0,INDEX($M$2:$M$1000,(ROW()-ROW($B$2))/16+1),"")</f>
        <v/>
      </c>
    </row>
    <row r="4098" spans="14:14" x14ac:dyDescent="0.3">
      <c r="N4098" t="str" cm="1">
        <f t="array" ref="N4098">IF(MOD(ROW()-ROW($B$2),16)=0,INDEX($M$2:$M$1000,(ROW()-ROW($B$2))/16+1),"")</f>
        <v>Пароль от уровня 2 (0)</v>
      </c>
    </row>
    <row r="4099" spans="14:14" x14ac:dyDescent="0.3">
      <c r="N4099" t="str" cm="1">
        <f t="array" ref="N4099">IF(MOD(ROW()-ROW($B$2),16)=0,INDEX($M$2:$M$1000,(ROW()-ROW($B$2))/16+1),"")</f>
        <v/>
      </c>
    </row>
    <row r="4100" spans="14:14" x14ac:dyDescent="0.3">
      <c r="N4100" t="str" cm="1">
        <f t="array" ref="N4100">IF(MOD(ROW()-ROW($B$2),16)=0,INDEX($M$2:$M$1000,(ROW()-ROW($B$2))/16+1),"")</f>
        <v/>
      </c>
    </row>
    <row r="4101" spans="14:14" x14ac:dyDescent="0.3">
      <c r="N4101" t="str" cm="1">
        <f t="array" ref="N4101">IF(MOD(ROW()-ROW($B$2),16)=0,INDEX($M$2:$M$1000,(ROW()-ROW($B$2))/16+1),"")</f>
        <v/>
      </c>
    </row>
    <row r="4102" spans="14:14" x14ac:dyDescent="0.3">
      <c r="N4102" t="str" cm="1">
        <f t="array" ref="N4102">IF(MOD(ROW()-ROW($B$2),16)=0,INDEX($M$2:$M$1000,(ROW()-ROW($B$2))/16+1),"")</f>
        <v/>
      </c>
    </row>
    <row r="4103" spans="14:14" x14ac:dyDescent="0.3">
      <c r="N4103" t="str" cm="1">
        <f t="array" ref="N4103">IF(MOD(ROW()-ROW($B$2),16)=0,INDEX($M$2:$M$1000,(ROW()-ROW($B$2))/16+1),"")</f>
        <v/>
      </c>
    </row>
    <row r="4104" spans="14:14" x14ac:dyDescent="0.3">
      <c r="N4104" t="str" cm="1">
        <f t="array" ref="N4104">IF(MOD(ROW()-ROW($B$2),16)=0,INDEX($M$2:$M$1000,(ROW()-ROW($B$2))/16+1),"")</f>
        <v/>
      </c>
    </row>
    <row r="4105" spans="14:14" x14ac:dyDescent="0.3">
      <c r="N4105" t="str" cm="1">
        <f t="array" ref="N4105">IF(MOD(ROW()-ROW($B$2),16)=0,INDEX($M$2:$M$1000,(ROW()-ROW($B$2))/16+1),"")</f>
        <v/>
      </c>
    </row>
    <row r="4106" spans="14:14" x14ac:dyDescent="0.3">
      <c r="N4106" t="str" cm="1">
        <f t="array" ref="N4106">IF(MOD(ROW()-ROW($B$2),16)=0,INDEX($M$2:$M$1000,(ROW()-ROW($B$2))/16+1),"")</f>
        <v/>
      </c>
    </row>
    <row r="4107" spans="14:14" x14ac:dyDescent="0.3">
      <c r="N4107" t="str" cm="1">
        <f t="array" ref="N4107">IF(MOD(ROW()-ROW($B$2),16)=0,INDEX($M$2:$M$1000,(ROW()-ROW($B$2))/16+1),"")</f>
        <v/>
      </c>
    </row>
    <row r="4108" spans="14:14" x14ac:dyDescent="0.3">
      <c r="N4108" t="str" cm="1">
        <f t="array" ref="N4108">IF(MOD(ROW()-ROW($B$2),16)=0,INDEX($M$2:$M$1000,(ROW()-ROW($B$2))/16+1),"")</f>
        <v/>
      </c>
    </row>
    <row r="4109" spans="14:14" x14ac:dyDescent="0.3">
      <c r="N4109" t="str" cm="1">
        <f t="array" ref="N4109">IF(MOD(ROW()-ROW($B$2),16)=0,INDEX($M$2:$M$1000,(ROW()-ROW($B$2))/16+1),"")</f>
        <v/>
      </c>
    </row>
    <row r="4110" spans="14:14" x14ac:dyDescent="0.3">
      <c r="N4110" t="str" cm="1">
        <f t="array" ref="N4110">IF(MOD(ROW()-ROW($B$2),16)=0,INDEX($M$2:$M$1000,(ROW()-ROW($B$2))/16+1),"")</f>
        <v/>
      </c>
    </row>
    <row r="4111" spans="14:14" x14ac:dyDescent="0.3">
      <c r="N4111" t="str" cm="1">
        <f t="array" ref="N4111">IF(MOD(ROW()-ROW($B$2),16)=0,INDEX($M$2:$M$1000,(ROW()-ROW($B$2))/16+1),"")</f>
        <v/>
      </c>
    </row>
    <row r="4112" spans="14:14" x14ac:dyDescent="0.3">
      <c r="N4112" t="str" cm="1">
        <f t="array" ref="N4112">IF(MOD(ROW()-ROW($B$2),16)=0,INDEX($M$2:$M$1000,(ROW()-ROW($B$2))/16+1),"")</f>
        <v/>
      </c>
    </row>
    <row r="4113" spans="14:14" x14ac:dyDescent="0.3">
      <c r="N4113" t="str" cm="1">
        <f t="array" ref="N4113">IF(MOD(ROW()-ROW($B$2),16)=0,INDEX($M$2:$M$1000,(ROW()-ROW($B$2))/16+1),"")</f>
        <v/>
      </c>
    </row>
    <row r="4114" spans="14:14" x14ac:dyDescent="0.3">
      <c r="N4114" t="str" cm="1">
        <f t="array" ref="N4114">IF(MOD(ROW()-ROW($B$2),16)=0,INDEX($M$2:$M$1000,(ROW()-ROW($B$2))/16+1),"")</f>
        <v/>
      </c>
    </row>
    <row r="4115" spans="14:14" x14ac:dyDescent="0.3">
      <c r="N4115" t="str" cm="1">
        <f t="array" ref="N4115">IF(MOD(ROW()-ROW($B$2),16)=0,INDEX($M$2:$M$1000,(ROW()-ROW($B$2))/16+1),"")</f>
        <v/>
      </c>
    </row>
    <row r="4116" spans="14:14" x14ac:dyDescent="0.3">
      <c r="N4116" t="str" cm="1">
        <f t="array" ref="N4116">IF(MOD(ROW()-ROW($B$2),16)=0,INDEX($M$2:$M$1000,(ROW()-ROW($B$2))/16+1),"")</f>
        <v/>
      </c>
    </row>
    <row r="4117" spans="14:14" x14ac:dyDescent="0.3">
      <c r="N4117" t="str" cm="1">
        <f t="array" ref="N4117">IF(MOD(ROW()-ROW($B$2),16)=0,INDEX($M$2:$M$1000,(ROW()-ROW($B$2))/16+1),"")</f>
        <v/>
      </c>
    </row>
    <row r="4118" spans="14:14" x14ac:dyDescent="0.3">
      <c r="N4118" t="str" cm="1">
        <f t="array" ref="N4118">IF(MOD(ROW()-ROW($B$2),16)=0,INDEX($M$2:$M$1000,(ROW()-ROW($B$2))/16+1),"")</f>
        <v/>
      </c>
    </row>
    <row r="4119" spans="14:14" x14ac:dyDescent="0.3">
      <c r="N4119" t="str" cm="1">
        <f t="array" ref="N4119">IF(MOD(ROW()-ROW($B$2),16)=0,INDEX($M$2:$M$1000,(ROW()-ROW($B$2))/16+1),"")</f>
        <v/>
      </c>
    </row>
    <row r="4120" spans="14:14" x14ac:dyDescent="0.3">
      <c r="N4120" t="str" cm="1">
        <f t="array" ref="N4120">IF(MOD(ROW()-ROW($B$2),16)=0,INDEX($M$2:$M$1000,(ROW()-ROW($B$2))/16+1),"")</f>
        <v/>
      </c>
    </row>
    <row r="4121" spans="14:14" x14ac:dyDescent="0.3">
      <c r="N4121" t="str" cm="1">
        <f t="array" ref="N4121">IF(MOD(ROW()-ROW($B$2),16)=0,INDEX($M$2:$M$1000,(ROW()-ROW($B$2))/16+1),"")</f>
        <v/>
      </c>
    </row>
    <row r="4122" spans="14:14" x14ac:dyDescent="0.3">
      <c r="N4122" t="str" cm="1">
        <f t="array" ref="N4122">IF(MOD(ROW()-ROW($B$2),16)=0,INDEX($M$2:$M$1000,(ROW()-ROW($B$2))/16+1),"")</f>
        <v/>
      </c>
    </row>
    <row r="4123" spans="14:14" x14ac:dyDescent="0.3">
      <c r="N4123" t="str" cm="1">
        <f t="array" ref="N4123">IF(MOD(ROW()-ROW($B$2),16)=0,INDEX($M$2:$M$1000,(ROW()-ROW($B$2))/16+1),"")</f>
        <v/>
      </c>
    </row>
    <row r="4124" spans="14:14" x14ac:dyDescent="0.3">
      <c r="N4124" t="str" cm="1">
        <f t="array" ref="N4124">IF(MOD(ROW()-ROW($B$2),16)=0,INDEX($M$2:$M$1000,(ROW()-ROW($B$2))/16+1),"")</f>
        <v/>
      </c>
    </row>
    <row r="4125" spans="14:14" x14ac:dyDescent="0.3">
      <c r="N4125" t="str" cm="1">
        <f t="array" ref="N4125">IF(MOD(ROW()-ROW($B$2),16)=0,INDEX($M$2:$M$1000,(ROW()-ROW($B$2))/16+1),"")</f>
        <v/>
      </c>
    </row>
    <row r="4126" spans="14:14" x14ac:dyDescent="0.3">
      <c r="N4126" t="str" cm="1">
        <f t="array" ref="N4126">IF(MOD(ROW()-ROW($B$2),16)=0,INDEX($M$2:$M$1000,(ROW()-ROW($B$2))/16+1),"")</f>
        <v/>
      </c>
    </row>
    <row r="4127" spans="14:14" x14ac:dyDescent="0.3">
      <c r="N4127" t="str" cm="1">
        <f t="array" ref="N4127">IF(MOD(ROW()-ROW($B$2),16)=0,INDEX($M$2:$M$1000,(ROW()-ROW($B$2))/16+1),"")</f>
        <v/>
      </c>
    </row>
    <row r="4128" spans="14:14" x14ac:dyDescent="0.3">
      <c r="N4128" t="str" cm="1">
        <f t="array" ref="N4128">IF(MOD(ROW()-ROW($B$2),16)=0,INDEX($M$2:$M$1000,(ROW()-ROW($B$2))/16+1),"")</f>
        <v/>
      </c>
    </row>
    <row r="4129" spans="14:14" x14ac:dyDescent="0.3">
      <c r="N4129" t="str" cm="1">
        <f t="array" ref="N4129">IF(MOD(ROW()-ROW($B$2),16)=0,INDEX($M$2:$M$1000,(ROW()-ROW($B$2))/16+1),"")</f>
        <v/>
      </c>
    </row>
    <row r="4130" spans="14:14" x14ac:dyDescent="0.3">
      <c r="N4130" t="str" cm="1">
        <f t="array" ref="N4130">IF(MOD(ROW()-ROW($B$2),16)=0,INDEX($M$2:$M$1000,(ROW()-ROW($B$2))/16+1),"")</f>
        <v/>
      </c>
    </row>
    <row r="4131" spans="14:14" x14ac:dyDescent="0.3">
      <c r="N4131" t="str" cm="1">
        <f t="array" ref="N4131">IF(MOD(ROW()-ROW($B$2),16)=0,INDEX($M$2:$M$1000,(ROW()-ROW($B$2))/16+1),"")</f>
        <v/>
      </c>
    </row>
    <row r="4132" spans="14:14" x14ac:dyDescent="0.3">
      <c r="N4132" t="str" cm="1">
        <f t="array" ref="N4132">IF(MOD(ROW()-ROW($B$2),16)=0,INDEX($M$2:$M$1000,(ROW()-ROW($B$2))/16+1),"")</f>
        <v/>
      </c>
    </row>
    <row r="4133" spans="14:14" x14ac:dyDescent="0.3">
      <c r="N4133" t="str" cm="1">
        <f t="array" ref="N4133">IF(MOD(ROW()-ROW($B$2),16)=0,INDEX($M$2:$M$1000,(ROW()-ROW($B$2))/16+1),"")</f>
        <v/>
      </c>
    </row>
    <row r="4134" spans="14:14" x14ac:dyDescent="0.3">
      <c r="N4134" t="str" cm="1">
        <f t="array" ref="N4134">IF(MOD(ROW()-ROW($B$2),16)=0,INDEX($M$2:$M$1000,(ROW()-ROW($B$2))/16+1),"")</f>
        <v/>
      </c>
    </row>
    <row r="4135" spans="14:14" x14ac:dyDescent="0.3">
      <c r="N4135" t="str" cm="1">
        <f t="array" ref="N4135">IF(MOD(ROW()-ROW($B$2),16)=0,INDEX($M$2:$M$1000,(ROW()-ROW($B$2))/16+1),"")</f>
        <v/>
      </c>
    </row>
    <row r="4136" spans="14:14" x14ac:dyDescent="0.3">
      <c r="N4136" t="str" cm="1">
        <f t="array" ref="N4136">IF(MOD(ROW()-ROW($B$2),16)=0,INDEX($M$2:$M$1000,(ROW()-ROW($B$2))/16+1),"")</f>
        <v/>
      </c>
    </row>
    <row r="4137" spans="14:14" x14ac:dyDescent="0.3">
      <c r="N4137" t="str" cm="1">
        <f t="array" ref="N4137">IF(MOD(ROW()-ROW($B$2),16)=0,INDEX($M$2:$M$1000,(ROW()-ROW($B$2))/16+1),"")</f>
        <v/>
      </c>
    </row>
    <row r="4138" spans="14:14" x14ac:dyDescent="0.3">
      <c r="N4138" t="str" cm="1">
        <f t="array" ref="N4138">IF(MOD(ROW()-ROW($B$2),16)=0,INDEX($M$2:$M$1000,(ROW()-ROW($B$2))/16+1),"")</f>
        <v/>
      </c>
    </row>
    <row r="4139" spans="14:14" x14ac:dyDescent="0.3">
      <c r="N4139" t="str" cm="1">
        <f t="array" ref="N4139">IF(MOD(ROW()-ROW($B$2),16)=0,INDEX($M$2:$M$1000,(ROW()-ROW($B$2))/16+1),"")</f>
        <v/>
      </c>
    </row>
    <row r="4140" spans="14:14" x14ac:dyDescent="0.3">
      <c r="N4140" t="str" cm="1">
        <f t="array" ref="N4140">IF(MOD(ROW()-ROW($B$2),16)=0,INDEX($M$2:$M$1000,(ROW()-ROW($B$2))/16+1),"")</f>
        <v/>
      </c>
    </row>
    <row r="4141" spans="14:14" x14ac:dyDescent="0.3">
      <c r="N4141" t="str" cm="1">
        <f t="array" ref="N4141">IF(MOD(ROW()-ROW($B$2),16)=0,INDEX($M$2:$M$1000,(ROW()-ROW($B$2))/16+1),"")</f>
        <v/>
      </c>
    </row>
    <row r="4142" spans="14:14" x14ac:dyDescent="0.3">
      <c r="N4142" t="str" cm="1">
        <f t="array" ref="N4142">IF(MOD(ROW()-ROW($B$2),16)=0,INDEX($M$2:$M$1000,(ROW()-ROW($B$2))/16+1),"")</f>
        <v/>
      </c>
    </row>
    <row r="4143" spans="14:14" x14ac:dyDescent="0.3">
      <c r="N4143" t="str" cm="1">
        <f t="array" ref="N4143">IF(MOD(ROW()-ROW($B$2),16)=0,INDEX($M$2:$M$1000,(ROW()-ROW($B$2))/16+1),"")</f>
        <v/>
      </c>
    </row>
    <row r="4144" spans="14:14" x14ac:dyDescent="0.3">
      <c r="N4144" t="str" cm="1">
        <f t="array" ref="N4144">IF(MOD(ROW()-ROW($B$2),16)=0,INDEX($M$2:$M$1000,(ROW()-ROW($B$2))/16+1),"")</f>
        <v/>
      </c>
    </row>
    <row r="4145" spans="14:14" x14ac:dyDescent="0.3">
      <c r="N4145" t="str" cm="1">
        <f t="array" ref="N4145">IF(MOD(ROW()-ROW($B$2),16)=0,INDEX($M$2:$M$1000,(ROW()-ROW($B$2))/16+1),"")</f>
        <v/>
      </c>
    </row>
    <row r="4146" spans="14:14" x14ac:dyDescent="0.3">
      <c r="N4146" t="str" cm="1">
        <f t="array" ref="N4146">IF(MOD(ROW()-ROW($B$2),16)=0,INDEX($M$2:$M$1000,(ROW()-ROW($B$2))/16+1),"")</f>
        <v/>
      </c>
    </row>
    <row r="4147" spans="14:14" x14ac:dyDescent="0.3">
      <c r="N4147" t="str" cm="1">
        <f t="array" ref="N4147">IF(MOD(ROW()-ROW($B$2),16)=0,INDEX($M$2:$M$1000,(ROW()-ROW($B$2))/16+1),"")</f>
        <v/>
      </c>
    </row>
    <row r="4148" spans="14:14" x14ac:dyDescent="0.3">
      <c r="N4148" t="str" cm="1">
        <f t="array" ref="N4148">IF(MOD(ROW()-ROW($B$2),16)=0,INDEX($M$2:$M$1000,(ROW()-ROW($B$2))/16+1),"")</f>
        <v/>
      </c>
    </row>
    <row r="4149" spans="14:14" x14ac:dyDescent="0.3">
      <c r="N4149" t="str" cm="1">
        <f t="array" ref="N4149">IF(MOD(ROW()-ROW($B$2),16)=0,INDEX($M$2:$M$1000,(ROW()-ROW($B$2))/16+1),"")</f>
        <v/>
      </c>
    </row>
    <row r="4150" spans="14:14" x14ac:dyDescent="0.3">
      <c r="N4150" t="str" cm="1">
        <f t="array" ref="N4150">IF(MOD(ROW()-ROW($B$2),16)=0,INDEX($M$2:$M$1000,(ROW()-ROW($B$2))/16+1),"")</f>
        <v/>
      </c>
    </row>
    <row r="4151" spans="14:14" x14ac:dyDescent="0.3">
      <c r="N4151" t="str" cm="1">
        <f t="array" ref="N4151">IF(MOD(ROW()-ROW($B$2),16)=0,INDEX($M$2:$M$1000,(ROW()-ROW($B$2))/16+1),"")</f>
        <v/>
      </c>
    </row>
    <row r="4152" spans="14:14" x14ac:dyDescent="0.3">
      <c r="N4152" t="str" cm="1">
        <f t="array" ref="N4152">IF(MOD(ROW()-ROW($B$2),16)=0,INDEX($M$2:$M$1000,(ROW()-ROW($B$2))/16+1),"")</f>
        <v/>
      </c>
    </row>
    <row r="4153" spans="14:14" x14ac:dyDescent="0.3">
      <c r="N4153" t="str" cm="1">
        <f t="array" ref="N4153">IF(MOD(ROW()-ROW($B$2),16)=0,INDEX($M$2:$M$1000,(ROW()-ROW($B$2))/16+1),"")</f>
        <v/>
      </c>
    </row>
    <row r="4154" spans="14:14" x14ac:dyDescent="0.3">
      <c r="N4154" t="str" cm="1">
        <f t="array" ref="N4154">IF(MOD(ROW()-ROW($B$2),16)=0,INDEX($M$2:$M$1000,(ROW()-ROW($B$2))/16+1),"")</f>
        <v/>
      </c>
    </row>
    <row r="4155" spans="14:14" x14ac:dyDescent="0.3">
      <c r="N4155" t="str" cm="1">
        <f t="array" ref="N4155">IF(MOD(ROW()-ROW($B$2),16)=0,INDEX($M$2:$M$1000,(ROW()-ROW($B$2))/16+1),"")</f>
        <v/>
      </c>
    </row>
    <row r="4156" spans="14:14" x14ac:dyDescent="0.3">
      <c r="N4156" t="str" cm="1">
        <f t="array" ref="N4156">IF(MOD(ROW()-ROW($B$2),16)=0,INDEX($M$2:$M$1000,(ROW()-ROW($B$2))/16+1),"")</f>
        <v/>
      </c>
    </row>
    <row r="4157" spans="14:14" x14ac:dyDescent="0.3">
      <c r="N4157" t="str" cm="1">
        <f t="array" ref="N4157">IF(MOD(ROW()-ROW($B$2),16)=0,INDEX($M$2:$M$1000,(ROW()-ROW($B$2))/16+1),"")</f>
        <v/>
      </c>
    </row>
    <row r="4158" spans="14:14" x14ac:dyDescent="0.3">
      <c r="N4158" t="str" cm="1">
        <f t="array" ref="N4158">IF(MOD(ROW()-ROW($B$2),16)=0,INDEX($M$2:$M$1000,(ROW()-ROW($B$2))/16+1),"")</f>
        <v/>
      </c>
    </row>
    <row r="4159" spans="14:14" x14ac:dyDescent="0.3">
      <c r="N4159" t="str" cm="1">
        <f t="array" ref="N4159">IF(MOD(ROW()-ROW($B$2),16)=0,INDEX($M$2:$M$1000,(ROW()-ROW($B$2))/16+1),"")</f>
        <v/>
      </c>
    </row>
    <row r="4160" spans="14:14" x14ac:dyDescent="0.3">
      <c r="N4160" t="str" cm="1">
        <f t="array" ref="N4160">IF(MOD(ROW()-ROW($B$2),16)=0,INDEX($M$2:$M$1000,(ROW()-ROW($B$2))/16+1),"")</f>
        <v/>
      </c>
    </row>
    <row r="4161" spans="14:14" x14ac:dyDescent="0.3">
      <c r="N4161" t="str" cm="1">
        <f t="array" ref="N4161">IF(MOD(ROW()-ROW($B$2),16)=0,INDEX($M$2:$M$1000,(ROW()-ROW($B$2))/16+1),"")</f>
        <v/>
      </c>
    </row>
    <row r="4162" spans="14:14" x14ac:dyDescent="0.3">
      <c r="N4162" t="str" cm="1">
        <f t="array" ref="N4162">IF(MOD(ROW()-ROW($B$2),16)=0,INDEX($M$2:$M$1000,(ROW()-ROW($B$2))/16+1),"")</f>
        <v/>
      </c>
    </row>
    <row r="4163" spans="14:14" x14ac:dyDescent="0.3">
      <c r="N4163" t="str" cm="1">
        <f t="array" ref="N4163">IF(MOD(ROW()-ROW($B$2),16)=0,INDEX($M$2:$M$1000,(ROW()-ROW($B$2))/16+1),"")</f>
        <v/>
      </c>
    </row>
    <row r="4164" spans="14:14" x14ac:dyDescent="0.3">
      <c r="N4164" t="str" cm="1">
        <f t="array" ref="N4164">IF(MOD(ROW()-ROW($B$2),16)=0,INDEX($M$2:$M$1000,(ROW()-ROW($B$2))/16+1),"")</f>
        <v/>
      </c>
    </row>
    <row r="4165" spans="14:14" x14ac:dyDescent="0.3">
      <c r="N4165" t="str" cm="1">
        <f t="array" ref="N4165">IF(MOD(ROW()-ROW($B$2),16)=0,INDEX($M$2:$M$1000,(ROW()-ROW($B$2))/16+1),"")</f>
        <v/>
      </c>
    </row>
    <row r="4166" spans="14:14" x14ac:dyDescent="0.3">
      <c r="N4166" t="str" cm="1">
        <f t="array" ref="N4166">IF(MOD(ROW()-ROW($B$2),16)=0,INDEX($M$2:$M$1000,(ROW()-ROW($B$2))/16+1),"")</f>
        <v/>
      </c>
    </row>
    <row r="4167" spans="14:14" x14ac:dyDescent="0.3">
      <c r="N4167" t="str" cm="1">
        <f t="array" ref="N4167">IF(MOD(ROW()-ROW($B$2),16)=0,INDEX($M$2:$M$1000,(ROW()-ROW($B$2))/16+1),"")</f>
        <v/>
      </c>
    </row>
    <row r="4168" spans="14:14" x14ac:dyDescent="0.3">
      <c r="N4168" t="str" cm="1">
        <f t="array" ref="N4168">IF(MOD(ROW()-ROW($B$2),16)=0,INDEX($M$2:$M$1000,(ROW()-ROW($B$2))/16+1),"")</f>
        <v/>
      </c>
    </row>
    <row r="4169" spans="14:14" x14ac:dyDescent="0.3">
      <c r="N4169" t="str" cm="1">
        <f t="array" ref="N4169">IF(MOD(ROW()-ROW($B$2),16)=0,INDEX($M$2:$M$1000,(ROW()-ROW($B$2))/16+1),"")</f>
        <v/>
      </c>
    </row>
    <row r="4170" spans="14:14" x14ac:dyDescent="0.3">
      <c r="N4170" t="str" cm="1">
        <f t="array" ref="N4170">IF(MOD(ROW()-ROW($B$2),16)=0,INDEX($M$2:$M$1000,(ROW()-ROW($B$2))/16+1),"")</f>
        <v/>
      </c>
    </row>
    <row r="4171" spans="14:14" x14ac:dyDescent="0.3">
      <c r="N4171" t="str" cm="1">
        <f t="array" ref="N4171">IF(MOD(ROW()-ROW($B$2),16)=0,INDEX($M$2:$M$1000,(ROW()-ROW($B$2))/16+1),"")</f>
        <v/>
      </c>
    </row>
    <row r="4172" spans="14:14" x14ac:dyDescent="0.3">
      <c r="N4172" t="str" cm="1">
        <f t="array" ref="N4172">IF(MOD(ROW()-ROW($B$2),16)=0,INDEX($M$2:$M$1000,(ROW()-ROW($B$2))/16+1),"")</f>
        <v/>
      </c>
    </row>
    <row r="4173" spans="14:14" x14ac:dyDescent="0.3">
      <c r="N4173" t="str" cm="1">
        <f t="array" ref="N4173">IF(MOD(ROW()-ROW($B$2),16)=0,INDEX($M$2:$M$1000,(ROW()-ROW($B$2))/16+1),"")</f>
        <v/>
      </c>
    </row>
    <row r="4174" spans="14:14" x14ac:dyDescent="0.3">
      <c r="N4174" t="str" cm="1">
        <f t="array" ref="N4174">IF(MOD(ROW()-ROW($B$2),16)=0,INDEX($M$2:$M$1000,(ROW()-ROW($B$2))/16+1),"")</f>
        <v/>
      </c>
    </row>
    <row r="4175" spans="14:14" x14ac:dyDescent="0.3">
      <c r="N4175" t="str" cm="1">
        <f t="array" ref="N4175">IF(MOD(ROW()-ROW($B$2),16)=0,INDEX($M$2:$M$1000,(ROW()-ROW($B$2))/16+1),"")</f>
        <v/>
      </c>
    </row>
    <row r="4176" spans="14:14" x14ac:dyDescent="0.3">
      <c r="N4176" t="str" cm="1">
        <f t="array" ref="N4176">IF(MOD(ROW()-ROW($B$2),16)=0,INDEX($M$2:$M$1000,(ROW()-ROW($B$2))/16+1),"")</f>
        <v/>
      </c>
    </row>
    <row r="4177" spans="14:14" x14ac:dyDescent="0.3">
      <c r="N4177" t="str" cm="1">
        <f t="array" ref="N4177">IF(MOD(ROW()-ROW($B$2),16)=0,INDEX($M$2:$M$1000,(ROW()-ROW($B$2))/16+1),"")</f>
        <v/>
      </c>
    </row>
    <row r="4178" spans="14:14" x14ac:dyDescent="0.3">
      <c r="N4178" t="str" cm="1">
        <f t="array" ref="N4178">IF(MOD(ROW()-ROW($B$2),16)=0,INDEX($M$2:$M$1000,(ROW()-ROW($B$2))/16+1),"")</f>
        <v/>
      </c>
    </row>
    <row r="4179" spans="14:14" x14ac:dyDescent="0.3">
      <c r="N4179" t="str" cm="1">
        <f t="array" ref="N4179">IF(MOD(ROW()-ROW($B$2),16)=0,INDEX($M$2:$M$1000,(ROW()-ROW($B$2))/16+1),"")</f>
        <v/>
      </c>
    </row>
    <row r="4180" spans="14:14" x14ac:dyDescent="0.3">
      <c r="N4180" t="str" cm="1">
        <f t="array" ref="N4180">IF(MOD(ROW()-ROW($B$2),16)=0,INDEX($M$2:$M$1000,(ROW()-ROW($B$2))/16+1),"")</f>
        <v/>
      </c>
    </row>
    <row r="4181" spans="14:14" x14ac:dyDescent="0.3">
      <c r="N4181" t="str" cm="1">
        <f t="array" ref="N4181">IF(MOD(ROW()-ROW($B$2),16)=0,INDEX($M$2:$M$1000,(ROW()-ROW($B$2))/16+1),"")</f>
        <v/>
      </c>
    </row>
    <row r="4182" spans="14:14" x14ac:dyDescent="0.3">
      <c r="N4182" t="str" cm="1">
        <f t="array" ref="N4182">IF(MOD(ROW()-ROW($B$2),16)=0,INDEX($M$2:$M$1000,(ROW()-ROW($B$2))/16+1),"")</f>
        <v/>
      </c>
    </row>
    <row r="4183" spans="14:14" x14ac:dyDescent="0.3">
      <c r="N4183" t="str" cm="1">
        <f t="array" ref="N4183">IF(MOD(ROW()-ROW($B$2),16)=0,INDEX($M$2:$M$1000,(ROW()-ROW($B$2))/16+1),"")</f>
        <v/>
      </c>
    </row>
    <row r="4184" spans="14:14" x14ac:dyDescent="0.3">
      <c r="N4184" t="str" cm="1">
        <f t="array" ref="N4184">IF(MOD(ROW()-ROW($B$2),16)=0,INDEX($M$2:$M$1000,(ROW()-ROW($B$2))/16+1),"")</f>
        <v/>
      </c>
    </row>
    <row r="4185" spans="14:14" x14ac:dyDescent="0.3">
      <c r="N4185" t="str" cm="1">
        <f t="array" ref="N4185">IF(MOD(ROW()-ROW($B$2),16)=0,INDEX($M$2:$M$1000,(ROW()-ROW($B$2))/16+1),"")</f>
        <v/>
      </c>
    </row>
    <row r="4186" spans="14:14" x14ac:dyDescent="0.3">
      <c r="N4186" t="str" cm="1">
        <f t="array" ref="N4186">IF(MOD(ROW()-ROW($B$2),16)=0,INDEX($M$2:$M$1000,(ROW()-ROW($B$2))/16+1),"")</f>
        <v/>
      </c>
    </row>
    <row r="4187" spans="14:14" x14ac:dyDescent="0.3">
      <c r="N4187" t="str" cm="1">
        <f t="array" ref="N4187">IF(MOD(ROW()-ROW($B$2),16)=0,INDEX($M$2:$M$1000,(ROW()-ROW($B$2))/16+1),"")</f>
        <v/>
      </c>
    </row>
    <row r="4188" spans="14:14" x14ac:dyDescent="0.3">
      <c r="N4188" t="str" cm="1">
        <f t="array" ref="N4188">IF(MOD(ROW()-ROW($B$2),16)=0,INDEX($M$2:$M$1000,(ROW()-ROW($B$2))/16+1),"")</f>
        <v/>
      </c>
    </row>
    <row r="4189" spans="14:14" x14ac:dyDescent="0.3">
      <c r="N4189" t="str" cm="1">
        <f t="array" ref="N4189">IF(MOD(ROW()-ROW($B$2),16)=0,INDEX($M$2:$M$1000,(ROW()-ROW($B$2))/16+1),"")</f>
        <v/>
      </c>
    </row>
    <row r="4190" spans="14:14" x14ac:dyDescent="0.3">
      <c r="N4190" t="str" cm="1">
        <f t="array" ref="N4190">IF(MOD(ROW()-ROW($B$2),16)=0,INDEX($M$2:$M$1000,(ROW()-ROW($B$2))/16+1),"")</f>
        <v/>
      </c>
    </row>
    <row r="4191" spans="14:14" x14ac:dyDescent="0.3">
      <c r="N4191" t="str" cm="1">
        <f t="array" ref="N4191">IF(MOD(ROW()-ROW($B$2),16)=0,INDEX($M$2:$M$1000,(ROW()-ROW($B$2))/16+1),"")</f>
        <v/>
      </c>
    </row>
    <row r="4192" spans="14:14" x14ac:dyDescent="0.3">
      <c r="N4192" t="str" cm="1">
        <f t="array" ref="N4192">IF(MOD(ROW()-ROW($B$2),16)=0,INDEX($M$2:$M$1000,(ROW()-ROW($B$2))/16+1),"")</f>
        <v/>
      </c>
    </row>
    <row r="4193" spans="14:14" x14ac:dyDescent="0.3">
      <c r="N4193" t="str" cm="1">
        <f t="array" ref="N4193">IF(MOD(ROW()-ROW($B$2),16)=0,INDEX($M$2:$M$1000,(ROW()-ROW($B$2))/16+1),"")</f>
        <v/>
      </c>
    </row>
    <row r="4194" spans="14:14" x14ac:dyDescent="0.3">
      <c r="N4194" t="str" cm="1">
        <f t="array" ref="N4194">IF(MOD(ROW()-ROW($B$2),16)=0,INDEX($M$2:$M$1000,(ROW()-ROW($B$2))/16+1),"")</f>
        <v/>
      </c>
    </row>
    <row r="4195" spans="14:14" x14ac:dyDescent="0.3">
      <c r="N4195" t="str" cm="1">
        <f t="array" ref="N4195">IF(MOD(ROW()-ROW($B$2),16)=0,INDEX($M$2:$M$1000,(ROW()-ROW($B$2))/16+1),"")</f>
        <v/>
      </c>
    </row>
    <row r="4196" spans="14:14" x14ac:dyDescent="0.3">
      <c r="N4196" t="str" cm="1">
        <f t="array" ref="N4196">IF(MOD(ROW()-ROW($B$2),16)=0,INDEX($M$2:$M$1000,(ROW()-ROW($B$2))/16+1),"")</f>
        <v/>
      </c>
    </row>
    <row r="4197" spans="14:14" x14ac:dyDescent="0.3">
      <c r="N4197" t="str" cm="1">
        <f t="array" ref="N4197">IF(MOD(ROW()-ROW($B$2),16)=0,INDEX($M$2:$M$1000,(ROW()-ROW($B$2))/16+1),"")</f>
        <v/>
      </c>
    </row>
    <row r="4198" spans="14:14" x14ac:dyDescent="0.3">
      <c r="N4198" t="str" cm="1">
        <f t="array" ref="N4198">IF(MOD(ROW()-ROW($B$2),16)=0,INDEX($M$2:$M$1000,(ROW()-ROW($B$2))/16+1),"")</f>
        <v/>
      </c>
    </row>
    <row r="4199" spans="14:14" x14ac:dyDescent="0.3">
      <c r="N4199" t="str" cm="1">
        <f t="array" ref="N4199">IF(MOD(ROW()-ROW($B$2),16)=0,INDEX($M$2:$M$1000,(ROW()-ROW($B$2))/16+1),"")</f>
        <v/>
      </c>
    </row>
    <row r="4200" spans="14:14" x14ac:dyDescent="0.3">
      <c r="N4200" t="str" cm="1">
        <f t="array" ref="N4200">IF(MOD(ROW()-ROW($B$2),16)=0,INDEX($M$2:$M$1000,(ROW()-ROW($B$2))/16+1),"")</f>
        <v/>
      </c>
    </row>
    <row r="4201" spans="14:14" x14ac:dyDescent="0.3">
      <c r="N4201" t="str" cm="1">
        <f t="array" ref="N4201">IF(MOD(ROW()-ROW($B$2),16)=0,INDEX($M$2:$M$1000,(ROW()-ROW($B$2))/16+1),"")</f>
        <v/>
      </c>
    </row>
    <row r="4202" spans="14:14" x14ac:dyDescent="0.3">
      <c r="N4202" t="str" cm="1">
        <f t="array" ref="N4202">IF(MOD(ROW()-ROW($B$2),16)=0,INDEX($M$2:$M$1000,(ROW()-ROW($B$2))/16+1),"")</f>
        <v/>
      </c>
    </row>
    <row r="4203" spans="14:14" x14ac:dyDescent="0.3">
      <c r="N4203" t="str" cm="1">
        <f t="array" ref="N4203">IF(MOD(ROW()-ROW($B$2),16)=0,INDEX($M$2:$M$1000,(ROW()-ROW($B$2))/16+1),"")</f>
        <v/>
      </c>
    </row>
    <row r="4204" spans="14:14" x14ac:dyDescent="0.3">
      <c r="N4204" t="str" cm="1">
        <f t="array" ref="N4204">IF(MOD(ROW()-ROW($B$2),16)=0,INDEX($M$2:$M$1000,(ROW()-ROW($B$2))/16+1),"")</f>
        <v/>
      </c>
    </row>
    <row r="4205" spans="14:14" x14ac:dyDescent="0.3">
      <c r="N4205" t="str" cm="1">
        <f t="array" ref="N4205">IF(MOD(ROW()-ROW($B$2),16)=0,INDEX($M$2:$M$1000,(ROW()-ROW($B$2))/16+1),"")</f>
        <v/>
      </c>
    </row>
    <row r="4206" spans="14:14" x14ac:dyDescent="0.3">
      <c r="N4206" t="str" cm="1">
        <f t="array" ref="N4206">IF(MOD(ROW()-ROW($B$2),16)=0,INDEX($M$2:$M$1000,(ROW()-ROW($B$2))/16+1),"")</f>
        <v/>
      </c>
    </row>
    <row r="4207" spans="14:14" x14ac:dyDescent="0.3">
      <c r="N4207" t="str" cm="1">
        <f t="array" ref="N4207">IF(MOD(ROW()-ROW($B$2),16)=0,INDEX($M$2:$M$1000,(ROW()-ROW($B$2))/16+1),"")</f>
        <v/>
      </c>
    </row>
    <row r="4208" spans="14:14" x14ac:dyDescent="0.3">
      <c r="N4208" t="str" cm="1">
        <f t="array" ref="N4208">IF(MOD(ROW()-ROW($B$2),16)=0,INDEX($M$2:$M$1000,(ROW()-ROW($B$2))/16+1),"")</f>
        <v/>
      </c>
    </row>
    <row r="4209" spans="14:14" x14ac:dyDescent="0.3">
      <c r="N4209" t="str" cm="1">
        <f t="array" ref="N4209">IF(MOD(ROW()-ROW($B$2),16)=0,INDEX($M$2:$M$1000,(ROW()-ROW($B$2))/16+1),"")</f>
        <v/>
      </c>
    </row>
    <row r="4210" spans="14:14" x14ac:dyDescent="0.3">
      <c r="N4210" t="str" cm="1">
        <f t="array" ref="N4210">IF(MOD(ROW()-ROW($B$2),16)=0,INDEX($M$2:$M$1000,(ROW()-ROW($B$2))/16+1),"")</f>
        <v/>
      </c>
    </row>
    <row r="4211" spans="14:14" x14ac:dyDescent="0.3">
      <c r="N4211" t="str" cm="1">
        <f t="array" ref="N4211">IF(MOD(ROW()-ROW($B$2),16)=0,INDEX($M$2:$M$1000,(ROW()-ROW($B$2))/16+1),"")</f>
        <v/>
      </c>
    </row>
    <row r="4212" spans="14:14" x14ac:dyDescent="0.3">
      <c r="N4212" t="str" cm="1">
        <f t="array" ref="N4212">IF(MOD(ROW()-ROW($B$2),16)=0,INDEX($M$2:$M$1000,(ROW()-ROW($B$2))/16+1),"")</f>
        <v/>
      </c>
    </row>
    <row r="4213" spans="14:14" x14ac:dyDescent="0.3">
      <c r="N4213" t="str" cm="1">
        <f t="array" ref="N4213">IF(MOD(ROW()-ROW($B$2),16)=0,INDEX($M$2:$M$1000,(ROW()-ROW($B$2))/16+1),"")</f>
        <v/>
      </c>
    </row>
    <row r="4214" spans="14:14" x14ac:dyDescent="0.3">
      <c r="N4214" t="str" cm="1">
        <f t="array" ref="N4214">IF(MOD(ROW()-ROW($B$2),16)=0,INDEX($M$2:$M$1000,(ROW()-ROW($B$2))/16+1),"")</f>
        <v/>
      </c>
    </row>
    <row r="4215" spans="14:14" x14ac:dyDescent="0.3">
      <c r="N4215" t="str" cm="1">
        <f t="array" ref="N4215">IF(MOD(ROW()-ROW($B$2),16)=0,INDEX($M$2:$M$1000,(ROW()-ROW($B$2))/16+1),"")</f>
        <v/>
      </c>
    </row>
    <row r="4216" spans="14:14" x14ac:dyDescent="0.3">
      <c r="N4216" t="str" cm="1">
        <f t="array" ref="N4216">IF(MOD(ROW()-ROW($B$2),16)=0,INDEX($M$2:$M$1000,(ROW()-ROW($B$2))/16+1),"")</f>
        <v/>
      </c>
    </row>
    <row r="4217" spans="14:14" x14ac:dyDescent="0.3">
      <c r="N4217" t="str" cm="1">
        <f t="array" ref="N4217">IF(MOD(ROW()-ROW($B$2),16)=0,INDEX($M$2:$M$1000,(ROW()-ROW($B$2))/16+1),"")</f>
        <v/>
      </c>
    </row>
    <row r="4218" spans="14:14" x14ac:dyDescent="0.3">
      <c r="N4218" t="str" cm="1">
        <f t="array" ref="N4218">IF(MOD(ROW()-ROW($B$2),16)=0,INDEX($M$2:$M$1000,(ROW()-ROW($B$2))/16+1),"")</f>
        <v/>
      </c>
    </row>
    <row r="4219" spans="14:14" x14ac:dyDescent="0.3">
      <c r="N4219" t="str" cm="1">
        <f t="array" ref="N4219">IF(MOD(ROW()-ROW($B$2),16)=0,INDEX($M$2:$M$1000,(ROW()-ROW($B$2))/16+1),"")</f>
        <v/>
      </c>
    </row>
    <row r="4220" spans="14:14" x14ac:dyDescent="0.3">
      <c r="N4220" t="str" cm="1">
        <f t="array" ref="N4220">IF(MOD(ROW()-ROW($B$2),16)=0,INDEX($M$2:$M$1000,(ROW()-ROW($B$2))/16+1),"")</f>
        <v/>
      </c>
    </row>
    <row r="4221" spans="14:14" x14ac:dyDescent="0.3">
      <c r="N4221" t="str" cm="1">
        <f t="array" ref="N4221">IF(MOD(ROW()-ROW($B$2),16)=0,INDEX($M$2:$M$1000,(ROW()-ROW($B$2))/16+1),"")</f>
        <v/>
      </c>
    </row>
    <row r="4222" spans="14:14" x14ac:dyDescent="0.3">
      <c r="N4222" t="str" cm="1">
        <f t="array" ref="N4222">IF(MOD(ROW()-ROW($B$2),16)=0,INDEX($M$2:$M$1000,(ROW()-ROW($B$2))/16+1),"")</f>
        <v/>
      </c>
    </row>
    <row r="4223" spans="14:14" x14ac:dyDescent="0.3">
      <c r="N4223" t="str" cm="1">
        <f t="array" ref="N4223">IF(MOD(ROW()-ROW($B$2),16)=0,INDEX($M$2:$M$1000,(ROW()-ROW($B$2))/16+1),"")</f>
        <v/>
      </c>
    </row>
    <row r="4224" spans="14:14" x14ac:dyDescent="0.3">
      <c r="N4224" t="str" cm="1">
        <f t="array" ref="N4224">IF(MOD(ROW()-ROW($B$2),16)=0,INDEX($M$2:$M$1000,(ROW()-ROW($B$2))/16+1),"")</f>
        <v/>
      </c>
    </row>
    <row r="4225" spans="14:14" x14ac:dyDescent="0.3">
      <c r="N4225" t="str" cm="1">
        <f t="array" ref="N4225">IF(MOD(ROW()-ROW($B$2),16)=0,INDEX($M$2:$M$1000,(ROW()-ROW($B$2))/16+1),"")</f>
        <v/>
      </c>
    </row>
    <row r="4226" spans="14:14" x14ac:dyDescent="0.3">
      <c r="N4226" t="str" cm="1">
        <f t="array" ref="N4226">IF(MOD(ROW()-ROW($B$2),16)=0,INDEX($M$2:$M$1000,(ROW()-ROW($B$2))/16+1),"")</f>
        <v/>
      </c>
    </row>
    <row r="4227" spans="14:14" x14ac:dyDescent="0.3">
      <c r="N4227" t="str" cm="1">
        <f t="array" ref="N4227">IF(MOD(ROW()-ROW($B$2),16)=0,INDEX($M$2:$M$1000,(ROW()-ROW($B$2))/16+1),"")</f>
        <v/>
      </c>
    </row>
    <row r="4228" spans="14:14" x14ac:dyDescent="0.3">
      <c r="N4228" t="str" cm="1">
        <f t="array" ref="N4228">IF(MOD(ROW()-ROW($B$2),16)=0,INDEX($M$2:$M$1000,(ROW()-ROW($B$2))/16+1),"")</f>
        <v/>
      </c>
    </row>
    <row r="4229" spans="14:14" x14ac:dyDescent="0.3">
      <c r="N4229" t="str" cm="1">
        <f t="array" ref="N4229">IF(MOD(ROW()-ROW($B$2),16)=0,INDEX($M$2:$M$1000,(ROW()-ROW($B$2))/16+1),"")</f>
        <v/>
      </c>
    </row>
    <row r="4230" spans="14:14" x14ac:dyDescent="0.3">
      <c r="N4230" t="str" cm="1">
        <f t="array" ref="N4230">IF(MOD(ROW()-ROW($B$2),16)=0,INDEX($M$2:$M$1000,(ROW()-ROW($B$2))/16+1),"")</f>
        <v/>
      </c>
    </row>
    <row r="4231" spans="14:14" x14ac:dyDescent="0.3">
      <c r="N4231" t="str" cm="1">
        <f t="array" ref="N4231">IF(MOD(ROW()-ROW($B$2),16)=0,INDEX($M$2:$M$1000,(ROW()-ROW($B$2))/16+1),"")</f>
        <v/>
      </c>
    </row>
    <row r="4232" spans="14:14" x14ac:dyDescent="0.3">
      <c r="N4232" t="str" cm="1">
        <f t="array" ref="N4232">IF(MOD(ROW()-ROW($B$2),16)=0,INDEX($M$2:$M$1000,(ROW()-ROW($B$2))/16+1),"")</f>
        <v/>
      </c>
    </row>
    <row r="4233" spans="14:14" x14ac:dyDescent="0.3">
      <c r="N4233" t="str" cm="1">
        <f t="array" ref="N4233">IF(MOD(ROW()-ROW($B$2),16)=0,INDEX($M$2:$M$1000,(ROW()-ROW($B$2))/16+1),"")</f>
        <v/>
      </c>
    </row>
    <row r="4234" spans="14:14" x14ac:dyDescent="0.3">
      <c r="N4234" t="str" cm="1">
        <f t="array" ref="N4234">IF(MOD(ROW()-ROW($B$2),16)=0,INDEX($M$2:$M$1000,(ROW()-ROW($B$2))/16+1),"")</f>
        <v/>
      </c>
    </row>
    <row r="4235" spans="14:14" x14ac:dyDescent="0.3">
      <c r="N4235" t="str" cm="1">
        <f t="array" ref="N4235">IF(MOD(ROW()-ROW($B$2),16)=0,INDEX($M$2:$M$1000,(ROW()-ROW($B$2))/16+1),"")</f>
        <v/>
      </c>
    </row>
    <row r="4236" spans="14:14" x14ac:dyDescent="0.3">
      <c r="N4236" t="str" cm="1">
        <f t="array" ref="N4236">IF(MOD(ROW()-ROW($B$2),16)=0,INDEX($M$2:$M$1000,(ROW()-ROW($B$2))/16+1),"")</f>
        <v/>
      </c>
    </row>
    <row r="4237" spans="14:14" x14ac:dyDescent="0.3">
      <c r="N4237" t="str" cm="1">
        <f t="array" ref="N4237">IF(MOD(ROW()-ROW($B$2),16)=0,INDEX($M$2:$M$1000,(ROW()-ROW($B$2))/16+1),"")</f>
        <v/>
      </c>
    </row>
    <row r="4238" spans="14:14" x14ac:dyDescent="0.3">
      <c r="N4238" t="str" cm="1">
        <f t="array" ref="N4238">IF(MOD(ROW()-ROW($B$2),16)=0,INDEX($M$2:$M$1000,(ROW()-ROW($B$2))/16+1),"")</f>
        <v/>
      </c>
    </row>
    <row r="4239" spans="14:14" x14ac:dyDescent="0.3">
      <c r="N4239" t="str" cm="1">
        <f t="array" ref="N4239">IF(MOD(ROW()-ROW($B$2),16)=0,INDEX($M$2:$M$1000,(ROW()-ROW($B$2))/16+1),"")</f>
        <v/>
      </c>
    </row>
    <row r="4240" spans="14:14" x14ac:dyDescent="0.3">
      <c r="N4240" t="str" cm="1">
        <f t="array" ref="N4240">IF(MOD(ROW()-ROW($B$2),16)=0,INDEX($M$2:$M$1000,(ROW()-ROW($B$2))/16+1),"")</f>
        <v/>
      </c>
    </row>
    <row r="4241" spans="14:14" x14ac:dyDescent="0.3">
      <c r="N4241" t="str" cm="1">
        <f t="array" ref="N4241">IF(MOD(ROW()-ROW($B$2),16)=0,INDEX($M$2:$M$1000,(ROW()-ROW($B$2))/16+1),"")</f>
        <v/>
      </c>
    </row>
    <row r="4242" spans="14:14" x14ac:dyDescent="0.3">
      <c r="N4242" t="str" cm="1">
        <f t="array" ref="N4242">IF(MOD(ROW()-ROW($B$2),16)=0,INDEX($M$2:$M$1000,(ROW()-ROW($B$2))/16+1),"")</f>
        <v/>
      </c>
    </row>
    <row r="4243" spans="14:14" x14ac:dyDescent="0.3">
      <c r="N4243" t="str" cm="1">
        <f t="array" ref="N4243">IF(MOD(ROW()-ROW($B$2),16)=0,INDEX($M$2:$M$1000,(ROW()-ROW($B$2))/16+1),"")</f>
        <v/>
      </c>
    </row>
    <row r="4244" spans="14:14" x14ac:dyDescent="0.3">
      <c r="N4244" t="str" cm="1">
        <f t="array" ref="N4244">IF(MOD(ROW()-ROW($B$2),16)=0,INDEX($M$2:$M$1000,(ROW()-ROW($B$2))/16+1),"")</f>
        <v/>
      </c>
    </row>
    <row r="4245" spans="14:14" x14ac:dyDescent="0.3">
      <c r="N4245" t="str" cm="1">
        <f t="array" ref="N4245">IF(MOD(ROW()-ROW($B$2),16)=0,INDEX($M$2:$M$1000,(ROW()-ROW($B$2))/16+1),"")</f>
        <v/>
      </c>
    </row>
    <row r="4246" spans="14:14" x14ac:dyDescent="0.3">
      <c r="N4246" t="str" cm="1">
        <f t="array" ref="N4246">IF(MOD(ROW()-ROW($B$2),16)=0,INDEX($M$2:$M$1000,(ROW()-ROW($B$2))/16+1),"")</f>
        <v/>
      </c>
    </row>
    <row r="4247" spans="14:14" x14ac:dyDescent="0.3">
      <c r="N4247" t="str" cm="1">
        <f t="array" ref="N4247">IF(MOD(ROW()-ROW($B$2),16)=0,INDEX($M$2:$M$1000,(ROW()-ROW($B$2))/16+1),"")</f>
        <v/>
      </c>
    </row>
    <row r="4248" spans="14:14" x14ac:dyDescent="0.3">
      <c r="N4248" t="str" cm="1">
        <f t="array" ref="N4248">IF(MOD(ROW()-ROW($B$2),16)=0,INDEX($M$2:$M$1000,(ROW()-ROW($B$2))/16+1),"")</f>
        <v/>
      </c>
    </row>
    <row r="4249" spans="14:14" x14ac:dyDescent="0.3">
      <c r="N4249" t="str" cm="1">
        <f t="array" ref="N4249">IF(MOD(ROW()-ROW($B$2),16)=0,INDEX($M$2:$M$1000,(ROW()-ROW($B$2))/16+1),"")</f>
        <v/>
      </c>
    </row>
    <row r="4250" spans="14:14" x14ac:dyDescent="0.3">
      <c r="N4250" t="str" cm="1">
        <f t="array" ref="N4250">IF(MOD(ROW()-ROW($B$2),16)=0,INDEX($M$2:$M$1000,(ROW()-ROW($B$2))/16+1),"")</f>
        <v/>
      </c>
    </row>
    <row r="4251" spans="14:14" x14ac:dyDescent="0.3">
      <c r="N4251" t="str" cm="1">
        <f t="array" ref="N4251">IF(MOD(ROW()-ROW($B$2),16)=0,INDEX($M$2:$M$1000,(ROW()-ROW($B$2))/16+1),"")</f>
        <v/>
      </c>
    </row>
    <row r="4252" spans="14:14" x14ac:dyDescent="0.3">
      <c r="N4252" t="str" cm="1">
        <f t="array" ref="N4252">IF(MOD(ROW()-ROW($B$2),16)=0,INDEX($M$2:$M$1000,(ROW()-ROW($B$2))/16+1),"")</f>
        <v/>
      </c>
    </row>
    <row r="4253" spans="14:14" x14ac:dyDescent="0.3">
      <c r="N4253" t="str" cm="1">
        <f t="array" ref="N4253">IF(MOD(ROW()-ROW($B$2),16)=0,INDEX($M$2:$M$1000,(ROW()-ROW($B$2))/16+1),"")</f>
        <v/>
      </c>
    </row>
    <row r="4254" spans="14:14" x14ac:dyDescent="0.3">
      <c r="N4254" t="str" cm="1">
        <f t="array" ref="N4254">IF(MOD(ROW()-ROW($B$2),16)=0,INDEX($M$2:$M$1000,(ROW()-ROW($B$2))/16+1),"")</f>
        <v/>
      </c>
    </row>
    <row r="4255" spans="14:14" x14ac:dyDescent="0.3">
      <c r="N4255" t="str" cm="1">
        <f t="array" ref="N4255">IF(MOD(ROW()-ROW($B$2),16)=0,INDEX($M$2:$M$1000,(ROW()-ROW($B$2))/16+1),"")</f>
        <v/>
      </c>
    </row>
    <row r="4256" spans="14:14" x14ac:dyDescent="0.3">
      <c r="N4256" t="str" cm="1">
        <f t="array" ref="N4256">IF(MOD(ROW()-ROW($B$2),16)=0,INDEX($M$2:$M$1000,(ROW()-ROW($B$2))/16+1),"")</f>
        <v/>
      </c>
    </row>
    <row r="4257" spans="14:14" x14ac:dyDescent="0.3">
      <c r="N4257" t="str" cm="1">
        <f t="array" ref="N4257">IF(MOD(ROW()-ROW($B$2),16)=0,INDEX($M$2:$M$1000,(ROW()-ROW($B$2))/16+1),"")</f>
        <v/>
      </c>
    </row>
    <row r="4258" spans="14:14" x14ac:dyDescent="0.3">
      <c r="N4258" t="str" cm="1">
        <f t="array" ref="N4258">IF(MOD(ROW()-ROW($B$2),16)=0,INDEX($M$2:$M$1000,(ROW()-ROW($B$2))/16+1),"")</f>
        <v/>
      </c>
    </row>
    <row r="4259" spans="14:14" x14ac:dyDescent="0.3">
      <c r="N4259" t="str" cm="1">
        <f t="array" ref="N4259">IF(MOD(ROW()-ROW($B$2),16)=0,INDEX($M$2:$M$1000,(ROW()-ROW($B$2))/16+1),"")</f>
        <v/>
      </c>
    </row>
    <row r="4260" spans="14:14" x14ac:dyDescent="0.3">
      <c r="N4260" t="str" cm="1">
        <f t="array" ref="N4260">IF(MOD(ROW()-ROW($B$2),16)=0,INDEX($M$2:$M$1000,(ROW()-ROW($B$2))/16+1),"")</f>
        <v/>
      </c>
    </row>
    <row r="4261" spans="14:14" x14ac:dyDescent="0.3">
      <c r="N4261" t="str" cm="1">
        <f t="array" ref="N4261">IF(MOD(ROW()-ROW($B$2),16)=0,INDEX($M$2:$M$1000,(ROW()-ROW($B$2))/16+1),"")</f>
        <v/>
      </c>
    </row>
    <row r="4262" spans="14:14" x14ac:dyDescent="0.3">
      <c r="N4262" t="str" cm="1">
        <f t="array" ref="N4262">IF(MOD(ROW()-ROW($B$2),16)=0,INDEX($M$2:$M$1000,(ROW()-ROW($B$2))/16+1),"")</f>
        <v/>
      </c>
    </row>
    <row r="4263" spans="14:14" x14ac:dyDescent="0.3">
      <c r="N4263" t="str" cm="1">
        <f t="array" ref="N4263">IF(MOD(ROW()-ROW($B$2),16)=0,INDEX($M$2:$M$1000,(ROW()-ROW($B$2))/16+1),"")</f>
        <v/>
      </c>
    </row>
    <row r="4264" spans="14:14" x14ac:dyDescent="0.3">
      <c r="N4264" t="str" cm="1">
        <f t="array" ref="N4264">IF(MOD(ROW()-ROW($B$2),16)=0,INDEX($M$2:$M$1000,(ROW()-ROW($B$2))/16+1),"")</f>
        <v/>
      </c>
    </row>
    <row r="4265" spans="14:14" x14ac:dyDescent="0.3">
      <c r="N4265" t="str" cm="1">
        <f t="array" ref="N4265">IF(MOD(ROW()-ROW($B$2),16)=0,INDEX($M$2:$M$1000,(ROW()-ROW($B$2))/16+1),"")</f>
        <v/>
      </c>
    </row>
    <row r="4266" spans="14:14" x14ac:dyDescent="0.3">
      <c r="N4266" t="str" cm="1">
        <f t="array" ref="N4266">IF(MOD(ROW()-ROW($B$2),16)=0,INDEX($M$2:$M$1000,(ROW()-ROW($B$2))/16+1),"")</f>
        <v/>
      </c>
    </row>
    <row r="4267" spans="14:14" x14ac:dyDescent="0.3">
      <c r="N4267" t="str" cm="1">
        <f t="array" ref="N4267">IF(MOD(ROW()-ROW($B$2),16)=0,INDEX($M$2:$M$1000,(ROW()-ROW($B$2))/16+1),"")</f>
        <v/>
      </c>
    </row>
    <row r="4268" spans="14:14" x14ac:dyDescent="0.3">
      <c r="N4268" t="str" cm="1">
        <f t="array" ref="N4268">IF(MOD(ROW()-ROW($B$2),16)=0,INDEX($M$2:$M$1000,(ROW()-ROW($B$2))/16+1),"")</f>
        <v/>
      </c>
    </row>
    <row r="4269" spans="14:14" x14ac:dyDescent="0.3">
      <c r="N4269" t="str" cm="1">
        <f t="array" ref="N4269">IF(MOD(ROW()-ROW($B$2),16)=0,INDEX($M$2:$M$1000,(ROW()-ROW($B$2))/16+1),"")</f>
        <v/>
      </c>
    </row>
    <row r="4270" spans="14:14" x14ac:dyDescent="0.3">
      <c r="N4270" t="str" cm="1">
        <f t="array" ref="N4270">IF(MOD(ROW()-ROW($B$2),16)=0,INDEX($M$2:$M$1000,(ROW()-ROW($B$2))/16+1),"")</f>
        <v/>
      </c>
    </row>
    <row r="4271" spans="14:14" x14ac:dyDescent="0.3">
      <c r="N4271" t="str" cm="1">
        <f t="array" ref="N4271">IF(MOD(ROW()-ROW($B$2),16)=0,INDEX($M$2:$M$1000,(ROW()-ROW($B$2))/16+1),"")</f>
        <v/>
      </c>
    </row>
    <row r="4272" spans="14:14" x14ac:dyDescent="0.3">
      <c r="N4272" t="str" cm="1">
        <f t="array" ref="N4272">IF(MOD(ROW()-ROW($B$2),16)=0,INDEX($M$2:$M$1000,(ROW()-ROW($B$2))/16+1),"")</f>
        <v/>
      </c>
    </row>
    <row r="4273" spans="14:14" x14ac:dyDescent="0.3">
      <c r="N4273" t="str" cm="1">
        <f t="array" ref="N4273">IF(MOD(ROW()-ROW($B$2),16)=0,INDEX($M$2:$M$1000,(ROW()-ROW($B$2))/16+1),"")</f>
        <v/>
      </c>
    </row>
    <row r="4274" spans="14:14" x14ac:dyDescent="0.3">
      <c r="N4274" t="str" cm="1">
        <f t="array" ref="N4274">IF(MOD(ROW()-ROW($B$2),16)=0,INDEX($M$2:$M$1000,(ROW()-ROW($B$2))/16+1),"")</f>
        <v/>
      </c>
    </row>
    <row r="4275" spans="14:14" x14ac:dyDescent="0.3">
      <c r="N4275" t="str" cm="1">
        <f t="array" ref="N4275">IF(MOD(ROW()-ROW($B$2),16)=0,INDEX($M$2:$M$1000,(ROW()-ROW($B$2))/16+1),"")</f>
        <v/>
      </c>
    </row>
    <row r="4276" spans="14:14" x14ac:dyDescent="0.3">
      <c r="N4276" t="str" cm="1">
        <f t="array" ref="N4276">IF(MOD(ROW()-ROW($B$2),16)=0,INDEX($M$2:$M$1000,(ROW()-ROW($B$2))/16+1),"")</f>
        <v/>
      </c>
    </row>
    <row r="4277" spans="14:14" x14ac:dyDescent="0.3">
      <c r="N4277" t="str" cm="1">
        <f t="array" ref="N4277">IF(MOD(ROW()-ROW($B$2),16)=0,INDEX($M$2:$M$1000,(ROW()-ROW($B$2))/16+1),"")</f>
        <v/>
      </c>
    </row>
    <row r="4278" spans="14:14" x14ac:dyDescent="0.3">
      <c r="N4278" t="str" cm="1">
        <f t="array" ref="N4278">IF(MOD(ROW()-ROW($B$2),16)=0,INDEX($M$2:$M$1000,(ROW()-ROW($B$2))/16+1),"")</f>
        <v/>
      </c>
    </row>
    <row r="4279" spans="14:14" x14ac:dyDescent="0.3">
      <c r="N4279" t="str" cm="1">
        <f t="array" ref="N4279">IF(MOD(ROW()-ROW($B$2),16)=0,INDEX($M$2:$M$1000,(ROW()-ROW($B$2))/16+1),"")</f>
        <v/>
      </c>
    </row>
    <row r="4280" spans="14:14" x14ac:dyDescent="0.3">
      <c r="N4280" t="str" cm="1">
        <f t="array" ref="N4280">IF(MOD(ROW()-ROW($B$2),16)=0,INDEX($M$2:$M$1000,(ROW()-ROW($B$2))/16+1),"")</f>
        <v/>
      </c>
    </row>
    <row r="4281" spans="14:14" x14ac:dyDescent="0.3">
      <c r="N4281" t="str" cm="1">
        <f t="array" ref="N4281">IF(MOD(ROW()-ROW($B$2),16)=0,INDEX($M$2:$M$1000,(ROW()-ROW($B$2))/16+1),"")</f>
        <v/>
      </c>
    </row>
    <row r="4282" spans="14:14" x14ac:dyDescent="0.3">
      <c r="N4282" t="str" cm="1">
        <f t="array" ref="N4282">IF(MOD(ROW()-ROW($B$2),16)=0,INDEX($M$2:$M$1000,(ROW()-ROW($B$2))/16+1),"")</f>
        <v/>
      </c>
    </row>
    <row r="4283" spans="14:14" x14ac:dyDescent="0.3">
      <c r="N4283" t="str" cm="1">
        <f t="array" ref="N4283">IF(MOD(ROW()-ROW($B$2),16)=0,INDEX($M$2:$M$1000,(ROW()-ROW($B$2))/16+1),"")</f>
        <v/>
      </c>
    </row>
    <row r="4284" spans="14:14" x14ac:dyDescent="0.3">
      <c r="N4284" t="str" cm="1">
        <f t="array" ref="N4284">IF(MOD(ROW()-ROW($B$2),16)=0,INDEX($M$2:$M$1000,(ROW()-ROW($B$2))/16+1),"")</f>
        <v/>
      </c>
    </row>
    <row r="4285" spans="14:14" x14ac:dyDescent="0.3">
      <c r="N4285" t="str" cm="1">
        <f t="array" ref="N4285">IF(MOD(ROW()-ROW($B$2),16)=0,INDEX($M$2:$M$1000,(ROW()-ROW($B$2))/16+1),"")</f>
        <v/>
      </c>
    </row>
    <row r="4286" spans="14:14" x14ac:dyDescent="0.3">
      <c r="N4286" t="str" cm="1">
        <f t="array" ref="N4286">IF(MOD(ROW()-ROW($B$2),16)=0,INDEX($M$2:$M$1000,(ROW()-ROW($B$2))/16+1),"")</f>
        <v/>
      </c>
    </row>
    <row r="4287" spans="14:14" x14ac:dyDescent="0.3">
      <c r="N4287" t="str" cm="1">
        <f t="array" ref="N4287">IF(MOD(ROW()-ROW($B$2),16)=0,INDEX($M$2:$M$1000,(ROW()-ROW($B$2))/16+1),"")</f>
        <v/>
      </c>
    </row>
    <row r="4288" spans="14:14" x14ac:dyDescent="0.3">
      <c r="N4288" t="str" cm="1">
        <f t="array" ref="N4288">IF(MOD(ROW()-ROW($B$2),16)=0,INDEX($M$2:$M$1000,(ROW()-ROW($B$2))/16+1),"")</f>
        <v/>
      </c>
    </row>
    <row r="4289" spans="14:14" x14ac:dyDescent="0.3">
      <c r="N4289" t="str" cm="1">
        <f t="array" ref="N4289">IF(MOD(ROW()-ROW($B$2),16)=0,INDEX($M$2:$M$1000,(ROW()-ROW($B$2))/16+1),"")</f>
        <v/>
      </c>
    </row>
    <row r="4290" spans="14:14" x14ac:dyDescent="0.3">
      <c r="N4290" t="str" cm="1">
        <f t="array" ref="N4290">IF(MOD(ROW()-ROW($B$2),16)=0,INDEX($M$2:$M$1000,(ROW()-ROW($B$2))/16+1),"")</f>
        <v/>
      </c>
    </row>
    <row r="4291" spans="14:14" x14ac:dyDescent="0.3">
      <c r="N4291" t="str" cm="1">
        <f t="array" ref="N4291">IF(MOD(ROW()-ROW($B$2),16)=0,INDEX($M$2:$M$1000,(ROW()-ROW($B$2))/16+1),"")</f>
        <v/>
      </c>
    </row>
    <row r="4292" spans="14:14" x14ac:dyDescent="0.3">
      <c r="N4292" t="str" cm="1">
        <f t="array" ref="N4292">IF(MOD(ROW()-ROW($B$2),16)=0,INDEX($M$2:$M$1000,(ROW()-ROW($B$2))/16+1),"")</f>
        <v/>
      </c>
    </row>
    <row r="4293" spans="14:14" x14ac:dyDescent="0.3">
      <c r="N4293" t="str" cm="1">
        <f t="array" ref="N4293">IF(MOD(ROW()-ROW($B$2),16)=0,INDEX($M$2:$M$1000,(ROW()-ROW($B$2))/16+1),"")</f>
        <v/>
      </c>
    </row>
    <row r="4294" spans="14:14" x14ac:dyDescent="0.3">
      <c r="N4294" t="str" cm="1">
        <f t="array" ref="N4294">IF(MOD(ROW()-ROW($B$2),16)=0,INDEX($M$2:$M$1000,(ROW()-ROW($B$2))/16+1),"")</f>
        <v/>
      </c>
    </row>
    <row r="4295" spans="14:14" x14ac:dyDescent="0.3">
      <c r="N4295" t="str" cm="1">
        <f t="array" ref="N4295">IF(MOD(ROW()-ROW($B$2),16)=0,INDEX($M$2:$M$1000,(ROW()-ROW($B$2))/16+1),"")</f>
        <v/>
      </c>
    </row>
    <row r="4296" spans="14:14" x14ac:dyDescent="0.3">
      <c r="N4296" t="str" cm="1">
        <f t="array" ref="N4296">IF(MOD(ROW()-ROW($B$2),16)=0,INDEX($M$2:$M$1000,(ROW()-ROW($B$2))/16+1),"")</f>
        <v/>
      </c>
    </row>
    <row r="4297" spans="14:14" x14ac:dyDescent="0.3">
      <c r="N4297" t="str" cm="1">
        <f t="array" ref="N4297">IF(MOD(ROW()-ROW($B$2),16)=0,INDEX($M$2:$M$1000,(ROW()-ROW($B$2))/16+1),"")</f>
        <v/>
      </c>
    </row>
    <row r="4298" spans="14:14" x14ac:dyDescent="0.3">
      <c r="N4298" t="str" cm="1">
        <f t="array" ref="N4298">IF(MOD(ROW()-ROW($B$2),16)=0,INDEX($M$2:$M$1000,(ROW()-ROW($B$2))/16+1),"")</f>
        <v/>
      </c>
    </row>
    <row r="4299" spans="14:14" x14ac:dyDescent="0.3">
      <c r="N4299" t="str" cm="1">
        <f t="array" ref="N4299">IF(MOD(ROW()-ROW($B$2),16)=0,INDEX($M$2:$M$1000,(ROW()-ROW($B$2))/16+1),"")</f>
        <v/>
      </c>
    </row>
    <row r="4300" spans="14:14" x14ac:dyDescent="0.3">
      <c r="N4300" t="str" cm="1">
        <f t="array" ref="N4300">IF(MOD(ROW()-ROW($B$2),16)=0,INDEX($M$2:$M$1000,(ROW()-ROW($B$2))/16+1),"")</f>
        <v/>
      </c>
    </row>
    <row r="4301" spans="14:14" x14ac:dyDescent="0.3">
      <c r="N4301" t="str" cm="1">
        <f t="array" ref="N4301">IF(MOD(ROW()-ROW($B$2),16)=0,INDEX($M$2:$M$1000,(ROW()-ROW($B$2))/16+1),"")</f>
        <v/>
      </c>
    </row>
    <row r="4302" spans="14:14" x14ac:dyDescent="0.3">
      <c r="N4302" t="str" cm="1">
        <f t="array" ref="N4302">IF(MOD(ROW()-ROW($B$2),16)=0,INDEX($M$2:$M$1000,(ROW()-ROW($B$2))/16+1),"")</f>
        <v/>
      </c>
    </row>
    <row r="4303" spans="14:14" x14ac:dyDescent="0.3">
      <c r="N4303" t="str" cm="1">
        <f t="array" ref="N4303">IF(MOD(ROW()-ROW($B$2),16)=0,INDEX($M$2:$M$1000,(ROW()-ROW($B$2))/16+1),"")</f>
        <v/>
      </c>
    </row>
    <row r="4304" spans="14:14" x14ac:dyDescent="0.3">
      <c r="N4304" t="str" cm="1">
        <f t="array" ref="N4304">IF(MOD(ROW()-ROW($B$2),16)=0,INDEX($M$2:$M$1000,(ROW()-ROW($B$2))/16+1),"")</f>
        <v/>
      </c>
    </row>
    <row r="4305" spans="14:14" x14ac:dyDescent="0.3">
      <c r="N4305" t="str" cm="1">
        <f t="array" ref="N4305">IF(MOD(ROW()-ROW($B$2),16)=0,INDEX($M$2:$M$1000,(ROW()-ROW($B$2))/16+1),"")</f>
        <v/>
      </c>
    </row>
    <row r="4306" spans="14:14" x14ac:dyDescent="0.3">
      <c r="N4306" t="str" cm="1">
        <f t="array" ref="N4306">IF(MOD(ROW()-ROW($B$2),16)=0,INDEX($M$2:$M$1000,(ROW()-ROW($B$2))/16+1),"")</f>
        <v/>
      </c>
    </row>
    <row r="4307" spans="14:14" x14ac:dyDescent="0.3">
      <c r="N4307" t="str" cm="1">
        <f t="array" ref="N4307">IF(MOD(ROW()-ROW($B$2),16)=0,INDEX($M$2:$M$1000,(ROW()-ROW($B$2))/16+1),"")</f>
        <v/>
      </c>
    </row>
    <row r="4308" spans="14:14" x14ac:dyDescent="0.3">
      <c r="N4308" t="str" cm="1">
        <f t="array" ref="N4308">IF(MOD(ROW()-ROW($B$2),16)=0,INDEX($M$2:$M$1000,(ROW()-ROW($B$2))/16+1),"")</f>
        <v/>
      </c>
    </row>
    <row r="4309" spans="14:14" x14ac:dyDescent="0.3">
      <c r="N4309" t="str" cm="1">
        <f t="array" ref="N4309">IF(MOD(ROW()-ROW($B$2),16)=0,INDEX($M$2:$M$1000,(ROW()-ROW($B$2))/16+1),"")</f>
        <v/>
      </c>
    </row>
    <row r="4310" spans="14:14" x14ac:dyDescent="0.3">
      <c r="N4310" t="str" cm="1">
        <f t="array" ref="N4310">IF(MOD(ROW()-ROW($B$2),16)=0,INDEX($M$2:$M$1000,(ROW()-ROW($B$2))/16+1),"")</f>
        <v/>
      </c>
    </row>
    <row r="4311" spans="14:14" x14ac:dyDescent="0.3">
      <c r="N4311" t="str" cm="1">
        <f t="array" ref="N4311">IF(MOD(ROW()-ROW($B$2),16)=0,INDEX($M$2:$M$1000,(ROW()-ROW($B$2))/16+1),"")</f>
        <v/>
      </c>
    </row>
    <row r="4312" spans="14:14" x14ac:dyDescent="0.3">
      <c r="N4312" t="str" cm="1">
        <f t="array" ref="N4312">IF(MOD(ROW()-ROW($B$2),16)=0,INDEX($M$2:$M$1000,(ROW()-ROW($B$2))/16+1),"")</f>
        <v/>
      </c>
    </row>
    <row r="4313" spans="14:14" x14ac:dyDescent="0.3">
      <c r="N4313" t="str" cm="1">
        <f t="array" ref="N4313">IF(MOD(ROW()-ROW($B$2),16)=0,INDEX($M$2:$M$1000,(ROW()-ROW($B$2))/16+1),"")</f>
        <v/>
      </c>
    </row>
    <row r="4314" spans="14:14" x14ac:dyDescent="0.3">
      <c r="N4314" t="str" cm="1">
        <f t="array" ref="N4314">IF(MOD(ROW()-ROW($B$2),16)=0,INDEX($M$2:$M$1000,(ROW()-ROW($B$2))/16+1),"")</f>
        <v/>
      </c>
    </row>
    <row r="4315" spans="14:14" x14ac:dyDescent="0.3">
      <c r="N4315" t="str" cm="1">
        <f t="array" ref="N4315">IF(MOD(ROW()-ROW($B$2),16)=0,INDEX($M$2:$M$1000,(ROW()-ROW($B$2))/16+1),"")</f>
        <v/>
      </c>
    </row>
    <row r="4316" spans="14:14" x14ac:dyDescent="0.3">
      <c r="N4316" t="str" cm="1">
        <f t="array" ref="N4316">IF(MOD(ROW()-ROW($B$2),16)=0,INDEX($M$2:$M$1000,(ROW()-ROW($B$2))/16+1),"")</f>
        <v/>
      </c>
    </row>
    <row r="4317" spans="14:14" x14ac:dyDescent="0.3">
      <c r="N4317" t="str" cm="1">
        <f t="array" ref="N4317">IF(MOD(ROW()-ROW($B$2),16)=0,INDEX($M$2:$M$1000,(ROW()-ROW($B$2))/16+1),"")</f>
        <v/>
      </c>
    </row>
    <row r="4318" spans="14:14" x14ac:dyDescent="0.3">
      <c r="N4318" t="str" cm="1">
        <f t="array" ref="N4318">IF(MOD(ROW()-ROW($B$2),16)=0,INDEX($M$2:$M$1000,(ROW()-ROW($B$2))/16+1),"")</f>
        <v/>
      </c>
    </row>
    <row r="4319" spans="14:14" x14ac:dyDescent="0.3">
      <c r="N4319" t="str" cm="1">
        <f t="array" ref="N4319">IF(MOD(ROW()-ROW($B$2),16)=0,INDEX($M$2:$M$1000,(ROW()-ROW($B$2))/16+1),"")</f>
        <v/>
      </c>
    </row>
    <row r="4320" spans="14:14" x14ac:dyDescent="0.3">
      <c r="N4320" t="str" cm="1">
        <f t="array" ref="N4320">IF(MOD(ROW()-ROW($B$2),16)=0,INDEX($M$2:$M$1000,(ROW()-ROW($B$2))/16+1),"")</f>
        <v/>
      </c>
    </row>
    <row r="4321" spans="14:14" x14ac:dyDescent="0.3">
      <c r="N4321" t="str" cm="1">
        <f t="array" ref="N4321">IF(MOD(ROW()-ROW($B$2),16)=0,INDEX($M$2:$M$1000,(ROW()-ROW($B$2))/16+1),"")</f>
        <v/>
      </c>
    </row>
    <row r="4322" spans="14:14" x14ac:dyDescent="0.3">
      <c r="N4322" t="str" cm="1">
        <f t="array" ref="N4322">IF(MOD(ROW()-ROW($B$2),16)=0,INDEX($M$2:$M$1000,(ROW()-ROW($B$2))/16+1),"")</f>
        <v/>
      </c>
    </row>
    <row r="4323" spans="14:14" x14ac:dyDescent="0.3">
      <c r="N4323" t="str" cm="1">
        <f t="array" ref="N4323">IF(MOD(ROW()-ROW($B$2),16)=0,INDEX($M$2:$M$1000,(ROW()-ROW($B$2))/16+1),"")</f>
        <v/>
      </c>
    </row>
    <row r="4324" spans="14:14" x14ac:dyDescent="0.3">
      <c r="N4324" t="str" cm="1">
        <f t="array" ref="N4324">IF(MOD(ROW()-ROW($B$2),16)=0,INDEX($M$2:$M$1000,(ROW()-ROW($B$2))/16+1),"")</f>
        <v/>
      </c>
    </row>
    <row r="4325" spans="14:14" x14ac:dyDescent="0.3">
      <c r="N4325" t="str" cm="1">
        <f t="array" ref="N4325">IF(MOD(ROW()-ROW($B$2),16)=0,INDEX($M$2:$M$1000,(ROW()-ROW($B$2))/16+1),"")</f>
        <v/>
      </c>
    </row>
    <row r="4326" spans="14:14" x14ac:dyDescent="0.3">
      <c r="N4326" t="str" cm="1">
        <f t="array" ref="N4326">IF(MOD(ROW()-ROW($B$2),16)=0,INDEX($M$2:$M$1000,(ROW()-ROW($B$2))/16+1),"")</f>
        <v/>
      </c>
    </row>
    <row r="4327" spans="14:14" x14ac:dyDescent="0.3">
      <c r="N4327" t="str" cm="1">
        <f t="array" ref="N4327">IF(MOD(ROW()-ROW($B$2),16)=0,INDEX($M$2:$M$1000,(ROW()-ROW($B$2))/16+1),"")</f>
        <v/>
      </c>
    </row>
    <row r="4328" spans="14:14" x14ac:dyDescent="0.3">
      <c r="N4328" t="str" cm="1">
        <f t="array" ref="N4328">IF(MOD(ROW()-ROW($B$2),16)=0,INDEX($M$2:$M$1000,(ROW()-ROW($B$2))/16+1),"")</f>
        <v/>
      </c>
    </row>
    <row r="4329" spans="14:14" x14ac:dyDescent="0.3">
      <c r="N4329" t="str" cm="1">
        <f t="array" ref="N4329">IF(MOD(ROW()-ROW($B$2),16)=0,INDEX($M$2:$M$1000,(ROW()-ROW($B$2))/16+1),"")</f>
        <v/>
      </c>
    </row>
    <row r="4330" spans="14:14" x14ac:dyDescent="0.3">
      <c r="N4330" t="str" cm="1">
        <f t="array" ref="N4330">IF(MOD(ROW()-ROW($B$2),16)=0,INDEX($M$2:$M$1000,(ROW()-ROW($B$2))/16+1),"")</f>
        <v/>
      </c>
    </row>
    <row r="4331" spans="14:14" x14ac:dyDescent="0.3">
      <c r="N4331" t="str" cm="1">
        <f t="array" ref="N4331">IF(MOD(ROW()-ROW($B$2),16)=0,INDEX($M$2:$M$1000,(ROW()-ROW($B$2))/16+1),"")</f>
        <v/>
      </c>
    </row>
    <row r="4332" spans="14:14" x14ac:dyDescent="0.3">
      <c r="N4332" t="str" cm="1">
        <f t="array" ref="N4332">IF(MOD(ROW()-ROW($B$2),16)=0,INDEX($M$2:$M$1000,(ROW()-ROW($B$2))/16+1),"")</f>
        <v/>
      </c>
    </row>
    <row r="4333" spans="14:14" x14ac:dyDescent="0.3">
      <c r="N4333" t="str" cm="1">
        <f t="array" ref="N4333">IF(MOD(ROW()-ROW($B$2),16)=0,INDEX($M$2:$M$1000,(ROW()-ROW($B$2))/16+1),"")</f>
        <v/>
      </c>
    </row>
    <row r="4334" spans="14:14" x14ac:dyDescent="0.3">
      <c r="N4334" t="str" cm="1">
        <f t="array" ref="N4334">IF(MOD(ROW()-ROW($B$2),16)=0,INDEX($M$2:$M$1000,(ROW()-ROW($B$2))/16+1),"")</f>
        <v/>
      </c>
    </row>
    <row r="4335" spans="14:14" x14ac:dyDescent="0.3">
      <c r="N4335" t="str" cm="1">
        <f t="array" ref="N4335">IF(MOD(ROW()-ROW($B$2),16)=0,INDEX($M$2:$M$1000,(ROW()-ROW($B$2))/16+1),"")</f>
        <v/>
      </c>
    </row>
    <row r="4336" spans="14:14" x14ac:dyDescent="0.3">
      <c r="N4336" t="str" cm="1">
        <f t="array" ref="N4336">IF(MOD(ROW()-ROW($B$2),16)=0,INDEX($M$2:$M$1000,(ROW()-ROW($B$2))/16+1),"")</f>
        <v/>
      </c>
    </row>
    <row r="4337" spans="14:14" x14ac:dyDescent="0.3">
      <c r="N4337" t="str" cm="1">
        <f t="array" ref="N4337">IF(MOD(ROW()-ROW($B$2),16)=0,INDEX($M$2:$M$1000,(ROW()-ROW($B$2))/16+1),"")</f>
        <v/>
      </c>
    </row>
    <row r="4338" spans="14:14" x14ac:dyDescent="0.3">
      <c r="N4338" t="str" cm="1">
        <f t="array" ref="N4338">IF(MOD(ROW()-ROW($B$2),16)=0,INDEX($M$2:$M$1000,(ROW()-ROW($B$2))/16+1),"")</f>
        <v/>
      </c>
    </row>
    <row r="4339" spans="14:14" x14ac:dyDescent="0.3">
      <c r="N4339" t="str" cm="1">
        <f t="array" ref="N4339">IF(MOD(ROW()-ROW($B$2),16)=0,INDEX($M$2:$M$1000,(ROW()-ROW($B$2))/16+1),"")</f>
        <v/>
      </c>
    </row>
    <row r="4340" spans="14:14" x14ac:dyDescent="0.3">
      <c r="N4340" t="str" cm="1">
        <f t="array" ref="N4340">IF(MOD(ROW()-ROW($B$2),16)=0,INDEX($M$2:$M$1000,(ROW()-ROW($B$2))/16+1),"")</f>
        <v/>
      </c>
    </row>
    <row r="4341" spans="14:14" x14ac:dyDescent="0.3">
      <c r="N4341" t="str" cm="1">
        <f t="array" ref="N4341">IF(MOD(ROW()-ROW($B$2),16)=0,INDEX($M$2:$M$1000,(ROW()-ROW($B$2))/16+1),"")</f>
        <v/>
      </c>
    </row>
    <row r="4342" spans="14:14" x14ac:dyDescent="0.3">
      <c r="N4342" t="str" cm="1">
        <f t="array" ref="N4342">IF(MOD(ROW()-ROW($B$2),16)=0,INDEX($M$2:$M$1000,(ROW()-ROW($B$2))/16+1),"")</f>
        <v/>
      </c>
    </row>
    <row r="4343" spans="14:14" x14ac:dyDescent="0.3">
      <c r="N4343" t="str" cm="1">
        <f t="array" ref="N4343">IF(MOD(ROW()-ROW($B$2),16)=0,INDEX($M$2:$M$1000,(ROW()-ROW($B$2))/16+1),"")</f>
        <v/>
      </c>
    </row>
    <row r="4344" spans="14:14" x14ac:dyDescent="0.3">
      <c r="N4344" t="str" cm="1">
        <f t="array" ref="N4344">IF(MOD(ROW()-ROW($B$2),16)=0,INDEX($M$2:$M$1000,(ROW()-ROW($B$2))/16+1),"")</f>
        <v/>
      </c>
    </row>
    <row r="4345" spans="14:14" x14ac:dyDescent="0.3">
      <c r="N4345" t="str" cm="1">
        <f t="array" ref="N4345">IF(MOD(ROW()-ROW($B$2),16)=0,INDEX($M$2:$M$1000,(ROW()-ROW($B$2))/16+1),"")</f>
        <v/>
      </c>
    </row>
    <row r="4346" spans="14:14" x14ac:dyDescent="0.3">
      <c r="N4346" t="str" cm="1">
        <f t="array" ref="N4346">IF(MOD(ROW()-ROW($B$2),16)=0,INDEX($M$2:$M$1000,(ROW()-ROW($B$2))/16+1),"")</f>
        <v/>
      </c>
    </row>
    <row r="4347" spans="14:14" x14ac:dyDescent="0.3">
      <c r="N4347" t="str" cm="1">
        <f t="array" ref="N4347">IF(MOD(ROW()-ROW($B$2),16)=0,INDEX($M$2:$M$1000,(ROW()-ROW($B$2))/16+1),"")</f>
        <v/>
      </c>
    </row>
    <row r="4348" spans="14:14" x14ac:dyDescent="0.3">
      <c r="N4348" t="str" cm="1">
        <f t="array" ref="N4348">IF(MOD(ROW()-ROW($B$2),16)=0,INDEX($M$2:$M$1000,(ROW()-ROW($B$2))/16+1),"")</f>
        <v/>
      </c>
    </row>
    <row r="4349" spans="14:14" x14ac:dyDescent="0.3">
      <c r="N4349" t="str" cm="1">
        <f t="array" ref="N4349">IF(MOD(ROW()-ROW($B$2),16)=0,INDEX($M$2:$M$1000,(ROW()-ROW($B$2))/16+1),"")</f>
        <v/>
      </c>
    </row>
    <row r="4350" spans="14:14" x14ac:dyDescent="0.3">
      <c r="N4350" t="str" cm="1">
        <f t="array" ref="N4350">IF(MOD(ROW()-ROW($B$2),16)=0,INDEX($M$2:$M$1000,(ROW()-ROW($B$2))/16+1),"")</f>
        <v/>
      </c>
    </row>
    <row r="4351" spans="14:14" x14ac:dyDescent="0.3">
      <c r="N4351" t="str" cm="1">
        <f t="array" ref="N4351">IF(MOD(ROW()-ROW($B$2),16)=0,INDEX($M$2:$M$1000,(ROW()-ROW($B$2))/16+1),"")</f>
        <v/>
      </c>
    </row>
    <row r="4352" spans="14:14" x14ac:dyDescent="0.3">
      <c r="N4352" t="str" cm="1">
        <f t="array" ref="N4352">IF(MOD(ROW()-ROW($B$2),16)=0,INDEX($M$2:$M$1000,(ROW()-ROW($B$2))/16+1),"")</f>
        <v/>
      </c>
    </row>
    <row r="4353" spans="14:14" x14ac:dyDescent="0.3">
      <c r="N4353" t="str" cm="1">
        <f t="array" ref="N4353">IF(MOD(ROW()-ROW($B$2),16)=0,INDEX($M$2:$M$1000,(ROW()-ROW($B$2))/16+1),"")</f>
        <v/>
      </c>
    </row>
    <row r="4354" spans="14:14" x14ac:dyDescent="0.3">
      <c r="N4354" t="str" cm="1">
        <f t="array" ref="N4354">IF(MOD(ROW()-ROW($B$2),16)=0,INDEX($M$2:$M$1000,(ROW()-ROW($B$2))/16+1),"")</f>
        <v/>
      </c>
    </row>
    <row r="4355" spans="14:14" x14ac:dyDescent="0.3">
      <c r="N4355" t="str" cm="1">
        <f t="array" ref="N4355">IF(MOD(ROW()-ROW($B$2),16)=0,INDEX($M$2:$M$1000,(ROW()-ROW($B$2))/16+1),"")</f>
        <v/>
      </c>
    </row>
    <row r="4356" spans="14:14" x14ac:dyDescent="0.3">
      <c r="N4356" t="str" cm="1">
        <f t="array" ref="N4356">IF(MOD(ROW()-ROW($B$2),16)=0,INDEX($M$2:$M$1000,(ROW()-ROW($B$2))/16+1),"")</f>
        <v/>
      </c>
    </row>
    <row r="4357" spans="14:14" x14ac:dyDescent="0.3">
      <c r="N4357" t="str" cm="1">
        <f t="array" ref="N4357">IF(MOD(ROW()-ROW($B$2),16)=0,INDEX($M$2:$M$1000,(ROW()-ROW($B$2))/16+1),"")</f>
        <v/>
      </c>
    </row>
    <row r="4358" spans="14:14" x14ac:dyDescent="0.3">
      <c r="N4358" t="str" cm="1">
        <f t="array" ref="N4358">IF(MOD(ROW()-ROW($B$2),16)=0,INDEX($M$2:$M$1000,(ROW()-ROW($B$2))/16+1),"")</f>
        <v/>
      </c>
    </row>
    <row r="4359" spans="14:14" x14ac:dyDescent="0.3">
      <c r="N4359" t="str" cm="1">
        <f t="array" ref="N4359">IF(MOD(ROW()-ROW($B$2),16)=0,INDEX($M$2:$M$1000,(ROW()-ROW($B$2))/16+1),"")</f>
        <v/>
      </c>
    </row>
    <row r="4360" spans="14:14" x14ac:dyDescent="0.3">
      <c r="N4360" t="str" cm="1">
        <f t="array" ref="N4360">IF(MOD(ROW()-ROW($B$2),16)=0,INDEX($M$2:$M$1000,(ROW()-ROW($B$2))/16+1),"")</f>
        <v/>
      </c>
    </row>
    <row r="4361" spans="14:14" x14ac:dyDescent="0.3">
      <c r="N4361" t="str" cm="1">
        <f t="array" ref="N4361">IF(MOD(ROW()-ROW($B$2),16)=0,INDEX($M$2:$M$1000,(ROW()-ROW($B$2))/16+1),"")</f>
        <v/>
      </c>
    </row>
    <row r="4362" spans="14:14" x14ac:dyDescent="0.3">
      <c r="N4362" t="str" cm="1">
        <f t="array" ref="N4362">IF(MOD(ROW()-ROW($B$2),16)=0,INDEX($M$2:$M$1000,(ROW()-ROW($B$2))/16+1),"")</f>
        <v/>
      </c>
    </row>
    <row r="4363" spans="14:14" x14ac:dyDescent="0.3">
      <c r="N4363" t="str" cm="1">
        <f t="array" ref="N4363">IF(MOD(ROW()-ROW($B$2),16)=0,INDEX($M$2:$M$1000,(ROW()-ROW($B$2))/16+1),"")</f>
        <v/>
      </c>
    </row>
    <row r="4364" spans="14:14" x14ac:dyDescent="0.3">
      <c r="N4364" t="str" cm="1">
        <f t="array" ref="N4364">IF(MOD(ROW()-ROW($B$2),16)=0,INDEX($M$2:$M$1000,(ROW()-ROW($B$2))/16+1),"")</f>
        <v/>
      </c>
    </row>
    <row r="4365" spans="14:14" x14ac:dyDescent="0.3">
      <c r="N4365" t="str" cm="1">
        <f t="array" ref="N4365">IF(MOD(ROW()-ROW($B$2),16)=0,INDEX($M$2:$M$1000,(ROW()-ROW($B$2))/16+1),"")</f>
        <v/>
      </c>
    </row>
    <row r="4366" spans="14:14" x14ac:dyDescent="0.3">
      <c r="N4366" t="str" cm="1">
        <f t="array" ref="N4366">IF(MOD(ROW()-ROW($B$2),16)=0,INDEX($M$2:$M$1000,(ROW()-ROW($B$2))/16+1),"")</f>
        <v/>
      </c>
    </row>
    <row r="4367" spans="14:14" x14ac:dyDescent="0.3">
      <c r="N4367" t="str" cm="1">
        <f t="array" ref="N4367">IF(MOD(ROW()-ROW($B$2),16)=0,INDEX($M$2:$M$1000,(ROW()-ROW($B$2))/16+1),"")</f>
        <v/>
      </c>
    </row>
    <row r="4368" spans="14:14" x14ac:dyDescent="0.3">
      <c r="N4368" t="str" cm="1">
        <f t="array" ref="N4368">IF(MOD(ROW()-ROW($B$2),16)=0,INDEX($M$2:$M$1000,(ROW()-ROW($B$2))/16+1),"")</f>
        <v/>
      </c>
    </row>
    <row r="4369" spans="14:14" x14ac:dyDescent="0.3">
      <c r="N4369" t="str" cm="1">
        <f t="array" ref="N4369">IF(MOD(ROW()-ROW($B$2),16)=0,INDEX($M$2:$M$1000,(ROW()-ROW($B$2))/16+1),"")</f>
        <v/>
      </c>
    </row>
    <row r="4370" spans="14:14" x14ac:dyDescent="0.3">
      <c r="N4370" t="str" cm="1">
        <f t="array" ref="N4370">IF(MOD(ROW()-ROW($B$2),16)=0,INDEX($M$2:$M$1000,(ROW()-ROW($B$2))/16+1),"")</f>
        <v/>
      </c>
    </row>
    <row r="4371" spans="14:14" x14ac:dyDescent="0.3">
      <c r="N4371" t="str" cm="1">
        <f t="array" ref="N4371">IF(MOD(ROW()-ROW($B$2),16)=0,INDEX($M$2:$M$1000,(ROW()-ROW($B$2))/16+1),"")</f>
        <v/>
      </c>
    </row>
    <row r="4372" spans="14:14" x14ac:dyDescent="0.3">
      <c r="N4372" t="str" cm="1">
        <f t="array" ref="N4372">IF(MOD(ROW()-ROW($B$2),16)=0,INDEX($M$2:$M$1000,(ROW()-ROW($B$2))/16+1),"")</f>
        <v/>
      </c>
    </row>
    <row r="4373" spans="14:14" x14ac:dyDescent="0.3">
      <c r="N4373" t="str" cm="1">
        <f t="array" ref="N4373">IF(MOD(ROW()-ROW($B$2),16)=0,INDEX($M$2:$M$1000,(ROW()-ROW($B$2))/16+1),"")</f>
        <v/>
      </c>
    </row>
    <row r="4374" spans="14:14" x14ac:dyDescent="0.3">
      <c r="N4374" t="str" cm="1">
        <f t="array" ref="N4374">IF(MOD(ROW()-ROW($B$2),16)=0,INDEX($M$2:$M$1000,(ROW()-ROW($B$2))/16+1),"")</f>
        <v/>
      </c>
    </row>
    <row r="4375" spans="14:14" x14ac:dyDescent="0.3">
      <c r="N4375" t="str" cm="1">
        <f t="array" ref="N4375">IF(MOD(ROW()-ROW($B$2),16)=0,INDEX($M$2:$M$1000,(ROW()-ROW($B$2))/16+1),"")</f>
        <v/>
      </c>
    </row>
    <row r="4376" spans="14:14" x14ac:dyDescent="0.3">
      <c r="N4376" t="str" cm="1">
        <f t="array" ref="N4376">IF(MOD(ROW()-ROW($B$2),16)=0,INDEX($M$2:$M$1000,(ROW()-ROW($B$2))/16+1),"")</f>
        <v/>
      </c>
    </row>
    <row r="4377" spans="14:14" x14ac:dyDescent="0.3">
      <c r="N4377" t="str" cm="1">
        <f t="array" ref="N4377">IF(MOD(ROW()-ROW($B$2),16)=0,INDEX($M$2:$M$1000,(ROW()-ROW($B$2))/16+1),"")</f>
        <v/>
      </c>
    </row>
    <row r="4378" spans="14:14" x14ac:dyDescent="0.3">
      <c r="N4378" t="str" cm="1">
        <f t="array" ref="N4378">IF(MOD(ROW()-ROW($B$2),16)=0,INDEX($M$2:$M$1000,(ROW()-ROW($B$2))/16+1),"")</f>
        <v/>
      </c>
    </row>
    <row r="4379" spans="14:14" x14ac:dyDescent="0.3">
      <c r="N4379" t="str" cm="1">
        <f t="array" ref="N4379">IF(MOD(ROW()-ROW($B$2),16)=0,INDEX($M$2:$M$1000,(ROW()-ROW($B$2))/16+1),"")</f>
        <v/>
      </c>
    </row>
    <row r="4380" spans="14:14" x14ac:dyDescent="0.3">
      <c r="N4380" t="str" cm="1">
        <f t="array" ref="N4380">IF(MOD(ROW()-ROW($B$2),16)=0,INDEX($M$2:$M$1000,(ROW()-ROW($B$2))/16+1),"")</f>
        <v/>
      </c>
    </row>
    <row r="4381" spans="14:14" x14ac:dyDescent="0.3">
      <c r="N4381" t="str" cm="1">
        <f t="array" ref="N4381">IF(MOD(ROW()-ROW($B$2),16)=0,INDEX($M$2:$M$1000,(ROW()-ROW($B$2))/16+1),"")</f>
        <v/>
      </c>
    </row>
    <row r="4382" spans="14:14" x14ac:dyDescent="0.3">
      <c r="N4382" t="str" cm="1">
        <f t="array" ref="N4382">IF(MOD(ROW()-ROW($B$2),16)=0,INDEX($M$2:$M$1000,(ROW()-ROW($B$2))/16+1),"")</f>
        <v/>
      </c>
    </row>
    <row r="4383" spans="14:14" x14ac:dyDescent="0.3">
      <c r="N4383" t="str" cm="1">
        <f t="array" ref="N4383">IF(MOD(ROW()-ROW($B$2),16)=0,INDEX($M$2:$M$1000,(ROW()-ROW($B$2))/16+1),"")</f>
        <v/>
      </c>
    </row>
    <row r="4384" spans="14:14" x14ac:dyDescent="0.3">
      <c r="N4384" t="str" cm="1">
        <f t="array" ref="N4384">IF(MOD(ROW()-ROW($B$2),16)=0,INDEX($M$2:$M$1000,(ROW()-ROW($B$2))/16+1),"")</f>
        <v/>
      </c>
    </row>
    <row r="4385" spans="14:14" x14ac:dyDescent="0.3">
      <c r="N4385" t="str" cm="1">
        <f t="array" ref="N4385">IF(MOD(ROW()-ROW($B$2),16)=0,INDEX($M$2:$M$1000,(ROW()-ROW($B$2))/16+1),"")</f>
        <v/>
      </c>
    </row>
    <row r="4386" spans="14:14" x14ac:dyDescent="0.3">
      <c r="N4386" t="str" cm="1">
        <f t="array" ref="N4386">IF(MOD(ROW()-ROW($B$2),16)=0,INDEX($M$2:$M$1000,(ROW()-ROW($B$2))/16+1),"")</f>
        <v/>
      </c>
    </row>
    <row r="4387" spans="14:14" x14ac:dyDescent="0.3">
      <c r="N4387" t="str" cm="1">
        <f t="array" ref="N4387">IF(MOD(ROW()-ROW($B$2),16)=0,INDEX($M$2:$M$1000,(ROW()-ROW($B$2))/16+1),"")</f>
        <v/>
      </c>
    </row>
    <row r="4388" spans="14:14" x14ac:dyDescent="0.3">
      <c r="N4388" t="str" cm="1">
        <f t="array" ref="N4388">IF(MOD(ROW()-ROW($B$2),16)=0,INDEX($M$2:$M$1000,(ROW()-ROW($B$2))/16+1),"")</f>
        <v/>
      </c>
    </row>
    <row r="4389" spans="14:14" x14ac:dyDescent="0.3">
      <c r="N4389" t="str" cm="1">
        <f t="array" ref="N4389">IF(MOD(ROW()-ROW($B$2),16)=0,INDEX($M$2:$M$1000,(ROW()-ROW($B$2))/16+1),"")</f>
        <v/>
      </c>
    </row>
    <row r="4390" spans="14:14" x14ac:dyDescent="0.3">
      <c r="N4390" t="str" cm="1">
        <f t="array" ref="N4390">IF(MOD(ROW()-ROW($B$2),16)=0,INDEX($M$2:$M$1000,(ROW()-ROW($B$2))/16+1),"")</f>
        <v/>
      </c>
    </row>
    <row r="4391" spans="14:14" x14ac:dyDescent="0.3">
      <c r="N4391" t="str" cm="1">
        <f t="array" ref="N4391">IF(MOD(ROW()-ROW($B$2),16)=0,INDEX($M$2:$M$1000,(ROW()-ROW($B$2))/16+1),"")</f>
        <v/>
      </c>
    </row>
    <row r="4392" spans="14:14" x14ac:dyDescent="0.3">
      <c r="N4392" t="str" cm="1">
        <f t="array" ref="N4392">IF(MOD(ROW()-ROW($B$2),16)=0,INDEX($M$2:$M$1000,(ROW()-ROW($B$2))/16+1),"")</f>
        <v/>
      </c>
    </row>
    <row r="4393" spans="14:14" x14ac:dyDescent="0.3">
      <c r="N4393" t="str" cm="1">
        <f t="array" ref="N4393">IF(MOD(ROW()-ROW($B$2),16)=0,INDEX($M$2:$M$1000,(ROW()-ROW($B$2))/16+1),"")</f>
        <v/>
      </c>
    </row>
    <row r="4394" spans="14:14" x14ac:dyDescent="0.3">
      <c r="N4394" t="str" cm="1">
        <f t="array" ref="N4394">IF(MOD(ROW()-ROW($B$2),16)=0,INDEX($M$2:$M$1000,(ROW()-ROW($B$2))/16+1),"")</f>
        <v/>
      </c>
    </row>
    <row r="4395" spans="14:14" x14ac:dyDescent="0.3">
      <c r="N4395" t="str" cm="1">
        <f t="array" ref="N4395">IF(MOD(ROW()-ROW($B$2),16)=0,INDEX($M$2:$M$1000,(ROW()-ROW($B$2))/16+1),"")</f>
        <v/>
      </c>
    </row>
    <row r="4396" spans="14:14" x14ac:dyDescent="0.3">
      <c r="N4396" t="str" cm="1">
        <f t="array" ref="N4396">IF(MOD(ROW()-ROW($B$2),16)=0,INDEX($M$2:$M$1000,(ROW()-ROW($B$2))/16+1),"")</f>
        <v/>
      </c>
    </row>
    <row r="4397" spans="14:14" x14ac:dyDescent="0.3">
      <c r="N4397" t="str" cm="1">
        <f t="array" ref="N4397">IF(MOD(ROW()-ROW($B$2),16)=0,INDEX($M$2:$M$1000,(ROW()-ROW($B$2))/16+1),"")</f>
        <v/>
      </c>
    </row>
    <row r="4398" spans="14:14" x14ac:dyDescent="0.3">
      <c r="N4398" t="str" cm="1">
        <f t="array" ref="N4398">IF(MOD(ROW()-ROW($B$2),16)=0,INDEX($M$2:$M$1000,(ROW()-ROW($B$2))/16+1),"")</f>
        <v/>
      </c>
    </row>
    <row r="4399" spans="14:14" x14ac:dyDescent="0.3">
      <c r="N4399" t="str" cm="1">
        <f t="array" ref="N4399">IF(MOD(ROW()-ROW($B$2),16)=0,INDEX($M$2:$M$1000,(ROW()-ROW($B$2))/16+1),"")</f>
        <v/>
      </c>
    </row>
    <row r="4400" spans="14:14" x14ac:dyDescent="0.3">
      <c r="N4400" t="str" cm="1">
        <f t="array" ref="N4400">IF(MOD(ROW()-ROW($B$2),16)=0,INDEX($M$2:$M$1000,(ROW()-ROW($B$2))/16+1),"")</f>
        <v/>
      </c>
    </row>
    <row r="4401" spans="14:14" x14ac:dyDescent="0.3">
      <c r="N4401" t="str" cm="1">
        <f t="array" ref="N4401">IF(MOD(ROW()-ROW($B$2),16)=0,INDEX($M$2:$M$1000,(ROW()-ROW($B$2))/16+1),"")</f>
        <v/>
      </c>
    </row>
    <row r="4402" spans="14:14" x14ac:dyDescent="0.3">
      <c r="N4402" t="str" cm="1">
        <f t="array" ref="N4402">IF(MOD(ROW()-ROW($B$2),16)=0,INDEX($M$2:$M$1000,(ROW()-ROW($B$2))/16+1),"")</f>
        <v/>
      </c>
    </row>
    <row r="4403" spans="14:14" x14ac:dyDescent="0.3">
      <c r="N4403" t="str" cm="1">
        <f t="array" ref="N4403">IF(MOD(ROW()-ROW($B$2),16)=0,INDEX($M$2:$M$1000,(ROW()-ROW($B$2))/16+1),"")</f>
        <v/>
      </c>
    </row>
    <row r="4404" spans="14:14" x14ac:dyDescent="0.3">
      <c r="N4404" t="str" cm="1">
        <f t="array" ref="N4404">IF(MOD(ROW()-ROW($B$2),16)=0,INDEX($M$2:$M$1000,(ROW()-ROW($B$2))/16+1),"")</f>
        <v/>
      </c>
    </row>
    <row r="4405" spans="14:14" x14ac:dyDescent="0.3">
      <c r="N4405" t="str" cm="1">
        <f t="array" ref="N4405">IF(MOD(ROW()-ROW($B$2),16)=0,INDEX($M$2:$M$1000,(ROW()-ROW($B$2))/16+1),"")</f>
        <v/>
      </c>
    </row>
    <row r="4406" spans="14:14" x14ac:dyDescent="0.3">
      <c r="N4406" t="str" cm="1">
        <f t="array" ref="N4406">IF(MOD(ROW()-ROW($B$2),16)=0,INDEX($M$2:$M$1000,(ROW()-ROW($B$2))/16+1),"")</f>
        <v/>
      </c>
    </row>
    <row r="4407" spans="14:14" x14ac:dyDescent="0.3">
      <c r="N4407" t="str" cm="1">
        <f t="array" ref="N4407">IF(MOD(ROW()-ROW($B$2),16)=0,INDEX($M$2:$M$1000,(ROW()-ROW($B$2))/16+1),"")</f>
        <v/>
      </c>
    </row>
    <row r="4408" spans="14:14" x14ac:dyDescent="0.3">
      <c r="N4408" t="str" cm="1">
        <f t="array" ref="N4408">IF(MOD(ROW()-ROW($B$2),16)=0,INDEX($M$2:$M$1000,(ROW()-ROW($B$2))/16+1),"")</f>
        <v/>
      </c>
    </row>
    <row r="4409" spans="14:14" x14ac:dyDescent="0.3">
      <c r="N4409" t="str" cm="1">
        <f t="array" ref="N4409">IF(MOD(ROW()-ROW($B$2),16)=0,INDEX($M$2:$M$1000,(ROW()-ROW($B$2))/16+1),"")</f>
        <v/>
      </c>
    </row>
    <row r="4410" spans="14:14" x14ac:dyDescent="0.3">
      <c r="N4410" t="str" cm="1">
        <f t="array" ref="N4410">IF(MOD(ROW()-ROW($B$2),16)=0,INDEX($M$2:$M$1000,(ROW()-ROW($B$2))/16+1),"")</f>
        <v/>
      </c>
    </row>
    <row r="4411" spans="14:14" x14ac:dyDescent="0.3">
      <c r="N4411" t="str" cm="1">
        <f t="array" ref="N4411">IF(MOD(ROW()-ROW($B$2),16)=0,INDEX($M$2:$M$1000,(ROW()-ROW($B$2))/16+1),"")</f>
        <v/>
      </c>
    </row>
    <row r="4412" spans="14:14" x14ac:dyDescent="0.3">
      <c r="N4412" t="str" cm="1">
        <f t="array" ref="N4412">IF(MOD(ROW()-ROW($B$2),16)=0,INDEX($M$2:$M$1000,(ROW()-ROW($B$2))/16+1),"")</f>
        <v/>
      </c>
    </row>
    <row r="4413" spans="14:14" x14ac:dyDescent="0.3">
      <c r="N4413" t="str" cm="1">
        <f t="array" ref="N4413">IF(MOD(ROW()-ROW($B$2),16)=0,INDEX($M$2:$M$1000,(ROW()-ROW($B$2))/16+1),"")</f>
        <v/>
      </c>
    </row>
    <row r="4414" spans="14:14" x14ac:dyDescent="0.3">
      <c r="N4414" t="str" cm="1">
        <f t="array" ref="N4414">IF(MOD(ROW()-ROW($B$2),16)=0,INDEX($M$2:$M$1000,(ROW()-ROW($B$2))/16+1),"")</f>
        <v/>
      </c>
    </row>
    <row r="4415" spans="14:14" x14ac:dyDescent="0.3">
      <c r="N4415" t="str" cm="1">
        <f t="array" ref="N4415">IF(MOD(ROW()-ROW($B$2),16)=0,INDEX($M$2:$M$1000,(ROW()-ROW($B$2))/16+1),"")</f>
        <v/>
      </c>
    </row>
    <row r="4416" spans="14:14" x14ac:dyDescent="0.3">
      <c r="N4416" t="str" cm="1">
        <f t="array" ref="N4416">IF(MOD(ROW()-ROW($B$2),16)=0,INDEX($M$2:$M$1000,(ROW()-ROW($B$2))/16+1),"")</f>
        <v/>
      </c>
    </row>
    <row r="4417" spans="14:14" x14ac:dyDescent="0.3">
      <c r="N4417" t="str" cm="1">
        <f t="array" ref="N4417">IF(MOD(ROW()-ROW($B$2),16)=0,INDEX($M$2:$M$1000,(ROW()-ROW($B$2))/16+1),"")</f>
        <v/>
      </c>
    </row>
    <row r="4418" spans="14:14" x14ac:dyDescent="0.3">
      <c r="N4418" t="str" cm="1">
        <f t="array" ref="N4418">IF(MOD(ROW()-ROW($B$2),16)=0,INDEX($M$2:$M$1000,(ROW()-ROW($B$2))/16+1),"")</f>
        <v/>
      </c>
    </row>
    <row r="4419" spans="14:14" x14ac:dyDescent="0.3">
      <c r="N4419" t="str" cm="1">
        <f t="array" ref="N4419">IF(MOD(ROW()-ROW($B$2),16)=0,INDEX($M$2:$M$1000,(ROW()-ROW($B$2))/16+1),"")</f>
        <v/>
      </c>
    </row>
    <row r="4420" spans="14:14" x14ac:dyDescent="0.3">
      <c r="N4420" t="str" cm="1">
        <f t="array" ref="N4420">IF(MOD(ROW()-ROW($B$2),16)=0,INDEX($M$2:$M$1000,(ROW()-ROW($B$2))/16+1),"")</f>
        <v/>
      </c>
    </row>
    <row r="4421" spans="14:14" x14ac:dyDescent="0.3">
      <c r="N4421" t="str" cm="1">
        <f t="array" ref="N4421">IF(MOD(ROW()-ROW($B$2),16)=0,INDEX($M$2:$M$1000,(ROW()-ROW($B$2))/16+1),"")</f>
        <v/>
      </c>
    </row>
    <row r="4422" spans="14:14" x14ac:dyDescent="0.3">
      <c r="N4422" t="str" cm="1">
        <f t="array" ref="N4422">IF(MOD(ROW()-ROW($B$2),16)=0,INDEX($M$2:$M$1000,(ROW()-ROW($B$2))/16+1),"")</f>
        <v/>
      </c>
    </row>
    <row r="4423" spans="14:14" x14ac:dyDescent="0.3">
      <c r="N4423" t="str" cm="1">
        <f t="array" ref="N4423">IF(MOD(ROW()-ROW($B$2),16)=0,INDEX($M$2:$M$1000,(ROW()-ROW($B$2))/16+1),"")</f>
        <v/>
      </c>
    </row>
    <row r="4424" spans="14:14" x14ac:dyDescent="0.3">
      <c r="N4424" t="str" cm="1">
        <f t="array" ref="N4424">IF(MOD(ROW()-ROW($B$2),16)=0,INDEX($M$2:$M$1000,(ROW()-ROW($B$2))/16+1),"")</f>
        <v/>
      </c>
    </row>
    <row r="4425" spans="14:14" x14ac:dyDescent="0.3">
      <c r="N4425" t="str" cm="1">
        <f t="array" ref="N4425">IF(MOD(ROW()-ROW($B$2),16)=0,INDEX($M$2:$M$1000,(ROW()-ROW($B$2))/16+1),"")</f>
        <v/>
      </c>
    </row>
    <row r="4426" spans="14:14" x14ac:dyDescent="0.3">
      <c r="N4426" t="str" cm="1">
        <f t="array" ref="N4426">IF(MOD(ROW()-ROW($B$2),16)=0,INDEX($M$2:$M$1000,(ROW()-ROW($B$2))/16+1),"")</f>
        <v/>
      </c>
    </row>
    <row r="4427" spans="14:14" x14ac:dyDescent="0.3">
      <c r="N4427" t="str" cm="1">
        <f t="array" ref="N4427">IF(MOD(ROW()-ROW($B$2),16)=0,INDEX($M$2:$M$1000,(ROW()-ROW($B$2))/16+1),"")</f>
        <v/>
      </c>
    </row>
    <row r="4428" spans="14:14" x14ac:dyDescent="0.3">
      <c r="N4428" t="str" cm="1">
        <f t="array" ref="N4428">IF(MOD(ROW()-ROW($B$2),16)=0,INDEX($M$2:$M$1000,(ROW()-ROW($B$2))/16+1),"")</f>
        <v/>
      </c>
    </row>
    <row r="4429" spans="14:14" x14ac:dyDescent="0.3">
      <c r="N4429" t="str" cm="1">
        <f t="array" ref="N4429">IF(MOD(ROW()-ROW($B$2),16)=0,INDEX($M$2:$M$1000,(ROW()-ROW($B$2))/16+1),"")</f>
        <v/>
      </c>
    </row>
    <row r="4430" spans="14:14" x14ac:dyDescent="0.3">
      <c r="N4430" t="str" cm="1">
        <f t="array" ref="N4430">IF(MOD(ROW()-ROW($B$2),16)=0,INDEX($M$2:$M$1000,(ROW()-ROW($B$2))/16+1),"")</f>
        <v/>
      </c>
    </row>
    <row r="4431" spans="14:14" x14ac:dyDescent="0.3">
      <c r="N4431" t="str" cm="1">
        <f t="array" ref="N4431">IF(MOD(ROW()-ROW($B$2),16)=0,INDEX($M$2:$M$1000,(ROW()-ROW($B$2))/16+1),"")</f>
        <v/>
      </c>
    </row>
    <row r="4432" spans="14:14" x14ac:dyDescent="0.3">
      <c r="N4432" t="str" cm="1">
        <f t="array" ref="N4432">IF(MOD(ROW()-ROW($B$2),16)=0,INDEX($M$2:$M$1000,(ROW()-ROW($B$2))/16+1),"")</f>
        <v/>
      </c>
    </row>
    <row r="4433" spans="14:14" x14ac:dyDescent="0.3">
      <c r="N4433" t="str" cm="1">
        <f t="array" ref="N4433">IF(MOD(ROW()-ROW($B$2),16)=0,INDEX($M$2:$M$1000,(ROW()-ROW($B$2))/16+1),"")</f>
        <v/>
      </c>
    </row>
    <row r="4434" spans="14:14" x14ac:dyDescent="0.3">
      <c r="N4434" t="str" cm="1">
        <f t="array" ref="N4434">IF(MOD(ROW()-ROW($B$2),16)=0,INDEX($M$2:$M$1000,(ROW()-ROW($B$2))/16+1),"")</f>
        <v/>
      </c>
    </row>
    <row r="4435" spans="14:14" x14ac:dyDescent="0.3">
      <c r="N4435" t="str" cm="1">
        <f t="array" ref="N4435">IF(MOD(ROW()-ROW($B$2),16)=0,INDEX($M$2:$M$1000,(ROW()-ROW($B$2))/16+1),"")</f>
        <v/>
      </c>
    </row>
    <row r="4436" spans="14:14" x14ac:dyDescent="0.3">
      <c r="N4436" t="str" cm="1">
        <f t="array" ref="N4436">IF(MOD(ROW()-ROW($B$2),16)=0,INDEX($M$2:$M$1000,(ROW()-ROW($B$2))/16+1),"")</f>
        <v/>
      </c>
    </row>
    <row r="4437" spans="14:14" x14ac:dyDescent="0.3">
      <c r="N4437" t="str" cm="1">
        <f t="array" ref="N4437">IF(MOD(ROW()-ROW($B$2),16)=0,INDEX($M$2:$M$1000,(ROW()-ROW($B$2))/16+1),"")</f>
        <v/>
      </c>
    </row>
    <row r="4438" spans="14:14" x14ac:dyDescent="0.3">
      <c r="N4438" t="str" cm="1">
        <f t="array" ref="N4438">IF(MOD(ROW()-ROW($B$2),16)=0,INDEX($M$2:$M$1000,(ROW()-ROW($B$2))/16+1),"")</f>
        <v/>
      </c>
    </row>
    <row r="4439" spans="14:14" x14ac:dyDescent="0.3">
      <c r="N4439" t="str" cm="1">
        <f t="array" ref="N4439">IF(MOD(ROW()-ROW($B$2),16)=0,INDEX($M$2:$M$1000,(ROW()-ROW($B$2))/16+1),"")</f>
        <v/>
      </c>
    </row>
    <row r="4440" spans="14:14" x14ac:dyDescent="0.3">
      <c r="N4440" t="str" cm="1">
        <f t="array" ref="N4440">IF(MOD(ROW()-ROW($B$2),16)=0,INDEX($M$2:$M$1000,(ROW()-ROW($B$2))/16+1),"")</f>
        <v/>
      </c>
    </row>
    <row r="4441" spans="14:14" x14ac:dyDescent="0.3">
      <c r="N4441" t="str" cm="1">
        <f t="array" ref="N4441">IF(MOD(ROW()-ROW($B$2),16)=0,INDEX($M$2:$M$1000,(ROW()-ROW($B$2))/16+1),"")</f>
        <v/>
      </c>
    </row>
    <row r="4442" spans="14:14" x14ac:dyDescent="0.3">
      <c r="N4442" t="str" cm="1">
        <f t="array" ref="N4442">IF(MOD(ROW()-ROW($B$2),16)=0,INDEX($M$2:$M$1000,(ROW()-ROW($B$2))/16+1),"")</f>
        <v/>
      </c>
    </row>
    <row r="4443" spans="14:14" x14ac:dyDescent="0.3">
      <c r="N4443" t="str" cm="1">
        <f t="array" ref="N4443">IF(MOD(ROW()-ROW($B$2),16)=0,INDEX($M$2:$M$1000,(ROW()-ROW($B$2))/16+1),"")</f>
        <v/>
      </c>
    </row>
    <row r="4444" spans="14:14" x14ac:dyDescent="0.3">
      <c r="N4444" t="str" cm="1">
        <f t="array" ref="N4444">IF(MOD(ROW()-ROW($B$2),16)=0,INDEX($M$2:$M$1000,(ROW()-ROW($B$2))/16+1),"")</f>
        <v/>
      </c>
    </row>
    <row r="4445" spans="14:14" x14ac:dyDescent="0.3">
      <c r="N4445" t="str" cm="1">
        <f t="array" ref="N4445">IF(MOD(ROW()-ROW($B$2),16)=0,INDEX($M$2:$M$1000,(ROW()-ROW($B$2))/16+1),"")</f>
        <v/>
      </c>
    </row>
    <row r="4446" spans="14:14" x14ac:dyDescent="0.3">
      <c r="N4446" t="str" cm="1">
        <f t="array" ref="N4446">IF(MOD(ROW()-ROW($B$2),16)=0,INDEX($M$2:$M$1000,(ROW()-ROW($B$2))/16+1),"")</f>
        <v/>
      </c>
    </row>
    <row r="4447" spans="14:14" x14ac:dyDescent="0.3">
      <c r="N4447" t="str" cm="1">
        <f t="array" ref="N4447">IF(MOD(ROW()-ROW($B$2),16)=0,INDEX($M$2:$M$1000,(ROW()-ROW($B$2))/16+1),"")</f>
        <v/>
      </c>
    </row>
    <row r="4448" spans="14:14" x14ac:dyDescent="0.3">
      <c r="N4448" t="str" cm="1">
        <f t="array" ref="N4448">IF(MOD(ROW()-ROW($B$2),16)=0,INDEX($M$2:$M$1000,(ROW()-ROW($B$2))/16+1),"")</f>
        <v/>
      </c>
    </row>
    <row r="4449" spans="14:14" x14ac:dyDescent="0.3">
      <c r="N4449" t="str" cm="1">
        <f t="array" ref="N4449">IF(MOD(ROW()-ROW($B$2),16)=0,INDEX($M$2:$M$1000,(ROW()-ROW($B$2))/16+1),"")</f>
        <v/>
      </c>
    </row>
    <row r="4450" spans="14:14" x14ac:dyDescent="0.3">
      <c r="N4450" t="str" cm="1">
        <f t="array" ref="N4450">IF(MOD(ROW()-ROW($B$2),16)=0,INDEX($M$2:$M$1000,(ROW()-ROW($B$2))/16+1),"")</f>
        <v/>
      </c>
    </row>
    <row r="4451" spans="14:14" x14ac:dyDescent="0.3">
      <c r="N4451" t="str" cm="1">
        <f t="array" ref="N4451">IF(MOD(ROW()-ROW($B$2),16)=0,INDEX($M$2:$M$1000,(ROW()-ROW($B$2))/16+1),"")</f>
        <v/>
      </c>
    </row>
    <row r="4452" spans="14:14" x14ac:dyDescent="0.3">
      <c r="N4452" t="str" cm="1">
        <f t="array" ref="N4452">IF(MOD(ROW()-ROW($B$2),16)=0,INDEX($M$2:$M$1000,(ROW()-ROW($B$2))/16+1),"")</f>
        <v/>
      </c>
    </row>
    <row r="4453" spans="14:14" x14ac:dyDescent="0.3">
      <c r="N4453" t="str" cm="1">
        <f t="array" ref="N4453">IF(MOD(ROW()-ROW($B$2),16)=0,INDEX($M$2:$M$1000,(ROW()-ROW($B$2))/16+1),"")</f>
        <v/>
      </c>
    </row>
    <row r="4454" spans="14:14" x14ac:dyDescent="0.3">
      <c r="N4454" t="str" cm="1">
        <f t="array" ref="N4454">IF(MOD(ROW()-ROW($B$2),16)=0,INDEX($M$2:$M$1000,(ROW()-ROW($B$2))/16+1),"")</f>
        <v/>
      </c>
    </row>
    <row r="4455" spans="14:14" x14ac:dyDescent="0.3">
      <c r="N4455" t="str" cm="1">
        <f t="array" ref="N4455">IF(MOD(ROW()-ROW($B$2),16)=0,INDEX($M$2:$M$1000,(ROW()-ROW($B$2))/16+1),"")</f>
        <v/>
      </c>
    </row>
    <row r="4456" spans="14:14" x14ac:dyDescent="0.3">
      <c r="N4456" t="str" cm="1">
        <f t="array" ref="N4456">IF(MOD(ROW()-ROW($B$2),16)=0,INDEX($M$2:$M$1000,(ROW()-ROW($B$2))/16+1),"")</f>
        <v/>
      </c>
    </row>
    <row r="4457" spans="14:14" x14ac:dyDescent="0.3">
      <c r="N4457" t="str" cm="1">
        <f t="array" ref="N4457">IF(MOD(ROW()-ROW($B$2),16)=0,INDEX($M$2:$M$1000,(ROW()-ROW($B$2))/16+1),"")</f>
        <v/>
      </c>
    </row>
    <row r="4458" spans="14:14" x14ac:dyDescent="0.3">
      <c r="N4458" t="str" cm="1">
        <f t="array" ref="N4458">IF(MOD(ROW()-ROW($B$2),16)=0,INDEX($M$2:$M$1000,(ROW()-ROW($B$2))/16+1),"")</f>
        <v/>
      </c>
    </row>
    <row r="4459" spans="14:14" x14ac:dyDescent="0.3">
      <c r="N4459" t="str" cm="1">
        <f t="array" ref="N4459">IF(MOD(ROW()-ROW($B$2),16)=0,INDEX($M$2:$M$1000,(ROW()-ROW($B$2))/16+1),"")</f>
        <v/>
      </c>
    </row>
    <row r="4460" spans="14:14" x14ac:dyDescent="0.3">
      <c r="N4460" t="str" cm="1">
        <f t="array" ref="N4460">IF(MOD(ROW()-ROW($B$2),16)=0,INDEX($M$2:$M$1000,(ROW()-ROW($B$2))/16+1),"")</f>
        <v/>
      </c>
    </row>
    <row r="4461" spans="14:14" x14ac:dyDescent="0.3">
      <c r="N4461" t="str" cm="1">
        <f t="array" ref="N4461">IF(MOD(ROW()-ROW($B$2),16)=0,INDEX($M$2:$M$1000,(ROW()-ROW($B$2))/16+1),"")</f>
        <v/>
      </c>
    </row>
    <row r="4462" spans="14:14" x14ac:dyDescent="0.3">
      <c r="N4462" t="str" cm="1">
        <f t="array" ref="N4462">IF(MOD(ROW()-ROW($B$2),16)=0,INDEX($M$2:$M$1000,(ROW()-ROW($B$2))/16+1),"")</f>
        <v/>
      </c>
    </row>
    <row r="4463" spans="14:14" x14ac:dyDescent="0.3">
      <c r="N4463" t="str" cm="1">
        <f t="array" ref="N4463">IF(MOD(ROW()-ROW($B$2),16)=0,INDEX($M$2:$M$1000,(ROW()-ROW($B$2))/16+1),"")</f>
        <v/>
      </c>
    </row>
    <row r="4464" spans="14:14" x14ac:dyDescent="0.3">
      <c r="N4464" t="str" cm="1">
        <f t="array" ref="N4464">IF(MOD(ROW()-ROW($B$2),16)=0,INDEX($M$2:$M$1000,(ROW()-ROW($B$2))/16+1),"")</f>
        <v/>
      </c>
    </row>
    <row r="4465" spans="14:14" x14ac:dyDescent="0.3">
      <c r="N4465" t="str" cm="1">
        <f t="array" ref="N4465">IF(MOD(ROW()-ROW($B$2),16)=0,INDEX($M$2:$M$1000,(ROW()-ROW($B$2))/16+1),"")</f>
        <v/>
      </c>
    </row>
    <row r="4466" spans="14:14" x14ac:dyDescent="0.3">
      <c r="N4466" t="str" cm="1">
        <f t="array" ref="N4466">IF(MOD(ROW()-ROW($B$2),16)=0,INDEX($M$2:$M$1000,(ROW()-ROW($B$2))/16+1),"")</f>
        <v/>
      </c>
    </row>
    <row r="4467" spans="14:14" x14ac:dyDescent="0.3">
      <c r="N4467" t="str" cm="1">
        <f t="array" ref="N4467">IF(MOD(ROW()-ROW($B$2),16)=0,INDEX($M$2:$M$1000,(ROW()-ROW($B$2))/16+1),"")</f>
        <v/>
      </c>
    </row>
    <row r="4468" spans="14:14" x14ac:dyDescent="0.3">
      <c r="N4468" t="str" cm="1">
        <f t="array" ref="N4468">IF(MOD(ROW()-ROW($B$2),16)=0,INDEX($M$2:$M$1000,(ROW()-ROW($B$2))/16+1),"")</f>
        <v/>
      </c>
    </row>
    <row r="4469" spans="14:14" x14ac:dyDescent="0.3">
      <c r="N4469" t="str" cm="1">
        <f t="array" ref="N4469">IF(MOD(ROW()-ROW($B$2),16)=0,INDEX($M$2:$M$1000,(ROW()-ROW($B$2))/16+1),"")</f>
        <v/>
      </c>
    </row>
    <row r="4470" spans="14:14" x14ac:dyDescent="0.3">
      <c r="N4470" t="str" cm="1">
        <f t="array" ref="N4470">IF(MOD(ROW()-ROW($B$2),16)=0,INDEX($M$2:$M$1000,(ROW()-ROW($B$2))/16+1),"")</f>
        <v/>
      </c>
    </row>
    <row r="4471" spans="14:14" x14ac:dyDescent="0.3">
      <c r="N4471" t="str" cm="1">
        <f t="array" ref="N4471">IF(MOD(ROW()-ROW($B$2),16)=0,INDEX($M$2:$M$1000,(ROW()-ROW($B$2))/16+1),"")</f>
        <v/>
      </c>
    </row>
    <row r="4472" spans="14:14" x14ac:dyDescent="0.3">
      <c r="N4472" t="str" cm="1">
        <f t="array" ref="N4472">IF(MOD(ROW()-ROW($B$2),16)=0,INDEX($M$2:$M$1000,(ROW()-ROW($B$2))/16+1),"")</f>
        <v/>
      </c>
    </row>
    <row r="4473" spans="14:14" x14ac:dyDescent="0.3">
      <c r="N4473" t="str" cm="1">
        <f t="array" ref="N4473">IF(MOD(ROW()-ROW($B$2),16)=0,INDEX($M$2:$M$1000,(ROW()-ROW($B$2))/16+1),"")</f>
        <v/>
      </c>
    </row>
    <row r="4474" spans="14:14" x14ac:dyDescent="0.3">
      <c r="N4474" t="str" cm="1">
        <f t="array" ref="N4474">IF(MOD(ROW()-ROW($B$2),16)=0,INDEX($M$2:$M$1000,(ROW()-ROW($B$2))/16+1),"")</f>
        <v/>
      </c>
    </row>
    <row r="4475" spans="14:14" x14ac:dyDescent="0.3">
      <c r="N4475" t="str" cm="1">
        <f t="array" ref="N4475">IF(MOD(ROW()-ROW($B$2),16)=0,INDEX($M$2:$M$1000,(ROW()-ROW($B$2))/16+1),"")</f>
        <v/>
      </c>
    </row>
    <row r="4476" spans="14:14" x14ac:dyDescent="0.3">
      <c r="N4476" t="str" cm="1">
        <f t="array" ref="N4476">IF(MOD(ROW()-ROW($B$2),16)=0,INDEX($M$2:$M$1000,(ROW()-ROW($B$2))/16+1),"")</f>
        <v/>
      </c>
    </row>
    <row r="4477" spans="14:14" x14ac:dyDescent="0.3">
      <c r="N4477" t="str" cm="1">
        <f t="array" ref="N4477">IF(MOD(ROW()-ROW($B$2),16)=0,INDEX($M$2:$M$1000,(ROW()-ROW($B$2))/16+1),"")</f>
        <v/>
      </c>
    </row>
    <row r="4478" spans="14:14" x14ac:dyDescent="0.3">
      <c r="N4478" t="str" cm="1">
        <f t="array" ref="N4478">IF(MOD(ROW()-ROW($B$2),16)=0,INDEX($M$2:$M$1000,(ROW()-ROW($B$2))/16+1),"")</f>
        <v/>
      </c>
    </row>
    <row r="4479" spans="14:14" x14ac:dyDescent="0.3">
      <c r="N4479" t="str" cm="1">
        <f t="array" ref="N4479">IF(MOD(ROW()-ROW($B$2),16)=0,INDEX($M$2:$M$1000,(ROW()-ROW($B$2))/16+1),"")</f>
        <v/>
      </c>
    </row>
    <row r="4480" spans="14:14" x14ac:dyDescent="0.3">
      <c r="N4480" t="str" cm="1">
        <f t="array" ref="N4480">IF(MOD(ROW()-ROW($B$2),16)=0,INDEX($M$2:$M$1000,(ROW()-ROW($B$2))/16+1),"")</f>
        <v/>
      </c>
    </row>
    <row r="4481" spans="14:14" x14ac:dyDescent="0.3">
      <c r="N4481" t="str" cm="1">
        <f t="array" ref="N4481">IF(MOD(ROW()-ROW($B$2),16)=0,INDEX($M$2:$M$1000,(ROW()-ROW($B$2))/16+1),"")</f>
        <v/>
      </c>
    </row>
    <row r="4482" spans="14:14" x14ac:dyDescent="0.3">
      <c r="N4482" t="str" cm="1">
        <f t="array" ref="N4482">IF(MOD(ROW()-ROW($B$2),16)=0,INDEX($M$2:$M$1000,(ROW()-ROW($B$2))/16+1),"")</f>
        <v/>
      </c>
    </row>
    <row r="4483" spans="14:14" x14ac:dyDescent="0.3">
      <c r="N4483" t="str" cm="1">
        <f t="array" ref="N4483">IF(MOD(ROW()-ROW($B$2),16)=0,INDEX($M$2:$M$1000,(ROW()-ROW($B$2))/16+1),"")</f>
        <v/>
      </c>
    </row>
    <row r="4484" spans="14:14" x14ac:dyDescent="0.3">
      <c r="N4484" t="str" cm="1">
        <f t="array" ref="N4484">IF(MOD(ROW()-ROW($B$2),16)=0,INDEX($M$2:$M$1000,(ROW()-ROW($B$2))/16+1),"")</f>
        <v/>
      </c>
    </row>
    <row r="4485" spans="14:14" x14ac:dyDescent="0.3">
      <c r="N4485" t="str" cm="1">
        <f t="array" ref="N4485">IF(MOD(ROW()-ROW($B$2),16)=0,INDEX($M$2:$M$1000,(ROW()-ROW($B$2))/16+1),"")</f>
        <v/>
      </c>
    </row>
    <row r="4486" spans="14:14" x14ac:dyDescent="0.3">
      <c r="N4486" t="str" cm="1">
        <f t="array" ref="N4486">IF(MOD(ROW()-ROW($B$2),16)=0,INDEX($M$2:$M$1000,(ROW()-ROW($B$2))/16+1),"")</f>
        <v/>
      </c>
    </row>
    <row r="4487" spans="14:14" x14ac:dyDescent="0.3">
      <c r="N4487" t="str" cm="1">
        <f t="array" ref="N4487">IF(MOD(ROW()-ROW($B$2),16)=0,INDEX($M$2:$M$1000,(ROW()-ROW($B$2))/16+1),"")</f>
        <v/>
      </c>
    </row>
    <row r="4488" spans="14:14" x14ac:dyDescent="0.3">
      <c r="N4488" t="str" cm="1">
        <f t="array" ref="N4488">IF(MOD(ROW()-ROW($B$2),16)=0,INDEX($M$2:$M$1000,(ROW()-ROW($B$2))/16+1),"")</f>
        <v/>
      </c>
    </row>
    <row r="4489" spans="14:14" x14ac:dyDescent="0.3">
      <c r="N4489" t="str" cm="1">
        <f t="array" ref="N4489">IF(MOD(ROW()-ROW($B$2),16)=0,INDEX($M$2:$M$1000,(ROW()-ROW($B$2))/16+1),"")</f>
        <v/>
      </c>
    </row>
    <row r="4490" spans="14:14" x14ac:dyDescent="0.3">
      <c r="N4490" t="str" cm="1">
        <f t="array" ref="N4490">IF(MOD(ROW()-ROW($B$2),16)=0,INDEX($M$2:$M$1000,(ROW()-ROW($B$2))/16+1),"")</f>
        <v/>
      </c>
    </row>
    <row r="4491" spans="14:14" x14ac:dyDescent="0.3">
      <c r="N4491" t="str" cm="1">
        <f t="array" ref="N4491">IF(MOD(ROW()-ROW($B$2),16)=0,INDEX($M$2:$M$1000,(ROW()-ROW($B$2))/16+1),"")</f>
        <v/>
      </c>
    </row>
    <row r="4492" spans="14:14" x14ac:dyDescent="0.3">
      <c r="N4492" t="str" cm="1">
        <f t="array" ref="N4492">IF(MOD(ROW()-ROW($B$2),16)=0,INDEX($M$2:$M$1000,(ROW()-ROW($B$2))/16+1),"")</f>
        <v/>
      </c>
    </row>
    <row r="4493" spans="14:14" x14ac:dyDescent="0.3">
      <c r="N4493" t="str" cm="1">
        <f t="array" ref="N4493">IF(MOD(ROW()-ROW($B$2),16)=0,INDEX($M$2:$M$1000,(ROW()-ROW($B$2))/16+1),"")</f>
        <v/>
      </c>
    </row>
    <row r="4494" spans="14:14" x14ac:dyDescent="0.3">
      <c r="N4494" t="str" cm="1">
        <f t="array" ref="N4494">IF(MOD(ROW()-ROW($B$2),16)=0,INDEX($M$2:$M$1000,(ROW()-ROW($B$2))/16+1),"")</f>
        <v/>
      </c>
    </row>
    <row r="4495" spans="14:14" x14ac:dyDescent="0.3">
      <c r="N4495" t="str" cm="1">
        <f t="array" ref="N4495">IF(MOD(ROW()-ROW($B$2),16)=0,INDEX($M$2:$M$1000,(ROW()-ROW($B$2))/16+1),"")</f>
        <v/>
      </c>
    </row>
    <row r="4496" spans="14:14" x14ac:dyDescent="0.3">
      <c r="N4496" t="str" cm="1">
        <f t="array" ref="N4496">IF(MOD(ROW()-ROW($B$2),16)=0,INDEX($M$2:$M$1000,(ROW()-ROW($B$2))/16+1),"")</f>
        <v/>
      </c>
    </row>
    <row r="4497" spans="14:14" x14ac:dyDescent="0.3">
      <c r="N4497" t="str" cm="1">
        <f t="array" ref="N4497">IF(MOD(ROW()-ROW($B$2),16)=0,INDEX($M$2:$M$1000,(ROW()-ROW($B$2))/16+1),"")</f>
        <v/>
      </c>
    </row>
    <row r="4498" spans="14:14" x14ac:dyDescent="0.3">
      <c r="N4498" t="str" cm="1">
        <f t="array" ref="N4498">IF(MOD(ROW()-ROW($B$2),16)=0,INDEX($M$2:$M$1000,(ROW()-ROW($B$2))/16+1),"")</f>
        <v/>
      </c>
    </row>
    <row r="4499" spans="14:14" x14ac:dyDescent="0.3">
      <c r="N4499" t="str" cm="1">
        <f t="array" ref="N4499">IF(MOD(ROW()-ROW($B$2),16)=0,INDEX($M$2:$M$1000,(ROW()-ROW($B$2))/16+1),"")</f>
        <v/>
      </c>
    </row>
    <row r="4500" spans="14:14" x14ac:dyDescent="0.3">
      <c r="N4500" t="str" cm="1">
        <f t="array" ref="N4500">IF(MOD(ROW()-ROW($B$2),16)=0,INDEX($M$2:$M$1000,(ROW()-ROW($B$2))/16+1),"")</f>
        <v/>
      </c>
    </row>
    <row r="4501" spans="14:14" x14ac:dyDescent="0.3">
      <c r="N4501" t="str" cm="1">
        <f t="array" ref="N4501">IF(MOD(ROW()-ROW($B$2),16)=0,INDEX($M$2:$M$1000,(ROW()-ROW($B$2))/16+1),"")</f>
        <v/>
      </c>
    </row>
    <row r="4502" spans="14:14" x14ac:dyDescent="0.3">
      <c r="N4502" t="str" cm="1">
        <f t="array" ref="N4502">IF(MOD(ROW()-ROW($B$2),16)=0,INDEX($M$2:$M$1000,(ROW()-ROW($B$2))/16+1),"")</f>
        <v/>
      </c>
    </row>
    <row r="4503" spans="14:14" x14ac:dyDescent="0.3">
      <c r="N4503" t="str" cm="1">
        <f t="array" ref="N4503">IF(MOD(ROW()-ROW($B$2),16)=0,INDEX($M$2:$M$1000,(ROW()-ROW($B$2))/16+1),"")</f>
        <v/>
      </c>
    </row>
    <row r="4504" spans="14:14" x14ac:dyDescent="0.3">
      <c r="N4504" t="str" cm="1">
        <f t="array" ref="N4504">IF(MOD(ROW()-ROW($B$2),16)=0,INDEX($M$2:$M$1000,(ROW()-ROW($B$2))/16+1),"")</f>
        <v/>
      </c>
    </row>
    <row r="4505" spans="14:14" x14ac:dyDescent="0.3">
      <c r="N4505" t="str" cm="1">
        <f t="array" ref="N4505">IF(MOD(ROW()-ROW($B$2),16)=0,INDEX($M$2:$M$1000,(ROW()-ROW($B$2))/16+1),"")</f>
        <v/>
      </c>
    </row>
    <row r="4506" spans="14:14" x14ac:dyDescent="0.3">
      <c r="N4506" t="str" cm="1">
        <f t="array" ref="N4506">IF(MOD(ROW()-ROW($B$2),16)=0,INDEX($M$2:$M$1000,(ROW()-ROW($B$2))/16+1),"")</f>
        <v/>
      </c>
    </row>
    <row r="4507" spans="14:14" x14ac:dyDescent="0.3">
      <c r="N4507" t="str" cm="1">
        <f t="array" ref="N4507">IF(MOD(ROW()-ROW($B$2),16)=0,INDEX($M$2:$M$1000,(ROW()-ROW($B$2))/16+1),"")</f>
        <v/>
      </c>
    </row>
    <row r="4508" spans="14:14" x14ac:dyDescent="0.3">
      <c r="N4508" t="str" cm="1">
        <f t="array" ref="N4508">IF(MOD(ROW()-ROW($B$2),16)=0,INDEX($M$2:$M$1000,(ROW()-ROW($B$2))/16+1),"")</f>
        <v/>
      </c>
    </row>
    <row r="4509" spans="14:14" x14ac:dyDescent="0.3">
      <c r="N4509" t="str" cm="1">
        <f t="array" ref="N4509">IF(MOD(ROW()-ROW($B$2),16)=0,INDEX($M$2:$M$1000,(ROW()-ROW($B$2))/16+1),"")</f>
        <v/>
      </c>
    </row>
    <row r="4510" spans="14:14" x14ac:dyDescent="0.3">
      <c r="N4510" t="str" cm="1">
        <f t="array" ref="N4510">IF(MOD(ROW()-ROW($B$2),16)=0,INDEX($M$2:$M$1000,(ROW()-ROW($B$2))/16+1),"")</f>
        <v/>
      </c>
    </row>
    <row r="4511" spans="14:14" x14ac:dyDescent="0.3">
      <c r="N4511" t="str" cm="1">
        <f t="array" ref="N4511">IF(MOD(ROW()-ROW($B$2),16)=0,INDEX($M$2:$M$1000,(ROW()-ROW($B$2))/16+1),"")</f>
        <v/>
      </c>
    </row>
    <row r="4512" spans="14:14" x14ac:dyDescent="0.3">
      <c r="N4512" t="str" cm="1">
        <f t="array" ref="N4512">IF(MOD(ROW()-ROW($B$2),16)=0,INDEX($M$2:$M$1000,(ROW()-ROW($B$2))/16+1),"")</f>
        <v/>
      </c>
    </row>
    <row r="4513" spans="14:14" x14ac:dyDescent="0.3">
      <c r="N4513" t="str" cm="1">
        <f t="array" ref="N4513">IF(MOD(ROW()-ROW($B$2),16)=0,INDEX($M$2:$M$1000,(ROW()-ROW($B$2))/16+1),"")</f>
        <v/>
      </c>
    </row>
    <row r="4514" spans="14:14" x14ac:dyDescent="0.3">
      <c r="N4514" t="str" cm="1">
        <f t="array" ref="N4514">IF(MOD(ROW()-ROW($B$2),16)=0,INDEX($M$2:$M$1000,(ROW()-ROW($B$2))/16+1),"")</f>
        <v/>
      </c>
    </row>
    <row r="4515" spans="14:14" x14ac:dyDescent="0.3">
      <c r="N4515" t="str" cm="1">
        <f t="array" ref="N4515">IF(MOD(ROW()-ROW($B$2),16)=0,INDEX($M$2:$M$1000,(ROW()-ROW($B$2))/16+1),"")</f>
        <v/>
      </c>
    </row>
    <row r="4516" spans="14:14" x14ac:dyDescent="0.3">
      <c r="N4516" t="str" cm="1">
        <f t="array" ref="N4516">IF(MOD(ROW()-ROW($B$2),16)=0,INDEX($M$2:$M$1000,(ROW()-ROW($B$2))/16+1),"")</f>
        <v/>
      </c>
    </row>
    <row r="4517" spans="14:14" x14ac:dyDescent="0.3">
      <c r="N4517" t="str" cm="1">
        <f t="array" ref="N4517">IF(MOD(ROW()-ROW($B$2),16)=0,INDEX($M$2:$M$1000,(ROW()-ROW($B$2))/16+1),"")</f>
        <v/>
      </c>
    </row>
    <row r="4518" spans="14:14" x14ac:dyDescent="0.3">
      <c r="N4518" t="str" cm="1">
        <f t="array" ref="N4518">IF(MOD(ROW()-ROW($B$2),16)=0,INDEX($M$2:$M$1000,(ROW()-ROW($B$2))/16+1),"")</f>
        <v/>
      </c>
    </row>
    <row r="4519" spans="14:14" x14ac:dyDescent="0.3">
      <c r="N4519" t="str" cm="1">
        <f t="array" ref="N4519">IF(MOD(ROW()-ROW($B$2),16)=0,INDEX($M$2:$M$1000,(ROW()-ROW($B$2))/16+1),"")</f>
        <v/>
      </c>
    </row>
    <row r="4520" spans="14:14" x14ac:dyDescent="0.3">
      <c r="N4520" t="str" cm="1">
        <f t="array" ref="N4520">IF(MOD(ROW()-ROW($B$2),16)=0,INDEX($M$2:$M$1000,(ROW()-ROW($B$2))/16+1),"")</f>
        <v/>
      </c>
    </row>
    <row r="4521" spans="14:14" x14ac:dyDescent="0.3">
      <c r="N4521" t="str" cm="1">
        <f t="array" ref="N4521">IF(MOD(ROW()-ROW($B$2),16)=0,INDEX($M$2:$M$1000,(ROW()-ROW($B$2))/16+1),"")</f>
        <v/>
      </c>
    </row>
    <row r="4522" spans="14:14" x14ac:dyDescent="0.3">
      <c r="N4522" t="str" cm="1">
        <f t="array" ref="N4522">IF(MOD(ROW()-ROW($B$2),16)=0,INDEX($M$2:$M$1000,(ROW()-ROW($B$2))/16+1),"")</f>
        <v/>
      </c>
    </row>
    <row r="4523" spans="14:14" x14ac:dyDescent="0.3">
      <c r="N4523" t="str" cm="1">
        <f t="array" ref="N4523">IF(MOD(ROW()-ROW($B$2),16)=0,INDEX($M$2:$M$1000,(ROW()-ROW($B$2))/16+1),"")</f>
        <v/>
      </c>
    </row>
    <row r="4524" spans="14:14" x14ac:dyDescent="0.3">
      <c r="N4524" t="str" cm="1">
        <f t="array" ref="N4524">IF(MOD(ROW()-ROW($B$2),16)=0,INDEX($M$2:$M$1000,(ROW()-ROW($B$2))/16+1),"")</f>
        <v/>
      </c>
    </row>
    <row r="4525" spans="14:14" x14ac:dyDescent="0.3">
      <c r="N4525" t="str" cm="1">
        <f t="array" ref="N4525">IF(MOD(ROW()-ROW($B$2),16)=0,INDEX($M$2:$M$1000,(ROW()-ROW($B$2))/16+1),"")</f>
        <v/>
      </c>
    </row>
    <row r="4526" spans="14:14" x14ac:dyDescent="0.3">
      <c r="N4526" t="str" cm="1">
        <f t="array" ref="N4526">IF(MOD(ROW()-ROW($B$2),16)=0,INDEX($M$2:$M$1000,(ROW()-ROW($B$2))/16+1),"")</f>
        <v/>
      </c>
    </row>
    <row r="4527" spans="14:14" x14ac:dyDescent="0.3">
      <c r="N4527" t="str" cm="1">
        <f t="array" ref="N4527">IF(MOD(ROW()-ROW($B$2),16)=0,INDEX($M$2:$M$1000,(ROW()-ROW($B$2))/16+1),"")</f>
        <v/>
      </c>
    </row>
    <row r="4528" spans="14:14" x14ac:dyDescent="0.3">
      <c r="N4528" t="str" cm="1">
        <f t="array" ref="N4528">IF(MOD(ROW()-ROW($B$2),16)=0,INDEX($M$2:$M$1000,(ROW()-ROW($B$2))/16+1),"")</f>
        <v/>
      </c>
    </row>
    <row r="4529" spans="14:14" x14ac:dyDescent="0.3">
      <c r="N4529" t="str" cm="1">
        <f t="array" ref="N4529">IF(MOD(ROW()-ROW($B$2),16)=0,INDEX($M$2:$M$1000,(ROW()-ROW($B$2))/16+1),"")</f>
        <v/>
      </c>
    </row>
    <row r="4530" spans="14:14" x14ac:dyDescent="0.3">
      <c r="N4530" t="str" cm="1">
        <f t="array" ref="N4530">IF(MOD(ROW()-ROW($B$2),16)=0,INDEX($M$2:$M$1000,(ROW()-ROW($B$2))/16+1),"")</f>
        <v/>
      </c>
    </row>
    <row r="4531" spans="14:14" x14ac:dyDescent="0.3">
      <c r="N4531" t="str" cm="1">
        <f t="array" ref="N4531">IF(MOD(ROW()-ROW($B$2),16)=0,INDEX($M$2:$M$1000,(ROW()-ROW($B$2))/16+1),"")</f>
        <v/>
      </c>
    </row>
    <row r="4532" spans="14:14" x14ac:dyDescent="0.3">
      <c r="N4532" t="str" cm="1">
        <f t="array" ref="N4532">IF(MOD(ROW()-ROW($B$2),16)=0,INDEX($M$2:$M$1000,(ROW()-ROW($B$2))/16+1),"")</f>
        <v/>
      </c>
    </row>
    <row r="4533" spans="14:14" x14ac:dyDescent="0.3">
      <c r="N4533" t="str" cm="1">
        <f t="array" ref="N4533">IF(MOD(ROW()-ROW($B$2),16)=0,INDEX($M$2:$M$1000,(ROW()-ROW($B$2))/16+1),"")</f>
        <v/>
      </c>
    </row>
    <row r="4534" spans="14:14" x14ac:dyDescent="0.3">
      <c r="N4534" t="str" cm="1">
        <f t="array" ref="N4534">IF(MOD(ROW()-ROW($B$2),16)=0,INDEX($M$2:$M$1000,(ROW()-ROW($B$2))/16+1),"")</f>
        <v/>
      </c>
    </row>
    <row r="4535" spans="14:14" x14ac:dyDescent="0.3">
      <c r="N4535" t="str" cm="1">
        <f t="array" ref="N4535">IF(MOD(ROW()-ROW($B$2),16)=0,INDEX($M$2:$M$1000,(ROW()-ROW($B$2))/16+1),"")</f>
        <v/>
      </c>
    </row>
    <row r="4536" spans="14:14" x14ac:dyDescent="0.3">
      <c r="N4536" t="str" cm="1">
        <f t="array" ref="N4536">IF(MOD(ROW()-ROW($B$2),16)=0,INDEX($M$2:$M$1000,(ROW()-ROW($B$2))/16+1),"")</f>
        <v/>
      </c>
    </row>
    <row r="4537" spans="14:14" x14ac:dyDescent="0.3">
      <c r="N4537" t="str" cm="1">
        <f t="array" ref="N4537">IF(MOD(ROW()-ROW($B$2),16)=0,INDEX($M$2:$M$1000,(ROW()-ROW($B$2))/16+1),"")</f>
        <v/>
      </c>
    </row>
    <row r="4538" spans="14:14" x14ac:dyDescent="0.3">
      <c r="N4538" t="str" cm="1">
        <f t="array" ref="N4538">IF(MOD(ROW()-ROW($B$2),16)=0,INDEX($M$2:$M$1000,(ROW()-ROW($B$2))/16+1),"")</f>
        <v/>
      </c>
    </row>
    <row r="4539" spans="14:14" x14ac:dyDescent="0.3">
      <c r="N4539" t="str" cm="1">
        <f t="array" ref="N4539">IF(MOD(ROW()-ROW($B$2),16)=0,INDEX($M$2:$M$1000,(ROW()-ROW($B$2))/16+1),"")</f>
        <v/>
      </c>
    </row>
    <row r="4540" spans="14:14" x14ac:dyDescent="0.3">
      <c r="N4540" t="str" cm="1">
        <f t="array" ref="N4540">IF(MOD(ROW()-ROW($B$2),16)=0,INDEX($M$2:$M$1000,(ROW()-ROW($B$2))/16+1),"")</f>
        <v/>
      </c>
    </row>
    <row r="4541" spans="14:14" x14ac:dyDescent="0.3">
      <c r="N4541" t="str" cm="1">
        <f t="array" ref="N4541">IF(MOD(ROW()-ROW($B$2),16)=0,INDEX($M$2:$M$1000,(ROW()-ROW($B$2))/16+1),"")</f>
        <v/>
      </c>
    </row>
    <row r="4542" spans="14:14" x14ac:dyDescent="0.3">
      <c r="N4542" t="str" cm="1">
        <f t="array" ref="N4542">IF(MOD(ROW()-ROW($B$2),16)=0,INDEX($M$2:$M$1000,(ROW()-ROW($B$2))/16+1),"")</f>
        <v/>
      </c>
    </row>
    <row r="4543" spans="14:14" x14ac:dyDescent="0.3">
      <c r="N4543" t="str" cm="1">
        <f t="array" ref="N4543">IF(MOD(ROW()-ROW($B$2),16)=0,INDEX($M$2:$M$1000,(ROW()-ROW($B$2))/16+1),"")</f>
        <v/>
      </c>
    </row>
    <row r="4544" spans="14:14" x14ac:dyDescent="0.3">
      <c r="N4544" t="str" cm="1">
        <f t="array" ref="N4544">IF(MOD(ROW()-ROW($B$2),16)=0,INDEX($M$2:$M$1000,(ROW()-ROW($B$2))/16+1),"")</f>
        <v/>
      </c>
    </row>
    <row r="4545" spans="14:14" x14ac:dyDescent="0.3">
      <c r="N4545" t="str" cm="1">
        <f t="array" ref="N4545">IF(MOD(ROW()-ROW($B$2),16)=0,INDEX($M$2:$M$1000,(ROW()-ROW($B$2))/16+1),"")</f>
        <v/>
      </c>
    </row>
    <row r="4546" spans="14:14" x14ac:dyDescent="0.3">
      <c r="N4546" t="str" cm="1">
        <f t="array" ref="N4546">IF(MOD(ROW()-ROW($B$2),16)=0,INDEX($M$2:$M$1000,(ROW()-ROW($B$2))/16+1),"")</f>
        <v/>
      </c>
    </row>
    <row r="4547" spans="14:14" x14ac:dyDescent="0.3">
      <c r="N4547" t="str" cm="1">
        <f t="array" ref="N4547">IF(MOD(ROW()-ROW($B$2),16)=0,INDEX($M$2:$M$1000,(ROW()-ROW($B$2))/16+1),"")</f>
        <v/>
      </c>
    </row>
    <row r="4548" spans="14:14" x14ac:dyDescent="0.3">
      <c r="N4548" t="str" cm="1">
        <f t="array" ref="N4548">IF(MOD(ROW()-ROW($B$2),16)=0,INDEX($M$2:$M$1000,(ROW()-ROW($B$2))/16+1),"")</f>
        <v/>
      </c>
    </row>
    <row r="4549" spans="14:14" x14ac:dyDescent="0.3">
      <c r="N4549" t="str" cm="1">
        <f t="array" ref="N4549">IF(MOD(ROW()-ROW($B$2),16)=0,INDEX($M$2:$M$1000,(ROW()-ROW($B$2))/16+1),"")</f>
        <v/>
      </c>
    </row>
    <row r="4550" spans="14:14" x14ac:dyDescent="0.3">
      <c r="N4550" t="str" cm="1">
        <f t="array" ref="N4550">IF(MOD(ROW()-ROW($B$2),16)=0,INDEX($M$2:$M$1000,(ROW()-ROW($B$2))/16+1),"")</f>
        <v/>
      </c>
    </row>
    <row r="4551" spans="14:14" x14ac:dyDescent="0.3">
      <c r="N4551" t="str" cm="1">
        <f t="array" ref="N4551">IF(MOD(ROW()-ROW($B$2),16)=0,INDEX($M$2:$M$1000,(ROW()-ROW($B$2))/16+1),"")</f>
        <v/>
      </c>
    </row>
    <row r="4552" spans="14:14" x14ac:dyDescent="0.3">
      <c r="N4552" t="str" cm="1">
        <f t="array" ref="N4552">IF(MOD(ROW()-ROW($B$2),16)=0,INDEX($M$2:$M$1000,(ROW()-ROW($B$2))/16+1),"")</f>
        <v/>
      </c>
    </row>
    <row r="4553" spans="14:14" x14ac:dyDescent="0.3">
      <c r="N4553" t="str" cm="1">
        <f t="array" ref="N4553">IF(MOD(ROW()-ROW($B$2),16)=0,INDEX($M$2:$M$1000,(ROW()-ROW($B$2))/16+1),"")</f>
        <v/>
      </c>
    </row>
    <row r="4554" spans="14:14" x14ac:dyDescent="0.3">
      <c r="N4554" t="str" cm="1">
        <f t="array" ref="N4554">IF(MOD(ROW()-ROW($B$2),16)=0,INDEX($M$2:$M$1000,(ROW()-ROW($B$2))/16+1),"")</f>
        <v/>
      </c>
    </row>
    <row r="4555" spans="14:14" x14ac:dyDescent="0.3">
      <c r="N4555" t="str" cm="1">
        <f t="array" ref="N4555">IF(MOD(ROW()-ROW($B$2),16)=0,INDEX($M$2:$M$1000,(ROW()-ROW($B$2))/16+1),"")</f>
        <v/>
      </c>
    </row>
    <row r="4556" spans="14:14" x14ac:dyDescent="0.3">
      <c r="N4556" t="str" cm="1">
        <f t="array" ref="N4556">IF(MOD(ROW()-ROW($B$2),16)=0,INDEX($M$2:$M$1000,(ROW()-ROW($B$2))/16+1),"")</f>
        <v/>
      </c>
    </row>
    <row r="4557" spans="14:14" x14ac:dyDescent="0.3">
      <c r="N4557" t="str" cm="1">
        <f t="array" ref="N4557">IF(MOD(ROW()-ROW($B$2),16)=0,INDEX($M$2:$M$1000,(ROW()-ROW($B$2))/16+1),"")</f>
        <v/>
      </c>
    </row>
    <row r="4558" spans="14:14" x14ac:dyDescent="0.3">
      <c r="N4558" t="str" cm="1">
        <f t="array" ref="N4558">IF(MOD(ROW()-ROW($B$2),16)=0,INDEX($M$2:$M$1000,(ROW()-ROW($B$2))/16+1),"")</f>
        <v/>
      </c>
    </row>
    <row r="4559" spans="14:14" x14ac:dyDescent="0.3">
      <c r="N4559" t="str" cm="1">
        <f t="array" ref="N4559">IF(MOD(ROW()-ROW($B$2),16)=0,INDEX($M$2:$M$1000,(ROW()-ROW($B$2))/16+1),"")</f>
        <v/>
      </c>
    </row>
    <row r="4560" spans="14:14" x14ac:dyDescent="0.3">
      <c r="N4560" t="str" cm="1">
        <f t="array" ref="N4560">IF(MOD(ROW()-ROW($B$2),16)=0,INDEX($M$2:$M$1000,(ROW()-ROW($B$2))/16+1),"")</f>
        <v/>
      </c>
    </row>
    <row r="4561" spans="14:14" x14ac:dyDescent="0.3">
      <c r="N4561" t="str" cm="1">
        <f t="array" ref="N4561">IF(MOD(ROW()-ROW($B$2),16)=0,INDEX($M$2:$M$1000,(ROW()-ROW($B$2))/16+1),"")</f>
        <v/>
      </c>
    </row>
    <row r="4562" spans="14:14" x14ac:dyDescent="0.3">
      <c r="N4562" t="str" cm="1">
        <f t="array" ref="N4562">IF(MOD(ROW()-ROW($B$2),16)=0,INDEX($M$2:$M$1000,(ROW()-ROW($B$2))/16+1),"")</f>
        <v/>
      </c>
    </row>
    <row r="4563" spans="14:14" x14ac:dyDescent="0.3">
      <c r="N4563" t="str" cm="1">
        <f t="array" ref="N4563">IF(MOD(ROW()-ROW($B$2),16)=0,INDEX($M$2:$M$1000,(ROW()-ROW($B$2))/16+1),"")</f>
        <v/>
      </c>
    </row>
    <row r="4564" spans="14:14" x14ac:dyDescent="0.3">
      <c r="N4564" t="str" cm="1">
        <f t="array" ref="N4564">IF(MOD(ROW()-ROW($B$2),16)=0,INDEX($M$2:$M$1000,(ROW()-ROW($B$2))/16+1),"")</f>
        <v/>
      </c>
    </row>
    <row r="4565" spans="14:14" x14ac:dyDescent="0.3">
      <c r="N4565" t="str" cm="1">
        <f t="array" ref="N4565">IF(MOD(ROW()-ROW($B$2),16)=0,INDEX($M$2:$M$1000,(ROW()-ROW($B$2))/16+1),"")</f>
        <v/>
      </c>
    </row>
    <row r="4566" spans="14:14" x14ac:dyDescent="0.3">
      <c r="N4566" t="str" cm="1">
        <f t="array" ref="N4566">IF(MOD(ROW()-ROW($B$2),16)=0,INDEX($M$2:$M$1000,(ROW()-ROW($B$2))/16+1),"")</f>
        <v/>
      </c>
    </row>
    <row r="4567" spans="14:14" x14ac:dyDescent="0.3">
      <c r="N4567" t="str" cm="1">
        <f t="array" ref="N4567">IF(MOD(ROW()-ROW($B$2),16)=0,INDEX($M$2:$M$1000,(ROW()-ROW($B$2))/16+1),"")</f>
        <v/>
      </c>
    </row>
    <row r="4568" spans="14:14" x14ac:dyDescent="0.3">
      <c r="N4568" t="str" cm="1">
        <f t="array" ref="N4568">IF(MOD(ROW()-ROW($B$2),16)=0,INDEX($M$2:$M$1000,(ROW()-ROW($B$2))/16+1),"")</f>
        <v/>
      </c>
    </row>
    <row r="4569" spans="14:14" x14ac:dyDescent="0.3">
      <c r="N4569" t="str" cm="1">
        <f t="array" ref="N4569">IF(MOD(ROW()-ROW($B$2),16)=0,INDEX($M$2:$M$1000,(ROW()-ROW($B$2))/16+1),"")</f>
        <v/>
      </c>
    </row>
    <row r="4570" spans="14:14" x14ac:dyDescent="0.3">
      <c r="N4570" t="str" cm="1">
        <f t="array" ref="N4570">IF(MOD(ROW()-ROW($B$2),16)=0,INDEX($M$2:$M$1000,(ROW()-ROW($B$2))/16+1),"")</f>
        <v/>
      </c>
    </row>
    <row r="4571" spans="14:14" x14ac:dyDescent="0.3">
      <c r="N4571" t="str" cm="1">
        <f t="array" ref="N4571">IF(MOD(ROW()-ROW($B$2),16)=0,INDEX($M$2:$M$1000,(ROW()-ROW($B$2))/16+1),"")</f>
        <v/>
      </c>
    </row>
    <row r="4572" spans="14:14" x14ac:dyDescent="0.3">
      <c r="N4572" t="str" cm="1">
        <f t="array" ref="N4572">IF(MOD(ROW()-ROW($B$2),16)=0,INDEX($M$2:$M$1000,(ROW()-ROW($B$2))/16+1),"")</f>
        <v/>
      </c>
    </row>
    <row r="4573" spans="14:14" x14ac:dyDescent="0.3">
      <c r="N4573" t="str" cm="1">
        <f t="array" ref="N4573">IF(MOD(ROW()-ROW($B$2),16)=0,INDEX($M$2:$M$1000,(ROW()-ROW($B$2))/16+1),"")</f>
        <v/>
      </c>
    </row>
    <row r="4574" spans="14:14" x14ac:dyDescent="0.3">
      <c r="N4574" t="str" cm="1">
        <f t="array" ref="N4574">IF(MOD(ROW()-ROW($B$2),16)=0,INDEX($M$2:$M$1000,(ROW()-ROW($B$2))/16+1),"")</f>
        <v/>
      </c>
    </row>
    <row r="4575" spans="14:14" x14ac:dyDescent="0.3">
      <c r="N4575" t="str" cm="1">
        <f t="array" ref="N4575">IF(MOD(ROW()-ROW($B$2),16)=0,INDEX($M$2:$M$1000,(ROW()-ROW($B$2))/16+1),"")</f>
        <v/>
      </c>
    </row>
    <row r="4576" spans="14:14" x14ac:dyDescent="0.3">
      <c r="N4576" t="str" cm="1">
        <f t="array" ref="N4576">IF(MOD(ROW()-ROW($B$2),16)=0,INDEX($M$2:$M$1000,(ROW()-ROW($B$2))/16+1),"")</f>
        <v/>
      </c>
    </row>
    <row r="4577" spans="14:14" x14ac:dyDescent="0.3">
      <c r="N4577" t="str" cm="1">
        <f t="array" ref="N4577">IF(MOD(ROW()-ROW($B$2),16)=0,INDEX($M$2:$M$1000,(ROW()-ROW($B$2))/16+1),"")</f>
        <v/>
      </c>
    </row>
    <row r="4578" spans="14:14" x14ac:dyDescent="0.3">
      <c r="N4578" t="str" cm="1">
        <f t="array" ref="N4578">IF(MOD(ROW()-ROW($B$2),16)=0,INDEX($M$2:$M$1000,(ROW()-ROW($B$2))/16+1),"")</f>
        <v/>
      </c>
    </row>
    <row r="4579" spans="14:14" x14ac:dyDescent="0.3">
      <c r="N4579" t="str" cm="1">
        <f t="array" ref="N4579">IF(MOD(ROW()-ROW($B$2),16)=0,INDEX($M$2:$M$1000,(ROW()-ROW($B$2))/16+1),"")</f>
        <v/>
      </c>
    </row>
    <row r="4580" spans="14:14" x14ac:dyDescent="0.3">
      <c r="N4580" t="str" cm="1">
        <f t="array" ref="N4580">IF(MOD(ROW()-ROW($B$2),16)=0,INDEX($M$2:$M$1000,(ROW()-ROW($B$2))/16+1),"")</f>
        <v/>
      </c>
    </row>
    <row r="4581" spans="14:14" x14ac:dyDescent="0.3">
      <c r="N4581" t="str" cm="1">
        <f t="array" ref="N4581">IF(MOD(ROW()-ROW($B$2),16)=0,INDEX($M$2:$M$1000,(ROW()-ROW($B$2))/16+1),"")</f>
        <v/>
      </c>
    </row>
    <row r="4582" spans="14:14" x14ac:dyDescent="0.3">
      <c r="N4582" t="str" cm="1">
        <f t="array" ref="N4582">IF(MOD(ROW()-ROW($B$2),16)=0,INDEX($M$2:$M$1000,(ROW()-ROW($B$2))/16+1),"")</f>
        <v/>
      </c>
    </row>
    <row r="4583" spans="14:14" x14ac:dyDescent="0.3">
      <c r="N4583" t="str" cm="1">
        <f t="array" ref="N4583">IF(MOD(ROW()-ROW($B$2),16)=0,INDEX($M$2:$M$1000,(ROW()-ROW($B$2))/16+1),"")</f>
        <v/>
      </c>
    </row>
    <row r="4584" spans="14:14" x14ac:dyDescent="0.3">
      <c r="N4584" t="str" cm="1">
        <f t="array" ref="N4584">IF(MOD(ROW()-ROW($B$2),16)=0,INDEX($M$2:$M$1000,(ROW()-ROW($B$2))/16+1),"")</f>
        <v/>
      </c>
    </row>
    <row r="4585" spans="14:14" x14ac:dyDescent="0.3">
      <c r="N4585" t="str" cm="1">
        <f t="array" ref="N4585">IF(MOD(ROW()-ROW($B$2),16)=0,INDEX($M$2:$M$1000,(ROW()-ROW($B$2))/16+1),"")</f>
        <v/>
      </c>
    </row>
    <row r="4586" spans="14:14" x14ac:dyDescent="0.3">
      <c r="N4586" t="str" cm="1">
        <f t="array" ref="N4586">IF(MOD(ROW()-ROW($B$2),16)=0,INDEX($M$2:$M$1000,(ROW()-ROW($B$2))/16+1),"")</f>
        <v/>
      </c>
    </row>
    <row r="4587" spans="14:14" x14ac:dyDescent="0.3">
      <c r="N4587" t="str" cm="1">
        <f t="array" ref="N4587">IF(MOD(ROW()-ROW($B$2),16)=0,INDEX($M$2:$M$1000,(ROW()-ROW($B$2))/16+1),"")</f>
        <v/>
      </c>
    </row>
    <row r="4588" spans="14:14" x14ac:dyDescent="0.3">
      <c r="N4588" t="str" cm="1">
        <f t="array" ref="N4588">IF(MOD(ROW()-ROW($B$2),16)=0,INDEX($M$2:$M$1000,(ROW()-ROW($B$2))/16+1),"")</f>
        <v/>
      </c>
    </row>
    <row r="4589" spans="14:14" x14ac:dyDescent="0.3">
      <c r="N4589" t="str" cm="1">
        <f t="array" ref="N4589">IF(MOD(ROW()-ROW($B$2),16)=0,INDEX($M$2:$M$1000,(ROW()-ROW($B$2))/16+1),"")</f>
        <v/>
      </c>
    </row>
    <row r="4590" spans="14:14" x14ac:dyDescent="0.3">
      <c r="N4590" t="str" cm="1">
        <f t="array" ref="N4590">IF(MOD(ROW()-ROW($B$2),16)=0,INDEX($M$2:$M$1000,(ROW()-ROW($B$2))/16+1),"")</f>
        <v/>
      </c>
    </row>
    <row r="4591" spans="14:14" x14ac:dyDescent="0.3">
      <c r="N4591" t="str" cm="1">
        <f t="array" ref="N4591">IF(MOD(ROW()-ROW($B$2),16)=0,INDEX($M$2:$M$1000,(ROW()-ROW($B$2))/16+1),"")</f>
        <v/>
      </c>
    </row>
    <row r="4592" spans="14:14" x14ac:dyDescent="0.3">
      <c r="N4592" t="str" cm="1">
        <f t="array" ref="N4592">IF(MOD(ROW()-ROW($B$2),16)=0,INDEX($M$2:$M$1000,(ROW()-ROW($B$2))/16+1),"")</f>
        <v/>
      </c>
    </row>
    <row r="4593" spans="14:14" x14ac:dyDescent="0.3">
      <c r="N4593" t="str" cm="1">
        <f t="array" ref="N4593">IF(MOD(ROW()-ROW($B$2),16)=0,INDEX($M$2:$M$1000,(ROW()-ROW($B$2))/16+1),"")</f>
        <v/>
      </c>
    </row>
    <row r="4594" spans="14:14" x14ac:dyDescent="0.3">
      <c r="N4594" t="str" cm="1">
        <f t="array" ref="N4594">IF(MOD(ROW()-ROW($B$2),16)=0,INDEX($M$2:$M$1000,(ROW()-ROW($B$2))/16+1),"")</f>
        <v/>
      </c>
    </row>
    <row r="4595" spans="14:14" x14ac:dyDescent="0.3">
      <c r="N4595" t="str" cm="1">
        <f t="array" ref="N4595">IF(MOD(ROW()-ROW($B$2),16)=0,INDEX($M$2:$M$1000,(ROW()-ROW($B$2))/16+1),"")</f>
        <v/>
      </c>
    </row>
    <row r="4596" spans="14:14" x14ac:dyDescent="0.3">
      <c r="N4596" t="str" cm="1">
        <f t="array" ref="N4596">IF(MOD(ROW()-ROW($B$2),16)=0,INDEX($M$2:$M$1000,(ROW()-ROW($B$2))/16+1),"")</f>
        <v/>
      </c>
    </row>
    <row r="4597" spans="14:14" x14ac:dyDescent="0.3">
      <c r="N4597" t="str" cm="1">
        <f t="array" ref="N4597">IF(MOD(ROW()-ROW($B$2),16)=0,INDEX($M$2:$M$1000,(ROW()-ROW($B$2))/16+1),"")</f>
        <v/>
      </c>
    </row>
    <row r="4598" spans="14:14" x14ac:dyDescent="0.3">
      <c r="N4598" t="str" cm="1">
        <f t="array" ref="N4598">IF(MOD(ROW()-ROW($B$2),16)=0,INDEX($M$2:$M$1000,(ROW()-ROW($B$2))/16+1),"")</f>
        <v/>
      </c>
    </row>
    <row r="4599" spans="14:14" x14ac:dyDescent="0.3">
      <c r="N4599" t="str" cm="1">
        <f t="array" ref="N4599">IF(MOD(ROW()-ROW($B$2),16)=0,INDEX($M$2:$M$1000,(ROW()-ROW($B$2))/16+1),"")</f>
        <v/>
      </c>
    </row>
    <row r="4600" spans="14:14" x14ac:dyDescent="0.3">
      <c r="N4600" t="str" cm="1">
        <f t="array" ref="N4600">IF(MOD(ROW()-ROW($B$2),16)=0,INDEX($M$2:$M$1000,(ROW()-ROW($B$2))/16+1),"")</f>
        <v/>
      </c>
    </row>
    <row r="4601" spans="14:14" x14ac:dyDescent="0.3">
      <c r="N4601" t="str" cm="1">
        <f t="array" ref="N4601">IF(MOD(ROW()-ROW($B$2),16)=0,INDEX($M$2:$M$1000,(ROW()-ROW($B$2))/16+1),"")</f>
        <v/>
      </c>
    </row>
    <row r="4602" spans="14:14" x14ac:dyDescent="0.3">
      <c r="N4602" t="str" cm="1">
        <f t="array" ref="N4602">IF(MOD(ROW()-ROW($B$2),16)=0,INDEX($M$2:$M$1000,(ROW()-ROW($B$2))/16+1),"")</f>
        <v/>
      </c>
    </row>
    <row r="4603" spans="14:14" x14ac:dyDescent="0.3">
      <c r="N4603" t="str" cm="1">
        <f t="array" ref="N4603">IF(MOD(ROW()-ROW($B$2),16)=0,INDEX($M$2:$M$1000,(ROW()-ROW($B$2))/16+1),"")</f>
        <v/>
      </c>
    </row>
    <row r="4604" spans="14:14" x14ac:dyDescent="0.3">
      <c r="N4604" t="str" cm="1">
        <f t="array" ref="N4604">IF(MOD(ROW()-ROW($B$2),16)=0,INDEX($M$2:$M$1000,(ROW()-ROW($B$2))/16+1),"")</f>
        <v/>
      </c>
    </row>
    <row r="4605" spans="14:14" x14ac:dyDescent="0.3">
      <c r="N4605" t="str" cm="1">
        <f t="array" ref="N4605">IF(MOD(ROW()-ROW($B$2),16)=0,INDEX($M$2:$M$1000,(ROW()-ROW($B$2))/16+1),"")</f>
        <v/>
      </c>
    </row>
    <row r="4606" spans="14:14" x14ac:dyDescent="0.3">
      <c r="N4606" t="str" cm="1">
        <f t="array" ref="N4606">IF(MOD(ROW()-ROW($B$2),16)=0,INDEX($M$2:$M$1000,(ROW()-ROW($B$2))/16+1),"")</f>
        <v/>
      </c>
    </row>
    <row r="4607" spans="14:14" x14ac:dyDescent="0.3">
      <c r="N4607" t="str" cm="1">
        <f t="array" ref="N4607">IF(MOD(ROW()-ROW($B$2),16)=0,INDEX($M$2:$M$1000,(ROW()-ROW($B$2))/16+1),"")</f>
        <v/>
      </c>
    </row>
    <row r="4608" spans="14:14" x14ac:dyDescent="0.3">
      <c r="N4608" t="str" cm="1">
        <f t="array" ref="N4608">IF(MOD(ROW()-ROW($B$2),16)=0,INDEX($M$2:$M$1000,(ROW()-ROW($B$2))/16+1),"")</f>
        <v/>
      </c>
    </row>
    <row r="4609" spans="14:14" x14ac:dyDescent="0.3">
      <c r="N4609" t="str" cm="1">
        <f t="array" ref="N4609">IF(MOD(ROW()-ROW($B$2),16)=0,INDEX($M$2:$M$1000,(ROW()-ROW($B$2))/16+1),"")</f>
        <v/>
      </c>
    </row>
    <row r="4610" spans="14:14" x14ac:dyDescent="0.3">
      <c r="N4610" t="str" cm="1">
        <f t="array" ref="N4610">IF(MOD(ROW()-ROW($B$2),16)=0,INDEX($M$2:$M$1000,(ROW()-ROW($B$2))/16+1),"")</f>
        <v/>
      </c>
    </row>
    <row r="4611" spans="14:14" x14ac:dyDescent="0.3">
      <c r="N4611" t="str" cm="1">
        <f t="array" ref="N4611">IF(MOD(ROW()-ROW($B$2),16)=0,INDEX($M$2:$M$1000,(ROW()-ROW($B$2))/16+1),"")</f>
        <v/>
      </c>
    </row>
    <row r="4612" spans="14:14" x14ac:dyDescent="0.3">
      <c r="N4612" t="str" cm="1">
        <f t="array" ref="N4612">IF(MOD(ROW()-ROW($B$2),16)=0,INDEX($M$2:$M$1000,(ROW()-ROW($B$2))/16+1),"")</f>
        <v/>
      </c>
    </row>
    <row r="4613" spans="14:14" x14ac:dyDescent="0.3">
      <c r="N4613" t="str" cm="1">
        <f t="array" ref="N4613">IF(MOD(ROW()-ROW($B$2),16)=0,INDEX($M$2:$M$1000,(ROW()-ROW($B$2))/16+1),"")</f>
        <v/>
      </c>
    </row>
    <row r="4614" spans="14:14" x14ac:dyDescent="0.3">
      <c r="N4614" t="str" cm="1">
        <f t="array" ref="N4614">IF(MOD(ROW()-ROW($B$2),16)=0,INDEX($M$2:$M$1000,(ROW()-ROW($B$2))/16+1),"")</f>
        <v/>
      </c>
    </row>
    <row r="4615" spans="14:14" x14ac:dyDescent="0.3">
      <c r="N4615" t="str" cm="1">
        <f t="array" ref="N4615">IF(MOD(ROW()-ROW($B$2),16)=0,INDEX($M$2:$M$1000,(ROW()-ROW($B$2))/16+1),"")</f>
        <v/>
      </c>
    </row>
    <row r="4616" spans="14:14" x14ac:dyDescent="0.3">
      <c r="N4616" t="str" cm="1">
        <f t="array" ref="N4616">IF(MOD(ROW()-ROW($B$2),16)=0,INDEX($M$2:$M$1000,(ROW()-ROW($B$2))/16+1),"")</f>
        <v/>
      </c>
    </row>
    <row r="4617" spans="14:14" x14ac:dyDescent="0.3">
      <c r="N4617" t="str" cm="1">
        <f t="array" ref="N4617">IF(MOD(ROW()-ROW($B$2),16)=0,INDEX($M$2:$M$1000,(ROW()-ROW($B$2))/16+1),"")</f>
        <v/>
      </c>
    </row>
    <row r="4618" spans="14:14" x14ac:dyDescent="0.3">
      <c r="N4618" t="str" cm="1">
        <f t="array" ref="N4618">IF(MOD(ROW()-ROW($B$2),16)=0,INDEX($M$2:$M$1000,(ROW()-ROW($B$2))/16+1),"")</f>
        <v/>
      </c>
    </row>
    <row r="4619" spans="14:14" x14ac:dyDescent="0.3">
      <c r="N4619" t="str" cm="1">
        <f t="array" ref="N4619">IF(MOD(ROW()-ROW($B$2),16)=0,INDEX($M$2:$M$1000,(ROW()-ROW($B$2))/16+1),"")</f>
        <v/>
      </c>
    </row>
    <row r="4620" spans="14:14" x14ac:dyDescent="0.3">
      <c r="N4620" t="str" cm="1">
        <f t="array" ref="N4620">IF(MOD(ROW()-ROW($B$2),16)=0,INDEX($M$2:$M$1000,(ROW()-ROW($B$2))/16+1),"")</f>
        <v/>
      </c>
    </row>
    <row r="4621" spans="14:14" x14ac:dyDescent="0.3">
      <c r="N4621" t="str" cm="1">
        <f t="array" ref="N4621">IF(MOD(ROW()-ROW($B$2),16)=0,INDEX($M$2:$M$1000,(ROW()-ROW($B$2))/16+1),"")</f>
        <v/>
      </c>
    </row>
    <row r="4622" spans="14:14" x14ac:dyDescent="0.3">
      <c r="N4622" t="str" cm="1">
        <f t="array" ref="N4622">IF(MOD(ROW()-ROW($B$2),16)=0,INDEX($M$2:$M$1000,(ROW()-ROW($B$2))/16+1),"")</f>
        <v/>
      </c>
    </row>
    <row r="4623" spans="14:14" x14ac:dyDescent="0.3">
      <c r="N4623" t="str" cm="1">
        <f t="array" ref="N4623">IF(MOD(ROW()-ROW($B$2),16)=0,INDEX($M$2:$M$1000,(ROW()-ROW($B$2))/16+1),"")</f>
        <v/>
      </c>
    </row>
    <row r="4624" spans="14:14" x14ac:dyDescent="0.3">
      <c r="N4624" t="str" cm="1">
        <f t="array" ref="N4624">IF(MOD(ROW()-ROW($B$2),16)=0,INDEX($M$2:$M$1000,(ROW()-ROW($B$2))/16+1),"")</f>
        <v/>
      </c>
    </row>
    <row r="4625" spans="14:14" x14ac:dyDescent="0.3">
      <c r="N4625" t="str" cm="1">
        <f t="array" ref="N4625">IF(MOD(ROW()-ROW($B$2),16)=0,INDEX($M$2:$M$1000,(ROW()-ROW($B$2))/16+1),"")</f>
        <v/>
      </c>
    </row>
    <row r="4626" spans="14:14" x14ac:dyDescent="0.3">
      <c r="N4626" t="str" cm="1">
        <f t="array" ref="N4626">IF(MOD(ROW()-ROW($B$2),16)=0,INDEX($M$2:$M$1000,(ROW()-ROW($B$2))/16+1),"")</f>
        <v/>
      </c>
    </row>
    <row r="4627" spans="14:14" x14ac:dyDescent="0.3">
      <c r="N4627" t="str" cm="1">
        <f t="array" ref="N4627">IF(MOD(ROW()-ROW($B$2),16)=0,INDEX($M$2:$M$1000,(ROW()-ROW($B$2))/16+1),"")</f>
        <v/>
      </c>
    </row>
    <row r="4628" spans="14:14" x14ac:dyDescent="0.3">
      <c r="N4628" t="str" cm="1">
        <f t="array" ref="N4628">IF(MOD(ROW()-ROW($B$2),16)=0,INDEX($M$2:$M$1000,(ROW()-ROW($B$2))/16+1),"")</f>
        <v/>
      </c>
    </row>
    <row r="4629" spans="14:14" x14ac:dyDescent="0.3">
      <c r="N4629" t="str" cm="1">
        <f t="array" ref="N4629">IF(MOD(ROW()-ROW($B$2),16)=0,INDEX($M$2:$M$1000,(ROW()-ROW($B$2))/16+1),"")</f>
        <v/>
      </c>
    </row>
    <row r="4630" spans="14:14" x14ac:dyDescent="0.3">
      <c r="N4630" t="str" cm="1">
        <f t="array" ref="N4630">IF(MOD(ROW()-ROW($B$2),16)=0,INDEX($M$2:$M$1000,(ROW()-ROW($B$2))/16+1),"")</f>
        <v/>
      </c>
    </row>
    <row r="4631" spans="14:14" x14ac:dyDescent="0.3">
      <c r="N4631" t="str" cm="1">
        <f t="array" ref="N4631">IF(MOD(ROW()-ROW($B$2),16)=0,INDEX($M$2:$M$1000,(ROW()-ROW($B$2))/16+1),"")</f>
        <v/>
      </c>
    </row>
    <row r="4632" spans="14:14" x14ac:dyDescent="0.3">
      <c r="N4632" t="str" cm="1">
        <f t="array" ref="N4632">IF(MOD(ROW()-ROW($B$2),16)=0,INDEX($M$2:$M$1000,(ROW()-ROW($B$2))/16+1),"")</f>
        <v/>
      </c>
    </row>
    <row r="4633" spans="14:14" x14ac:dyDescent="0.3">
      <c r="N4633" t="str" cm="1">
        <f t="array" ref="N4633">IF(MOD(ROW()-ROW($B$2),16)=0,INDEX($M$2:$M$1000,(ROW()-ROW($B$2))/16+1),"")</f>
        <v/>
      </c>
    </row>
    <row r="4634" spans="14:14" x14ac:dyDescent="0.3">
      <c r="N4634" t="str" cm="1">
        <f t="array" ref="N4634">IF(MOD(ROW()-ROW($B$2),16)=0,INDEX($M$2:$M$1000,(ROW()-ROW($B$2))/16+1),"")</f>
        <v/>
      </c>
    </row>
    <row r="4635" spans="14:14" x14ac:dyDescent="0.3">
      <c r="N4635" t="str" cm="1">
        <f t="array" ref="N4635">IF(MOD(ROW()-ROW($B$2),16)=0,INDEX($M$2:$M$1000,(ROW()-ROW($B$2))/16+1),"")</f>
        <v/>
      </c>
    </row>
    <row r="4636" spans="14:14" x14ac:dyDescent="0.3">
      <c r="N4636" t="str" cm="1">
        <f t="array" ref="N4636">IF(MOD(ROW()-ROW($B$2),16)=0,INDEX($M$2:$M$1000,(ROW()-ROW($B$2))/16+1),"")</f>
        <v/>
      </c>
    </row>
    <row r="4637" spans="14:14" x14ac:dyDescent="0.3">
      <c r="N4637" t="str" cm="1">
        <f t="array" ref="N4637">IF(MOD(ROW()-ROW($B$2),16)=0,INDEX($M$2:$M$1000,(ROW()-ROW($B$2))/16+1),"")</f>
        <v/>
      </c>
    </row>
    <row r="4638" spans="14:14" x14ac:dyDescent="0.3">
      <c r="N4638" t="str" cm="1">
        <f t="array" ref="N4638">IF(MOD(ROW()-ROW($B$2),16)=0,INDEX($M$2:$M$1000,(ROW()-ROW($B$2))/16+1),"")</f>
        <v/>
      </c>
    </row>
    <row r="4639" spans="14:14" x14ac:dyDescent="0.3">
      <c r="N4639" t="str" cm="1">
        <f t="array" ref="N4639">IF(MOD(ROW()-ROW($B$2),16)=0,INDEX($M$2:$M$1000,(ROW()-ROW($B$2))/16+1),"")</f>
        <v/>
      </c>
    </row>
    <row r="4640" spans="14:14" x14ac:dyDescent="0.3">
      <c r="N4640" t="str" cm="1">
        <f t="array" ref="N4640">IF(MOD(ROW()-ROW($B$2),16)=0,INDEX($M$2:$M$1000,(ROW()-ROW($B$2))/16+1),"")</f>
        <v/>
      </c>
    </row>
    <row r="4641" spans="14:14" x14ac:dyDescent="0.3">
      <c r="N4641" t="str" cm="1">
        <f t="array" ref="N4641">IF(MOD(ROW()-ROW($B$2),16)=0,INDEX($M$2:$M$1000,(ROW()-ROW($B$2))/16+1),"")</f>
        <v/>
      </c>
    </row>
    <row r="4642" spans="14:14" x14ac:dyDescent="0.3">
      <c r="N4642" t="str" cm="1">
        <f t="array" ref="N4642">IF(MOD(ROW()-ROW($B$2),16)=0,INDEX($M$2:$M$1000,(ROW()-ROW($B$2))/16+1),"")</f>
        <v/>
      </c>
    </row>
    <row r="4643" spans="14:14" x14ac:dyDescent="0.3">
      <c r="N4643" t="str" cm="1">
        <f t="array" ref="N4643">IF(MOD(ROW()-ROW($B$2),16)=0,INDEX($M$2:$M$1000,(ROW()-ROW($B$2))/16+1),"")</f>
        <v/>
      </c>
    </row>
    <row r="4644" spans="14:14" x14ac:dyDescent="0.3">
      <c r="N4644" t="str" cm="1">
        <f t="array" ref="N4644">IF(MOD(ROW()-ROW($B$2),16)=0,INDEX($M$2:$M$1000,(ROW()-ROW($B$2))/16+1),"")</f>
        <v/>
      </c>
    </row>
    <row r="4645" spans="14:14" x14ac:dyDescent="0.3">
      <c r="N4645" t="str" cm="1">
        <f t="array" ref="N4645">IF(MOD(ROW()-ROW($B$2),16)=0,INDEX($M$2:$M$1000,(ROW()-ROW($B$2))/16+1),"")</f>
        <v/>
      </c>
    </row>
    <row r="4646" spans="14:14" x14ac:dyDescent="0.3">
      <c r="N4646" t="str" cm="1">
        <f t="array" ref="N4646">IF(MOD(ROW()-ROW($B$2),16)=0,INDEX($M$2:$M$1000,(ROW()-ROW($B$2))/16+1),"")</f>
        <v/>
      </c>
    </row>
    <row r="4647" spans="14:14" x14ac:dyDescent="0.3">
      <c r="N4647" t="str" cm="1">
        <f t="array" ref="N4647">IF(MOD(ROW()-ROW($B$2),16)=0,INDEX($M$2:$M$1000,(ROW()-ROW($B$2))/16+1),"")</f>
        <v/>
      </c>
    </row>
    <row r="4648" spans="14:14" x14ac:dyDescent="0.3">
      <c r="N4648" t="str" cm="1">
        <f t="array" ref="N4648">IF(MOD(ROW()-ROW($B$2),16)=0,INDEX($M$2:$M$1000,(ROW()-ROW($B$2))/16+1),"")</f>
        <v/>
      </c>
    </row>
    <row r="4649" spans="14:14" x14ac:dyDescent="0.3">
      <c r="N4649" t="str" cm="1">
        <f t="array" ref="N4649">IF(MOD(ROW()-ROW($B$2),16)=0,INDEX($M$2:$M$1000,(ROW()-ROW($B$2))/16+1),"")</f>
        <v/>
      </c>
    </row>
    <row r="4650" spans="14:14" x14ac:dyDescent="0.3">
      <c r="N4650" t="str" cm="1">
        <f t="array" ref="N4650">IF(MOD(ROW()-ROW($B$2),16)=0,INDEX($M$2:$M$1000,(ROW()-ROW($B$2))/16+1),"")</f>
        <v/>
      </c>
    </row>
    <row r="4651" spans="14:14" x14ac:dyDescent="0.3">
      <c r="N4651" t="str" cm="1">
        <f t="array" ref="N4651">IF(MOD(ROW()-ROW($B$2),16)=0,INDEX($M$2:$M$1000,(ROW()-ROW($B$2))/16+1),"")</f>
        <v/>
      </c>
    </row>
    <row r="4652" spans="14:14" x14ac:dyDescent="0.3">
      <c r="N4652" t="str" cm="1">
        <f t="array" ref="N4652">IF(MOD(ROW()-ROW($B$2),16)=0,INDEX($M$2:$M$1000,(ROW()-ROW($B$2))/16+1),"")</f>
        <v/>
      </c>
    </row>
    <row r="4653" spans="14:14" x14ac:dyDescent="0.3">
      <c r="N4653" t="str" cm="1">
        <f t="array" ref="N4653">IF(MOD(ROW()-ROW($B$2),16)=0,INDEX($M$2:$M$1000,(ROW()-ROW($B$2))/16+1),"")</f>
        <v/>
      </c>
    </row>
    <row r="4654" spans="14:14" x14ac:dyDescent="0.3">
      <c r="N4654" t="str" cm="1">
        <f t="array" ref="N4654">IF(MOD(ROW()-ROW($B$2),16)=0,INDEX($M$2:$M$1000,(ROW()-ROW($B$2))/16+1),"")</f>
        <v/>
      </c>
    </row>
    <row r="4655" spans="14:14" x14ac:dyDescent="0.3">
      <c r="N4655" t="str" cm="1">
        <f t="array" ref="N4655">IF(MOD(ROW()-ROW($B$2),16)=0,INDEX($M$2:$M$1000,(ROW()-ROW($B$2))/16+1),"")</f>
        <v/>
      </c>
    </row>
    <row r="4656" spans="14:14" x14ac:dyDescent="0.3">
      <c r="N4656" t="str" cm="1">
        <f t="array" ref="N4656">IF(MOD(ROW()-ROW($B$2),16)=0,INDEX($M$2:$M$1000,(ROW()-ROW($B$2))/16+1),"")</f>
        <v/>
      </c>
    </row>
    <row r="4657" spans="14:14" x14ac:dyDescent="0.3">
      <c r="N4657" t="str" cm="1">
        <f t="array" ref="N4657">IF(MOD(ROW()-ROW($B$2),16)=0,INDEX($M$2:$M$1000,(ROW()-ROW($B$2))/16+1),"")</f>
        <v/>
      </c>
    </row>
    <row r="4658" spans="14:14" x14ac:dyDescent="0.3">
      <c r="N4658" t="str" cm="1">
        <f t="array" ref="N4658">IF(MOD(ROW()-ROW($B$2),16)=0,INDEX($M$2:$M$1000,(ROW()-ROW($B$2))/16+1),"")</f>
        <v/>
      </c>
    </row>
    <row r="4659" spans="14:14" x14ac:dyDescent="0.3">
      <c r="N4659" t="str" cm="1">
        <f t="array" ref="N4659">IF(MOD(ROW()-ROW($B$2),16)=0,INDEX($M$2:$M$1000,(ROW()-ROW($B$2))/16+1),"")</f>
        <v/>
      </c>
    </row>
    <row r="4660" spans="14:14" x14ac:dyDescent="0.3">
      <c r="N4660" t="str" cm="1">
        <f t="array" ref="N4660">IF(MOD(ROW()-ROW($B$2),16)=0,INDEX($M$2:$M$1000,(ROW()-ROW($B$2))/16+1),"")</f>
        <v/>
      </c>
    </row>
    <row r="4661" spans="14:14" x14ac:dyDescent="0.3">
      <c r="N4661" t="str" cm="1">
        <f t="array" ref="N4661">IF(MOD(ROW()-ROW($B$2),16)=0,INDEX($M$2:$M$1000,(ROW()-ROW($B$2))/16+1),"")</f>
        <v/>
      </c>
    </row>
    <row r="4662" spans="14:14" x14ac:dyDescent="0.3">
      <c r="N4662" t="str" cm="1">
        <f t="array" ref="N4662">IF(MOD(ROW()-ROW($B$2),16)=0,INDEX($M$2:$M$1000,(ROW()-ROW($B$2))/16+1),"")</f>
        <v/>
      </c>
    </row>
    <row r="4663" spans="14:14" x14ac:dyDescent="0.3">
      <c r="N4663" t="str" cm="1">
        <f t="array" ref="N4663">IF(MOD(ROW()-ROW($B$2),16)=0,INDEX($M$2:$M$1000,(ROW()-ROW($B$2))/16+1),"")</f>
        <v/>
      </c>
    </row>
    <row r="4664" spans="14:14" x14ac:dyDescent="0.3">
      <c r="N4664" t="str" cm="1">
        <f t="array" ref="N4664">IF(MOD(ROW()-ROW($B$2),16)=0,INDEX($M$2:$M$1000,(ROW()-ROW($B$2))/16+1),"")</f>
        <v/>
      </c>
    </row>
    <row r="4665" spans="14:14" x14ac:dyDescent="0.3">
      <c r="N4665" t="str" cm="1">
        <f t="array" ref="N4665">IF(MOD(ROW()-ROW($B$2),16)=0,INDEX($M$2:$M$1000,(ROW()-ROW($B$2))/16+1),"")</f>
        <v/>
      </c>
    </row>
    <row r="4666" spans="14:14" x14ac:dyDescent="0.3">
      <c r="N4666" t="str" cm="1">
        <f t="array" ref="N4666">IF(MOD(ROW()-ROW($B$2),16)=0,INDEX($M$2:$M$1000,(ROW()-ROW($B$2))/16+1),"")</f>
        <v/>
      </c>
    </row>
    <row r="4667" spans="14:14" x14ac:dyDescent="0.3">
      <c r="N4667" t="str" cm="1">
        <f t="array" ref="N4667">IF(MOD(ROW()-ROW($B$2),16)=0,INDEX($M$2:$M$1000,(ROW()-ROW($B$2))/16+1),"")</f>
        <v/>
      </c>
    </row>
    <row r="4668" spans="14:14" x14ac:dyDescent="0.3">
      <c r="N4668" t="str" cm="1">
        <f t="array" ref="N4668">IF(MOD(ROW()-ROW($B$2),16)=0,INDEX($M$2:$M$1000,(ROW()-ROW($B$2))/16+1),"")</f>
        <v/>
      </c>
    </row>
    <row r="4669" spans="14:14" x14ac:dyDescent="0.3">
      <c r="N4669" t="str" cm="1">
        <f t="array" ref="N4669">IF(MOD(ROW()-ROW($B$2),16)=0,INDEX($M$2:$M$1000,(ROW()-ROW($B$2))/16+1),"")</f>
        <v/>
      </c>
    </row>
    <row r="4670" spans="14:14" x14ac:dyDescent="0.3">
      <c r="N4670" t="str" cm="1">
        <f t="array" ref="N4670">IF(MOD(ROW()-ROW($B$2),16)=0,INDEX($M$2:$M$1000,(ROW()-ROW($B$2))/16+1),"")</f>
        <v/>
      </c>
    </row>
    <row r="4671" spans="14:14" x14ac:dyDescent="0.3">
      <c r="N4671" t="str" cm="1">
        <f t="array" ref="N4671">IF(MOD(ROW()-ROW($B$2),16)=0,INDEX($M$2:$M$1000,(ROW()-ROW($B$2))/16+1),"")</f>
        <v/>
      </c>
    </row>
    <row r="4672" spans="14:14" x14ac:dyDescent="0.3">
      <c r="N4672" t="str" cm="1">
        <f t="array" ref="N4672">IF(MOD(ROW()-ROW($B$2),16)=0,INDEX($M$2:$M$1000,(ROW()-ROW($B$2))/16+1),"")</f>
        <v/>
      </c>
    </row>
    <row r="4673" spans="14:14" x14ac:dyDescent="0.3">
      <c r="N4673" t="str" cm="1">
        <f t="array" ref="N4673">IF(MOD(ROW()-ROW($B$2),16)=0,INDEX($M$2:$M$1000,(ROW()-ROW($B$2))/16+1),"")</f>
        <v/>
      </c>
    </row>
    <row r="4674" spans="14:14" x14ac:dyDescent="0.3">
      <c r="N4674" t="str" cm="1">
        <f t="array" ref="N4674">IF(MOD(ROW()-ROW($B$2),16)=0,INDEX($M$2:$M$1000,(ROW()-ROW($B$2))/16+1),"")</f>
        <v/>
      </c>
    </row>
    <row r="4675" spans="14:14" x14ac:dyDescent="0.3">
      <c r="N4675" t="str" cm="1">
        <f t="array" ref="N4675">IF(MOD(ROW()-ROW($B$2),16)=0,INDEX($M$2:$M$1000,(ROW()-ROW($B$2))/16+1),"")</f>
        <v/>
      </c>
    </row>
    <row r="4676" spans="14:14" x14ac:dyDescent="0.3">
      <c r="N4676" t="str" cm="1">
        <f t="array" ref="N4676">IF(MOD(ROW()-ROW($B$2),16)=0,INDEX($M$2:$M$1000,(ROW()-ROW($B$2))/16+1),"")</f>
        <v/>
      </c>
    </row>
    <row r="4677" spans="14:14" x14ac:dyDescent="0.3">
      <c r="N4677" t="str" cm="1">
        <f t="array" ref="N4677">IF(MOD(ROW()-ROW($B$2),16)=0,INDEX($M$2:$M$1000,(ROW()-ROW($B$2))/16+1),"")</f>
        <v/>
      </c>
    </row>
    <row r="4678" spans="14:14" x14ac:dyDescent="0.3">
      <c r="N4678" t="str" cm="1">
        <f t="array" ref="N4678">IF(MOD(ROW()-ROW($B$2),16)=0,INDEX($M$2:$M$1000,(ROW()-ROW($B$2))/16+1),"")</f>
        <v/>
      </c>
    </row>
    <row r="4679" spans="14:14" x14ac:dyDescent="0.3">
      <c r="N4679" t="str" cm="1">
        <f t="array" ref="N4679">IF(MOD(ROW()-ROW($B$2),16)=0,INDEX($M$2:$M$1000,(ROW()-ROW($B$2))/16+1),"")</f>
        <v/>
      </c>
    </row>
    <row r="4680" spans="14:14" x14ac:dyDescent="0.3">
      <c r="N4680" t="str" cm="1">
        <f t="array" ref="N4680">IF(MOD(ROW()-ROW($B$2),16)=0,INDEX($M$2:$M$1000,(ROW()-ROW($B$2))/16+1),"")</f>
        <v/>
      </c>
    </row>
    <row r="4681" spans="14:14" x14ac:dyDescent="0.3">
      <c r="N4681" t="str" cm="1">
        <f t="array" ref="N4681">IF(MOD(ROW()-ROW($B$2),16)=0,INDEX($M$2:$M$1000,(ROW()-ROW($B$2))/16+1),"")</f>
        <v/>
      </c>
    </row>
    <row r="4682" spans="14:14" x14ac:dyDescent="0.3">
      <c r="N4682" t="str" cm="1">
        <f t="array" ref="N4682">IF(MOD(ROW()-ROW($B$2),16)=0,INDEX($M$2:$M$1000,(ROW()-ROW($B$2))/16+1),"")</f>
        <v/>
      </c>
    </row>
    <row r="4683" spans="14:14" x14ac:dyDescent="0.3">
      <c r="N4683" t="str" cm="1">
        <f t="array" ref="N4683">IF(MOD(ROW()-ROW($B$2),16)=0,INDEX($M$2:$M$1000,(ROW()-ROW($B$2))/16+1),"")</f>
        <v/>
      </c>
    </row>
    <row r="4684" spans="14:14" x14ac:dyDescent="0.3">
      <c r="N4684" t="str" cm="1">
        <f t="array" ref="N4684">IF(MOD(ROW()-ROW($B$2),16)=0,INDEX($M$2:$M$1000,(ROW()-ROW($B$2))/16+1),"")</f>
        <v/>
      </c>
    </row>
    <row r="4685" spans="14:14" x14ac:dyDescent="0.3">
      <c r="N4685" t="str" cm="1">
        <f t="array" ref="N4685">IF(MOD(ROW()-ROW($B$2),16)=0,INDEX($M$2:$M$1000,(ROW()-ROW($B$2))/16+1),"")</f>
        <v/>
      </c>
    </row>
    <row r="4686" spans="14:14" x14ac:dyDescent="0.3">
      <c r="N4686" t="str" cm="1">
        <f t="array" ref="N4686">IF(MOD(ROW()-ROW($B$2),16)=0,INDEX($M$2:$M$1000,(ROW()-ROW($B$2))/16+1),"")</f>
        <v/>
      </c>
    </row>
    <row r="4687" spans="14:14" x14ac:dyDescent="0.3">
      <c r="N4687" t="str" cm="1">
        <f t="array" ref="N4687">IF(MOD(ROW()-ROW($B$2),16)=0,INDEX($M$2:$M$1000,(ROW()-ROW($B$2))/16+1),"")</f>
        <v/>
      </c>
    </row>
    <row r="4688" spans="14:14" x14ac:dyDescent="0.3">
      <c r="N4688" t="str" cm="1">
        <f t="array" ref="N4688">IF(MOD(ROW()-ROW($B$2),16)=0,INDEX($M$2:$M$1000,(ROW()-ROW($B$2))/16+1),"")</f>
        <v/>
      </c>
    </row>
    <row r="4689" spans="14:14" x14ac:dyDescent="0.3">
      <c r="N4689" t="str" cm="1">
        <f t="array" ref="N4689">IF(MOD(ROW()-ROW($B$2),16)=0,INDEX($M$2:$M$1000,(ROW()-ROW($B$2))/16+1),"")</f>
        <v/>
      </c>
    </row>
    <row r="4690" spans="14:14" x14ac:dyDescent="0.3">
      <c r="N4690" t="str" cm="1">
        <f t="array" ref="N4690">IF(MOD(ROW()-ROW($B$2),16)=0,INDEX($M$2:$M$1000,(ROW()-ROW($B$2))/16+1),"")</f>
        <v/>
      </c>
    </row>
    <row r="4691" spans="14:14" x14ac:dyDescent="0.3">
      <c r="N4691" t="str" cm="1">
        <f t="array" ref="N4691">IF(MOD(ROW()-ROW($B$2),16)=0,INDEX($M$2:$M$1000,(ROW()-ROW($B$2))/16+1),"")</f>
        <v/>
      </c>
    </row>
    <row r="4692" spans="14:14" x14ac:dyDescent="0.3">
      <c r="N4692" t="str" cm="1">
        <f t="array" ref="N4692">IF(MOD(ROW()-ROW($B$2),16)=0,INDEX($M$2:$M$1000,(ROW()-ROW($B$2))/16+1),"")</f>
        <v/>
      </c>
    </row>
    <row r="4693" spans="14:14" x14ac:dyDescent="0.3">
      <c r="N4693" t="str" cm="1">
        <f t="array" ref="N4693">IF(MOD(ROW()-ROW($B$2),16)=0,INDEX($M$2:$M$1000,(ROW()-ROW($B$2))/16+1),"")</f>
        <v/>
      </c>
    </row>
    <row r="4694" spans="14:14" x14ac:dyDescent="0.3">
      <c r="N4694" t="str" cm="1">
        <f t="array" ref="N4694">IF(MOD(ROW()-ROW($B$2),16)=0,INDEX($M$2:$M$1000,(ROW()-ROW($B$2))/16+1),"")</f>
        <v/>
      </c>
    </row>
    <row r="4695" spans="14:14" x14ac:dyDescent="0.3">
      <c r="N4695" t="str" cm="1">
        <f t="array" ref="N4695">IF(MOD(ROW()-ROW($B$2),16)=0,INDEX($M$2:$M$1000,(ROW()-ROW($B$2))/16+1),"")</f>
        <v/>
      </c>
    </row>
    <row r="4696" spans="14:14" x14ac:dyDescent="0.3">
      <c r="N4696" t="str" cm="1">
        <f t="array" ref="N4696">IF(MOD(ROW()-ROW($B$2),16)=0,INDEX($M$2:$M$1000,(ROW()-ROW($B$2))/16+1),"")</f>
        <v/>
      </c>
    </row>
    <row r="4697" spans="14:14" x14ac:dyDescent="0.3">
      <c r="N4697" t="str" cm="1">
        <f t="array" ref="N4697">IF(MOD(ROW()-ROW($B$2),16)=0,INDEX($M$2:$M$1000,(ROW()-ROW($B$2))/16+1),"")</f>
        <v/>
      </c>
    </row>
    <row r="4698" spans="14:14" x14ac:dyDescent="0.3">
      <c r="N4698" t="str" cm="1">
        <f t="array" ref="N4698">IF(MOD(ROW()-ROW($B$2),16)=0,INDEX($M$2:$M$1000,(ROW()-ROW($B$2))/16+1),"")</f>
        <v/>
      </c>
    </row>
    <row r="4699" spans="14:14" x14ac:dyDescent="0.3">
      <c r="N4699" t="str" cm="1">
        <f t="array" ref="N4699">IF(MOD(ROW()-ROW($B$2),16)=0,INDEX($M$2:$M$1000,(ROW()-ROW($B$2))/16+1),"")</f>
        <v/>
      </c>
    </row>
    <row r="4700" spans="14:14" x14ac:dyDescent="0.3">
      <c r="N4700" t="str" cm="1">
        <f t="array" ref="N4700">IF(MOD(ROW()-ROW($B$2),16)=0,INDEX($M$2:$M$1000,(ROW()-ROW($B$2))/16+1),"")</f>
        <v/>
      </c>
    </row>
    <row r="4701" spans="14:14" x14ac:dyDescent="0.3">
      <c r="N4701" t="str" cm="1">
        <f t="array" ref="N4701">IF(MOD(ROW()-ROW($B$2),16)=0,INDEX($M$2:$M$1000,(ROW()-ROW($B$2))/16+1),"")</f>
        <v/>
      </c>
    </row>
    <row r="4702" spans="14:14" x14ac:dyDescent="0.3">
      <c r="N4702" t="str" cm="1">
        <f t="array" ref="N4702">IF(MOD(ROW()-ROW($B$2),16)=0,INDEX($M$2:$M$1000,(ROW()-ROW($B$2))/16+1),"")</f>
        <v/>
      </c>
    </row>
    <row r="4703" spans="14:14" x14ac:dyDescent="0.3">
      <c r="N4703" t="str" cm="1">
        <f t="array" ref="N4703">IF(MOD(ROW()-ROW($B$2),16)=0,INDEX($M$2:$M$1000,(ROW()-ROW($B$2))/16+1),"")</f>
        <v/>
      </c>
    </row>
    <row r="4704" spans="14:14" x14ac:dyDescent="0.3">
      <c r="N4704" t="str" cm="1">
        <f t="array" ref="N4704">IF(MOD(ROW()-ROW($B$2),16)=0,INDEX($M$2:$M$1000,(ROW()-ROW($B$2))/16+1),"")</f>
        <v/>
      </c>
    </row>
    <row r="4705" spans="14:14" x14ac:dyDescent="0.3">
      <c r="N4705" t="str" cm="1">
        <f t="array" ref="N4705">IF(MOD(ROW()-ROW($B$2),16)=0,INDEX($M$2:$M$1000,(ROW()-ROW($B$2))/16+1),"")</f>
        <v/>
      </c>
    </row>
    <row r="4706" spans="14:14" x14ac:dyDescent="0.3">
      <c r="N4706" t="str" cm="1">
        <f t="array" ref="N4706">IF(MOD(ROW()-ROW($B$2),16)=0,INDEX($M$2:$M$1000,(ROW()-ROW($B$2))/16+1),"")</f>
        <v/>
      </c>
    </row>
    <row r="4707" spans="14:14" x14ac:dyDescent="0.3">
      <c r="N4707" t="str" cm="1">
        <f t="array" ref="N4707">IF(MOD(ROW()-ROW($B$2),16)=0,INDEX($M$2:$M$1000,(ROW()-ROW($B$2))/16+1),"")</f>
        <v/>
      </c>
    </row>
    <row r="4708" spans="14:14" x14ac:dyDescent="0.3">
      <c r="N4708" t="str" cm="1">
        <f t="array" ref="N4708">IF(MOD(ROW()-ROW($B$2),16)=0,INDEX($M$2:$M$1000,(ROW()-ROW($B$2))/16+1),"")</f>
        <v/>
      </c>
    </row>
    <row r="4709" spans="14:14" x14ac:dyDescent="0.3">
      <c r="N4709" t="str" cm="1">
        <f t="array" ref="N4709">IF(MOD(ROW()-ROW($B$2),16)=0,INDEX($M$2:$M$1000,(ROW()-ROW($B$2))/16+1),"")</f>
        <v/>
      </c>
    </row>
    <row r="4710" spans="14:14" x14ac:dyDescent="0.3">
      <c r="N4710" t="str" cm="1">
        <f t="array" ref="N4710">IF(MOD(ROW()-ROW($B$2),16)=0,INDEX($M$2:$M$1000,(ROW()-ROW($B$2))/16+1),"")</f>
        <v/>
      </c>
    </row>
    <row r="4711" spans="14:14" x14ac:dyDescent="0.3">
      <c r="N4711" t="str" cm="1">
        <f t="array" ref="N4711">IF(MOD(ROW()-ROW($B$2),16)=0,INDEX($M$2:$M$1000,(ROW()-ROW($B$2))/16+1),"")</f>
        <v/>
      </c>
    </row>
    <row r="4712" spans="14:14" x14ac:dyDescent="0.3">
      <c r="N4712" t="str" cm="1">
        <f t="array" ref="N4712">IF(MOD(ROW()-ROW($B$2),16)=0,INDEX($M$2:$M$1000,(ROW()-ROW($B$2))/16+1),"")</f>
        <v/>
      </c>
    </row>
    <row r="4713" spans="14:14" x14ac:dyDescent="0.3">
      <c r="N4713" t="str" cm="1">
        <f t="array" ref="N4713">IF(MOD(ROW()-ROW($B$2),16)=0,INDEX($M$2:$M$1000,(ROW()-ROW($B$2))/16+1),"")</f>
        <v/>
      </c>
    </row>
    <row r="4714" spans="14:14" x14ac:dyDescent="0.3">
      <c r="N4714" t="str" cm="1">
        <f t="array" ref="N4714">IF(MOD(ROW()-ROW($B$2),16)=0,INDEX($M$2:$M$1000,(ROW()-ROW($B$2))/16+1),"")</f>
        <v/>
      </c>
    </row>
    <row r="4715" spans="14:14" x14ac:dyDescent="0.3">
      <c r="N4715" t="str" cm="1">
        <f t="array" ref="N4715">IF(MOD(ROW()-ROW($B$2),16)=0,INDEX($M$2:$M$1000,(ROW()-ROW($B$2))/16+1),"")</f>
        <v/>
      </c>
    </row>
    <row r="4716" spans="14:14" x14ac:dyDescent="0.3">
      <c r="N4716" t="str" cm="1">
        <f t="array" ref="N4716">IF(MOD(ROW()-ROW($B$2),16)=0,INDEX($M$2:$M$1000,(ROW()-ROW($B$2))/16+1),"")</f>
        <v/>
      </c>
    </row>
    <row r="4717" spans="14:14" x14ac:dyDescent="0.3">
      <c r="N4717" t="str" cm="1">
        <f t="array" ref="N4717">IF(MOD(ROW()-ROW($B$2),16)=0,INDEX($M$2:$M$1000,(ROW()-ROW($B$2))/16+1),"")</f>
        <v/>
      </c>
    </row>
    <row r="4718" spans="14:14" x14ac:dyDescent="0.3">
      <c r="N4718" t="str" cm="1">
        <f t="array" ref="N4718">IF(MOD(ROW()-ROW($B$2),16)=0,INDEX($M$2:$M$1000,(ROW()-ROW($B$2))/16+1),"")</f>
        <v/>
      </c>
    </row>
    <row r="4719" spans="14:14" x14ac:dyDescent="0.3">
      <c r="N4719" t="str" cm="1">
        <f t="array" ref="N4719">IF(MOD(ROW()-ROW($B$2),16)=0,INDEX($M$2:$M$1000,(ROW()-ROW($B$2))/16+1),"")</f>
        <v/>
      </c>
    </row>
    <row r="4720" spans="14:14" x14ac:dyDescent="0.3">
      <c r="N4720" t="str" cm="1">
        <f t="array" ref="N4720">IF(MOD(ROW()-ROW($B$2),16)=0,INDEX($M$2:$M$1000,(ROW()-ROW($B$2))/16+1),"")</f>
        <v/>
      </c>
    </row>
    <row r="4721" spans="14:14" x14ac:dyDescent="0.3">
      <c r="N4721" t="str" cm="1">
        <f t="array" ref="N4721">IF(MOD(ROW()-ROW($B$2),16)=0,INDEX($M$2:$M$1000,(ROW()-ROW($B$2))/16+1),"")</f>
        <v/>
      </c>
    </row>
    <row r="4722" spans="14:14" x14ac:dyDescent="0.3">
      <c r="N4722" t="str" cm="1">
        <f t="array" ref="N4722">IF(MOD(ROW()-ROW($B$2),16)=0,INDEX($M$2:$M$1000,(ROW()-ROW($B$2))/16+1),"")</f>
        <v/>
      </c>
    </row>
    <row r="4723" spans="14:14" x14ac:dyDescent="0.3">
      <c r="N4723" t="str" cm="1">
        <f t="array" ref="N4723">IF(MOD(ROW()-ROW($B$2),16)=0,INDEX($M$2:$M$1000,(ROW()-ROW($B$2))/16+1),"")</f>
        <v/>
      </c>
    </row>
    <row r="4724" spans="14:14" x14ac:dyDescent="0.3">
      <c r="N4724" t="str" cm="1">
        <f t="array" ref="N4724">IF(MOD(ROW()-ROW($B$2),16)=0,INDEX($M$2:$M$1000,(ROW()-ROW($B$2))/16+1),"")</f>
        <v/>
      </c>
    </row>
    <row r="4725" spans="14:14" x14ac:dyDescent="0.3">
      <c r="N4725" t="str" cm="1">
        <f t="array" ref="N4725">IF(MOD(ROW()-ROW($B$2),16)=0,INDEX($M$2:$M$1000,(ROW()-ROW($B$2))/16+1),"")</f>
        <v/>
      </c>
    </row>
    <row r="4726" spans="14:14" x14ac:dyDescent="0.3">
      <c r="N4726" t="str" cm="1">
        <f t="array" ref="N4726">IF(MOD(ROW()-ROW($B$2),16)=0,INDEX($M$2:$M$1000,(ROW()-ROW($B$2))/16+1),"")</f>
        <v/>
      </c>
    </row>
    <row r="4727" spans="14:14" x14ac:dyDescent="0.3">
      <c r="N4727" t="str" cm="1">
        <f t="array" ref="N4727">IF(MOD(ROW()-ROW($B$2),16)=0,INDEX($M$2:$M$1000,(ROW()-ROW($B$2))/16+1),"")</f>
        <v/>
      </c>
    </row>
    <row r="4728" spans="14:14" x14ac:dyDescent="0.3">
      <c r="N4728" t="str" cm="1">
        <f t="array" ref="N4728">IF(MOD(ROW()-ROW($B$2),16)=0,INDEX($M$2:$M$1000,(ROW()-ROW($B$2))/16+1),"")</f>
        <v/>
      </c>
    </row>
    <row r="4729" spans="14:14" x14ac:dyDescent="0.3">
      <c r="N4729" t="str" cm="1">
        <f t="array" ref="N4729">IF(MOD(ROW()-ROW($B$2),16)=0,INDEX($M$2:$M$1000,(ROW()-ROW($B$2))/16+1),"")</f>
        <v/>
      </c>
    </row>
    <row r="4730" spans="14:14" x14ac:dyDescent="0.3">
      <c r="N4730" t="str" cm="1">
        <f t="array" ref="N4730">IF(MOD(ROW()-ROW($B$2),16)=0,INDEX($M$2:$M$1000,(ROW()-ROW($B$2))/16+1),"")</f>
        <v/>
      </c>
    </row>
    <row r="4731" spans="14:14" x14ac:dyDescent="0.3">
      <c r="N4731" t="str" cm="1">
        <f t="array" ref="N4731">IF(MOD(ROW()-ROW($B$2),16)=0,INDEX($M$2:$M$1000,(ROW()-ROW($B$2))/16+1),"")</f>
        <v/>
      </c>
    </row>
    <row r="4732" spans="14:14" x14ac:dyDescent="0.3">
      <c r="N4732" t="str" cm="1">
        <f t="array" ref="N4732">IF(MOD(ROW()-ROW($B$2),16)=0,INDEX($M$2:$M$1000,(ROW()-ROW($B$2))/16+1),"")</f>
        <v/>
      </c>
    </row>
    <row r="4733" spans="14:14" x14ac:dyDescent="0.3">
      <c r="N4733" t="str" cm="1">
        <f t="array" ref="N4733">IF(MOD(ROW()-ROW($B$2),16)=0,INDEX($M$2:$M$1000,(ROW()-ROW($B$2))/16+1),"")</f>
        <v/>
      </c>
    </row>
    <row r="4734" spans="14:14" x14ac:dyDescent="0.3">
      <c r="N4734" t="str" cm="1">
        <f t="array" ref="N4734">IF(MOD(ROW()-ROW($B$2),16)=0,INDEX($M$2:$M$1000,(ROW()-ROW($B$2))/16+1),"")</f>
        <v/>
      </c>
    </row>
    <row r="4735" spans="14:14" x14ac:dyDescent="0.3">
      <c r="N4735" t="str" cm="1">
        <f t="array" ref="N4735">IF(MOD(ROW()-ROW($B$2),16)=0,INDEX($M$2:$M$1000,(ROW()-ROW($B$2))/16+1),"")</f>
        <v/>
      </c>
    </row>
    <row r="4736" spans="14:14" x14ac:dyDescent="0.3">
      <c r="N4736" t="str" cm="1">
        <f t="array" ref="N4736">IF(MOD(ROW()-ROW($B$2),16)=0,INDEX($M$2:$M$1000,(ROW()-ROW($B$2))/16+1),"")</f>
        <v/>
      </c>
    </row>
    <row r="4737" spans="14:14" x14ac:dyDescent="0.3">
      <c r="N4737" t="str" cm="1">
        <f t="array" ref="N4737">IF(MOD(ROW()-ROW($B$2),16)=0,INDEX($M$2:$M$1000,(ROW()-ROW($B$2))/16+1),"")</f>
        <v/>
      </c>
    </row>
    <row r="4738" spans="14:14" x14ac:dyDescent="0.3">
      <c r="N4738" t="str" cm="1">
        <f t="array" ref="N4738">IF(MOD(ROW()-ROW($B$2),16)=0,INDEX($M$2:$M$1000,(ROW()-ROW($B$2))/16+1),"")</f>
        <v/>
      </c>
    </row>
    <row r="4739" spans="14:14" x14ac:dyDescent="0.3">
      <c r="N4739" t="str" cm="1">
        <f t="array" ref="N4739">IF(MOD(ROW()-ROW($B$2),16)=0,INDEX($M$2:$M$1000,(ROW()-ROW($B$2))/16+1),"")</f>
        <v/>
      </c>
    </row>
    <row r="4740" spans="14:14" x14ac:dyDescent="0.3">
      <c r="N4740" t="str" cm="1">
        <f t="array" ref="N4740">IF(MOD(ROW()-ROW($B$2),16)=0,INDEX($M$2:$M$1000,(ROW()-ROW($B$2))/16+1),"")</f>
        <v/>
      </c>
    </row>
    <row r="4741" spans="14:14" x14ac:dyDescent="0.3">
      <c r="N4741" t="str" cm="1">
        <f t="array" ref="N4741">IF(MOD(ROW()-ROW($B$2),16)=0,INDEX($M$2:$M$1000,(ROW()-ROW($B$2))/16+1),"")</f>
        <v/>
      </c>
    </row>
    <row r="4742" spans="14:14" x14ac:dyDescent="0.3">
      <c r="N4742" t="str" cm="1">
        <f t="array" ref="N4742">IF(MOD(ROW()-ROW($B$2),16)=0,INDEX($M$2:$M$1000,(ROW()-ROW($B$2))/16+1),"")</f>
        <v/>
      </c>
    </row>
    <row r="4743" spans="14:14" x14ac:dyDescent="0.3">
      <c r="N4743" t="str" cm="1">
        <f t="array" ref="N4743">IF(MOD(ROW()-ROW($B$2),16)=0,INDEX($M$2:$M$1000,(ROW()-ROW($B$2))/16+1),"")</f>
        <v/>
      </c>
    </row>
    <row r="4744" spans="14:14" x14ac:dyDescent="0.3">
      <c r="N4744" t="str" cm="1">
        <f t="array" ref="N4744">IF(MOD(ROW()-ROW($B$2),16)=0,INDEX($M$2:$M$1000,(ROW()-ROW($B$2))/16+1),"")</f>
        <v/>
      </c>
    </row>
    <row r="4745" spans="14:14" x14ac:dyDescent="0.3">
      <c r="N4745" t="str" cm="1">
        <f t="array" ref="N4745">IF(MOD(ROW()-ROW($B$2),16)=0,INDEX($M$2:$M$1000,(ROW()-ROW($B$2))/16+1),"")</f>
        <v/>
      </c>
    </row>
    <row r="4746" spans="14:14" x14ac:dyDescent="0.3">
      <c r="N4746" t="str" cm="1">
        <f t="array" ref="N4746">IF(MOD(ROW()-ROW($B$2),16)=0,INDEX($M$2:$M$1000,(ROW()-ROW($B$2))/16+1),"")</f>
        <v/>
      </c>
    </row>
    <row r="4747" spans="14:14" x14ac:dyDescent="0.3">
      <c r="N4747" t="str" cm="1">
        <f t="array" ref="N4747">IF(MOD(ROW()-ROW($B$2),16)=0,INDEX($M$2:$M$1000,(ROW()-ROW($B$2))/16+1),"")</f>
        <v/>
      </c>
    </row>
    <row r="4748" spans="14:14" x14ac:dyDescent="0.3">
      <c r="N4748" t="str" cm="1">
        <f t="array" ref="N4748">IF(MOD(ROW()-ROW($B$2),16)=0,INDEX($M$2:$M$1000,(ROW()-ROW($B$2))/16+1),"")</f>
        <v/>
      </c>
    </row>
    <row r="4749" spans="14:14" x14ac:dyDescent="0.3">
      <c r="N4749" t="str" cm="1">
        <f t="array" ref="N4749">IF(MOD(ROW()-ROW($B$2),16)=0,INDEX($M$2:$M$1000,(ROW()-ROW($B$2))/16+1),"")</f>
        <v/>
      </c>
    </row>
    <row r="4750" spans="14:14" x14ac:dyDescent="0.3">
      <c r="N4750" t="str" cm="1">
        <f t="array" ref="N4750">IF(MOD(ROW()-ROW($B$2),16)=0,INDEX($M$2:$M$1000,(ROW()-ROW($B$2))/16+1),"")</f>
        <v/>
      </c>
    </row>
    <row r="4751" spans="14:14" x14ac:dyDescent="0.3">
      <c r="N4751" t="str" cm="1">
        <f t="array" ref="N4751">IF(MOD(ROW()-ROW($B$2),16)=0,INDEX($M$2:$M$1000,(ROW()-ROW($B$2))/16+1),"")</f>
        <v/>
      </c>
    </row>
    <row r="4752" spans="14:14" x14ac:dyDescent="0.3">
      <c r="N4752" t="str" cm="1">
        <f t="array" ref="N4752">IF(MOD(ROW()-ROW($B$2),16)=0,INDEX($M$2:$M$1000,(ROW()-ROW($B$2))/16+1),"")</f>
        <v/>
      </c>
    </row>
    <row r="4753" spans="14:14" x14ac:dyDescent="0.3">
      <c r="N4753" t="str" cm="1">
        <f t="array" ref="N4753">IF(MOD(ROW()-ROW($B$2),16)=0,INDEX($M$2:$M$1000,(ROW()-ROW($B$2))/16+1),"")</f>
        <v/>
      </c>
    </row>
    <row r="4754" spans="14:14" x14ac:dyDescent="0.3">
      <c r="N4754" t="str" cm="1">
        <f t="array" ref="N4754">IF(MOD(ROW()-ROW($B$2),16)=0,INDEX($M$2:$M$1000,(ROW()-ROW($B$2))/16+1),"")</f>
        <v/>
      </c>
    </row>
    <row r="4755" spans="14:14" x14ac:dyDescent="0.3">
      <c r="N4755" t="str" cm="1">
        <f t="array" ref="N4755">IF(MOD(ROW()-ROW($B$2),16)=0,INDEX($M$2:$M$1000,(ROW()-ROW($B$2))/16+1),"")</f>
        <v/>
      </c>
    </row>
    <row r="4756" spans="14:14" x14ac:dyDescent="0.3">
      <c r="N4756" t="str" cm="1">
        <f t="array" ref="N4756">IF(MOD(ROW()-ROW($B$2),16)=0,INDEX($M$2:$M$1000,(ROW()-ROW($B$2))/16+1),"")</f>
        <v/>
      </c>
    </row>
    <row r="4757" spans="14:14" x14ac:dyDescent="0.3">
      <c r="N4757" t="str" cm="1">
        <f t="array" ref="N4757">IF(MOD(ROW()-ROW($B$2),16)=0,INDEX($M$2:$M$1000,(ROW()-ROW($B$2))/16+1),"")</f>
        <v/>
      </c>
    </row>
    <row r="4758" spans="14:14" x14ac:dyDescent="0.3">
      <c r="N4758" t="str" cm="1">
        <f t="array" ref="N4758">IF(MOD(ROW()-ROW($B$2),16)=0,INDEX($M$2:$M$1000,(ROW()-ROW($B$2))/16+1),"")</f>
        <v/>
      </c>
    </row>
    <row r="4759" spans="14:14" x14ac:dyDescent="0.3">
      <c r="N4759" t="str" cm="1">
        <f t="array" ref="N4759">IF(MOD(ROW()-ROW($B$2),16)=0,INDEX($M$2:$M$1000,(ROW()-ROW($B$2))/16+1),"")</f>
        <v/>
      </c>
    </row>
    <row r="4760" spans="14:14" x14ac:dyDescent="0.3">
      <c r="N4760" t="str" cm="1">
        <f t="array" ref="N4760">IF(MOD(ROW()-ROW($B$2),16)=0,INDEX($M$2:$M$1000,(ROW()-ROW($B$2))/16+1),"")</f>
        <v/>
      </c>
    </row>
    <row r="4761" spans="14:14" x14ac:dyDescent="0.3">
      <c r="N4761" t="str" cm="1">
        <f t="array" ref="N4761">IF(MOD(ROW()-ROW($B$2),16)=0,INDEX($M$2:$M$1000,(ROW()-ROW($B$2))/16+1),"")</f>
        <v/>
      </c>
    </row>
    <row r="4762" spans="14:14" x14ac:dyDescent="0.3">
      <c r="N4762" t="str" cm="1">
        <f t="array" ref="N4762">IF(MOD(ROW()-ROW($B$2),16)=0,INDEX($M$2:$M$1000,(ROW()-ROW($B$2))/16+1),"")</f>
        <v/>
      </c>
    </row>
    <row r="4763" spans="14:14" x14ac:dyDescent="0.3">
      <c r="N4763" t="str" cm="1">
        <f t="array" ref="N4763">IF(MOD(ROW()-ROW($B$2),16)=0,INDEX($M$2:$M$1000,(ROW()-ROW($B$2))/16+1),"")</f>
        <v/>
      </c>
    </row>
    <row r="4764" spans="14:14" x14ac:dyDescent="0.3">
      <c r="N4764" t="str" cm="1">
        <f t="array" ref="N4764">IF(MOD(ROW()-ROW($B$2),16)=0,INDEX($M$2:$M$1000,(ROW()-ROW($B$2))/16+1),"")</f>
        <v/>
      </c>
    </row>
    <row r="4765" spans="14:14" x14ac:dyDescent="0.3">
      <c r="N4765" t="str" cm="1">
        <f t="array" ref="N4765">IF(MOD(ROW()-ROW($B$2),16)=0,INDEX($M$2:$M$1000,(ROW()-ROW($B$2))/16+1),"")</f>
        <v/>
      </c>
    </row>
    <row r="4766" spans="14:14" x14ac:dyDescent="0.3">
      <c r="N4766" t="str" cm="1">
        <f t="array" ref="N4766">IF(MOD(ROW()-ROW($B$2),16)=0,INDEX($M$2:$M$1000,(ROW()-ROW($B$2))/16+1),"")</f>
        <v/>
      </c>
    </row>
    <row r="4767" spans="14:14" x14ac:dyDescent="0.3">
      <c r="N4767" t="str" cm="1">
        <f t="array" ref="N4767">IF(MOD(ROW()-ROW($B$2),16)=0,INDEX($M$2:$M$1000,(ROW()-ROW($B$2))/16+1),"")</f>
        <v/>
      </c>
    </row>
    <row r="4768" spans="14:14" x14ac:dyDescent="0.3">
      <c r="N4768" t="str" cm="1">
        <f t="array" ref="N4768">IF(MOD(ROW()-ROW($B$2),16)=0,INDEX($M$2:$M$1000,(ROW()-ROW($B$2))/16+1),"")</f>
        <v/>
      </c>
    </row>
    <row r="4769" spans="14:14" x14ac:dyDescent="0.3">
      <c r="N4769" t="str" cm="1">
        <f t="array" ref="N4769">IF(MOD(ROW()-ROW($B$2),16)=0,INDEX($M$2:$M$1000,(ROW()-ROW($B$2))/16+1),"")</f>
        <v/>
      </c>
    </row>
    <row r="4770" spans="14:14" x14ac:dyDescent="0.3">
      <c r="N4770" t="str" cm="1">
        <f t="array" ref="N4770">IF(MOD(ROW()-ROW($B$2),16)=0,INDEX($M$2:$M$1000,(ROW()-ROW($B$2))/16+1),"")</f>
        <v/>
      </c>
    </row>
    <row r="4771" spans="14:14" x14ac:dyDescent="0.3">
      <c r="N4771" t="str" cm="1">
        <f t="array" ref="N4771">IF(MOD(ROW()-ROW($B$2),16)=0,INDEX($M$2:$M$1000,(ROW()-ROW($B$2))/16+1),"")</f>
        <v/>
      </c>
    </row>
    <row r="4772" spans="14:14" x14ac:dyDescent="0.3">
      <c r="N4772" t="str" cm="1">
        <f t="array" ref="N4772">IF(MOD(ROW()-ROW($B$2),16)=0,INDEX($M$2:$M$1000,(ROW()-ROW($B$2))/16+1),"")</f>
        <v/>
      </c>
    </row>
    <row r="4773" spans="14:14" x14ac:dyDescent="0.3">
      <c r="N4773" t="str" cm="1">
        <f t="array" ref="N4773">IF(MOD(ROW()-ROW($B$2),16)=0,INDEX($M$2:$M$1000,(ROW()-ROW($B$2))/16+1),"")</f>
        <v/>
      </c>
    </row>
    <row r="4774" spans="14:14" x14ac:dyDescent="0.3">
      <c r="N4774" t="str" cm="1">
        <f t="array" ref="N4774">IF(MOD(ROW()-ROW($B$2),16)=0,INDEX($M$2:$M$1000,(ROW()-ROW($B$2))/16+1),"")</f>
        <v/>
      </c>
    </row>
    <row r="4775" spans="14:14" x14ac:dyDescent="0.3">
      <c r="N4775" t="str" cm="1">
        <f t="array" ref="N4775">IF(MOD(ROW()-ROW($B$2),16)=0,INDEX($M$2:$M$1000,(ROW()-ROW($B$2))/16+1),"")</f>
        <v/>
      </c>
    </row>
    <row r="4776" spans="14:14" x14ac:dyDescent="0.3">
      <c r="N4776" t="str" cm="1">
        <f t="array" ref="N4776">IF(MOD(ROW()-ROW($B$2),16)=0,INDEX($M$2:$M$1000,(ROW()-ROW($B$2))/16+1),"")</f>
        <v/>
      </c>
    </row>
    <row r="4777" spans="14:14" x14ac:dyDescent="0.3">
      <c r="N4777" t="str" cm="1">
        <f t="array" ref="N4777">IF(MOD(ROW()-ROW($B$2),16)=0,INDEX($M$2:$M$1000,(ROW()-ROW($B$2))/16+1),"")</f>
        <v/>
      </c>
    </row>
    <row r="4778" spans="14:14" x14ac:dyDescent="0.3">
      <c r="N4778" t="str" cm="1">
        <f t="array" ref="N4778">IF(MOD(ROW()-ROW($B$2),16)=0,INDEX($M$2:$M$1000,(ROW()-ROW($B$2))/16+1),"")</f>
        <v/>
      </c>
    </row>
    <row r="4779" spans="14:14" x14ac:dyDescent="0.3">
      <c r="N4779" t="str" cm="1">
        <f t="array" ref="N4779">IF(MOD(ROW()-ROW($B$2),16)=0,INDEX($M$2:$M$1000,(ROW()-ROW($B$2))/16+1),"")</f>
        <v/>
      </c>
    </row>
    <row r="4780" spans="14:14" x14ac:dyDescent="0.3">
      <c r="N4780" t="str" cm="1">
        <f t="array" ref="N4780">IF(MOD(ROW()-ROW($B$2),16)=0,INDEX($M$2:$M$1000,(ROW()-ROW($B$2))/16+1),"")</f>
        <v/>
      </c>
    </row>
    <row r="4781" spans="14:14" x14ac:dyDescent="0.3">
      <c r="N4781" t="str" cm="1">
        <f t="array" ref="N4781">IF(MOD(ROW()-ROW($B$2),16)=0,INDEX($M$2:$M$1000,(ROW()-ROW($B$2))/16+1),"")</f>
        <v/>
      </c>
    </row>
    <row r="4782" spans="14:14" x14ac:dyDescent="0.3">
      <c r="N4782" t="str" cm="1">
        <f t="array" ref="N4782">IF(MOD(ROW()-ROW($B$2),16)=0,INDEX($M$2:$M$1000,(ROW()-ROW($B$2))/16+1),"")</f>
        <v/>
      </c>
    </row>
    <row r="4783" spans="14:14" x14ac:dyDescent="0.3">
      <c r="N4783" t="str" cm="1">
        <f t="array" ref="N4783">IF(MOD(ROW()-ROW($B$2),16)=0,INDEX($M$2:$M$1000,(ROW()-ROW($B$2))/16+1),"")</f>
        <v/>
      </c>
    </row>
    <row r="4784" spans="14:14" x14ac:dyDescent="0.3">
      <c r="N4784" t="str" cm="1">
        <f t="array" ref="N4784">IF(MOD(ROW()-ROW($B$2),16)=0,INDEX($M$2:$M$1000,(ROW()-ROW($B$2))/16+1),"")</f>
        <v/>
      </c>
    </row>
    <row r="4785" spans="14:14" x14ac:dyDescent="0.3">
      <c r="N4785" t="str" cm="1">
        <f t="array" ref="N4785">IF(MOD(ROW()-ROW($B$2),16)=0,INDEX($M$2:$M$1000,(ROW()-ROW($B$2))/16+1),"")</f>
        <v/>
      </c>
    </row>
    <row r="4786" spans="14:14" x14ac:dyDescent="0.3">
      <c r="N4786" t="str" cm="1">
        <f t="array" ref="N4786">IF(MOD(ROW()-ROW($B$2),16)=0,INDEX($M$2:$M$1000,(ROW()-ROW($B$2))/16+1),"")</f>
        <v/>
      </c>
    </row>
    <row r="4787" spans="14:14" x14ac:dyDescent="0.3">
      <c r="N4787" t="str" cm="1">
        <f t="array" ref="N4787">IF(MOD(ROW()-ROW($B$2),16)=0,INDEX($M$2:$M$1000,(ROW()-ROW($B$2))/16+1),"")</f>
        <v/>
      </c>
    </row>
    <row r="4788" spans="14:14" x14ac:dyDescent="0.3">
      <c r="N4788" t="str" cm="1">
        <f t="array" ref="N4788">IF(MOD(ROW()-ROW($B$2),16)=0,INDEX($M$2:$M$1000,(ROW()-ROW($B$2))/16+1),"")</f>
        <v/>
      </c>
    </row>
    <row r="4789" spans="14:14" x14ac:dyDescent="0.3">
      <c r="N4789" t="str" cm="1">
        <f t="array" ref="N4789">IF(MOD(ROW()-ROW($B$2),16)=0,INDEX($M$2:$M$1000,(ROW()-ROW($B$2))/16+1),"")</f>
        <v/>
      </c>
    </row>
    <row r="4790" spans="14:14" x14ac:dyDescent="0.3">
      <c r="N4790" t="str" cm="1">
        <f t="array" ref="N4790">IF(MOD(ROW()-ROW($B$2),16)=0,INDEX($M$2:$M$1000,(ROW()-ROW($B$2))/16+1),"")</f>
        <v/>
      </c>
    </row>
    <row r="4791" spans="14:14" x14ac:dyDescent="0.3">
      <c r="N4791" t="str" cm="1">
        <f t="array" ref="N4791">IF(MOD(ROW()-ROW($B$2),16)=0,INDEX($M$2:$M$1000,(ROW()-ROW($B$2))/16+1),"")</f>
        <v/>
      </c>
    </row>
    <row r="4792" spans="14:14" x14ac:dyDescent="0.3">
      <c r="N4792" t="str" cm="1">
        <f t="array" ref="N4792">IF(MOD(ROW()-ROW($B$2),16)=0,INDEX($M$2:$M$1000,(ROW()-ROW($B$2))/16+1),"")</f>
        <v/>
      </c>
    </row>
    <row r="4793" spans="14:14" x14ac:dyDescent="0.3">
      <c r="N4793" t="str" cm="1">
        <f t="array" ref="N4793">IF(MOD(ROW()-ROW($B$2),16)=0,INDEX($M$2:$M$1000,(ROW()-ROW($B$2))/16+1),"")</f>
        <v/>
      </c>
    </row>
    <row r="4794" spans="14:14" x14ac:dyDescent="0.3">
      <c r="N4794" t="str" cm="1">
        <f t="array" ref="N4794">IF(MOD(ROW()-ROW($B$2),16)=0,INDEX($M$2:$M$1000,(ROW()-ROW($B$2))/16+1),"")</f>
        <v/>
      </c>
    </row>
    <row r="4795" spans="14:14" x14ac:dyDescent="0.3">
      <c r="N4795" t="str" cm="1">
        <f t="array" ref="N4795">IF(MOD(ROW()-ROW($B$2),16)=0,INDEX($M$2:$M$1000,(ROW()-ROW($B$2))/16+1),"")</f>
        <v/>
      </c>
    </row>
    <row r="4796" spans="14:14" x14ac:dyDescent="0.3">
      <c r="N4796" t="str" cm="1">
        <f t="array" ref="N4796">IF(MOD(ROW()-ROW($B$2),16)=0,INDEX($M$2:$M$1000,(ROW()-ROW($B$2))/16+1),"")</f>
        <v/>
      </c>
    </row>
    <row r="4797" spans="14:14" x14ac:dyDescent="0.3">
      <c r="N4797" t="str" cm="1">
        <f t="array" ref="N4797">IF(MOD(ROW()-ROW($B$2),16)=0,INDEX($M$2:$M$1000,(ROW()-ROW($B$2))/16+1),"")</f>
        <v/>
      </c>
    </row>
    <row r="4798" spans="14:14" x14ac:dyDescent="0.3">
      <c r="N4798" t="str" cm="1">
        <f t="array" ref="N4798">IF(MOD(ROW()-ROW($B$2),16)=0,INDEX($M$2:$M$1000,(ROW()-ROW($B$2))/16+1),"")</f>
        <v/>
      </c>
    </row>
    <row r="4799" spans="14:14" x14ac:dyDescent="0.3">
      <c r="N4799" t="str" cm="1">
        <f t="array" ref="N4799">IF(MOD(ROW()-ROW($B$2),16)=0,INDEX($M$2:$M$1000,(ROW()-ROW($B$2))/16+1),"")</f>
        <v/>
      </c>
    </row>
    <row r="4800" spans="14:14" x14ac:dyDescent="0.3">
      <c r="N4800" t="str" cm="1">
        <f t="array" ref="N4800">IF(MOD(ROW()-ROW($B$2),16)=0,INDEX($M$2:$M$1000,(ROW()-ROW($B$2))/16+1),"")</f>
        <v/>
      </c>
    </row>
    <row r="4801" spans="14:14" x14ac:dyDescent="0.3">
      <c r="N4801" t="str" cm="1">
        <f t="array" ref="N4801">IF(MOD(ROW()-ROW($B$2),16)=0,INDEX($M$2:$M$1000,(ROW()-ROW($B$2))/16+1),"")</f>
        <v/>
      </c>
    </row>
    <row r="4802" spans="14:14" x14ac:dyDescent="0.3">
      <c r="N4802" t="str" cm="1">
        <f t="array" ref="N4802">IF(MOD(ROW()-ROW($B$2),16)=0,INDEX($M$2:$M$1000,(ROW()-ROW($B$2))/16+1),"")</f>
        <v>Длина заготовки (0)</v>
      </c>
    </row>
    <row r="4803" spans="14:14" x14ac:dyDescent="0.3">
      <c r="N4803" t="str" cm="1">
        <f t="array" ref="N4803">IF(MOD(ROW()-ROW($B$2),16)=0,INDEX($M$2:$M$1000,(ROW()-ROW($B$2))/16+1),"")</f>
        <v/>
      </c>
    </row>
    <row r="4804" spans="14:14" x14ac:dyDescent="0.3">
      <c r="N4804" t="str" cm="1">
        <f t="array" ref="N4804">IF(MOD(ROW()-ROW($B$2),16)=0,INDEX($M$2:$M$1000,(ROW()-ROW($B$2))/16+1),"")</f>
        <v/>
      </c>
    </row>
    <row r="4805" spans="14:14" x14ac:dyDescent="0.3">
      <c r="N4805" t="str" cm="1">
        <f t="array" ref="N4805">IF(MOD(ROW()-ROW($B$2),16)=0,INDEX($M$2:$M$1000,(ROW()-ROW($B$2))/16+1),"")</f>
        <v/>
      </c>
    </row>
    <row r="4806" spans="14:14" x14ac:dyDescent="0.3">
      <c r="N4806" t="str" cm="1">
        <f t="array" ref="N4806">IF(MOD(ROW()-ROW($B$2),16)=0,INDEX($M$2:$M$1000,(ROW()-ROW($B$2))/16+1),"")</f>
        <v/>
      </c>
    </row>
    <row r="4807" spans="14:14" x14ac:dyDescent="0.3">
      <c r="N4807" t="str" cm="1">
        <f t="array" ref="N4807">IF(MOD(ROW()-ROW($B$2),16)=0,INDEX($M$2:$M$1000,(ROW()-ROW($B$2))/16+1),"")</f>
        <v/>
      </c>
    </row>
    <row r="4808" spans="14:14" x14ac:dyDescent="0.3">
      <c r="N4808" t="str" cm="1">
        <f t="array" ref="N4808">IF(MOD(ROW()-ROW($B$2),16)=0,INDEX($M$2:$M$1000,(ROW()-ROW($B$2))/16+1),"")</f>
        <v/>
      </c>
    </row>
    <row r="4809" spans="14:14" x14ac:dyDescent="0.3">
      <c r="N4809" t="str" cm="1">
        <f t="array" ref="N4809">IF(MOD(ROW()-ROW($B$2),16)=0,INDEX($M$2:$M$1000,(ROW()-ROW($B$2))/16+1),"")</f>
        <v/>
      </c>
    </row>
    <row r="4810" spans="14:14" x14ac:dyDescent="0.3">
      <c r="N4810" t="str" cm="1">
        <f t="array" ref="N4810">IF(MOD(ROW()-ROW($B$2),16)=0,INDEX($M$2:$M$1000,(ROW()-ROW($B$2))/16+1),"")</f>
        <v/>
      </c>
    </row>
    <row r="4811" spans="14:14" x14ac:dyDescent="0.3">
      <c r="N4811" t="str" cm="1">
        <f t="array" ref="N4811">IF(MOD(ROW()-ROW($B$2),16)=0,INDEX($M$2:$M$1000,(ROW()-ROW($B$2))/16+1),"")</f>
        <v/>
      </c>
    </row>
    <row r="4812" spans="14:14" x14ac:dyDescent="0.3">
      <c r="N4812" t="str" cm="1">
        <f t="array" ref="N4812">IF(MOD(ROW()-ROW($B$2),16)=0,INDEX($M$2:$M$1000,(ROW()-ROW($B$2))/16+1),"")</f>
        <v/>
      </c>
    </row>
    <row r="4813" spans="14:14" x14ac:dyDescent="0.3">
      <c r="N4813" t="str" cm="1">
        <f t="array" ref="N4813">IF(MOD(ROW()-ROW($B$2),16)=0,INDEX($M$2:$M$1000,(ROW()-ROW($B$2))/16+1),"")</f>
        <v/>
      </c>
    </row>
    <row r="4814" spans="14:14" x14ac:dyDescent="0.3">
      <c r="N4814" t="str" cm="1">
        <f t="array" ref="N4814">IF(MOD(ROW()-ROW($B$2),16)=0,INDEX($M$2:$M$1000,(ROW()-ROW($B$2))/16+1),"")</f>
        <v/>
      </c>
    </row>
    <row r="4815" spans="14:14" x14ac:dyDescent="0.3">
      <c r="N4815" t="str" cm="1">
        <f t="array" ref="N4815">IF(MOD(ROW()-ROW($B$2),16)=0,INDEX($M$2:$M$1000,(ROW()-ROW($B$2))/16+1),"")</f>
        <v/>
      </c>
    </row>
    <row r="4816" spans="14:14" x14ac:dyDescent="0.3">
      <c r="N4816" t="str" cm="1">
        <f t="array" ref="N4816">IF(MOD(ROW()-ROW($B$2),16)=0,INDEX($M$2:$M$1000,(ROW()-ROW($B$2))/16+1),"")</f>
        <v/>
      </c>
    </row>
    <row r="4817" spans="14:14" x14ac:dyDescent="0.3">
      <c r="N4817" t="str" cm="1">
        <f t="array" ref="N4817">IF(MOD(ROW()-ROW($B$2),16)=0,INDEX($M$2:$M$1000,(ROW()-ROW($B$2))/16+1),"")</f>
        <v/>
      </c>
    </row>
    <row r="4818" spans="14:14" x14ac:dyDescent="0.3">
      <c r="N4818" t="str" cm="1">
        <f t="array" ref="N4818">IF(MOD(ROW()-ROW($B$2),16)=0,INDEX($M$2:$M$1000,(ROW()-ROW($B$2))/16+1),"")</f>
        <v>Диаметр заготоки (0)</v>
      </c>
    </row>
    <row r="4819" spans="14:14" x14ac:dyDescent="0.3">
      <c r="N4819" t="str" cm="1">
        <f t="array" ref="N4819">IF(MOD(ROW()-ROW($B$2),16)=0,INDEX($M$2:$M$1000,(ROW()-ROW($B$2))/16+1),"")</f>
        <v/>
      </c>
    </row>
    <row r="4820" spans="14:14" x14ac:dyDescent="0.3">
      <c r="N4820" t="str" cm="1">
        <f t="array" ref="N4820">IF(MOD(ROW()-ROW($B$2),16)=0,INDEX($M$2:$M$1000,(ROW()-ROW($B$2))/16+1),"")</f>
        <v/>
      </c>
    </row>
    <row r="4821" spans="14:14" x14ac:dyDescent="0.3">
      <c r="N4821" t="str" cm="1">
        <f t="array" ref="N4821">IF(MOD(ROW()-ROW($B$2),16)=0,INDEX($M$2:$M$1000,(ROW()-ROW($B$2))/16+1),"")</f>
        <v/>
      </c>
    </row>
    <row r="4822" spans="14:14" x14ac:dyDescent="0.3">
      <c r="N4822" t="str" cm="1">
        <f t="array" ref="N4822">IF(MOD(ROW()-ROW($B$2),16)=0,INDEX($M$2:$M$1000,(ROW()-ROW($B$2))/16+1),"")</f>
        <v/>
      </c>
    </row>
    <row r="4823" spans="14:14" x14ac:dyDescent="0.3">
      <c r="N4823" t="str" cm="1">
        <f t="array" ref="N4823">IF(MOD(ROW()-ROW($B$2),16)=0,INDEX($M$2:$M$1000,(ROW()-ROW($B$2))/16+1),"")</f>
        <v/>
      </c>
    </row>
    <row r="4824" spans="14:14" x14ac:dyDescent="0.3">
      <c r="N4824" t="str" cm="1">
        <f t="array" ref="N4824">IF(MOD(ROW()-ROW($B$2),16)=0,INDEX($M$2:$M$1000,(ROW()-ROW($B$2))/16+1),"")</f>
        <v/>
      </c>
    </row>
    <row r="4825" spans="14:14" x14ac:dyDescent="0.3">
      <c r="N4825" t="str" cm="1">
        <f t="array" ref="N4825">IF(MOD(ROW()-ROW($B$2),16)=0,INDEX($M$2:$M$1000,(ROW()-ROW($B$2))/16+1),"")</f>
        <v/>
      </c>
    </row>
    <row r="4826" spans="14:14" x14ac:dyDescent="0.3">
      <c r="N4826" t="str" cm="1">
        <f t="array" ref="N4826">IF(MOD(ROW()-ROW($B$2),16)=0,INDEX($M$2:$M$1000,(ROW()-ROW($B$2))/16+1),"")</f>
        <v/>
      </c>
    </row>
    <row r="4827" spans="14:14" x14ac:dyDescent="0.3">
      <c r="N4827" t="str" cm="1">
        <f t="array" ref="N4827">IF(MOD(ROW()-ROW($B$2),16)=0,INDEX($M$2:$M$1000,(ROW()-ROW($B$2))/16+1),"")</f>
        <v/>
      </c>
    </row>
    <row r="4828" spans="14:14" x14ac:dyDescent="0.3">
      <c r="N4828" t="str" cm="1">
        <f t="array" ref="N4828">IF(MOD(ROW()-ROW($B$2),16)=0,INDEX($M$2:$M$1000,(ROW()-ROW($B$2))/16+1),"")</f>
        <v/>
      </c>
    </row>
    <row r="4829" spans="14:14" x14ac:dyDescent="0.3">
      <c r="N4829" t="str" cm="1">
        <f t="array" ref="N4829">IF(MOD(ROW()-ROW($B$2),16)=0,INDEX($M$2:$M$1000,(ROW()-ROW($B$2))/16+1),"")</f>
        <v/>
      </c>
    </row>
    <row r="4830" spans="14:14" x14ac:dyDescent="0.3">
      <c r="N4830" t="str" cm="1">
        <f t="array" ref="N4830">IF(MOD(ROW()-ROW($B$2),16)=0,INDEX($M$2:$M$1000,(ROW()-ROW($B$2))/16+1),"")</f>
        <v/>
      </c>
    </row>
    <row r="4831" spans="14:14" x14ac:dyDescent="0.3">
      <c r="N4831" t="str" cm="1">
        <f t="array" ref="N4831">IF(MOD(ROW()-ROW($B$2),16)=0,INDEX($M$2:$M$1000,(ROW()-ROW($B$2))/16+1),"")</f>
        <v/>
      </c>
    </row>
    <row r="4832" spans="14:14" x14ac:dyDescent="0.3">
      <c r="N4832" t="str" cm="1">
        <f t="array" ref="N4832">IF(MOD(ROW()-ROW($B$2),16)=0,INDEX($M$2:$M$1000,(ROW()-ROW($B$2))/16+1),"")</f>
        <v/>
      </c>
    </row>
    <row r="4833" spans="14:14" x14ac:dyDescent="0.3">
      <c r="N4833" t="str" cm="1">
        <f t="array" ref="N4833">IF(MOD(ROW()-ROW($B$2),16)=0,INDEX($M$2:$M$1000,(ROW()-ROW($B$2))/16+1),"")</f>
        <v/>
      </c>
    </row>
    <row r="4834" spans="14:14" x14ac:dyDescent="0.3">
      <c r="N4834" t="str" cm="1">
        <f t="array" ref="N4834">IF(MOD(ROW()-ROW($B$2),16)=0,INDEX($M$2:$M$1000,(ROW()-ROW($B$2))/16+1),"")</f>
        <v>Длина обработанной с одной стороны детали (0)</v>
      </c>
    </row>
    <row r="4835" spans="14:14" x14ac:dyDescent="0.3">
      <c r="N4835" t="str" cm="1">
        <f t="array" ref="N4835">IF(MOD(ROW()-ROW($B$2),16)=0,INDEX($M$2:$M$1000,(ROW()-ROW($B$2))/16+1),"")</f>
        <v/>
      </c>
    </row>
    <row r="4836" spans="14:14" x14ac:dyDescent="0.3">
      <c r="N4836" t="str" cm="1">
        <f t="array" ref="N4836">IF(MOD(ROW()-ROW($B$2),16)=0,INDEX($M$2:$M$1000,(ROW()-ROW($B$2))/16+1),"")</f>
        <v/>
      </c>
    </row>
    <row r="4837" spans="14:14" x14ac:dyDescent="0.3">
      <c r="N4837" t="str" cm="1">
        <f t="array" ref="N4837">IF(MOD(ROW()-ROW($B$2),16)=0,INDEX($M$2:$M$1000,(ROW()-ROW($B$2))/16+1),"")</f>
        <v/>
      </c>
    </row>
    <row r="4838" spans="14:14" x14ac:dyDescent="0.3">
      <c r="N4838" t="str" cm="1">
        <f t="array" ref="N4838">IF(MOD(ROW()-ROW($B$2),16)=0,INDEX($M$2:$M$1000,(ROW()-ROW($B$2))/16+1),"")</f>
        <v/>
      </c>
    </row>
    <row r="4839" spans="14:14" x14ac:dyDescent="0.3">
      <c r="N4839" t="str" cm="1">
        <f t="array" ref="N4839">IF(MOD(ROW()-ROW($B$2),16)=0,INDEX($M$2:$M$1000,(ROW()-ROW($B$2))/16+1),"")</f>
        <v/>
      </c>
    </row>
    <row r="4840" spans="14:14" x14ac:dyDescent="0.3">
      <c r="N4840" t="str" cm="1">
        <f t="array" ref="N4840">IF(MOD(ROW()-ROW($B$2),16)=0,INDEX($M$2:$M$1000,(ROW()-ROW($B$2))/16+1),"")</f>
        <v/>
      </c>
    </row>
    <row r="4841" spans="14:14" x14ac:dyDescent="0.3">
      <c r="N4841" t="str" cm="1">
        <f t="array" ref="N4841">IF(MOD(ROW()-ROW($B$2),16)=0,INDEX($M$2:$M$1000,(ROW()-ROW($B$2))/16+1),"")</f>
        <v/>
      </c>
    </row>
    <row r="4842" spans="14:14" x14ac:dyDescent="0.3">
      <c r="N4842" t="str" cm="1">
        <f t="array" ref="N4842">IF(MOD(ROW()-ROW($B$2),16)=0,INDEX($M$2:$M$1000,(ROW()-ROW($B$2))/16+1),"")</f>
        <v/>
      </c>
    </row>
    <row r="4843" spans="14:14" x14ac:dyDescent="0.3">
      <c r="N4843" t="str" cm="1">
        <f t="array" ref="N4843">IF(MOD(ROW()-ROW($B$2),16)=0,INDEX($M$2:$M$1000,(ROW()-ROW($B$2))/16+1),"")</f>
        <v/>
      </c>
    </row>
    <row r="4844" spans="14:14" x14ac:dyDescent="0.3">
      <c r="N4844" t="str" cm="1">
        <f t="array" ref="N4844">IF(MOD(ROW()-ROW($B$2),16)=0,INDEX($M$2:$M$1000,(ROW()-ROW($B$2))/16+1),"")</f>
        <v/>
      </c>
    </row>
    <row r="4845" spans="14:14" x14ac:dyDescent="0.3">
      <c r="N4845" t="str" cm="1">
        <f t="array" ref="N4845">IF(MOD(ROW()-ROW($B$2),16)=0,INDEX($M$2:$M$1000,(ROW()-ROW($B$2))/16+1),"")</f>
        <v/>
      </c>
    </row>
    <row r="4846" spans="14:14" x14ac:dyDescent="0.3">
      <c r="N4846" t="str" cm="1">
        <f t="array" ref="N4846">IF(MOD(ROW()-ROW($B$2),16)=0,INDEX($M$2:$M$1000,(ROW()-ROW($B$2))/16+1),"")</f>
        <v/>
      </c>
    </row>
    <row r="4847" spans="14:14" x14ac:dyDescent="0.3">
      <c r="N4847" t="str" cm="1">
        <f t="array" ref="N4847">IF(MOD(ROW()-ROW($B$2),16)=0,INDEX($M$2:$M$1000,(ROW()-ROW($B$2))/16+1),"")</f>
        <v/>
      </c>
    </row>
    <row r="4848" spans="14:14" x14ac:dyDescent="0.3">
      <c r="N4848" t="str" cm="1">
        <f t="array" ref="N4848">IF(MOD(ROW()-ROW($B$2),16)=0,INDEX($M$2:$M$1000,(ROW()-ROW($B$2))/16+1),"")</f>
        <v/>
      </c>
    </row>
    <row r="4849" spans="14:14" x14ac:dyDescent="0.3">
      <c r="N4849" t="str" cm="1">
        <f t="array" ref="N4849">IF(MOD(ROW()-ROW($B$2),16)=0,INDEX($M$2:$M$1000,(ROW()-ROW($B$2))/16+1),"")</f>
        <v/>
      </c>
    </row>
    <row r="4850" spans="14:14" x14ac:dyDescent="0.3">
      <c r="N4850" t="str" cm="1">
        <f t="array" ref="N4850">IF(MOD(ROW()-ROW($B$2),16)=0,INDEX($M$2:$M$1000,(ROW()-ROW($B$2))/16+1),"")</f>
        <v>Диаметр обработанной с одной стороны детали (0)</v>
      </c>
    </row>
    <row r="4851" spans="14:14" x14ac:dyDescent="0.3">
      <c r="N4851" t="str" cm="1">
        <f t="array" ref="N4851">IF(MOD(ROW()-ROW($B$2),16)=0,INDEX($M$2:$M$1000,(ROW()-ROW($B$2))/16+1),"")</f>
        <v/>
      </c>
    </row>
    <row r="4852" spans="14:14" x14ac:dyDescent="0.3">
      <c r="N4852" t="str" cm="1">
        <f t="array" ref="N4852">IF(MOD(ROW()-ROW($B$2),16)=0,INDEX($M$2:$M$1000,(ROW()-ROW($B$2))/16+1),"")</f>
        <v/>
      </c>
    </row>
    <row r="4853" spans="14:14" x14ac:dyDescent="0.3">
      <c r="N4853" t="str" cm="1">
        <f t="array" ref="N4853">IF(MOD(ROW()-ROW($B$2),16)=0,INDEX($M$2:$M$1000,(ROW()-ROW($B$2))/16+1),"")</f>
        <v/>
      </c>
    </row>
    <row r="4854" spans="14:14" x14ac:dyDescent="0.3">
      <c r="N4854" t="str" cm="1">
        <f t="array" ref="N4854">IF(MOD(ROW()-ROW($B$2),16)=0,INDEX($M$2:$M$1000,(ROW()-ROW($B$2))/16+1),"")</f>
        <v/>
      </c>
    </row>
    <row r="4855" spans="14:14" x14ac:dyDescent="0.3">
      <c r="N4855" t="str" cm="1">
        <f t="array" ref="N4855">IF(MOD(ROW()-ROW($B$2),16)=0,INDEX($M$2:$M$1000,(ROW()-ROW($B$2))/16+1),"")</f>
        <v/>
      </c>
    </row>
    <row r="4856" spans="14:14" x14ac:dyDescent="0.3">
      <c r="N4856" t="str" cm="1">
        <f t="array" ref="N4856">IF(MOD(ROW()-ROW($B$2),16)=0,INDEX($M$2:$M$1000,(ROW()-ROW($B$2))/16+1),"")</f>
        <v/>
      </c>
    </row>
    <row r="4857" spans="14:14" x14ac:dyDescent="0.3">
      <c r="N4857" t="str" cm="1">
        <f t="array" ref="N4857">IF(MOD(ROW()-ROW($B$2),16)=0,INDEX($M$2:$M$1000,(ROW()-ROW($B$2))/16+1),"")</f>
        <v/>
      </c>
    </row>
    <row r="4858" spans="14:14" x14ac:dyDescent="0.3">
      <c r="N4858" t="str" cm="1">
        <f t="array" ref="N4858">IF(MOD(ROW()-ROW($B$2),16)=0,INDEX($M$2:$M$1000,(ROW()-ROW($B$2))/16+1),"")</f>
        <v/>
      </c>
    </row>
    <row r="4859" spans="14:14" x14ac:dyDescent="0.3">
      <c r="N4859" t="str" cm="1">
        <f t="array" ref="N4859">IF(MOD(ROW()-ROW($B$2),16)=0,INDEX($M$2:$M$1000,(ROW()-ROW($B$2))/16+1),"")</f>
        <v/>
      </c>
    </row>
    <row r="4860" spans="14:14" x14ac:dyDescent="0.3">
      <c r="N4860" t="str" cm="1">
        <f t="array" ref="N4860">IF(MOD(ROW()-ROW($B$2),16)=0,INDEX($M$2:$M$1000,(ROW()-ROW($B$2))/16+1),"")</f>
        <v/>
      </c>
    </row>
    <row r="4861" spans="14:14" x14ac:dyDescent="0.3">
      <c r="N4861" t="str" cm="1">
        <f t="array" ref="N4861">IF(MOD(ROW()-ROW($B$2),16)=0,INDEX($M$2:$M$1000,(ROW()-ROW($B$2))/16+1),"")</f>
        <v/>
      </c>
    </row>
    <row r="4862" spans="14:14" x14ac:dyDescent="0.3">
      <c r="N4862" t="str" cm="1">
        <f t="array" ref="N4862">IF(MOD(ROW()-ROW($B$2),16)=0,INDEX($M$2:$M$1000,(ROW()-ROW($B$2))/16+1),"")</f>
        <v/>
      </c>
    </row>
    <row r="4863" spans="14:14" x14ac:dyDescent="0.3">
      <c r="N4863" t="str" cm="1">
        <f t="array" ref="N4863">IF(MOD(ROW()-ROW($B$2),16)=0,INDEX($M$2:$M$1000,(ROW()-ROW($B$2))/16+1),"")</f>
        <v/>
      </c>
    </row>
    <row r="4864" spans="14:14" x14ac:dyDescent="0.3">
      <c r="N4864" t="str" cm="1">
        <f t="array" ref="N4864">IF(MOD(ROW()-ROW($B$2),16)=0,INDEX($M$2:$M$1000,(ROW()-ROW($B$2))/16+1),"")</f>
        <v/>
      </c>
    </row>
    <row r="4865" spans="14:14" x14ac:dyDescent="0.3">
      <c r="N4865" t="str" cm="1">
        <f t="array" ref="N4865">IF(MOD(ROW()-ROW($B$2),16)=0,INDEX($M$2:$M$1000,(ROW()-ROW($B$2))/16+1),"")</f>
        <v/>
      </c>
    </row>
    <row r="4866" spans="14:14" x14ac:dyDescent="0.3">
      <c r="N4866" t="str" cm="1">
        <f t="array" ref="N4866">IF(MOD(ROW()-ROW($B$2),16)=0,INDEX($M$2:$M$1000,(ROW()-ROW($B$2))/16+1),"")</f>
        <v>Длина готовой детали (0)</v>
      </c>
    </row>
    <row r="4867" spans="14:14" x14ac:dyDescent="0.3">
      <c r="N4867" t="str" cm="1">
        <f t="array" ref="N4867">IF(MOD(ROW()-ROW($B$2),16)=0,INDEX($M$2:$M$1000,(ROW()-ROW($B$2))/16+1),"")</f>
        <v/>
      </c>
    </row>
    <row r="4868" spans="14:14" x14ac:dyDescent="0.3">
      <c r="N4868" t="str" cm="1">
        <f t="array" ref="N4868">IF(MOD(ROW()-ROW($B$2),16)=0,INDEX($M$2:$M$1000,(ROW()-ROW($B$2))/16+1),"")</f>
        <v/>
      </c>
    </row>
    <row r="4869" spans="14:14" x14ac:dyDescent="0.3">
      <c r="N4869" t="str" cm="1">
        <f t="array" ref="N4869">IF(MOD(ROW()-ROW($B$2),16)=0,INDEX($M$2:$M$1000,(ROW()-ROW($B$2))/16+1),"")</f>
        <v/>
      </c>
    </row>
    <row r="4870" spans="14:14" x14ac:dyDescent="0.3">
      <c r="N4870" t="str" cm="1">
        <f t="array" ref="N4870">IF(MOD(ROW()-ROW($B$2),16)=0,INDEX($M$2:$M$1000,(ROW()-ROW($B$2))/16+1),"")</f>
        <v/>
      </c>
    </row>
    <row r="4871" spans="14:14" x14ac:dyDescent="0.3">
      <c r="N4871" t="str" cm="1">
        <f t="array" ref="N4871">IF(MOD(ROW()-ROW($B$2),16)=0,INDEX($M$2:$M$1000,(ROW()-ROW($B$2))/16+1),"")</f>
        <v/>
      </c>
    </row>
    <row r="4872" spans="14:14" x14ac:dyDescent="0.3">
      <c r="N4872" t="str" cm="1">
        <f t="array" ref="N4872">IF(MOD(ROW()-ROW($B$2),16)=0,INDEX($M$2:$M$1000,(ROW()-ROW($B$2))/16+1),"")</f>
        <v/>
      </c>
    </row>
    <row r="4873" spans="14:14" x14ac:dyDescent="0.3">
      <c r="N4873" t="str" cm="1">
        <f t="array" ref="N4873">IF(MOD(ROW()-ROW($B$2),16)=0,INDEX($M$2:$M$1000,(ROW()-ROW($B$2))/16+1),"")</f>
        <v/>
      </c>
    </row>
    <row r="4874" spans="14:14" x14ac:dyDescent="0.3">
      <c r="N4874" t="str" cm="1">
        <f t="array" ref="N4874">IF(MOD(ROW()-ROW($B$2),16)=0,INDEX($M$2:$M$1000,(ROW()-ROW($B$2))/16+1),"")</f>
        <v/>
      </c>
    </row>
    <row r="4875" spans="14:14" x14ac:dyDescent="0.3">
      <c r="N4875" t="str" cm="1">
        <f t="array" ref="N4875">IF(MOD(ROW()-ROW($B$2),16)=0,INDEX($M$2:$M$1000,(ROW()-ROW($B$2))/16+1),"")</f>
        <v/>
      </c>
    </row>
    <row r="4876" spans="14:14" x14ac:dyDescent="0.3">
      <c r="N4876" t="str" cm="1">
        <f t="array" ref="N4876">IF(MOD(ROW()-ROW($B$2),16)=0,INDEX($M$2:$M$1000,(ROW()-ROW($B$2))/16+1),"")</f>
        <v/>
      </c>
    </row>
    <row r="4877" spans="14:14" x14ac:dyDescent="0.3">
      <c r="N4877" t="str" cm="1">
        <f t="array" ref="N4877">IF(MOD(ROW()-ROW($B$2),16)=0,INDEX($M$2:$M$1000,(ROW()-ROW($B$2))/16+1),"")</f>
        <v/>
      </c>
    </row>
    <row r="4878" spans="14:14" x14ac:dyDescent="0.3">
      <c r="N4878" t="str" cm="1">
        <f t="array" ref="N4878">IF(MOD(ROW()-ROW($B$2),16)=0,INDEX($M$2:$M$1000,(ROW()-ROW($B$2))/16+1),"")</f>
        <v/>
      </c>
    </row>
    <row r="4879" spans="14:14" x14ac:dyDescent="0.3">
      <c r="N4879" t="str" cm="1">
        <f t="array" ref="N4879">IF(MOD(ROW()-ROW($B$2),16)=0,INDEX($M$2:$M$1000,(ROW()-ROW($B$2))/16+1),"")</f>
        <v/>
      </c>
    </row>
    <row r="4880" spans="14:14" x14ac:dyDescent="0.3">
      <c r="N4880" t="str" cm="1">
        <f t="array" ref="N4880">IF(MOD(ROW()-ROW($B$2),16)=0,INDEX($M$2:$M$1000,(ROW()-ROW($B$2))/16+1),"")</f>
        <v/>
      </c>
    </row>
    <row r="4881" spans="14:14" x14ac:dyDescent="0.3">
      <c r="N4881" t="str" cm="1">
        <f t="array" ref="N4881">IF(MOD(ROW()-ROW($B$2),16)=0,INDEX($M$2:$M$1000,(ROW()-ROW($B$2))/16+1),"")</f>
        <v/>
      </c>
    </row>
    <row r="4882" spans="14:14" x14ac:dyDescent="0.3">
      <c r="N4882" t="str" cm="1">
        <f t="array" ref="N4882">IF(MOD(ROW()-ROW($B$2),16)=0,INDEX($M$2:$M$1000,(ROW()-ROW($B$2))/16+1),"")</f>
        <v>Диаметр готовой детали (0)</v>
      </c>
    </row>
    <row r="4883" spans="14:14" x14ac:dyDescent="0.3">
      <c r="N4883" t="str" cm="1">
        <f t="array" ref="N4883">IF(MOD(ROW()-ROW($B$2),16)=0,INDEX($M$2:$M$1000,(ROW()-ROW($B$2))/16+1),"")</f>
        <v/>
      </c>
    </row>
    <row r="4884" spans="14:14" x14ac:dyDescent="0.3">
      <c r="N4884" t="str" cm="1">
        <f t="array" ref="N4884">IF(MOD(ROW()-ROW($B$2),16)=0,INDEX($M$2:$M$1000,(ROW()-ROW($B$2))/16+1),"")</f>
        <v/>
      </c>
    </row>
    <row r="4885" spans="14:14" x14ac:dyDescent="0.3">
      <c r="N4885" t="str" cm="1">
        <f t="array" ref="N4885">IF(MOD(ROW()-ROW($B$2),16)=0,INDEX($M$2:$M$1000,(ROW()-ROW($B$2))/16+1),"")</f>
        <v/>
      </c>
    </row>
    <row r="4886" spans="14:14" x14ac:dyDescent="0.3">
      <c r="N4886" t="str" cm="1">
        <f t="array" ref="N4886">IF(MOD(ROW()-ROW($B$2),16)=0,INDEX($M$2:$M$1000,(ROW()-ROW($B$2))/16+1),"")</f>
        <v/>
      </c>
    </row>
    <row r="4887" spans="14:14" x14ac:dyDescent="0.3">
      <c r="N4887" t="str" cm="1">
        <f t="array" ref="N4887">IF(MOD(ROW()-ROW($B$2),16)=0,INDEX($M$2:$M$1000,(ROW()-ROW($B$2))/16+1),"")</f>
        <v/>
      </c>
    </row>
    <row r="4888" spans="14:14" x14ac:dyDescent="0.3">
      <c r="N4888" t="str" cm="1">
        <f t="array" ref="N4888">IF(MOD(ROW()-ROW($B$2),16)=0,INDEX($M$2:$M$1000,(ROW()-ROW($B$2))/16+1),"")</f>
        <v/>
      </c>
    </row>
    <row r="4889" spans="14:14" x14ac:dyDescent="0.3">
      <c r="N4889" t="str" cm="1">
        <f t="array" ref="N4889">IF(MOD(ROW()-ROW($B$2),16)=0,INDEX($M$2:$M$1000,(ROW()-ROW($B$2))/16+1),"")</f>
        <v/>
      </c>
    </row>
    <row r="4890" spans="14:14" x14ac:dyDescent="0.3">
      <c r="N4890" t="str" cm="1">
        <f t="array" ref="N4890">IF(MOD(ROW()-ROW($B$2),16)=0,INDEX($M$2:$M$1000,(ROW()-ROW($B$2))/16+1),"")</f>
        <v/>
      </c>
    </row>
    <row r="4891" spans="14:14" x14ac:dyDescent="0.3">
      <c r="N4891" t="str" cm="1">
        <f t="array" ref="N4891">IF(MOD(ROW()-ROW($B$2),16)=0,INDEX($M$2:$M$1000,(ROW()-ROW($B$2))/16+1),"")</f>
        <v/>
      </c>
    </row>
    <row r="4892" spans="14:14" x14ac:dyDescent="0.3">
      <c r="N4892" t="str" cm="1">
        <f t="array" ref="N4892">IF(MOD(ROW()-ROW($B$2),16)=0,INDEX($M$2:$M$1000,(ROW()-ROW($B$2))/16+1),"")</f>
        <v/>
      </c>
    </row>
    <row r="4893" spans="14:14" x14ac:dyDescent="0.3">
      <c r="N4893" t="str" cm="1">
        <f t="array" ref="N4893">IF(MOD(ROW()-ROW($B$2),16)=0,INDEX($M$2:$M$1000,(ROW()-ROW($B$2))/16+1),"")</f>
        <v/>
      </c>
    </row>
    <row r="4894" spans="14:14" x14ac:dyDescent="0.3">
      <c r="N4894" t="str" cm="1">
        <f t="array" ref="N4894">IF(MOD(ROW()-ROW($B$2),16)=0,INDEX($M$2:$M$1000,(ROW()-ROW($B$2))/16+1),"")</f>
        <v/>
      </c>
    </row>
    <row r="4895" spans="14:14" x14ac:dyDescent="0.3">
      <c r="N4895" t="str" cm="1">
        <f t="array" ref="N4895">IF(MOD(ROW()-ROW($B$2),16)=0,INDEX($M$2:$M$1000,(ROW()-ROW($B$2))/16+1),"")</f>
        <v/>
      </c>
    </row>
    <row r="4896" spans="14:14" x14ac:dyDescent="0.3">
      <c r="N4896" t="str" cm="1">
        <f t="array" ref="N4896">IF(MOD(ROW()-ROW($B$2),16)=0,INDEX($M$2:$M$1000,(ROW()-ROW($B$2))/16+1),"")</f>
        <v/>
      </c>
    </row>
    <row r="4897" spans="14:14" x14ac:dyDescent="0.3">
      <c r="N4897" t="str" cm="1">
        <f t="array" ref="N4897">IF(MOD(ROW()-ROW($B$2),16)=0,INDEX($M$2:$M$1000,(ROW()-ROW($B$2))/16+1),"")</f>
        <v/>
      </c>
    </row>
    <row r="4898" spans="14:14" x14ac:dyDescent="0.3">
      <c r="N4898" t="str" cm="1">
        <f t="array" ref="N4898">IF(MOD(ROW()-ROW($B$2),16)=0,INDEX($M$2:$M$1000,(ROW()-ROW($B$2))/16+1),"")</f>
        <v>Полная длина кулачков на захвате 1 (0)</v>
      </c>
    </row>
    <row r="4899" spans="14:14" x14ac:dyDescent="0.3">
      <c r="N4899" t="str" cm="1">
        <f t="array" ref="N4899">IF(MOD(ROW()-ROW($B$2),16)=0,INDEX($M$2:$M$1000,(ROW()-ROW($B$2))/16+1),"")</f>
        <v/>
      </c>
    </row>
    <row r="4900" spans="14:14" x14ac:dyDescent="0.3">
      <c r="N4900" t="str" cm="1">
        <f t="array" ref="N4900">IF(MOD(ROW()-ROW($B$2),16)=0,INDEX($M$2:$M$1000,(ROW()-ROW($B$2))/16+1),"")</f>
        <v/>
      </c>
    </row>
    <row r="4901" spans="14:14" x14ac:dyDescent="0.3">
      <c r="N4901" t="str" cm="1">
        <f t="array" ref="N4901">IF(MOD(ROW()-ROW($B$2),16)=0,INDEX($M$2:$M$1000,(ROW()-ROW($B$2))/16+1),"")</f>
        <v/>
      </c>
    </row>
    <row r="4902" spans="14:14" x14ac:dyDescent="0.3">
      <c r="N4902" t="str" cm="1">
        <f t="array" ref="N4902">IF(MOD(ROW()-ROW($B$2),16)=0,INDEX($M$2:$M$1000,(ROW()-ROW($B$2))/16+1),"")</f>
        <v/>
      </c>
    </row>
    <row r="4903" spans="14:14" x14ac:dyDescent="0.3">
      <c r="N4903" t="str" cm="1">
        <f t="array" ref="N4903">IF(MOD(ROW()-ROW($B$2),16)=0,INDEX($M$2:$M$1000,(ROW()-ROW($B$2))/16+1),"")</f>
        <v/>
      </c>
    </row>
    <row r="4904" spans="14:14" x14ac:dyDescent="0.3">
      <c r="N4904" t="str" cm="1">
        <f t="array" ref="N4904">IF(MOD(ROW()-ROW($B$2),16)=0,INDEX($M$2:$M$1000,(ROW()-ROW($B$2))/16+1),"")</f>
        <v/>
      </c>
    </row>
    <row r="4905" spans="14:14" x14ac:dyDescent="0.3">
      <c r="N4905" t="str" cm="1">
        <f t="array" ref="N4905">IF(MOD(ROW()-ROW($B$2),16)=0,INDEX($M$2:$M$1000,(ROW()-ROW($B$2))/16+1),"")</f>
        <v/>
      </c>
    </row>
    <row r="4906" spans="14:14" x14ac:dyDescent="0.3">
      <c r="N4906" t="str" cm="1">
        <f t="array" ref="N4906">IF(MOD(ROW()-ROW($B$2),16)=0,INDEX($M$2:$M$1000,(ROW()-ROW($B$2))/16+1),"")</f>
        <v/>
      </c>
    </row>
    <row r="4907" spans="14:14" x14ac:dyDescent="0.3">
      <c r="N4907" t="str" cm="1">
        <f t="array" ref="N4907">IF(MOD(ROW()-ROW($B$2),16)=0,INDEX($M$2:$M$1000,(ROW()-ROW($B$2))/16+1),"")</f>
        <v/>
      </c>
    </row>
    <row r="4908" spans="14:14" x14ac:dyDescent="0.3">
      <c r="N4908" t="str" cm="1">
        <f t="array" ref="N4908">IF(MOD(ROW()-ROW($B$2),16)=0,INDEX($M$2:$M$1000,(ROW()-ROW($B$2))/16+1),"")</f>
        <v/>
      </c>
    </row>
    <row r="4909" spans="14:14" x14ac:dyDescent="0.3">
      <c r="N4909" t="str" cm="1">
        <f t="array" ref="N4909">IF(MOD(ROW()-ROW($B$2),16)=0,INDEX($M$2:$M$1000,(ROW()-ROW($B$2))/16+1),"")</f>
        <v/>
      </c>
    </row>
    <row r="4910" spans="14:14" x14ac:dyDescent="0.3">
      <c r="N4910" t="str" cm="1">
        <f t="array" ref="N4910">IF(MOD(ROW()-ROW($B$2),16)=0,INDEX($M$2:$M$1000,(ROW()-ROW($B$2))/16+1),"")</f>
        <v/>
      </c>
    </row>
    <row r="4911" spans="14:14" x14ac:dyDescent="0.3">
      <c r="N4911" t="str" cm="1">
        <f t="array" ref="N4911">IF(MOD(ROW()-ROW($B$2),16)=0,INDEX($M$2:$M$1000,(ROW()-ROW($B$2))/16+1),"")</f>
        <v/>
      </c>
    </row>
    <row r="4912" spans="14:14" x14ac:dyDescent="0.3">
      <c r="N4912" t="str" cm="1">
        <f t="array" ref="N4912">IF(MOD(ROW()-ROW($B$2),16)=0,INDEX($M$2:$M$1000,(ROW()-ROW($B$2))/16+1),"")</f>
        <v/>
      </c>
    </row>
    <row r="4913" spans="14:14" x14ac:dyDescent="0.3">
      <c r="N4913" t="str" cm="1">
        <f t="array" ref="N4913">IF(MOD(ROW()-ROW($B$2),16)=0,INDEX($M$2:$M$1000,(ROW()-ROW($B$2))/16+1),"")</f>
        <v/>
      </c>
    </row>
    <row r="4914" spans="14:14" x14ac:dyDescent="0.3">
      <c r="N4914" t="str" cm="1">
        <f t="array" ref="N4914">IF(MOD(ROW()-ROW($B$2),16)=0,INDEX($M$2:$M$1000,(ROW()-ROW($B$2))/16+1),"")</f>
        <v>Тело кулачков на захвате 1 (0)</v>
      </c>
    </row>
    <row r="4915" spans="14:14" x14ac:dyDescent="0.3">
      <c r="N4915" t="str" cm="1">
        <f t="array" ref="N4915">IF(MOD(ROW()-ROW($B$2),16)=0,INDEX($M$2:$M$1000,(ROW()-ROW($B$2))/16+1),"")</f>
        <v/>
      </c>
    </row>
    <row r="4916" spans="14:14" x14ac:dyDescent="0.3">
      <c r="N4916" t="str" cm="1">
        <f t="array" ref="N4916">IF(MOD(ROW()-ROW($B$2),16)=0,INDEX($M$2:$M$1000,(ROW()-ROW($B$2))/16+1),"")</f>
        <v/>
      </c>
    </row>
    <row r="4917" spans="14:14" x14ac:dyDescent="0.3">
      <c r="N4917" t="str" cm="1">
        <f t="array" ref="N4917">IF(MOD(ROW()-ROW($B$2),16)=0,INDEX($M$2:$M$1000,(ROW()-ROW($B$2))/16+1),"")</f>
        <v/>
      </c>
    </row>
    <row r="4918" spans="14:14" x14ac:dyDescent="0.3">
      <c r="N4918" t="str" cm="1">
        <f t="array" ref="N4918">IF(MOD(ROW()-ROW($B$2),16)=0,INDEX($M$2:$M$1000,(ROW()-ROW($B$2))/16+1),"")</f>
        <v/>
      </c>
    </row>
    <row r="4919" spans="14:14" x14ac:dyDescent="0.3">
      <c r="N4919" t="str" cm="1">
        <f t="array" ref="N4919">IF(MOD(ROW()-ROW($B$2),16)=0,INDEX($M$2:$M$1000,(ROW()-ROW($B$2))/16+1),"")</f>
        <v/>
      </c>
    </row>
    <row r="4920" spans="14:14" x14ac:dyDescent="0.3">
      <c r="N4920" t="str" cm="1">
        <f t="array" ref="N4920">IF(MOD(ROW()-ROW($B$2),16)=0,INDEX($M$2:$M$1000,(ROW()-ROW($B$2))/16+1),"")</f>
        <v/>
      </c>
    </row>
    <row r="4921" spans="14:14" x14ac:dyDescent="0.3">
      <c r="N4921" t="str" cm="1">
        <f t="array" ref="N4921">IF(MOD(ROW()-ROW($B$2),16)=0,INDEX($M$2:$M$1000,(ROW()-ROW($B$2))/16+1),"")</f>
        <v/>
      </c>
    </row>
    <row r="4922" spans="14:14" x14ac:dyDescent="0.3">
      <c r="N4922" t="str" cm="1">
        <f t="array" ref="N4922">IF(MOD(ROW()-ROW($B$2),16)=0,INDEX($M$2:$M$1000,(ROW()-ROW($B$2))/16+1),"")</f>
        <v/>
      </c>
    </row>
    <row r="4923" spans="14:14" x14ac:dyDescent="0.3">
      <c r="N4923" t="str" cm="1">
        <f t="array" ref="N4923">IF(MOD(ROW()-ROW($B$2),16)=0,INDEX($M$2:$M$1000,(ROW()-ROW($B$2))/16+1),"")</f>
        <v/>
      </c>
    </row>
    <row r="4924" spans="14:14" x14ac:dyDescent="0.3">
      <c r="N4924" t="str" cm="1">
        <f t="array" ref="N4924">IF(MOD(ROW()-ROW($B$2),16)=0,INDEX($M$2:$M$1000,(ROW()-ROW($B$2))/16+1),"")</f>
        <v/>
      </c>
    </row>
    <row r="4925" spans="14:14" x14ac:dyDescent="0.3">
      <c r="N4925" t="str" cm="1">
        <f t="array" ref="N4925">IF(MOD(ROW()-ROW($B$2),16)=0,INDEX($M$2:$M$1000,(ROW()-ROW($B$2))/16+1),"")</f>
        <v/>
      </c>
    </row>
    <row r="4926" spans="14:14" x14ac:dyDescent="0.3">
      <c r="N4926" t="str" cm="1">
        <f t="array" ref="N4926">IF(MOD(ROW()-ROW($B$2),16)=0,INDEX($M$2:$M$1000,(ROW()-ROW($B$2))/16+1),"")</f>
        <v/>
      </c>
    </row>
    <row r="4927" spans="14:14" x14ac:dyDescent="0.3">
      <c r="N4927" t="str" cm="1">
        <f t="array" ref="N4927">IF(MOD(ROW()-ROW($B$2),16)=0,INDEX($M$2:$M$1000,(ROW()-ROW($B$2))/16+1),"")</f>
        <v/>
      </c>
    </row>
    <row r="4928" spans="14:14" x14ac:dyDescent="0.3">
      <c r="N4928" t="str" cm="1">
        <f t="array" ref="N4928">IF(MOD(ROW()-ROW($B$2),16)=0,INDEX($M$2:$M$1000,(ROW()-ROW($B$2))/16+1),"")</f>
        <v/>
      </c>
    </row>
    <row r="4929" spans="14:14" x14ac:dyDescent="0.3">
      <c r="N4929" t="str" cm="1">
        <f t="array" ref="N4929">IF(MOD(ROW()-ROW($B$2),16)=0,INDEX($M$2:$M$1000,(ROW()-ROW($B$2))/16+1),"")</f>
        <v/>
      </c>
    </row>
    <row r="4930" spans="14:14" x14ac:dyDescent="0.3">
      <c r="N4930" t="str" cm="1">
        <f t="array" ref="N4930">IF(MOD(ROW()-ROW($B$2),16)=0,INDEX($M$2:$M$1000,(ROW()-ROW($B$2))/16+1),"")</f>
        <v>Полная длина кулачков на захвате 2 (0)</v>
      </c>
    </row>
    <row r="4931" spans="14:14" x14ac:dyDescent="0.3">
      <c r="N4931" t="str" cm="1">
        <f t="array" ref="N4931">IF(MOD(ROW()-ROW($B$2),16)=0,INDEX($M$2:$M$1000,(ROW()-ROW($B$2))/16+1),"")</f>
        <v/>
      </c>
    </row>
    <row r="4932" spans="14:14" x14ac:dyDescent="0.3">
      <c r="N4932" t="str" cm="1">
        <f t="array" ref="N4932">IF(MOD(ROW()-ROW($B$2),16)=0,INDEX($M$2:$M$1000,(ROW()-ROW($B$2))/16+1),"")</f>
        <v/>
      </c>
    </row>
    <row r="4933" spans="14:14" x14ac:dyDescent="0.3">
      <c r="N4933" t="str" cm="1">
        <f t="array" ref="N4933">IF(MOD(ROW()-ROW($B$2),16)=0,INDEX($M$2:$M$1000,(ROW()-ROW($B$2))/16+1),"")</f>
        <v/>
      </c>
    </row>
    <row r="4934" spans="14:14" x14ac:dyDescent="0.3">
      <c r="N4934" t="str" cm="1">
        <f t="array" ref="N4934">IF(MOD(ROW()-ROW($B$2),16)=0,INDEX($M$2:$M$1000,(ROW()-ROW($B$2))/16+1),"")</f>
        <v/>
      </c>
    </row>
    <row r="4935" spans="14:14" x14ac:dyDescent="0.3">
      <c r="N4935" t="str" cm="1">
        <f t="array" ref="N4935">IF(MOD(ROW()-ROW($B$2),16)=0,INDEX($M$2:$M$1000,(ROW()-ROW($B$2))/16+1),"")</f>
        <v/>
      </c>
    </row>
    <row r="4936" spans="14:14" x14ac:dyDescent="0.3">
      <c r="N4936" t="str" cm="1">
        <f t="array" ref="N4936">IF(MOD(ROW()-ROW($B$2),16)=0,INDEX($M$2:$M$1000,(ROW()-ROW($B$2))/16+1),"")</f>
        <v/>
      </c>
    </row>
    <row r="4937" spans="14:14" x14ac:dyDescent="0.3">
      <c r="N4937" t="str" cm="1">
        <f t="array" ref="N4937">IF(MOD(ROW()-ROW($B$2),16)=0,INDEX($M$2:$M$1000,(ROW()-ROW($B$2))/16+1),"")</f>
        <v/>
      </c>
    </row>
    <row r="4938" spans="14:14" x14ac:dyDescent="0.3">
      <c r="N4938" t="str" cm="1">
        <f t="array" ref="N4938">IF(MOD(ROW()-ROW($B$2),16)=0,INDEX($M$2:$M$1000,(ROW()-ROW($B$2))/16+1),"")</f>
        <v/>
      </c>
    </row>
    <row r="4939" spans="14:14" x14ac:dyDescent="0.3">
      <c r="N4939" t="str" cm="1">
        <f t="array" ref="N4939">IF(MOD(ROW()-ROW($B$2),16)=0,INDEX($M$2:$M$1000,(ROW()-ROW($B$2))/16+1),"")</f>
        <v/>
      </c>
    </row>
    <row r="4940" spans="14:14" x14ac:dyDescent="0.3">
      <c r="N4940" t="str" cm="1">
        <f t="array" ref="N4940">IF(MOD(ROW()-ROW($B$2),16)=0,INDEX($M$2:$M$1000,(ROW()-ROW($B$2))/16+1),"")</f>
        <v/>
      </c>
    </row>
    <row r="4941" spans="14:14" x14ac:dyDescent="0.3">
      <c r="N4941" t="str" cm="1">
        <f t="array" ref="N4941">IF(MOD(ROW()-ROW($B$2),16)=0,INDEX($M$2:$M$1000,(ROW()-ROW($B$2))/16+1),"")</f>
        <v/>
      </c>
    </row>
    <row r="4942" spans="14:14" x14ac:dyDescent="0.3">
      <c r="N4942" t="str" cm="1">
        <f t="array" ref="N4942">IF(MOD(ROW()-ROW($B$2),16)=0,INDEX($M$2:$M$1000,(ROW()-ROW($B$2))/16+1),"")</f>
        <v/>
      </c>
    </row>
    <row r="4943" spans="14:14" x14ac:dyDescent="0.3">
      <c r="N4943" t="str" cm="1">
        <f t="array" ref="N4943">IF(MOD(ROW()-ROW($B$2),16)=0,INDEX($M$2:$M$1000,(ROW()-ROW($B$2))/16+1),"")</f>
        <v/>
      </c>
    </row>
    <row r="4944" spans="14:14" x14ac:dyDescent="0.3">
      <c r="N4944" t="str" cm="1">
        <f t="array" ref="N4944">IF(MOD(ROW()-ROW($B$2),16)=0,INDEX($M$2:$M$1000,(ROW()-ROW($B$2))/16+1),"")</f>
        <v/>
      </c>
    </row>
    <row r="4945" spans="14:14" x14ac:dyDescent="0.3">
      <c r="N4945" t="str" cm="1">
        <f t="array" ref="N4945">IF(MOD(ROW()-ROW($B$2),16)=0,INDEX($M$2:$M$1000,(ROW()-ROW($B$2))/16+1),"")</f>
        <v/>
      </c>
    </row>
    <row r="4946" spans="14:14" x14ac:dyDescent="0.3">
      <c r="N4946" t="str" cm="1">
        <f t="array" ref="N4946">IF(MOD(ROW()-ROW($B$2),16)=0,INDEX($M$2:$M$1000,(ROW()-ROW($B$2))/16+1),"")</f>
        <v>Тело кулачков на захвате 2 (0)</v>
      </c>
    </row>
    <row r="4947" spans="14:14" x14ac:dyDescent="0.3">
      <c r="N4947" t="str" cm="1">
        <f t="array" ref="N4947">IF(MOD(ROW()-ROW($B$2),16)=0,INDEX($M$2:$M$1000,(ROW()-ROW($B$2))/16+1),"")</f>
        <v/>
      </c>
    </row>
    <row r="4948" spans="14:14" x14ac:dyDescent="0.3">
      <c r="N4948" t="str" cm="1">
        <f t="array" ref="N4948">IF(MOD(ROW()-ROW($B$2),16)=0,INDEX($M$2:$M$1000,(ROW()-ROW($B$2))/16+1),"")</f>
        <v/>
      </c>
    </row>
    <row r="4949" spans="14:14" x14ac:dyDescent="0.3">
      <c r="N4949" t="str" cm="1">
        <f t="array" ref="N4949">IF(MOD(ROW()-ROW($B$2),16)=0,INDEX($M$2:$M$1000,(ROW()-ROW($B$2))/16+1),"")</f>
        <v/>
      </c>
    </row>
    <row r="4950" spans="14:14" x14ac:dyDescent="0.3">
      <c r="N4950" t="str" cm="1">
        <f t="array" ref="N4950">IF(MOD(ROW()-ROW($B$2),16)=0,INDEX($M$2:$M$1000,(ROW()-ROW($B$2))/16+1),"")</f>
        <v/>
      </c>
    </row>
    <row r="4951" spans="14:14" x14ac:dyDescent="0.3">
      <c r="N4951" t="str" cm="1">
        <f t="array" ref="N4951">IF(MOD(ROW()-ROW($B$2),16)=0,INDEX($M$2:$M$1000,(ROW()-ROW($B$2))/16+1),"")</f>
        <v/>
      </c>
    </row>
    <row r="4952" spans="14:14" x14ac:dyDescent="0.3">
      <c r="N4952" t="str" cm="1">
        <f t="array" ref="N4952">IF(MOD(ROW()-ROW($B$2),16)=0,INDEX($M$2:$M$1000,(ROW()-ROW($B$2))/16+1),"")</f>
        <v/>
      </c>
    </row>
    <row r="4953" spans="14:14" x14ac:dyDescent="0.3">
      <c r="N4953" t="str" cm="1">
        <f t="array" ref="N4953">IF(MOD(ROW()-ROW($B$2),16)=0,INDEX($M$2:$M$1000,(ROW()-ROW($B$2))/16+1),"")</f>
        <v/>
      </c>
    </row>
    <row r="4954" spans="14:14" x14ac:dyDescent="0.3">
      <c r="N4954" t="str" cm="1">
        <f t="array" ref="N4954">IF(MOD(ROW()-ROW($B$2),16)=0,INDEX($M$2:$M$1000,(ROW()-ROW($B$2))/16+1),"")</f>
        <v/>
      </c>
    </row>
    <row r="4955" spans="14:14" x14ac:dyDescent="0.3">
      <c r="N4955" t="str" cm="1">
        <f t="array" ref="N4955">IF(MOD(ROW()-ROW($B$2),16)=0,INDEX($M$2:$M$1000,(ROW()-ROW($B$2))/16+1),"")</f>
        <v/>
      </c>
    </row>
    <row r="4956" spans="14:14" x14ac:dyDescent="0.3">
      <c r="N4956" t="str" cm="1">
        <f t="array" ref="N4956">IF(MOD(ROW()-ROW($B$2),16)=0,INDEX($M$2:$M$1000,(ROW()-ROW($B$2))/16+1),"")</f>
        <v/>
      </c>
    </row>
    <row r="4957" spans="14:14" x14ac:dyDescent="0.3">
      <c r="N4957" t="str" cm="1">
        <f t="array" ref="N4957">IF(MOD(ROW()-ROW($B$2),16)=0,INDEX($M$2:$M$1000,(ROW()-ROW($B$2))/16+1),"")</f>
        <v/>
      </c>
    </row>
    <row r="4958" spans="14:14" x14ac:dyDescent="0.3">
      <c r="N4958" t="str" cm="1">
        <f t="array" ref="N4958">IF(MOD(ROW()-ROW($B$2),16)=0,INDEX($M$2:$M$1000,(ROW()-ROW($B$2))/16+1),"")</f>
        <v/>
      </c>
    </row>
    <row r="4959" spans="14:14" x14ac:dyDescent="0.3">
      <c r="N4959" t="str" cm="1">
        <f t="array" ref="N4959">IF(MOD(ROW()-ROW($B$2),16)=0,INDEX($M$2:$M$1000,(ROW()-ROW($B$2))/16+1),"")</f>
        <v/>
      </c>
    </row>
    <row r="4960" spans="14:14" x14ac:dyDescent="0.3">
      <c r="N4960" t="str" cm="1">
        <f t="array" ref="N4960">IF(MOD(ROW()-ROW($B$2),16)=0,INDEX($M$2:$M$1000,(ROW()-ROW($B$2))/16+1),"")</f>
        <v/>
      </c>
    </row>
    <row r="4961" spans="14:14" x14ac:dyDescent="0.3">
      <c r="N4961" t="str" cm="1">
        <f t="array" ref="N4961">IF(MOD(ROW()-ROW($B$2),16)=0,INDEX($M$2:$M$1000,(ROW()-ROW($B$2))/16+1),"")</f>
        <v/>
      </c>
    </row>
    <row r="4962" spans="14:14" x14ac:dyDescent="0.3">
      <c r="N4962" t="str" cm="1">
        <f t="array" ref="N4962">IF(MOD(ROW()-ROW($B$2),16)=0,INDEX($M$2:$M$1000,(ROW()-ROW($B$2))/16+1),"")</f>
        <v>Полная длина кулачков в патроне 1 (0)</v>
      </c>
    </row>
    <row r="4963" spans="14:14" x14ac:dyDescent="0.3">
      <c r="N4963" t="str" cm="1">
        <f t="array" ref="N4963">IF(MOD(ROW()-ROW($B$2),16)=0,INDEX($M$2:$M$1000,(ROW()-ROW($B$2))/16+1),"")</f>
        <v/>
      </c>
    </row>
    <row r="4964" spans="14:14" x14ac:dyDescent="0.3">
      <c r="N4964" t="str" cm="1">
        <f t="array" ref="N4964">IF(MOD(ROW()-ROW($B$2),16)=0,INDEX($M$2:$M$1000,(ROW()-ROW($B$2))/16+1),"")</f>
        <v/>
      </c>
    </row>
    <row r="4965" spans="14:14" x14ac:dyDescent="0.3">
      <c r="N4965" t="str" cm="1">
        <f t="array" ref="N4965">IF(MOD(ROW()-ROW($B$2),16)=0,INDEX($M$2:$M$1000,(ROW()-ROW($B$2))/16+1),"")</f>
        <v/>
      </c>
    </row>
    <row r="4966" spans="14:14" x14ac:dyDescent="0.3">
      <c r="N4966" t="str" cm="1">
        <f t="array" ref="N4966">IF(MOD(ROW()-ROW($B$2),16)=0,INDEX($M$2:$M$1000,(ROW()-ROW($B$2))/16+1),"")</f>
        <v/>
      </c>
    </row>
    <row r="4967" spans="14:14" x14ac:dyDescent="0.3">
      <c r="N4967" t="str" cm="1">
        <f t="array" ref="N4967">IF(MOD(ROW()-ROW($B$2),16)=0,INDEX($M$2:$M$1000,(ROW()-ROW($B$2))/16+1),"")</f>
        <v/>
      </c>
    </row>
    <row r="4968" spans="14:14" x14ac:dyDescent="0.3">
      <c r="N4968" t="str" cm="1">
        <f t="array" ref="N4968">IF(MOD(ROW()-ROW($B$2),16)=0,INDEX($M$2:$M$1000,(ROW()-ROW($B$2))/16+1),"")</f>
        <v/>
      </c>
    </row>
    <row r="4969" spans="14:14" x14ac:dyDescent="0.3">
      <c r="N4969" t="str" cm="1">
        <f t="array" ref="N4969">IF(MOD(ROW()-ROW($B$2),16)=0,INDEX($M$2:$M$1000,(ROW()-ROW($B$2))/16+1),"")</f>
        <v/>
      </c>
    </row>
    <row r="4970" spans="14:14" x14ac:dyDescent="0.3">
      <c r="N4970" t="str" cm="1">
        <f t="array" ref="N4970">IF(MOD(ROW()-ROW($B$2),16)=0,INDEX($M$2:$M$1000,(ROW()-ROW($B$2))/16+1),"")</f>
        <v/>
      </c>
    </row>
    <row r="4971" spans="14:14" x14ac:dyDescent="0.3">
      <c r="N4971" t="str" cm="1">
        <f t="array" ref="N4971">IF(MOD(ROW()-ROW($B$2),16)=0,INDEX($M$2:$M$1000,(ROW()-ROW($B$2))/16+1),"")</f>
        <v/>
      </c>
    </row>
    <row r="4972" spans="14:14" x14ac:dyDescent="0.3">
      <c r="N4972" t="str" cm="1">
        <f t="array" ref="N4972">IF(MOD(ROW()-ROW($B$2),16)=0,INDEX($M$2:$M$1000,(ROW()-ROW($B$2))/16+1),"")</f>
        <v/>
      </c>
    </row>
    <row r="4973" spans="14:14" x14ac:dyDescent="0.3">
      <c r="N4973" t="str" cm="1">
        <f t="array" ref="N4973">IF(MOD(ROW()-ROW($B$2),16)=0,INDEX($M$2:$M$1000,(ROW()-ROW($B$2))/16+1),"")</f>
        <v/>
      </c>
    </row>
    <row r="4974" spans="14:14" x14ac:dyDescent="0.3">
      <c r="N4974" t="str" cm="1">
        <f t="array" ref="N4974">IF(MOD(ROW()-ROW($B$2),16)=0,INDEX($M$2:$M$1000,(ROW()-ROW($B$2))/16+1),"")</f>
        <v/>
      </c>
    </row>
    <row r="4975" spans="14:14" x14ac:dyDescent="0.3">
      <c r="N4975" t="str" cm="1">
        <f t="array" ref="N4975">IF(MOD(ROW()-ROW($B$2),16)=0,INDEX($M$2:$M$1000,(ROW()-ROW($B$2))/16+1),"")</f>
        <v/>
      </c>
    </row>
    <row r="4976" spans="14:14" x14ac:dyDescent="0.3">
      <c r="N4976" t="str" cm="1">
        <f t="array" ref="N4976">IF(MOD(ROW()-ROW($B$2),16)=0,INDEX($M$2:$M$1000,(ROW()-ROW($B$2))/16+1),"")</f>
        <v/>
      </c>
    </row>
    <row r="4977" spans="14:14" x14ac:dyDescent="0.3">
      <c r="N4977" t="str" cm="1">
        <f t="array" ref="N4977">IF(MOD(ROW()-ROW($B$2),16)=0,INDEX($M$2:$M$1000,(ROW()-ROW($B$2))/16+1),"")</f>
        <v/>
      </c>
    </row>
    <row r="4978" spans="14:14" x14ac:dyDescent="0.3">
      <c r="N4978" t="str" cm="1">
        <f t="array" ref="N4978">IF(MOD(ROW()-ROW($B$2),16)=0,INDEX($M$2:$M$1000,(ROW()-ROW($B$2))/16+1),"")</f>
        <v>Тело кулачков в патроне 1 (0)</v>
      </c>
    </row>
    <row r="4979" spans="14:14" x14ac:dyDescent="0.3">
      <c r="N4979" t="str" cm="1">
        <f t="array" ref="N4979">IF(MOD(ROW()-ROW($B$2),16)=0,INDEX($M$2:$M$1000,(ROW()-ROW($B$2))/16+1),"")</f>
        <v/>
      </c>
    </row>
    <row r="4980" spans="14:14" x14ac:dyDescent="0.3">
      <c r="N4980" t="str" cm="1">
        <f t="array" ref="N4980">IF(MOD(ROW()-ROW($B$2),16)=0,INDEX($M$2:$M$1000,(ROW()-ROW($B$2))/16+1),"")</f>
        <v/>
      </c>
    </row>
    <row r="4981" spans="14:14" x14ac:dyDescent="0.3">
      <c r="N4981" t="str" cm="1">
        <f t="array" ref="N4981">IF(MOD(ROW()-ROW($B$2),16)=0,INDEX($M$2:$M$1000,(ROW()-ROW($B$2))/16+1),"")</f>
        <v/>
      </c>
    </row>
    <row r="4982" spans="14:14" x14ac:dyDescent="0.3">
      <c r="N4982" t="str" cm="1">
        <f t="array" ref="N4982">IF(MOD(ROW()-ROW($B$2),16)=0,INDEX($M$2:$M$1000,(ROW()-ROW($B$2))/16+1),"")</f>
        <v/>
      </c>
    </row>
    <row r="4983" spans="14:14" x14ac:dyDescent="0.3">
      <c r="N4983" t="str" cm="1">
        <f t="array" ref="N4983">IF(MOD(ROW()-ROW($B$2),16)=0,INDEX($M$2:$M$1000,(ROW()-ROW($B$2))/16+1),"")</f>
        <v/>
      </c>
    </row>
    <row r="4984" spans="14:14" x14ac:dyDescent="0.3">
      <c r="N4984" t="str" cm="1">
        <f t="array" ref="N4984">IF(MOD(ROW()-ROW($B$2),16)=0,INDEX($M$2:$M$1000,(ROW()-ROW($B$2))/16+1),"")</f>
        <v/>
      </c>
    </row>
    <row r="4985" spans="14:14" x14ac:dyDescent="0.3">
      <c r="N4985" t="str" cm="1">
        <f t="array" ref="N4985">IF(MOD(ROW()-ROW($B$2),16)=0,INDEX($M$2:$M$1000,(ROW()-ROW($B$2))/16+1),"")</f>
        <v/>
      </c>
    </row>
    <row r="4986" spans="14:14" x14ac:dyDescent="0.3">
      <c r="N4986" t="str" cm="1">
        <f t="array" ref="N4986">IF(MOD(ROW()-ROW($B$2),16)=0,INDEX($M$2:$M$1000,(ROW()-ROW($B$2))/16+1),"")</f>
        <v/>
      </c>
    </row>
    <row r="4987" spans="14:14" x14ac:dyDescent="0.3">
      <c r="N4987" t="str" cm="1">
        <f t="array" ref="N4987">IF(MOD(ROW()-ROW($B$2),16)=0,INDEX($M$2:$M$1000,(ROW()-ROW($B$2))/16+1),"")</f>
        <v/>
      </c>
    </row>
    <row r="4988" spans="14:14" x14ac:dyDescent="0.3">
      <c r="N4988" t="str" cm="1">
        <f t="array" ref="N4988">IF(MOD(ROW()-ROW($B$2),16)=0,INDEX($M$2:$M$1000,(ROW()-ROW($B$2))/16+1),"")</f>
        <v/>
      </c>
    </row>
    <row r="4989" spans="14:14" x14ac:dyDescent="0.3">
      <c r="N4989" t="str" cm="1">
        <f t="array" ref="N4989">IF(MOD(ROW()-ROW($B$2),16)=0,INDEX($M$2:$M$1000,(ROW()-ROW($B$2))/16+1),"")</f>
        <v/>
      </c>
    </row>
    <row r="4990" spans="14:14" x14ac:dyDescent="0.3">
      <c r="N4990" t="str" cm="1">
        <f t="array" ref="N4990">IF(MOD(ROW()-ROW($B$2),16)=0,INDEX($M$2:$M$1000,(ROW()-ROW($B$2))/16+1),"")</f>
        <v/>
      </c>
    </row>
    <row r="4991" spans="14:14" x14ac:dyDescent="0.3">
      <c r="N4991" t="str" cm="1">
        <f t="array" ref="N4991">IF(MOD(ROW()-ROW($B$2),16)=0,INDEX($M$2:$M$1000,(ROW()-ROW($B$2))/16+1),"")</f>
        <v/>
      </c>
    </row>
    <row r="4992" spans="14:14" x14ac:dyDescent="0.3">
      <c r="N4992" t="str" cm="1">
        <f t="array" ref="N4992">IF(MOD(ROW()-ROW($B$2),16)=0,INDEX($M$2:$M$1000,(ROW()-ROW($B$2))/16+1),"")</f>
        <v/>
      </c>
    </row>
    <row r="4993" spans="14:14" x14ac:dyDescent="0.3">
      <c r="N4993" t="str" cm="1">
        <f t="array" ref="N4993">IF(MOD(ROW()-ROW($B$2),16)=0,INDEX($M$2:$M$1000,(ROW()-ROW($B$2))/16+1),"")</f>
        <v/>
      </c>
    </row>
    <row r="4994" spans="14:14" x14ac:dyDescent="0.3">
      <c r="N4994" t="str" cm="1">
        <f t="array" ref="N4994">IF(MOD(ROW()-ROW($B$2),16)=0,INDEX($M$2:$M$1000,(ROW()-ROW($B$2))/16+1),"")</f>
        <v>Полная длина кулачков в патроне 2/ ст.перехвата (0)</v>
      </c>
    </row>
    <row r="4995" spans="14:14" x14ac:dyDescent="0.3">
      <c r="N4995" t="str" cm="1">
        <f t="array" ref="N4995">IF(MOD(ROW()-ROW($B$2),16)=0,INDEX($M$2:$M$1000,(ROW()-ROW($B$2))/16+1),"")</f>
        <v/>
      </c>
    </row>
    <row r="4996" spans="14:14" x14ac:dyDescent="0.3">
      <c r="N4996" t="str" cm="1">
        <f t="array" ref="N4996">IF(MOD(ROW()-ROW($B$2),16)=0,INDEX($M$2:$M$1000,(ROW()-ROW($B$2))/16+1),"")</f>
        <v/>
      </c>
    </row>
    <row r="4997" spans="14:14" x14ac:dyDescent="0.3">
      <c r="N4997" t="str" cm="1">
        <f t="array" ref="N4997">IF(MOD(ROW()-ROW($B$2),16)=0,INDEX($M$2:$M$1000,(ROW()-ROW($B$2))/16+1),"")</f>
        <v/>
      </c>
    </row>
    <row r="4998" spans="14:14" x14ac:dyDescent="0.3">
      <c r="N4998" t="str" cm="1">
        <f t="array" ref="N4998">IF(MOD(ROW()-ROW($B$2),16)=0,INDEX($M$2:$M$1000,(ROW()-ROW($B$2))/16+1),"")</f>
        <v/>
      </c>
    </row>
    <row r="4999" spans="14:14" x14ac:dyDescent="0.3">
      <c r="N4999" t="str" cm="1">
        <f t="array" ref="N4999">IF(MOD(ROW()-ROW($B$2),16)=0,INDEX($M$2:$M$1000,(ROW()-ROW($B$2))/16+1),"")</f>
        <v/>
      </c>
    </row>
    <row r="5000" spans="14:14" x14ac:dyDescent="0.3">
      <c r="N5000" t="str" cm="1">
        <f t="array" ref="N5000">IF(MOD(ROW()-ROW($B$2),16)=0,INDEX($M$2:$M$1000,(ROW()-ROW($B$2))/16+1),"")</f>
        <v/>
      </c>
    </row>
    <row r="5001" spans="14:14" x14ac:dyDescent="0.3">
      <c r="N5001" t="str" cm="1">
        <f t="array" ref="N5001">IF(MOD(ROW()-ROW($B$2),16)=0,INDEX($M$2:$M$1000,(ROW()-ROW($B$2))/16+1),"")</f>
        <v/>
      </c>
    </row>
    <row r="5002" spans="14:14" x14ac:dyDescent="0.3">
      <c r="N5002" t="str" cm="1">
        <f t="array" ref="N5002">IF(MOD(ROW()-ROW($B$2),16)=0,INDEX($M$2:$M$1000,(ROW()-ROW($B$2))/16+1),"")</f>
        <v/>
      </c>
    </row>
    <row r="5003" spans="14:14" x14ac:dyDescent="0.3">
      <c r="N5003" t="str" cm="1">
        <f t="array" ref="N5003">IF(MOD(ROW()-ROW($B$2),16)=0,INDEX($M$2:$M$1000,(ROW()-ROW($B$2))/16+1),"")</f>
        <v/>
      </c>
    </row>
    <row r="5004" spans="14:14" x14ac:dyDescent="0.3">
      <c r="N5004" t="str" cm="1">
        <f t="array" ref="N5004">IF(MOD(ROW()-ROW($B$2),16)=0,INDEX($M$2:$M$1000,(ROW()-ROW($B$2))/16+1),"")</f>
        <v/>
      </c>
    </row>
    <row r="5005" spans="14:14" x14ac:dyDescent="0.3">
      <c r="N5005" t="str" cm="1">
        <f t="array" ref="N5005">IF(MOD(ROW()-ROW($B$2),16)=0,INDEX($M$2:$M$1000,(ROW()-ROW($B$2))/16+1),"")</f>
        <v/>
      </c>
    </row>
    <row r="5006" spans="14:14" x14ac:dyDescent="0.3">
      <c r="N5006" t="str" cm="1">
        <f t="array" ref="N5006">IF(MOD(ROW()-ROW($B$2),16)=0,INDEX($M$2:$M$1000,(ROW()-ROW($B$2))/16+1),"")</f>
        <v/>
      </c>
    </row>
    <row r="5007" spans="14:14" x14ac:dyDescent="0.3">
      <c r="N5007" t="str" cm="1">
        <f t="array" ref="N5007">IF(MOD(ROW()-ROW($B$2),16)=0,INDEX($M$2:$M$1000,(ROW()-ROW($B$2))/16+1),"")</f>
        <v/>
      </c>
    </row>
    <row r="5008" spans="14:14" x14ac:dyDescent="0.3">
      <c r="N5008" t="str" cm="1">
        <f t="array" ref="N5008">IF(MOD(ROW()-ROW($B$2),16)=0,INDEX($M$2:$M$1000,(ROW()-ROW($B$2))/16+1),"")</f>
        <v/>
      </c>
    </row>
    <row r="5009" spans="14:14" x14ac:dyDescent="0.3">
      <c r="N5009" t="str" cm="1">
        <f t="array" ref="N5009">IF(MOD(ROW()-ROW($B$2),16)=0,INDEX($M$2:$M$1000,(ROW()-ROW($B$2))/16+1),"")</f>
        <v/>
      </c>
    </row>
    <row r="5010" spans="14:14" x14ac:dyDescent="0.3">
      <c r="N5010" t="str" cm="1">
        <f t="array" ref="N5010">IF(MOD(ROW()-ROW($B$2),16)=0,INDEX($M$2:$M$1000,(ROW()-ROW($B$2))/16+1),"")</f>
        <v>Тело кулачков в патроне 2/ ст.перехвата (0)</v>
      </c>
    </row>
    <row r="5011" spans="14:14" x14ac:dyDescent="0.3">
      <c r="N5011" t="str" cm="1">
        <f t="array" ref="N5011">IF(MOD(ROW()-ROW($B$2),16)=0,INDEX($M$2:$M$1000,(ROW()-ROW($B$2))/16+1),"")</f>
        <v/>
      </c>
    </row>
    <row r="5012" spans="14:14" x14ac:dyDescent="0.3">
      <c r="N5012" t="str" cm="1">
        <f t="array" ref="N5012">IF(MOD(ROW()-ROW($B$2),16)=0,INDEX($M$2:$M$1000,(ROW()-ROW($B$2))/16+1),"")</f>
        <v/>
      </c>
    </row>
    <row r="5013" spans="14:14" x14ac:dyDescent="0.3">
      <c r="N5013" t="str" cm="1">
        <f t="array" ref="N5013">IF(MOD(ROW()-ROW($B$2),16)=0,INDEX($M$2:$M$1000,(ROW()-ROW($B$2))/16+1),"")</f>
        <v/>
      </c>
    </row>
    <row r="5014" spans="14:14" x14ac:dyDescent="0.3">
      <c r="N5014" t="str" cm="1">
        <f t="array" ref="N5014">IF(MOD(ROW()-ROW($B$2),16)=0,INDEX($M$2:$M$1000,(ROW()-ROW($B$2))/16+1),"")</f>
        <v/>
      </c>
    </row>
    <row r="5015" spans="14:14" x14ac:dyDescent="0.3">
      <c r="N5015" t="str" cm="1">
        <f t="array" ref="N5015">IF(MOD(ROW()-ROW($B$2),16)=0,INDEX($M$2:$M$1000,(ROW()-ROW($B$2))/16+1),"")</f>
        <v/>
      </c>
    </row>
    <row r="5016" spans="14:14" x14ac:dyDescent="0.3">
      <c r="N5016" t="str" cm="1">
        <f t="array" ref="N5016">IF(MOD(ROW()-ROW($B$2),16)=0,INDEX($M$2:$M$1000,(ROW()-ROW($B$2))/16+1),"")</f>
        <v/>
      </c>
    </row>
    <row r="5017" spans="14:14" x14ac:dyDescent="0.3">
      <c r="N5017" t="str" cm="1">
        <f t="array" ref="N5017">IF(MOD(ROW()-ROW($B$2),16)=0,INDEX($M$2:$M$1000,(ROW()-ROW($B$2))/16+1),"")</f>
        <v/>
      </c>
    </row>
    <row r="5018" spans="14:14" x14ac:dyDescent="0.3">
      <c r="N5018" t="str" cm="1">
        <f t="array" ref="N5018">IF(MOD(ROW()-ROW($B$2),16)=0,INDEX($M$2:$M$1000,(ROW()-ROW($B$2))/16+1),"")</f>
        <v/>
      </c>
    </row>
    <row r="5019" spans="14:14" x14ac:dyDescent="0.3">
      <c r="N5019" t="str" cm="1">
        <f t="array" ref="N5019">IF(MOD(ROW()-ROW($B$2),16)=0,INDEX($M$2:$M$1000,(ROW()-ROW($B$2))/16+1),"")</f>
        <v/>
      </c>
    </row>
    <row r="5020" spans="14:14" x14ac:dyDescent="0.3">
      <c r="N5020" t="str" cm="1">
        <f t="array" ref="N5020">IF(MOD(ROW()-ROW($B$2),16)=0,INDEX($M$2:$M$1000,(ROW()-ROW($B$2))/16+1),"")</f>
        <v/>
      </c>
    </row>
    <row r="5021" spans="14:14" x14ac:dyDescent="0.3">
      <c r="N5021" t="str" cm="1">
        <f t="array" ref="N5021">IF(MOD(ROW()-ROW($B$2),16)=0,INDEX($M$2:$M$1000,(ROW()-ROW($B$2))/16+1),"")</f>
        <v/>
      </c>
    </row>
    <row r="5022" spans="14:14" x14ac:dyDescent="0.3">
      <c r="N5022" t="str" cm="1">
        <f t="array" ref="N5022">IF(MOD(ROW()-ROW($B$2),16)=0,INDEX($M$2:$M$1000,(ROW()-ROW($B$2))/16+1),"")</f>
        <v/>
      </c>
    </row>
    <row r="5023" spans="14:14" x14ac:dyDescent="0.3">
      <c r="N5023" t="str" cm="1">
        <f t="array" ref="N5023">IF(MOD(ROW()-ROW($B$2),16)=0,INDEX($M$2:$M$1000,(ROW()-ROW($B$2))/16+1),"")</f>
        <v/>
      </c>
    </row>
    <row r="5024" spans="14:14" x14ac:dyDescent="0.3">
      <c r="N5024" t="str" cm="1">
        <f t="array" ref="N5024">IF(MOD(ROW()-ROW($B$2),16)=0,INDEX($M$2:$M$1000,(ROW()-ROW($B$2))/16+1),"")</f>
        <v/>
      </c>
    </row>
    <row r="5025" spans="14:14" x14ac:dyDescent="0.3">
      <c r="N5025" t="str" cm="1">
        <f t="array" ref="N5025">IF(MOD(ROW()-ROW($B$2),16)=0,INDEX($M$2:$M$1000,(ROW()-ROW($B$2))/16+1),"")</f>
        <v/>
      </c>
    </row>
    <row r="5026" spans="14:14" x14ac:dyDescent="0.3">
      <c r="N5026" t="str" cm="1">
        <f t="array" ref="N5026">IF(MOD(ROW()-ROW($B$2),16)=0,INDEX($M$2:$M$1000,(ROW()-ROW($B$2))/16+1),"")</f>
        <v>Количество рядов на пластине (0)</v>
      </c>
    </row>
    <row r="5027" spans="14:14" x14ac:dyDescent="0.3">
      <c r="N5027" t="str" cm="1">
        <f t="array" ref="N5027">IF(MOD(ROW()-ROW($B$2),16)=0,INDEX($M$2:$M$1000,(ROW()-ROW($B$2))/16+1),"")</f>
        <v/>
      </c>
    </row>
    <row r="5028" spans="14:14" x14ac:dyDescent="0.3">
      <c r="N5028" t="str" cm="1">
        <f t="array" ref="N5028">IF(MOD(ROW()-ROW($B$2),16)=0,INDEX($M$2:$M$1000,(ROW()-ROW($B$2))/16+1),"")</f>
        <v/>
      </c>
    </row>
    <row r="5029" spans="14:14" x14ac:dyDescent="0.3">
      <c r="N5029" t="str" cm="1">
        <f t="array" ref="N5029">IF(MOD(ROW()-ROW($B$2),16)=0,INDEX($M$2:$M$1000,(ROW()-ROW($B$2))/16+1),"")</f>
        <v/>
      </c>
    </row>
    <row r="5030" spans="14:14" x14ac:dyDescent="0.3">
      <c r="N5030" t="str" cm="1">
        <f t="array" ref="N5030">IF(MOD(ROW()-ROW($B$2),16)=0,INDEX($M$2:$M$1000,(ROW()-ROW($B$2))/16+1),"")</f>
        <v/>
      </c>
    </row>
    <row r="5031" spans="14:14" x14ac:dyDescent="0.3">
      <c r="N5031" t="str" cm="1">
        <f t="array" ref="N5031">IF(MOD(ROW()-ROW($B$2),16)=0,INDEX($M$2:$M$1000,(ROW()-ROW($B$2))/16+1),"")</f>
        <v/>
      </c>
    </row>
    <row r="5032" spans="14:14" x14ac:dyDescent="0.3">
      <c r="N5032" t="str" cm="1">
        <f t="array" ref="N5032">IF(MOD(ROW()-ROW($B$2),16)=0,INDEX($M$2:$M$1000,(ROW()-ROW($B$2))/16+1),"")</f>
        <v/>
      </c>
    </row>
    <row r="5033" spans="14:14" x14ac:dyDescent="0.3">
      <c r="N5033" t="str" cm="1">
        <f t="array" ref="N5033">IF(MOD(ROW()-ROW($B$2),16)=0,INDEX($M$2:$M$1000,(ROW()-ROW($B$2))/16+1),"")</f>
        <v/>
      </c>
    </row>
    <row r="5034" spans="14:14" x14ac:dyDescent="0.3">
      <c r="N5034" t="str" cm="1">
        <f t="array" ref="N5034">IF(MOD(ROW()-ROW($B$2),16)=0,INDEX($M$2:$M$1000,(ROW()-ROW($B$2))/16+1),"")</f>
        <v/>
      </c>
    </row>
    <row r="5035" spans="14:14" x14ac:dyDescent="0.3">
      <c r="N5035" t="str" cm="1">
        <f t="array" ref="N5035">IF(MOD(ROW()-ROW($B$2),16)=0,INDEX($M$2:$M$1000,(ROW()-ROW($B$2))/16+1),"")</f>
        <v/>
      </c>
    </row>
    <row r="5036" spans="14:14" x14ac:dyDescent="0.3">
      <c r="N5036" t="str" cm="1">
        <f t="array" ref="N5036">IF(MOD(ROW()-ROW($B$2),16)=0,INDEX($M$2:$M$1000,(ROW()-ROW($B$2))/16+1),"")</f>
        <v/>
      </c>
    </row>
    <row r="5037" spans="14:14" x14ac:dyDescent="0.3">
      <c r="N5037" t="str" cm="1">
        <f t="array" ref="N5037">IF(MOD(ROW()-ROW($B$2),16)=0,INDEX($M$2:$M$1000,(ROW()-ROW($B$2))/16+1),"")</f>
        <v/>
      </c>
    </row>
    <row r="5038" spans="14:14" x14ac:dyDescent="0.3">
      <c r="N5038" t="str" cm="1">
        <f t="array" ref="N5038">IF(MOD(ROW()-ROW($B$2),16)=0,INDEX($M$2:$M$1000,(ROW()-ROW($B$2))/16+1),"")</f>
        <v/>
      </c>
    </row>
    <row r="5039" spans="14:14" x14ac:dyDescent="0.3">
      <c r="N5039" t="str" cm="1">
        <f t="array" ref="N5039">IF(MOD(ROW()-ROW($B$2),16)=0,INDEX($M$2:$M$1000,(ROW()-ROW($B$2))/16+1),"")</f>
        <v/>
      </c>
    </row>
    <row r="5040" spans="14:14" x14ac:dyDescent="0.3">
      <c r="N5040" t="str" cm="1">
        <f t="array" ref="N5040">IF(MOD(ROW()-ROW($B$2),16)=0,INDEX($M$2:$M$1000,(ROW()-ROW($B$2))/16+1),"")</f>
        <v/>
      </c>
    </row>
    <row r="5041" spans="14:14" x14ac:dyDescent="0.3">
      <c r="N5041" t="str" cm="1">
        <f t="array" ref="N5041">IF(MOD(ROW()-ROW($B$2),16)=0,INDEX($M$2:$M$1000,(ROW()-ROW($B$2))/16+1),"")</f>
        <v/>
      </c>
    </row>
    <row r="5042" spans="14:14" x14ac:dyDescent="0.3">
      <c r="N5042" t="str" cm="1">
        <f t="array" ref="N5042">IF(MOD(ROW()-ROW($B$2),16)=0,INDEX($M$2:$M$1000,(ROW()-ROW($B$2))/16+1),"")</f>
        <v>Количество ячеек в нечётных рядах (0)</v>
      </c>
    </row>
    <row r="5043" spans="14:14" x14ac:dyDescent="0.3">
      <c r="N5043" t="str" cm="1">
        <f t="array" ref="N5043">IF(MOD(ROW()-ROW($B$2),16)=0,INDEX($M$2:$M$1000,(ROW()-ROW($B$2))/16+1),"")</f>
        <v/>
      </c>
    </row>
    <row r="5044" spans="14:14" x14ac:dyDescent="0.3">
      <c r="N5044" t="str" cm="1">
        <f t="array" ref="N5044">IF(MOD(ROW()-ROW($B$2),16)=0,INDEX($M$2:$M$1000,(ROW()-ROW($B$2))/16+1),"")</f>
        <v/>
      </c>
    </row>
    <row r="5045" spans="14:14" x14ac:dyDescent="0.3">
      <c r="N5045" t="str" cm="1">
        <f t="array" ref="N5045">IF(MOD(ROW()-ROW($B$2),16)=0,INDEX($M$2:$M$1000,(ROW()-ROW($B$2))/16+1),"")</f>
        <v/>
      </c>
    </row>
    <row r="5046" spans="14:14" x14ac:dyDescent="0.3">
      <c r="N5046" t="str" cm="1">
        <f t="array" ref="N5046">IF(MOD(ROW()-ROW($B$2),16)=0,INDEX($M$2:$M$1000,(ROW()-ROW($B$2))/16+1),"")</f>
        <v/>
      </c>
    </row>
    <row r="5047" spans="14:14" x14ac:dyDescent="0.3">
      <c r="N5047" t="str" cm="1">
        <f t="array" ref="N5047">IF(MOD(ROW()-ROW($B$2),16)=0,INDEX($M$2:$M$1000,(ROW()-ROW($B$2))/16+1),"")</f>
        <v/>
      </c>
    </row>
    <row r="5048" spans="14:14" x14ac:dyDescent="0.3">
      <c r="N5048" t="str" cm="1">
        <f t="array" ref="N5048">IF(MOD(ROW()-ROW($B$2),16)=0,INDEX($M$2:$M$1000,(ROW()-ROW($B$2))/16+1),"")</f>
        <v/>
      </c>
    </row>
    <row r="5049" spans="14:14" x14ac:dyDescent="0.3">
      <c r="N5049" t="str" cm="1">
        <f t="array" ref="N5049">IF(MOD(ROW()-ROW($B$2),16)=0,INDEX($M$2:$M$1000,(ROW()-ROW($B$2))/16+1),"")</f>
        <v/>
      </c>
    </row>
    <row r="5050" spans="14:14" x14ac:dyDescent="0.3">
      <c r="N5050" t="str" cm="1">
        <f t="array" ref="N5050">IF(MOD(ROW()-ROW($B$2),16)=0,INDEX($M$2:$M$1000,(ROW()-ROW($B$2))/16+1),"")</f>
        <v/>
      </c>
    </row>
    <row r="5051" spans="14:14" x14ac:dyDescent="0.3">
      <c r="N5051" t="str" cm="1">
        <f t="array" ref="N5051">IF(MOD(ROW()-ROW($B$2),16)=0,INDEX($M$2:$M$1000,(ROW()-ROW($B$2))/16+1),"")</f>
        <v/>
      </c>
    </row>
    <row r="5052" spans="14:14" x14ac:dyDescent="0.3">
      <c r="N5052" t="str" cm="1">
        <f t="array" ref="N5052">IF(MOD(ROW()-ROW($B$2),16)=0,INDEX($M$2:$M$1000,(ROW()-ROW($B$2))/16+1),"")</f>
        <v/>
      </c>
    </row>
    <row r="5053" spans="14:14" x14ac:dyDescent="0.3">
      <c r="N5053" t="str" cm="1">
        <f t="array" ref="N5053">IF(MOD(ROW()-ROW($B$2),16)=0,INDEX($M$2:$M$1000,(ROW()-ROW($B$2))/16+1),"")</f>
        <v/>
      </c>
    </row>
    <row r="5054" spans="14:14" x14ac:dyDescent="0.3">
      <c r="N5054" t="str" cm="1">
        <f t="array" ref="N5054">IF(MOD(ROW()-ROW($B$2),16)=0,INDEX($M$2:$M$1000,(ROW()-ROW($B$2))/16+1),"")</f>
        <v/>
      </c>
    </row>
    <row r="5055" spans="14:14" x14ac:dyDescent="0.3">
      <c r="N5055" t="str" cm="1">
        <f t="array" ref="N5055">IF(MOD(ROW()-ROW($B$2),16)=0,INDEX($M$2:$M$1000,(ROW()-ROW($B$2))/16+1),"")</f>
        <v/>
      </c>
    </row>
    <row r="5056" spans="14:14" x14ac:dyDescent="0.3">
      <c r="N5056" t="str" cm="1">
        <f t="array" ref="N5056">IF(MOD(ROW()-ROW($B$2),16)=0,INDEX($M$2:$M$1000,(ROW()-ROW($B$2))/16+1),"")</f>
        <v/>
      </c>
    </row>
    <row r="5057" spans="14:14" x14ac:dyDescent="0.3">
      <c r="N5057" t="str" cm="1">
        <f t="array" ref="N5057">IF(MOD(ROW()-ROW($B$2),16)=0,INDEX($M$2:$M$1000,(ROW()-ROW($B$2))/16+1),"")</f>
        <v/>
      </c>
    </row>
    <row r="5058" spans="14:14" x14ac:dyDescent="0.3">
      <c r="N5058" t="str" cm="1">
        <f t="array" ref="N5058">IF(MOD(ROW()-ROW($B$2),16)=0,INDEX($M$2:$M$1000,(ROW()-ROW($B$2))/16+1),"")</f>
        <v>Количество ячеек в чётных рядах (0)</v>
      </c>
    </row>
    <row r="5059" spans="14:14" x14ac:dyDescent="0.3">
      <c r="N5059" t="str" cm="1">
        <f t="array" ref="N5059">IF(MOD(ROW()-ROW($B$2),16)=0,INDEX($M$2:$M$1000,(ROW()-ROW($B$2))/16+1),"")</f>
        <v/>
      </c>
    </row>
    <row r="5060" spans="14:14" x14ac:dyDescent="0.3">
      <c r="N5060" t="str" cm="1">
        <f t="array" ref="N5060">IF(MOD(ROW()-ROW($B$2),16)=0,INDEX($M$2:$M$1000,(ROW()-ROW($B$2))/16+1),"")</f>
        <v/>
      </c>
    </row>
    <row r="5061" spans="14:14" x14ac:dyDescent="0.3">
      <c r="N5061" t="str" cm="1">
        <f t="array" ref="N5061">IF(MOD(ROW()-ROW($B$2),16)=0,INDEX($M$2:$M$1000,(ROW()-ROW($B$2))/16+1),"")</f>
        <v/>
      </c>
    </row>
    <row r="5062" spans="14:14" x14ac:dyDescent="0.3">
      <c r="N5062" t="str" cm="1">
        <f t="array" ref="N5062">IF(MOD(ROW()-ROW($B$2),16)=0,INDEX($M$2:$M$1000,(ROW()-ROW($B$2))/16+1),"")</f>
        <v/>
      </c>
    </row>
    <row r="5063" spans="14:14" x14ac:dyDescent="0.3">
      <c r="N5063" t="str" cm="1">
        <f t="array" ref="N5063">IF(MOD(ROW()-ROW($B$2),16)=0,INDEX($M$2:$M$1000,(ROW()-ROW($B$2))/16+1),"")</f>
        <v/>
      </c>
    </row>
    <row r="5064" spans="14:14" x14ac:dyDescent="0.3">
      <c r="N5064" t="str" cm="1">
        <f t="array" ref="N5064">IF(MOD(ROW()-ROW($B$2),16)=0,INDEX($M$2:$M$1000,(ROW()-ROW($B$2))/16+1),"")</f>
        <v/>
      </c>
    </row>
    <row r="5065" spans="14:14" x14ac:dyDescent="0.3">
      <c r="N5065" t="str" cm="1">
        <f t="array" ref="N5065">IF(MOD(ROW()-ROW($B$2),16)=0,INDEX($M$2:$M$1000,(ROW()-ROW($B$2))/16+1),"")</f>
        <v/>
      </c>
    </row>
    <row r="5066" spans="14:14" x14ac:dyDescent="0.3">
      <c r="N5066" t="str" cm="1">
        <f t="array" ref="N5066">IF(MOD(ROW()-ROW($B$2),16)=0,INDEX($M$2:$M$1000,(ROW()-ROW($B$2))/16+1),"")</f>
        <v/>
      </c>
    </row>
    <row r="5067" spans="14:14" x14ac:dyDescent="0.3">
      <c r="N5067" t="str" cm="1">
        <f t="array" ref="N5067">IF(MOD(ROW()-ROW($B$2),16)=0,INDEX($M$2:$M$1000,(ROW()-ROW($B$2))/16+1),"")</f>
        <v/>
      </c>
    </row>
    <row r="5068" spans="14:14" x14ac:dyDescent="0.3">
      <c r="N5068" t="str" cm="1">
        <f t="array" ref="N5068">IF(MOD(ROW()-ROW($B$2),16)=0,INDEX($M$2:$M$1000,(ROW()-ROW($B$2))/16+1),"")</f>
        <v/>
      </c>
    </row>
    <row r="5069" spans="14:14" x14ac:dyDescent="0.3">
      <c r="N5069" t="str" cm="1">
        <f t="array" ref="N5069">IF(MOD(ROW()-ROW($B$2),16)=0,INDEX($M$2:$M$1000,(ROW()-ROW($B$2))/16+1),"")</f>
        <v/>
      </c>
    </row>
    <row r="5070" spans="14:14" x14ac:dyDescent="0.3">
      <c r="N5070" t="str" cm="1">
        <f t="array" ref="N5070">IF(MOD(ROW()-ROW($B$2),16)=0,INDEX($M$2:$M$1000,(ROW()-ROW($B$2))/16+1),"")</f>
        <v/>
      </c>
    </row>
    <row r="5071" spans="14:14" x14ac:dyDescent="0.3">
      <c r="N5071" t="str" cm="1">
        <f t="array" ref="N5071">IF(MOD(ROW()-ROW($B$2),16)=0,INDEX($M$2:$M$1000,(ROW()-ROW($B$2))/16+1),"")</f>
        <v/>
      </c>
    </row>
    <row r="5072" spans="14:14" x14ac:dyDescent="0.3">
      <c r="N5072" t="str" cm="1">
        <f t="array" ref="N5072">IF(MOD(ROW()-ROW($B$2),16)=0,INDEX($M$2:$M$1000,(ROW()-ROW($B$2))/16+1),"")</f>
        <v/>
      </c>
    </row>
    <row r="5073" spans="14:14" x14ac:dyDescent="0.3">
      <c r="N5073" t="str" cm="1">
        <f t="array" ref="N5073">IF(MOD(ROW()-ROW($B$2),16)=0,INDEX($M$2:$M$1000,(ROW()-ROW($B$2))/16+1),"")</f>
        <v/>
      </c>
    </row>
    <row r="5074" spans="14:14" x14ac:dyDescent="0.3">
      <c r="N5074" t="str" cm="1">
        <f t="array" ref="N5074">IF(MOD(ROW()-ROW($B$2),16)=0,INDEX($M$2:$M$1000,(ROW()-ROW($B$2))/16+1),"")</f>
        <v>Расстояние между ячейками (0)</v>
      </c>
    </row>
    <row r="5075" spans="14:14" x14ac:dyDescent="0.3">
      <c r="N5075" t="str" cm="1">
        <f t="array" ref="N5075">IF(MOD(ROW()-ROW($B$2),16)=0,INDEX($M$2:$M$1000,(ROW()-ROW($B$2))/16+1),"")</f>
        <v/>
      </c>
    </row>
    <row r="5076" spans="14:14" x14ac:dyDescent="0.3">
      <c r="N5076" t="str" cm="1">
        <f t="array" ref="N5076">IF(MOD(ROW()-ROW($B$2),16)=0,INDEX($M$2:$M$1000,(ROW()-ROW($B$2))/16+1),"")</f>
        <v/>
      </c>
    </row>
    <row r="5077" spans="14:14" x14ac:dyDescent="0.3">
      <c r="N5077" t="str" cm="1">
        <f t="array" ref="N5077">IF(MOD(ROW()-ROW($B$2),16)=0,INDEX($M$2:$M$1000,(ROW()-ROW($B$2))/16+1),"")</f>
        <v/>
      </c>
    </row>
    <row r="5078" spans="14:14" x14ac:dyDescent="0.3">
      <c r="N5078" t="str" cm="1">
        <f t="array" ref="N5078">IF(MOD(ROW()-ROW($B$2),16)=0,INDEX($M$2:$M$1000,(ROW()-ROW($B$2))/16+1),"")</f>
        <v/>
      </c>
    </row>
    <row r="5079" spans="14:14" x14ac:dyDescent="0.3">
      <c r="N5079" t="str" cm="1">
        <f t="array" ref="N5079">IF(MOD(ROW()-ROW($B$2),16)=0,INDEX($M$2:$M$1000,(ROW()-ROW($B$2))/16+1),"")</f>
        <v/>
      </c>
    </row>
    <row r="5080" spans="14:14" x14ac:dyDescent="0.3">
      <c r="N5080" t="str" cm="1">
        <f t="array" ref="N5080">IF(MOD(ROW()-ROW($B$2),16)=0,INDEX($M$2:$M$1000,(ROW()-ROW($B$2))/16+1),"")</f>
        <v/>
      </c>
    </row>
    <row r="5081" spans="14:14" x14ac:dyDescent="0.3">
      <c r="N5081" t="str" cm="1">
        <f t="array" ref="N5081">IF(MOD(ROW()-ROW($B$2),16)=0,INDEX($M$2:$M$1000,(ROW()-ROW($B$2))/16+1),"")</f>
        <v/>
      </c>
    </row>
    <row r="5082" spans="14:14" x14ac:dyDescent="0.3">
      <c r="N5082" t="str" cm="1">
        <f t="array" ref="N5082">IF(MOD(ROW()-ROW($B$2),16)=0,INDEX($M$2:$M$1000,(ROW()-ROW($B$2))/16+1),"")</f>
        <v/>
      </c>
    </row>
    <row r="5083" spans="14:14" x14ac:dyDescent="0.3">
      <c r="N5083" t="str" cm="1">
        <f t="array" ref="N5083">IF(MOD(ROW()-ROW($B$2),16)=0,INDEX($M$2:$M$1000,(ROW()-ROW($B$2))/16+1),"")</f>
        <v/>
      </c>
    </row>
    <row r="5084" spans="14:14" x14ac:dyDescent="0.3">
      <c r="N5084" t="str" cm="1">
        <f t="array" ref="N5084">IF(MOD(ROW()-ROW($B$2),16)=0,INDEX($M$2:$M$1000,(ROW()-ROW($B$2))/16+1),"")</f>
        <v/>
      </c>
    </row>
    <row r="5085" spans="14:14" x14ac:dyDescent="0.3">
      <c r="N5085" t="str" cm="1">
        <f t="array" ref="N5085">IF(MOD(ROW()-ROW($B$2),16)=0,INDEX($M$2:$M$1000,(ROW()-ROW($B$2))/16+1),"")</f>
        <v/>
      </c>
    </row>
    <row r="5086" spans="14:14" x14ac:dyDescent="0.3">
      <c r="N5086" t="str" cm="1">
        <f t="array" ref="N5086">IF(MOD(ROW()-ROW($B$2),16)=0,INDEX($M$2:$M$1000,(ROW()-ROW($B$2))/16+1),"")</f>
        <v/>
      </c>
    </row>
    <row r="5087" spans="14:14" x14ac:dyDescent="0.3">
      <c r="N5087" t="str" cm="1">
        <f t="array" ref="N5087">IF(MOD(ROW()-ROW($B$2),16)=0,INDEX($M$2:$M$1000,(ROW()-ROW($B$2))/16+1),"")</f>
        <v/>
      </c>
    </row>
    <row r="5088" spans="14:14" x14ac:dyDescent="0.3">
      <c r="N5088" t="str" cm="1">
        <f t="array" ref="N5088">IF(MOD(ROW()-ROW($B$2),16)=0,INDEX($M$2:$M$1000,(ROW()-ROW($B$2))/16+1),"")</f>
        <v/>
      </c>
    </row>
    <row r="5089" spans="14:14" x14ac:dyDescent="0.3">
      <c r="N5089" t="str" cm="1">
        <f t="array" ref="N5089">IF(MOD(ROW()-ROW($B$2),16)=0,INDEX($M$2:$M$1000,(ROW()-ROW($B$2))/16+1),"")</f>
        <v/>
      </c>
    </row>
    <row r="5090" spans="14:14" x14ac:dyDescent="0.3">
      <c r="N5090" t="str" cm="1">
        <f t="array" ref="N5090">IF(MOD(ROW()-ROW($B$2),16)=0,INDEX($M$2:$M$1000,(ROW()-ROW($B$2))/16+1),"")</f>
        <v>Расстояние между рядами (0)</v>
      </c>
    </row>
    <row r="5091" spans="14:14" x14ac:dyDescent="0.3">
      <c r="N5091" t="str" cm="1">
        <f t="array" ref="N5091">IF(MOD(ROW()-ROW($B$2),16)=0,INDEX($M$2:$M$1000,(ROW()-ROW($B$2))/16+1),"")</f>
        <v/>
      </c>
    </row>
    <row r="5092" spans="14:14" x14ac:dyDescent="0.3">
      <c r="N5092" t="str" cm="1">
        <f t="array" ref="N5092">IF(MOD(ROW()-ROW($B$2),16)=0,INDEX($M$2:$M$1000,(ROW()-ROW($B$2))/16+1),"")</f>
        <v/>
      </c>
    </row>
    <row r="5093" spans="14:14" x14ac:dyDescent="0.3">
      <c r="N5093" t="str" cm="1">
        <f t="array" ref="N5093">IF(MOD(ROW()-ROW($B$2),16)=0,INDEX($M$2:$M$1000,(ROW()-ROW($B$2))/16+1),"")</f>
        <v/>
      </c>
    </row>
    <row r="5094" spans="14:14" x14ac:dyDescent="0.3">
      <c r="N5094" t="str" cm="1">
        <f t="array" ref="N5094">IF(MOD(ROW()-ROW($B$2),16)=0,INDEX($M$2:$M$1000,(ROW()-ROW($B$2))/16+1),"")</f>
        <v/>
      </c>
    </row>
    <row r="5095" spans="14:14" x14ac:dyDescent="0.3">
      <c r="N5095" t="str" cm="1">
        <f t="array" ref="N5095">IF(MOD(ROW()-ROW($B$2),16)=0,INDEX($M$2:$M$1000,(ROW()-ROW($B$2))/16+1),"")</f>
        <v/>
      </c>
    </row>
    <row r="5096" spans="14:14" x14ac:dyDescent="0.3">
      <c r="N5096" t="str" cm="1">
        <f t="array" ref="N5096">IF(MOD(ROW()-ROW($B$2),16)=0,INDEX($M$2:$M$1000,(ROW()-ROW($B$2))/16+1),"")</f>
        <v/>
      </c>
    </row>
    <row r="5097" spans="14:14" x14ac:dyDescent="0.3">
      <c r="N5097" t="str" cm="1">
        <f t="array" ref="N5097">IF(MOD(ROW()-ROW($B$2),16)=0,INDEX($M$2:$M$1000,(ROW()-ROW($B$2))/16+1),"")</f>
        <v/>
      </c>
    </row>
    <row r="5098" spans="14:14" x14ac:dyDescent="0.3">
      <c r="N5098" t="str" cm="1">
        <f t="array" ref="N5098">IF(MOD(ROW()-ROW($B$2),16)=0,INDEX($M$2:$M$1000,(ROW()-ROW($B$2))/16+1),"")</f>
        <v/>
      </c>
    </row>
    <row r="5099" spans="14:14" x14ac:dyDescent="0.3">
      <c r="N5099" t="str" cm="1">
        <f t="array" ref="N5099">IF(MOD(ROW()-ROW($B$2),16)=0,INDEX($M$2:$M$1000,(ROW()-ROW($B$2))/16+1),"")</f>
        <v/>
      </c>
    </row>
    <row r="5100" spans="14:14" x14ac:dyDescent="0.3">
      <c r="N5100" t="str" cm="1">
        <f t="array" ref="N5100">IF(MOD(ROW()-ROW($B$2),16)=0,INDEX($M$2:$M$1000,(ROW()-ROW($B$2))/16+1),"")</f>
        <v/>
      </c>
    </row>
    <row r="5101" spans="14:14" x14ac:dyDescent="0.3">
      <c r="N5101" t="str" cm="1">
        <f t="array" ref="N5101">IF(MOD(ROW()-ROW($B$2),16)=0,INDEX($M$2:$M$1000,(ROW()-ROW($B$2))/16+1),"")</f>
        <v/>
      </c>
    </row>
    <row r="5102" spans="14:14" x14ac:dyDescent="0.3">
      <c r="N5102" t="str" cm="1">
        <f t="array" ref="N5102">IF(MOD(ROW()-ROW($B$2),16)=0,INDEX($M$2:$M$1000,(ROW()-ROW($B$2))/16+1),"")</f>
        <v/>
      </c>
    </row>
    <row r="5103" spans="14:14" x14ac:dyDescent="0.3">
      <c r="N5103" t="str" cm="1">
        <f t="array" ref="N5103">IF(MOD(ROW()-ROW($B$2),16)=0,INDEX($M$2:$M$1000,(ROW()-ROW($B$2))/16+1),"")</f>
        <v/>
      </c>
    </row>
    <row r="5104" spans="14:14" x14ac:dyDescent="0.3">
      <c r="N5104" t="str" cm="1">
        <f t="array" ref="N5104">IF(MOD(ROW()-ROW($B$2),16)=0,INDEX($M$2:$M$1000,(ROW()-ROW($B$2))/16+1),"")</f>
        <v/>
      </c>
    </row>
    <row r="5105" spans="14:14" x14ac:dyDescent="0.3">
      <c r="N5105" t="str" cm="1">
        <f t="array" ref="N5105">IF(MOD(ROW()-ROW($B$2),16)=0,INDEX($M$2:$M$1000,(ROW()-ROW($B$2))/16+1),"")</f>
        <v/>
      </c>
    </row>
    <row r="5106" spans="14:14" x14ac:dyDescent="0.3">
      <c r="N5106" t="str" cm="1">
        <f t="array" ref="N5106">IF(MOD(ROW()-ROW($B$2),16)=0,INDEX($M$2:$M$1000,(ROW()-ROW($B$2))/16+1),"")</f>
        <v>Смещение чётного ряда (0)</v>
      </c>
    </row>
    <row r="5107" spans="14:14" x14ac:dyDescent="0.3">
      <c r="N5107" t="str" cm="1">
        <f t="array" ref="N5107">IF(MOD(ROW()-ROW($B$2),16)=0,INDEX($M$2:$M$1000,(ROW()-ROW($B$2))/16+1),"")</f>
        <v/>
      </c>
    </row>
    <row r="5108" spans="14:14" x14ac:dyDescent="0.3">
      <c r="N5108" t="str" cm="1">
        <f t="array" ref="N5108">IF(MOD(ROW()-ROW($B$2),16)=0,INDEX($M$2:$M$1000,(ROW()-ROW($B$2))/16+1),"")</f>
        <v/>
      </c>
    </row>
    <row r="5109" spans="14:14" x14ac:dyDescent="0.3">
      <c r="N5109" t="str" cm="1">
        <f t="array" ref="N5109">IF(MOD(ROW()-ROW($B$2),16)=0,INDEX($M$2:$M$1000,(ROW()-ROW($B$2))/16+1),"")</f>
        <v/>
      </c>
    </row>
    <row r="5110" spans="14:14" x14ac:dyDescent="0.3">
      <c r="N5110" t="str" cm="1">
        <f t="array" ref="N5110">IF(MOD(ROW()-ROW($B$2),16)=0,INDEX($M$2:$M$1000,(ROW()-ROW($B$2))/16+1),"")</f>
        <v/>
      </c>
    </row>
    <row r="5111" spans="14:14" x14ac:dyDescent="0.3">
      <c r="N5111" t="str" cm="1">
        <f t="array" ref="N5111">IF(MOD(ROW()-ROW($B$2),16)=0,INDEX($M$2:$M$1000,(ROW()-ROW($B$2))/16+1),"")</f>
        <v/>
      </c>
    </row>
    <row r="5112" spans="14:14" x14ac:dyDescent="0.3">
      <c r="N5112" t="str" cm="1">
        <f t="array" ref="N5112">IF(MOD(ROW()-ROW($B$2),16)=0,INDEX($M$2:$M$1000,(ROW()-ROW($B$2))/16+1),"")</f>
        <v/>
      </c>
    </row>
    <row r="5113" spans="14:14" x14ac:dyDescent="0.3">
      <c r="N5113" t="str" cm="1">
        <f t="array" ref="N5113">IF(MOD(ROW()-ROW($B$2),16)=0,INDEX($M$2:$M$1000,(ROW()-ROW($B$2))/16+1),"")</f>
        <v/>
      </c>
    </row>
    <row r="5114" spans="14:14" x14ac:dyDescent="0.3">
      <c r="N5114" t="str" cm="1">
        <f t="array" ref="N5114">IF(MOD(ROW()-ROW($B$2),16)=0,INDEX($M$2:$M$1000,(ROW()-ROW($B$2))/16+1),"")</f>
        <v/>
      </c>
    </row>
    <row r="5115" spans="14:14" x14ac:dyDescent="0.3">
      <c r="N5115" t="str" cm="1">
        <f t="array" ref="N5115">IF(MOD(ROW()-ROW($B$2),16)=0,INDEX($M$2:$M$1000,(ROW()-ROW($B$2))/16+1),"")</f>
        <v/>
      </c>
    </row>
    <row r="5116" spans="14:14" x14ac:dyDescent="0.3">
      <c r="N5116" t="str" cm="1">
        <f t="array" ref="N5116">IF(MOD(ROW()-ROW($B$2),16)=0,INDEX($M$2:$M$1000,(ROW()-ROW($B$2))/16+1),"")</f>
        <v/>
      </c>
    </row>
    <row r="5117" spans="14:14" x14ac:dyDescent="0.3">
      <c r="N5117" t="str" cm="1">
        <f t="array" ref="N5117">IF(MOD(ROW()-ROW($B$2),16)=0,INDEX($M$2:$M$1000,(ROW()-ROW($B$2))/16+1),"")</f>
        <v/>
      </c>
    </row>
    <row r="5118" spans="14:14" x14ac:dyDescent="0.3">
      <c r="N5118" t="str" cm="1">
        <f t="array" ref="N5118">IF(MOD(ROW()-ROW($B$2),16)=0,INDEX($M$2:$M$1000,(ROW()-ROW($B$2))/16+1),"")</f>
        <v/>
      </c>
    </row>
    <row r="5119" spans="14:14" x14ac:dyDescent="0.3">
      <c r="N5119" t="str" cm="1">
        <f t="array" ref="N5119">IF(MOD(ROW()-ROW($B$2),16)=0,INDEX($M$2:$M$1000,(ROW()-ROW($B$2))/16+1),"")</f>
        <v/>
      </c>
    </row>
    <row r="5120" spans="14:14" x14ac:dyDescent="0.3">
      <c r="N5120" t="str" cm="1">
        <f t="array" ref="N5120">IF(MOD(ROW()-ROW($B$2),16)=0,INDEX($M$2:$M$1000,(ROW()-ROW($B$2))/16+1),"")</f>
        <v/>
      </c>
    </row>
    <row r="5121" spans="14:14" x14ac:dyDescent="0.3">
      <c r="N5121" t="str" cm="1">
        <f t="array" ref="N5121">IF(MOD(ROW()-ROW($B$2),16)=0,INDEX($M$2:$M$1000,(ROW()-ROW($B$2))/16+1),"")</f>
        <v/>
      </c>
    </row>
    <row r="5122" spans="14:14" x14ac:dyDescent="0.3">
      <c r="N5122" t="str" cm="1">
        <f t="array" ref="N5122">IF(MOD(ROW()-ROW($B$2),16)=0,INDEX($M$2:$M$1000,(ROW()-ROW($B$2))/16+1),"")</f>
        <v>Смещение первого ряда относительно нуля Х (0)</v>
      </c>
    </row>
    <row r="5123" spans="14:14" x14ac:dyDescent="0.3">
      <c r="N5123" t="str" cm="1">
        <f t="array" ref="N5123">IF(MOD(ROW()-ROW($B$2),16)=0,INDEX($M$2:$M$1000,(ROW()-ROW($B$2))/16+1),"")</f>
        <v/>
      </c>
    </row>
    <row r="5124" spans="14:14" x14ac:dyDescent="0.3">
      <c r="N5124" t="str" cm="1">
        <f t="array" ref="N5124">IF(MOD(ROW()-ROW($B$2),16)=0,INDEX($M$2:$M$1000,(ROW()-ROW($B$2))/16+1),"")</f>
        <v/>
      </c>
    </row>
    <row r="5125" spans="14:14" x14ac:dyDescent="0.3">
      <c r="N5125" t="str" cm="1">
        <f t="array" ref="N5125">IF(MOD(ROW()-ROW($B$2),16)=0,INDEX($M$2:$M$1000,(ROW()-ROW($B$2))/16+1),"")</f>
        <v/>
      </c>
    </row>
    <row r="5126" spans="14:14" x14ac:dyDescent="0.3">
      <c r="N5126" t="str" cm="1">
        <f t="array" ref="N5126">IF(MOD(ROW()-ROW($B$2),16)=0,INDEX($M$2:$M$1000,(ROW()-ROW($B$2))/16+1),"")</f>
        <v/>
      </c>
    </row>
    <row r="5127" spans="14:14" x14ac:dyDescent="0.3">
      <c r="N5127" t="str" cm="1">
        <f t="array" ref="N5127">IF(MOD(ROW()-ROW($B$2),16)=0,INDEX($M$2:$M$1000,(ROW()-ROW($B$2))/16+1),"")</f>
        <v/>
      </c>
    </row>
    <row r="5128" spans="14:14" x14ac:dyDescent="0.3">
      <c r="N5128" t="str" cm="1">
        <f t="array" ref="N5128">IF(MOD(ROW()-ROW($B$2),16)=0,INDEX($M$2:$M$1000,(ROW()-ROW($B$2))/16+1),"")</f>
        <v/>
      </c>
    </row>
    <row r="5129" spans="14:14" x14ac:dyDescent="0.3">
      <c r="N5129" t="str" cm="1">
        <f t="array" ref="N5129">IF(MOD(ROW()-ROW($B$2),16)=0,INDEX($M$2:$M$1000,(ROW()-ROW($B$2))/16+1),"")</f>
        <v/>
      </c>
    </row>
    <row r="5130" spans="14:14" x14ac:dyDescent="0.3">
      <c r="N5130" t="str" cm="1">
        <f t="array" ref="N5130">IF(MOD(ROW()-ROW($B$2),16)=0,INDEX($M$2:$M$1000,(ROW()-ROW($B$2))/16+1),"")</f>
        <v/>
      </c>
    </row>
    <row r="5131" spans="14:14" x14ac:dyDescent="0.3">
      <c r="N5131" t="str" cm="1">
        <f t="array" ref="N5131">IF(MOD(ROW()-ROW($B$2),16)=0,INDEX($M$2:$M$1000,(ROW()-ROW($B$2))/16+1),"")</f>
        <v/>
      </c>
    </row>
    <row r="5132" spans="14:14" x14ac:dyDescent="0.3">
      <c r="N5132" t="str" cm="1">
        <f t="array" ref="N5132">IF(MOD(ROW()-ROW($B$2),16)=0,INDEX($M$2:$M$1000,(ROW()-ROW($B$2))/16+1),"")</f>
        <v/>
      </c>
    </row>
    <row r="5133" spans="14:14" x14ac:dyDescent="0.3">
      <c r="N5133" t="str" cm="1">
        <f t="array" ref="N5133">IF(MOD(ROW()-ROW($B$2),16)=0,INDEX($M$2:$M$1000,(ROW()-ROW($B$2))/16+1),"")</f>
        <v/>
      </c>
    </row>
    <row r="5134" spans="14:14" x14ac:dyDescent="0.3">
      <c r="N5134" t="str" cm="1">
        <f t="array" ref="N5134">IF(MOD(ROW()-ROW($B$2),16)=0,INDEX($M$2:$M$1000,(ROW()-ROW($B$2))/16+1),"")</f>
        <v/>
      </c>
    </row>
    <row r="5135" spans="14:14" x14ac:dyDescent="0.3">
      <c r="N5135" t="str" cm="1">
        <f t="array" ref="N5135">IF(MOD(ROW()-ROW($B$2),16)=0,INDEX($M$2:$M$1000,(ROW()-ROW($B$2))/16+1),"")</f>
        <v/>
      </c>
    </row>
    <row r="5136" spans="14:14" x14ac:dyDescent="0.3">
      <c r="N5136" t="str" cm="1">
        <f t="array" ref="N5136">IF(MOD(ROW()-ROW($B$2),16)=0,INDEX($M$2:$M$1000,(ROW()-ROW($B$2))/16+1),"")</f>
        <v/>
      </c>
    </row>
    <row r="5137" spans="14:14" x14ac:dyDescent="0.3">
      <c r="N5137" t="str" cm="1">
        <f t="array" ref="N5137">IF(MOD(ROW()-ROW($B$2),16)=0,INDEX($M$2:$M$1000,(ROW()-ROW($B$2))/16+1),"")</f>
        <v/>
      </c>
    </row>
    <row r="5138" spans="14:14" x14ac:dyDescent="0.3">
      <c r="N5138" t="str" cm="1">
        <f t="array" ref="N5138">IF(MOD(ROW()-ROW($B$2),16)=0,INDEX($M$2:$M$1000,(ROW()-ROW($B$2))/16+1),"")</f>
        <v>Смещение первого ряда относительно нуля Y (0)</v>
      </c>
    </row>
    <row r="5139" spans="14:14" x14ac:dyDescent="0.3">
      <c r="N5139" t="str" cm="1">
        <f t="array" ref="N5139">IF(MOD(ROW()-ROW($B$2),16)=0,INDEX($M$2:$M$1000,(ROW()-ROW($B$2))/16+1),"")</f>
        <v/>
      </c>
    </row>
    <row r="5140" spans="14:14" x14ac:dyDescent="0.3">
      <c r="N5140" t="str" cm="1">
        <f t="array" ref="N5140">IF(MOD(ROW()-ROW($B$2),16)=0,INDEX($M$2:$M$1000,(ROW()-ROW($B$2))/16+1),"")</f>
        <v/>
      </c>
    </row>
    <row r="5141" spans="14:14" x14ac:dyDescent="0.3">
      <c r="N5141" t="str" cm="1">
        <f t="array" ref="N5141">IF(MOD(ROW()-ROW($B$2),16)=0,INDEX($M$2:$M$1000,(ROW()-ROW($B$2))/16+1),"")</f>
        <v/>
      </c>
    </row>
    <row r="5142" spans="14:14" x14ac:dyDescent="0.3">
      <c r="N5142" t="str" cm="1">
        <f t="array" ref="N5142">IF(MOD(ROW()-ROW($B$2),16)=0,INDEX($M$2:$M$1000,(ROW()-ROW($B$2))/16+1),"")</f>
        <v/>
      </c>
    </row>
    <row r="5143" spans="14:14" x14ac:dyDescent="0.3">
      <c r="N5143" t="str" cm="1">
        <f t="array" ref="N5143">IF(MOD(ROW()-ROW($B$2),16)=0,INDEX($M$2:$M$1000,(ROW()-ROW($B$2))/16+1),"")</f>
        <v/>
      </c>
    </row>
    <row r="5144" spans="14:14" x14ac:dyDescent="0.3">
      <c r="N5144" t="str" cm="1">
        <f t="array" ref="N5144">IF(MOD(ROW()-ROW($B$2),16)=0,INDEX($M$2:$M$1000,(ROW()-ROW($B$2))/16+1),"")</f>
        <v/>
      </c>
    </row>
    <row r="5145" spans="14:14" x14ac:dyDescent="0.3">
      <c r="N5145" t="str" cm="1">
        <f t="array" ref="N5145">IF(MOD(ROW()-ROW($B$2),16)=0,INDEX($M$2:$M$1000,(ROW()-ROW($B$2))/16+1),"")</f>
        <v/>
      </c>
    </row>
    <row r="5146" spans="14:14" x14ac:dyDescent="0.3">
      <c r="N5146" t="str" cm="1">
        <f t="array" ref="N5146">IF(MOD(ROW()-ROW($B$2),16)=0,INDEX($M$2:$M$1000,(ROW()-ROW($B$2))/16+1),"")</f>
        <v/>
      </c>
    </row>
    <row r="5147" spans="14:14" x14ac:dyDescent="0.3">
      <c r="N5147" t="str" cm="1">
        <f t="array" ref="N5147">IF(MOD(ROW()-ROW($B$2),16)=0,INDEX($M$2:$M$1000,(ROW()-ROW($B$2))/16+1),"")</f>
        <v/>
      </c>
    </row>
    <row r="5148" spans="14:14" x14ac:dyDescent="0.3">
      <c r="N5148" t="str" cm="1">
        <f t="array" ref="N5148">IF(MOD(ROW()-ROW($B$2),16)=0,INDEX($M$2:$M$1000,(ROW()-ROW($B$2))/16+1),"")</f>
        <v/>
      </c>
    </row>
    <row r="5149" spans="14:14" x14ac:dyDescent="0.3">
      <c r="N5149" t="str" cm="1">
        <f t="array" ref="N5149">IF(MOD(ROW()-ROW($B$2),16)=0,INDEX($M$2:$M$1000,(ROW()-ROW($B$2))/16+1),"")</f>
        <v/>
      </c>
    </row>
    <row r="5150" spans="14:14" x14ac:dyDescent="0.3">
      <c r="N5150" t="str" cm="1">
        <f t="array" ref="N5150">IF(MOD(ROW()-ROW($B$2),16)=0,INDEX($M$2:$M$1000,(ROW()-ROW($B$2))/16+1),"")</f>
        <v/>
      </c>
    </row>
    <row r="5151" spans="14:14" x14ac:dyDescent="0.3">
      <c r="N5151" t="str" cm="1">
        <f t="array" ref="N5151">IF(MOD(ROW()-ROW($B$2),16)=0,INDEX($M$2:$M$1000,(ROW()-ROW($B$2))/16+1),"")</f>
        <v/>
      </c>
    </row>
    <row r="5152" spans="14:14" x14ac:dyDescent="0.3">
      <c r="N5152" t="str" cm="1">
        <f t="array" ref="N5152">IF(MOD(ROW()-ROW($B$2),16)=0,INDEX($M$2:$M$1000,(ROW()-ROW($B$2))/16+1),"")</f>
        <v/>
      </c>
    </row>
    <row r="5153" spans="14:14" x14ac:dyDescent="0.3">
      <c r="N5153" t="str" cm="1">
        <f t="array" ref="N5153">IF(MOD(ROW()-ROW($B$2),16)=0,INDEX($M$2:$M$1000,(ROW()-ROW($B$2))/16+1),"")</f>
        <v/>
      </c>
    </row>
    <row r="5154" spans="14:14" x14ac:dyDescent="0.3">
      <c r="N5154" t="str" cm="1">
        <f t="array" ref="N5154">IF(MOD(ROW()-ROW($B$2),16)=0,INDEX($M$2:$M$1000,(ROW()-ROW($B$2))/16+1),"")</f>
        <v>Номер программы на станке (0)</v>
      </c>
    </row>
    <row r="5155" spans="14:14" x14ac:dyDescent="0.3">
      <c r="N5155" t="str" cm="1">
        <f t="array" ref="N5155">IF(MOD(ROW()-ROW($B$2),16)=0,INDEX($M$2:$M$1000,(ROW()-ROW($B$2))/16+1),"")</f>
        <v/>
      </c>
    </row>
    <row r="5156" spans="14:14" x14ac:dyDescent="0.3">
      <c r="N5156" t="str" cm="1">
        <f t="array" ref="N5156">IF(MOD(ROW()-ROW($B$2),16)=0,INDEX($M$2:$M$1000,(ROW()-ROW($B$2))/16+1),"")</f>
        <v/>
      </c>
    </row>
    <row r="5157" spans="14:14" x14ac:dyDescent="0.3">
      <c r="N5157" t="str" cm="1">
        <f t="array" ref="N5157">IF(MOD(ROW()-ROW($B$2),16)=0,INDEX($M$2:$M$1000,(ROW()-ROW($B$2))/16+1),"")</f>
        <v/>
      </c>
    </row>
    <row r="5158" spans="14:14" x14ac:dyDescent="0.3">
      <c r="N5158" t="str" cm="1">
        <f t="array" ref="N5158">IF(MOD(ROW()-ROW($B$2),16)=0,INDEX($M$2:$M$1000,(ROW()-ROW($B$2))/16+1),"")</f>
        <v/>
      </c>
    </row>
    <row r="5159" spans="14:14" x14ac:dyDescent="0.3">
      <c r="N5159" t="str" cm="1">
        <f t="array" ref="N5159">IF(MOD(ROW()-ROW($B$2),16)=0,INDEX($M$2:$M$1000,(ROW()-ROW($B$2))/16+1),"")</f>
        <v/>
      </c>
    </row>
    <row r="5160" spans="14:14" x14ac:dyDescent="0.3">
      <c r="N5160" t="str" cm="1">
        <f t="array" ref="N5160">IF(MOD(ROW()-ROW($B$2),16)=0,INDEX($M$2:$M$1000,(ROW()-ROW($B$2))/16+1),"")</f>
        <v/>
      </c>
    </row>
    <row r="5161" spans="14:14" x14ac:dyDescent="0.3">
      <c r="N5161" t="str" cm="1">
        <f t="array" ref="N5161">IF(MOD(ROW()-ROW($B$2),16)=0,INDEX($M$2:$M$1000,(ROW()-ROW($B$2))/16+1),"")</f>
        <v/>
      </c>
    </row>
    <row r="5162" spans="14:14" x14ac:dyDescent="0.3">
      <c r="N5162" t="str" cm="1">
        <f t="array" ref="N5162">IF(MOD(ROW()-ROW($B$2),16)=0,INDEX($M$2:$M$1000,(ROW()-ROW($B$2))/16+1),"")</f>
        <v/>
      </c>
    </row>
    <row r="5163" spans="14:14" x14ac:dyDescent="0.3">
      <c r="N5163" t="str" cm="1">
        <f t="array" ref="N5163">IF(MOD(ROW()-ROW($B$2),16)=0,INDEX($M$2:$M$1000,(ROW()-ROW($B$2))/16+1),"")</f>
        <v/>
      </c>
    </row>
    <row r="5164" spans="14:14" x14ac:dyDescent="0.3">
      <c r="N5164" t="str" cm="1">
        <f t="array" ref="N5164">IF(MOD(ROW()-ROW($B$2),16)=0,INDEX($M$2:$M$1000,(ROW()-ROW($B$2))/16+1),"")</f>
        <v/>
      </c>
    </row>
    <row r="5165" spans="14:14" x14ac:dyDescent="0.3">
      <c r="N5165" t="str" cm="1">
        <f t="array" ref="N5165">IF(MOD(ROW()-ROW($B$2),16)=0,INDEX($M$2:$M$1000,(ROW()-ROW($B$2))/16+1),"")</f>
        <v/>
      </c>
    </row>
    <row r="5166" spans="14:14" x14ac:dyDescent="0.3">
      <c r="N5166" t="str" cm="1">
        <f t="array" ref="N5166">IF(MOD(ROW()-ROW($B$2),16)=0,INDEX($M$2:$M$1000,(ROW()-ROW($B$2))/16+1),"")</f>
        <v/>
      </c>
    </row>
    <row r="5167" spans="14:14" x14ac:dyDescent="0.3">
      <c r="N5167" t="str" cm="1">
        <f t="array" ref="N5167">IF(MOD(ROW()-ROW($B$2),16)=0,INDEX($M$2:$M$1000,(ROW()-ROW($B$2))/16+1),"")</f>
        <v/>
      </c>
    </row>
    <row r="5168" spans="14:14" x14ac:dyDescent="0.3">
      <c r="N5168" t="str" cm="1">
        <f t="array" ref="N5168">IF(MOD(ROW()-ROW($B$2),16)=0,INDEX($M$2:$M$1000,(ROW()-ROW($B$2))/16+1),"")</f>
        <v/>
      </c>
    </row>
    <row r="5169" spans="14:14" x14ac:dyDescent="0.3">
      <c r="N5169" t="str" cm="1">
        <f t="array" ref="N5169">IF(MOD(ROW()-ROW($B$2),16)=0,INDEX($M$2:$M$1000,(ROW()-ROW($B$2))/16+1),"")</f>
        <v/>
      </c>
    </row>
    <row r="5170" spans="14:14" x14ac:dyDescent="0.3">
      <c r="N5170" t="str" cm="1">
        <f t="array" ref="N5170">IF(MOD(ROW()-ROW($B$2),16)=0,INDEX($M$2:$M$1000,(ROW()-ROW($B$2))/16+1),"")</f>
        <v>Номер кастомной программы перехвата (0)</v>
      </c>
    </row>
    <row r="5171" spans="14:14" x14ac:dyDescent="0.3">
      <c r="N5171" t="str" cm="1">
        <f t="array" ref="N5171">IF(MOD(ROW()-ROW($B$2),16)=0,INDEX($M$2:$M$1000,(ROW()-ROW($B$2))/16+1),"")</f>
        <v/>
      </c>
    </row>
    <row r="5172" spans="14:14" x14ac:dyDescent="0.3">
      <c r="N5172" t="str" cm="1">
        <f t="array" ref="N5172">IF(MOD(ROW()-ROW($B$2),16)=0,INDEX($M$2:$M$1000,(ROW()-ROW($B$2))/16+1),"")</f>
        <v/>
      </c>
    </row>
    <row r="5173" spans="14:14" x14ac:dyDescent="0.3">
      <c r="N5173" t="str" cm="1">
        <f t="array" ref="N5173">IF(MOD(ROW()-ROW($B$2),16)=0,INDEX($M$2:$M$1000,(ROW()-ROW($B$2))/16+1),"")</f>
        <v/>
      </c>
    </row>
    <row r="5174" spans="14:14" x14ac:dyDescent="0.3">
      <c r="N5174" t="str" cm="1">
        <f t="array" ref="N5174">IF(MOD(ROW()-ROW($B$2),16)=0,INDEX($M$2:$M$1000,(ROW()-ROW($B$2))/16+1),"")</f>
        <v/>
      </c>
    </row>
    <row r="5175" spans="14:14" x14ac:dyDescent="0.3">
      <c r="N5175" t="str" cm="1">
        <f t="array" ref="N5175">IF(MOD(ROW()-ROW($B$2),16)=0,INDEX($M$2:$M$1000,(ROW()-ROW($B$2))/16+1),"")</f>
        <v/>
      </c>
    </row>
    <row r="5176" spans="14:14" x14ac:dyDescent="0.3">
      <c r="N5176" t="str" cm="1">
        <f t="array" ref="N5176">IF(MOD(ROW()-ROW($B$2),16)=0,INDEX($M$2:$M$1000,(ROW()-ROW($B$2))/16+1),"")</f>
        <v/>
      </c>
    </row>
    <row r="5177" spans="14:14" x14ac:dyDescent="0.3">
      <c r="N5177" t="str" cm="1">
        <f t="array" ref="N5177">IF(MOD(ROW()-ROW($B$2),16)=0,INDEX($M$2:$M$1000,(ROW()-ROW($B$2))/16+1),"")</f>
        <v/>
      </c>
    </row>
    <row r="5178" spans="14:14" x14ac:dyDescent="0.3">
      <c r="N5178" t="str" cm="1">
        <f t="array" ref="N5178">IF(MOD(ROW()-ROW($B$2),16)=0,INDEX($M$2:$M$1000,(ROW()-ROW($B$2))/16+1),"")</f>
        <v/>
      </c>
    </row>
    <row r="5179" spans="14:14" x14ac:dyDescent="0.3">
      <c r="N5179" t="str" cm="1">
        <f t="array" ref="N5179">IF(MOD(ROW()-ROW($B$2),16)=0,INDEX($M$2:$M$1000,(ROW()-ROW($B$2))/16+1),"")</f>
        <v/>
      </c>
    </row>
    <row r="5180" spans="14:14" x14ac:dyDescent="0.3">
      <c r="N5180" t="str" cm="1">
        <f t="array" ref="N5180">IF(MOD(ROW()-ROW($B$2),16)=0,INDEX($M$2:$M$1000,(ROW()-ROW($B$2))/16+1),"")</f>
        <v/>
      </c>
    </row>
    <row r="5181" spans="14:14" x14ac:dyDescent="0.3">
      <c r="N5181" t="str" cm="1">
        <f t="array" ref="N5181">IF(MOD(ROW()-ROW($B$2),16)=0,INDEX($M$2:$M$1000,(ROW()-ROW($B$2))/16+1),"")</f>
        <v/>
      </c>
    </row>
    <row r="5182" spans="14:14" x14ac:dyDescent="0.3">
      <c r="N5182" t="str" cm="1">
        <f t="array" ref="N5182">IF(MOD(ROW()-ROW($B$2),16)=0,INDEX($M$2:$M$1000,(ROW()-ROW($B$2))/16+1),"")</f>
        <v/>
      </c>
    </row>
    <row r="5183" spans="14:14" x14ac:dyDescent="0.3">
      <c r="N5183" t="str" cm="1">
        <f t="array" ref="N5183">IF(MOD(ROW()-ROW($B$2),16)=0,INDEX($M$2:$M$1000,(ROW()-ROW($B$2))/16+1),"")</f>
        <v/>
      </c>
    </row>
    <row r="5184" spans="14:14" x14ac:dyDescent="0.3">
      <c r="N5184" t="str" cm="1">
        <f t="array" ref="N5184">IF(MOD(ROW()-ROW($B$2),16)=0,INDEX($M$2:$M$1000,(ROW()-ROW($B$2))/16+1),"")</f>
        <v/>
      </c>
    </row>
    <row r="5185" spans="14:14" x14ac:dyDescent="0.3">
      <c r="N5185" t="str" cm="1">
        <f t="array" ref="N5185">IF(MOD(ROW()-ROW($B$2),16)=0,INDEX($M$2:$M$1000,(ROW()-ROW($B$2))/16+1),"")</f>
        <v/>
      </c>
    </row>
    <row r="5186" spans="14:14" x14ac:dyDescent="0.3">
      <c r="N5186" t="str" cm="1">
        <f t="array" ref="N5186">IF(MOD(ROW()-ROW($B$2),16)=0,INDEX($M$2:$M$1000,(ROW()-ROW($B$2))/16+1),"")</f>
        <v>Номер кастомной программы обдува перед установкой (0)</v>
      </c>
    </row>
    <row r="5187" spans="14:14" x14ac:dyDescent="0.3">
      <c r="N5187" t="str" cm="1">
        <f t="array" ref="N5187">IF(MOD(ROW()-ROW($B$2),16)=0,INDEX($M$2:$M$1000,(ROW()-ROW($B$2))/16+1),"")</f>
        <v/>
      </c>
    </row>
    <row r="5188" spans="14:14" x14ac:dyDescent="0.3">
      <c r="N5188" t="str" cm="1">
        <f t="array" ref="N5188">IF(MOD(ROW()-ROW($B$2),16)=0,INDEX($M$2:$M$1000,(ROW()-ROW($B$2))/16+1),"")</f>
        <v/>
      </c>
    </row>
    <row r="5189" spans="14:14" x14ac:dyDescent="0.3">
      <c r="N5189" t="str" cm="1">
        <f t="array" ref="N5189">IF(MOD(ROW()-ROW($B$2),16)=0,INDEX($M$2:$M$1000,(ROW()-ROW($B$2))/16+1),"")</f>
        <v/>
      </c>
    </row>
    <row r="5190" spans="14:14" x14ac:dyDescent="0.3">
      <c r="N5190" t="str" cm="1">
        <f t="array" ref="N5190">IF(MOD(ROW()-ROW($B$2),16)=0,INDEX($M$2:$M$1000,(ROW()-ROW($B$2))/16+1),"")</f>
        <v/>
      </c>
    </row>
    <row r="5191" spans="14:14" x14ac:dyDescent="0.3">
      <c r="N5191" t="str" cm="1">
        <f t="array" ref="N5191">IF(MOD(ROW()-ROW($B$2),16)=0,INDEX($M$2:$M$1000,(ROW()-ROW($B$2))/16+1),"")</f>
        <v/>
      </c>
    </row>
    <row r="5192" spans="14:14" x14ac:dyDescent="0.3">
      <c r="N5192" t="str" cm="1">
        <f t="array" ref="N5192">IF(MOD(ROW()-ROW($B$2),16)=0,INDEX($M$2:$M$1000,(ROW()-ROW($B$2))/16+1),"")</f>
        <v/>
      </c>
    </row>
    <row r="5193" spans="14:14" x14ac:dyDescent="0.3">
      <c r="N5193" t="str" cm="1">
        <f t="array" ref="N5193">IF(MOD(ROW()-ROW($B$2),16)=0,INDEX($M$2:$M$1000,(ROW()-ROW($B$2))/16+1),"")</f>
        <v/>
      </c>
    </row>
    <row r="5194" spans="14:14" x14ac:dyDescent="0.3">
      <c r="N5194" t="str" cm="1">
        <f t="array" ref="N5194">IF(MOD(ROW()-ROW($B$2),16)=0,INDEX($M$2:$M$1000,(ROW()-ROW($B$2))/16+1),"")</f>
        <v/>
      </c>
    </row>
    <row r="5195" spans="14:14" x14ac:dyDescent="0.3">
      <c r="N5195" t="str" cm="1">
        <f t="array" ref="N5195">IF(MOD(ROW()-ROW($B$2),16)=0,INDEX($M$2:$M$1000,(ROW()-ROW($B$2))/16+1),"")</f>
        <v/>
      </c>
    </row>
    <row r="5196" spans="14:14" x14ac:dyDescent="0.3">
      <c r="N5196" t="str" cm="1">
        <f t="array" ref="N5196">IF(MOD(ROW()-ROW($B$2),16)=0,INDEX($M$2:$M$1000,(ROW()-ROW($B$2))/16+1),"")</f>
        <v/>
      </c>
    </row>
    <row r="5197" spans="14:14" x14ac:dyDescent="0.3">
      <c r="N5197" t="str" cm="1">
        <f t="array" ref="N5197">IF(MOD(ROW()-ROW($B$2),16)=0,INDEX($M$2:$M$1000,(ROW()-ROW($B$2))/16+1),"")</f>
        <v/>
      </c>
    </row>
    <row r="5198" spans="14:14" x14ac:dyDescent="0.3">
      <c r="N5198" t="str" cm="1">
        <f t="array" ref="N5198">IF(MOD(ROW()-ROW($B$2),16)=0,INDEX($M$2:$M$1000,(ROW()-ROW($B$2))/16+1),"")</f>
        <v/>
      </c>
    </row>
    <row r="5199" spans="14:14" x14ac:dyDescent="0.3">
      <c r="N5199" t="str" cm="1">
        <f t="array" ref="N5199">IF(MOD(ROW()-ROW($B$2),16)=0,INDEX($M$2:$M$1000,(ROW()-ROW($B$2))/16+1),"")</f>
        <v/>
      </c>
    </row>
    <row r="5200" spans="14:14" x14ac:dyDescent="0.3">
      <c r="N5200" t="str" cm="1">
        <f t="array" ref="N5200">IF(MOD(ROW()-ROW($B$2),16)=0,INDEX($M$2:$M$1000,(ROW()-ROW($B$2))/16+1),"")</f>
        <v/>
      </c>
    </row>
    <row r="5201" spans="14:14" x14ac:dyDescent="0.3">
      <c r="N5201" t="str" cm="1">
        <f t="array" ref="N5201">IF(MOD(ROW()-ROW($B$2),16)=0,INDEX($M$2:$M$1000,(ROW()-ROW($B$2))/16+1),"")</f>
        <v/>
      </c>
    </row>
    <row r="5202" spans="14:14" x14ac:dyDescent="0.3">
      <c r="N5202" t="str" cm="1">
        <f t="array" ref="N5202">IF(MOD(ROW()-ROW($B$2),16)=0,INDEX($M$2:$M$1000,(ROW()-ROW($B$2))/16+1),"")</f>
        <v>Номер кастомной программы обдува после установки (0)</v>
      </c>
    </row>
    <row r="5203" spans="14:14" x14ac:dyDescent="0.3">
      <c r="N5203" t="str" cm="1">
        <f t="array" ref="N5203">IF(MOD(ROW()-ROW($B$2),16)=0,INDEX($M$2:$M$1000,(ROW()-ROW($B$2))/16+1),"")</f>
        <v/>
      </c>
    </row>
    <row r="5204" spans="14:14" x14ac:dyDescent="0.3">
      <c r="N5204" t="str" cm="1">
        <f t="array" ref="N5204">IF(MOD(ROW()-ROW($B$2),16)=0,INDEX($M$2:$M$1000,(ROW()-ROW($B$2))/16+1),"")</f>
        <v/>
      </c>
    </row>
    <row r="5205" spans="14:14" x14ac:dyDescent="0.3">
      <c r="N5205" t="str" cm="1">
        <f t="array" ref="N5205">IF(MOD(ROW()-ROW($B$2),16)=0,INDEX($M$2:$M$1000,(ROW()-ROW($B$2))/16+1),"")</f>
        <v/>
      </c>
    </row>
    <row r="5206" spans="14:14" x14ac:dyDescent="0.3">
      <c r="N5206" t="str" cm="1">
        <f t="array" ref="N5206">IF(MOD(ROW()-ROW($B$2),16)=0,INDEX($M$2:$M$1000,(ROW()-ROW($B$2))/16+1),"")</f>
        <v/>
      </c>
    </row>
    <row r="5207" spans="14:14" x14ac:dyDescent="0.3">
      <c r="N5207" t="str" cm="1">
        <f t="array" ref="N5207">IF(MOD(ROW()-ROW($B$2),16)=0,INDEX($M$2:$M$1000,(ROW()-ROW($B$2))/16+1),"")</f>
        <v/>
      </c>
    </row>
    <row r="5208" spans="14:14" x14ac:dyDescent="0.3">
      <c r="N5208" t="str" cm="1">
        <f t="array" ref="N5208">IF(MOD(ROW()-ROW($B$2),16)=0,INDEX($M$2:$M$1000,(ROW()-ROW($B$2))/16+1),"")</f>
        <v/>
      </c>
    </row>
    <row r="5209" spans="14:14" x14ac:dyDescent="0.3">
      <c r="N5209" t="str" cm="1">
        <f t="array" ref="N5209">IF(MOD(ROW()-ROW($B$2),16)=0,INDEX($M$2:$M$1000,(ROW()-ROW($B$2))/16+1),"")</f>
        <v/>
      </c>
    </row>
    <row r="5210" spans="14:14" x14ac:dyDescent="0.3">
      <c r="N5210" t="str" cm="1">
        <f t="array" ref="N5210">IF(MOD(ROW()-ROW($B$2),16)=0,INDEX($M$2:$M$1000,(ROW()-ROW($B$2))/16+1),"")</f>
        <v/>
      </c>
    </row>
    <row r="5211" spans="14:14" x14ac:dyDescent="0.3">
      <c r="N5211" t="str" cm="1">
        <f t="array" ref="N5211">IF(MOD(ROW()-ROW($B$2),16)=0,INDEX($M$2:$M$1000,(ROW()-ROW($B$2))/16+1),"")</f>
        <v/>
      </c>
    </row>
    <row r="5212" spans="14:14" x14ac:dyDescent="0.3">
      <c r="N5212" t="str" cm="1">
        <f t="array" ref="N5212">IF(MOD(ROW()-ROW($B$2),16)=0,INDEX($M$2:$M$1000,(ROW()-ROW($B$2))/16+1),"")</f>
        <v/>
      </c>
    </row>
    <row r="5213" spans="14:14" x14ac:dyDescent="0.3">
      <c r="N5213" t="str" cm="1">
        <f t="array" ref="N5213">IF(MOD(ROW()-ROW($B$2),16)=0,INDEX($M$2:$M$1000,(ROW()-ROW($B$2))/16+1),"")</f>
        <v/>
      </c>
    </row>
    <row r="5214" spans="14:14" x14ac:dyDescent="0.3">
      <c r="N5214" t="str" cm="1">
        <f t="array" ref="N5214">IF(MOD(ROW()-ROW($B$2),16)=0,INDEX($M$2:$M$1000,(ROW()-ROW($B$2))/16+1),"")</f>
        <v/>
      </c>
    </row>
    <row r="5215" spans="14:14" x14ac:dyDescent="0.3">
      <c r="N5215" t="str" cm="1">
        <f t="array" ref="N5215">IF(MOD(ROW()-ROW($B$2),16)=0,INDEX($M$2:$M$1000,(ROW()-ROW($B$2))/16+1),"")</f>
        <v/>
      </c>
    </row>
    <row r="5216" spans="14:14" x14ac:dyDescent="0.3">
      <c r="N5216" t="str" cm="1">
        <f t="array" ref="N5216">IF(MOD(ROW()-ROW($B$2),16)=0,INDEX($M$2:$M$1000,(ROW()-ROW($B$2))/16+1),"")</f>
        <v/>
      </c>
    </row>
    <row r="5217" spans="14:14" x14ac:dyDescent="0.3">
      <c r="N5217" t="str" cm="1">
        <f t="array" ref="N5217">IF(MOD(ROW()-ROW($B$2),16)=0,INDEX($M$2:$M$1000,(ROW()-ROW($B$2))/16+1),"")</f>
        <v/>
      </c>
    </row>
    <row r="5218" spans="14:14" x14ac:dyDescent="0.3">
      <c r="N5218" t="str" cm="1">
        <f t="array" ref="N5218">IF(MOD(ROW()-ROW($B$2),16)=0,INDEX($M$2:$M$1000,(ROW()-ROW($B$2))/16+1),"")</f>
        <v>Резерв (0)</v>
      </c>
    </row>
    <row r="5219" spans="14:14" x14ac:dyDescent="0.3">
      <c r="N5219" t="str" cm="1">
        <f t="array" ref="N5219">IF(MOD(ROW()-ROW($B$2),16)=0,INDEX($M$2:$M$1000,(ROW()-ROW($B$2))/16+1),"")</f>
        <v/>
      </c>
    </row>
    <row r="5220" spans="14:14" x14ac:dyDescent="0.3">
      <c r="N5220" t="str" cm="1">
        <f t="array" ref="N5220">IF(MOD(ROW()-ROW($B$2),16)=0,INDEX($M$2:$M$1000,(ROW()-ROW($B$2))/16+1),"")</f>
        <v/>
      </c>
    </row>
    <row r="5221" spans="14:14" x14ac:dyDescent="0.3">
      <c r="N5221" t="str" cm="1">
        <f t="array" ref="N5221">IF(MOD(ROW()-ROW($B$2),16)=0,INDEX($M$2:$M$1000,(ROW()-ROW($B$2))/16+1),"")</f>
        <v/>
      </c>
    </row>
    <row r="5222" spans="14:14" x14ac:dyDescent="0.3">
      <c r="N5222" t="str" cm="1">
        <f t="array" ref="N5222">IF(MOD(ROW()-ROW($B$2),16)=0,INDEX($M$2:$M$1000,(ROW()-ROW($B$2))/16+1),"")</f>
        <v/>
      </c>
    </row>
    <row r="5223" spans="14:14" x14ac:dyDescent="0.3">
      <c r="N5223" t="str" cm="1">
        <f t="array" ref="N5223">IF(MOD(ROW()-ROW($B$2),16)=0,INDEX($M$2:$M$1000,(ROW()-ROW($B$2))/16+1),"")</f>
        <v/>
      </c>
    </row>
    <row r="5224" spans="14:14" x14ac:dyDescent="0.3">
      <c r="N5224" t="str" cm="1">
        <f t="array" ref="N5224">IF(MOD(ROW()-ROW($B$2),16)=0,INDEX($M$2:$M$1000,(ROW()-ROW($B$2))/16+1),"")</f>
        <v/>
      </c>
    </row>
    <row r="5225" spans="14:14" x14ac:dyDescent="0.3">
      <c r="N5225" t="str" cm="1">
        <f t="array" ref="N5225">IF(MOD(ROW()-ROW($B$2),16)=0,INDEX($M$2:$M$1000,(ROW()-ROW($B$2))/16+1),"")</f>
        <v/>
      </c>
    </row>
    <row r="5226" spans="14:14" x14ac:dyDescent="0.3">
      <c r="N5226" t="str" cm="1">
        <f t="array" ref="N5226">IF(MOD(ROW()-ROW($B$2),16)=0,INDEX($M$2:$M$1000,(ROW()-ROW($B$2))/16+1),"")</f>
        <v/>
      </c>
    </row>
    <row r="5227" spans="14:14" x14ac:dyDescent="0.3">
      <c r="N5227" t="str" cm="1">
        <f t="array" ref="N5227">IF(MOD(ROW()-ROW($B$2),16)=0,INDEX($M$2:$M$1000,(ROW()-ROW($B$2))/16+1),"")</f>
        <v/>
      </c>
    </row>
    <row r="5228" spans="14:14" x14ac:dyDescent="0.3">
      <c r="N5228" t="str" cm="1">
        <f t="array" ref="N5228">IF(MOD(ROW()-ROW($B$2),16)=0,INDEX($M$2:$M$1000,(ROW()-ROW($B$2))/16+1),"")</f>
        <v/>
      </c>
    </row>
    <row r="5229" spans="14:14" x14ac:dyDescent="0.3">
      <c r="N5229" t="str" cm="1">
        <f t="array" ref="N5229">IF(MOD(ROW()-ROW($B$2),16)=0,INDEX($M$2:$M$1000,(ROW()-ROW($B$2))/16+1),"")</f>
        <v/>
      </c>
    </row>
    <row r="5230" spans="14:14" x14ac:dyDescent="0.3">
      <c r="N5230" t="str" cm="1">
        <f t="array" ref="N5230">IF(MOD(ROW()-ROW($B$2),16)=0,INDEX($M$2:$M$1000,(ROW()-ROW($B$2))/16+1),"")</f>
        <v/>
      </c>
    </row>
    <row r="5231" spans="14:14" x14ac:dyDescent="0.3">
      <c r="N5231" t="str" cm="1">
        <f t="array" ref="N5231">IF(MOD(ROW()-ROW($B$2),16)=0,INDEX($M$2:$M$1000,(ROW()-ROW($B$2))/16+1),"")</f>
        <v/>
      </c>
    </row>
    <row r="5232" spans="14:14" x14ac:dyDescent="0.3">
      <c r="N5232" t="str" cm="1">
        <f t="array" ref="N5232">IF(MOD(ROW()-ROW($B$2),16)=0,INDEX($M$2:$M$1000,(ROW()-ROW($B$2))/16+1),"")</f>
        <v/>
      </c>
    </row>
    <row r="5233" spans="14:14" x14ac:dyDescent="0.3">
      <c r="N5233" t="str" cm="1">
        <f t="array" ref="N5233">IF(MOD(ROW()-ROW($B$2),16)=0,INDEX($M$2:$M$1000,(ROW()-ROW($B$2))/16+1),"")</f>
        <v/>
      </c>
    </row>
    <row r="5234" spans="14:14" x14ac:dyDescent="0.3">
      <c r="N5234" t="str" cm="1">
        <f t="array" ref="N5234">IF(MOD(ROW()-ROW($B$2),16)=0,INDEX($M$2:$M$1000,(ROW()-ROW($B$2))/16+1),"")</f>
        <v>Резерв (0)</v>
      </c>
    </row>
    <row r="5235" spans="14:14" x14ac:dyDescent="0.3">
      <c r="N5235" t="str" cm="1">
        <f t="array" ref="N5235">IF(MOD(ROW()-ROW($B$2),16)=0,INDEX($M$2:$M$1000,(ROW()-ROW($B$2))/16+1),"")</f>
        <v/>
      </c>
    </row>
    <row r="5236" spans="14:14" x14ac:dyDescent="0.3">
      <c r="N5236" t="str" cm="1">
        <f t="array" ref="N5236">IF(MOD(ROW()-ROW($B$2),16)=0,INDEX($M$2:$M$1000,(ROW()-ROW($B$2))/16+1),"")</f>
        <v/>
      </c>
    </row>
    <row r="5237" spans="14:14" x14ac:dyDescent="0.3">
      <c r="N5237" t="str" cm="1">
        <f t="array" ref="N5237">IF(MOD(ROW()-ROW($B$2),16)=0,INDEX($M$2:$M$1000,(ROW()-ROW($B$2))/16+1),"")</f>
        <v/>
      </c>
    </row>
    <row r="5238" spans="14:14" x14ac:dyDescent="0.3">
      <c r="N5238" t="str" cm="1">
        <f t="array" ref="N5238">IF(MOD(ROW()-ROW($B$2),16)=0,INDEX($M$2:$M$1000,(ROW()-ROW($B$2))/16+1),"")</f>
        <v/>
      </c>
    </row>
    <row r="5239" spans="14:14" x14ac:dyDescent="0.3">
      <c r="N5239" t="str" cm="1">
        <f t="array" ref="N5239">IF(MOD(ROW()-ROW($B$2),16)=0,INDEX($M$2:$M$1000,(ROW()-ROW($B$2))/16+1),"")</f>
        <v/>
      </c>
    </row>
    <row r="5240" spans="14:14" x14ac:dyDescent="0.3">
      <c r="N5240" t="str" cm="1">
        <f t="array" ref="N5240">IF(MOD(ROW()-ROW($B$2),16)=0,INDEX($M$2:$M$1000,(ROW()-ROW($B$2))/16+1),"")</f>
        <v/>
      </c>
    </row>
    <row r="5241" spans="14:14" x14ac:dyDescent="0.3">
      <c r="N5241" t="str" cm="1">
        <f t="array" ref="N5241">IF(MOD(ROW()-ROW($B$2),16)=0,INDEX($M$2:$M$1000,(ROW()-ROW($B$2))/16+1),"")</f>
        <v/>
      </c>
    </row>
    <row r="5242" spans="14:14" x14ac:dyDescent="0.3">
      <c r="N5242" t="str" cm="1">
        <f t="array" ref="N5242">IF(MOD(ROW()-ROW($B$2),16)=0,INDEX($M$2:$M$1000,(ROW()-ROW($B$2))/16+1),"")</f>
        <v/>
      </c>
    </row>
    <row r="5243" spans="14:14" x14ac:dyDescent="0.3">
      <c r="N5243" t="str" cm="1">
        <f t="array" ref="N5243">IF(MOD(ROW()-ROW($B$2),16)=0,INDEX($M$2:$M$1000,(ROW()-ROW($B$2))/16+1),"")</f>
        <v/>
      </c>
    </row>
    <row r="5244" spans="14:14" x14ac:dyDescent="0.3">
      <c r="N5244" t="str" cm="1">
        <f t="array" ref="N5244">IF(MOD(ROW()-ROW($B$2),16)=0,INDEX($M$2:$M$1000,(ROW()-ROW($B$2))/16+1),"")</f>
        <v/>
      </c>
    </row>
    <row r="5245" spans="14:14" x14ac:dyDescent="0.3">
      <c r="N5245" t="str" cm="1">
        <f t="array" ref="N5245">IF(MOD(ROW()-ROW($B$2),16)=0,INDEX($M$2:$M$1000,(ROW()-ROW($B$2))/16+1),"")</f>
        <v/>
      </c>
    </row>
    <row r="5246" spans="14:14" x14ac:dyDescent="0.3">
      <c r="N5246" t="str" cm="1">
        <f t="array" ref="N5246">IF(MOD(ROW()-ROW($B$2),16)=0,INDEX($M$2:$M$1000,(ROW()-ROW($B$2))/16+1),"")</f>
        <v/>
      </c>
    </row>
    <row r="5247" spans="14:14" x14ac:dyDescent="0.3">
      <c r="N5247" t="str" cm="1">
        <f t="array" ref="N5247">IF(MOD(ROW()-ROW($B$2),16)=0,INDEX($M$2:$M$1000,(ROW()-ROW($B$2))/16+1),"")</f>
        <v/>
      </c>
    </row>
    <row r="5248" spans="14:14" x14ac:dyDescent="0.3">
      <c r="N5248" t="str" cm="1">
        <f t="array" ref="N5248">IF(MOD(ROW()-ROW($B$2),16)=0,INDEX($M$2:$M$1000,(ROW()-ROW($B$2))/16+1),"")</f>
        <v/>
      </c>
    </row>
    <row r="5249" spans="14:14" x14ac:dyDescent="0.3">
      <c r="N5249" t="str" cm="1">
        <f t="array" ref="N5249">IF(MOD(ROW()-ROW($B$2),16)=0,INDEX($M$2:$M$1000,(ROW()-ROW($B$2))/16+1),"")</f>
        <v/>
      </c>
    </row>
    <row r="5250" spans="14:14" x14ac:dyDescent="0.3">
      <c r="N5250" t="str" cm="1">
        <f t="array" ref="N5250">IF(MOD(ROW()-ROW($B$2),16)=0,INDEX($M$2:$M$1000,(ROW()-ROW($B$2))/16+1),"")</f>
        <v>Резерв (0)</v>
      </c>
    </row>
    <row r="5251" spans="14:14" x14ac:dyDescent="0.3">
      <c r="N5251" t="str" cm="1">
        <f t="array" ref="N5251">IF(MOD(ROW()-ROW($B$2),16)=0,INDEX($M$2:$M$1000,(ROW()-ROW($B$2))/16+1),"")</f>
        <v/>
      </c>
    </row>
    <row r="5252" spans="14:14" x14ac:dyDescent="0.3">
      <c r="N5252" t="str" cm="1">
        <f t="array" ref="N5252">IF(MOD(ROW()-ROW($B$2),16)=0,INDEX($M$2:$M$1000,(ROW()-ROW($B$2))/16+1),"")</f>
        <v/>
      </c>
    </row>
    <row r="5253" spans="14:14" x14ac:dyDescent="0.3">
      <c r="N5253" t="str" cm="1">
        <f t="array" ref="N5253">IF(MOD(ROW()-ROW($B$2),16)=0,INDEX($M$2:$M$1000,(ROW()-ROW($B$2))/16+1),"")</f>
        <v/>
      </c>
    </row>
    <row r="5254" spans="14:14" x14ac:dyDescent="0.3">
      <c r="N5254" t="str" cm="1">
        <f t="array" ref="N5254">IF(MOD(ROW()-ROW($B$2),16)=0,INDEX($M$2:$M$1000,(ROW()-ROW($B$2))/16+1),"")</f>
        <v/>
      </c>
    </row>
    <row r="5255" spans="14:14" x14ac:dyDescent="0.3">
      <c r="N5255" t="str" cm="1">
        <f t="array" ref="N5255">IF(MOD(ROW()-ROW($B$2),16)=0,INDEX($M$2:$M$1000,(ROW()-ROW($B$2))/16+1),"")</f>
        <v/>
      </c>
    </row>
    <row r="5256" spans="14:14" x14ac:dyDescent="0.3">
      <c r="N5256" t="str" cm="1">
        <f t="array" ref="N5256">IF(MOD(ROW()-ROW($B$2),16)=0,INDEX($M$2:$M$1000,(ROW()-ROW($B$2))/16+1),"")</f>
        <v/>
      </c>
    </row>
    <row r="5257" spans="14:14" x14ac:dyDescent="0.3">
      <c r="N5257" t="str" cm="1">
        <f t="array" ref="N5257">IF(MOD(ROW()-ROW($B$2),16)=0,INDEX($M$2:$M$1000,(ROW()-ROW($B$2))/16+1),"")</f>
        <v/>
      </c>
    </row>
    <row r="5258" spans="14:14" x14ac:dyDescent="0.3">
      <c r="N5258" t="str" cm="1">
        <f t="array" ref="N5258">IF(MOD(ROW()-ROW($B$2),16)=0,INDEX($M$2:$M$1000,(ROW()-ROW($B$2))/16+1),"")</f>
        <v/>
      </c>
    </row>
    <row r="5259" spans="14:14" x14ac:dyDescent="0.3">
      <c r="N5259" t="str" cm="1">
        <f t="array" ref="N5259">IF(MOD(ROW()-ROW($B$2),16)=0,INDEX($M$2:$M$1000,(ROW()-ROW($B$2))/16+1),"")</f>
        <v/>
      </c>
    </row>
    <row r="5260" spans="14:14" x14ac:dyDescent="0.3">
      <c r="N5260" t="str" cm="1">
        <f t="array" ref="N5260">IF(MOD(ROW()-ROW($B$2),16)=0,INDEX($M$2:$M$1000,(ROW()-ROW($B$2))/16+1),"")</f>
        <v/>
      </c>
    </row>
    <row r="5261" spans="14:14" x14ac:dyDescent="0.3">
      <c r="N5261" t="str" cm="1">
        <f t="array" ref="N5261">IF(MOD(ROW()-ROW($B$2),16)=0,INDEX($M$2:$M$1000,(ROW()-ROW($B$2))/16+1),"")</f>
        <v/>
      </c>
    </row>
    <row r="5262" spans="14:14" x14ac:dyDescent="0.3">
      <c r="N5262" t="str" cm="1">
        <f t="array" ref="N5262">IF(MOD(ROW()-ROW($B$2),16)=0,INDEX($M$2:$M$1000,(ROW()-ROW($B$2))/16+1),"")</f>
        <v/>
      </c>
    </row>
    <row r="5263" spans="14:14" x14ac:dyDescent="0.3">
      <c r="N5263" t="str" cm="1">
        <f t="array" ref="N5263">IF(MOD(ROW()-ROW($B$2),16)=0,INDEX($M$2:$M$1000,(ROW()-ROW($B$2))/16+1),"")</f>
        <v/>
      </c>
    </row>
    <row r="5264" spans="14:14" x14ac:dyDescent="0.3">
      <c r="N5264" t="str" cm="1">
        <f t="array" ref="N5264">IF(MOD(ROW()-ROW($B$2),16)=0,INDEX($M$2:$M$1000,(ROW()-ROW($B$2))/16+1),"")</f>
        <v/>
      </c>
    </row>
    <row r="5265" spans="14:14" x14ac:dyDescent="0.3">
      <c r="N5265" t="str" cm="1">
        <f t="array" ref="N5265">IF(MOD(ROW()-ROW($B$2),16)=0,INDEX($M$2:$M$1000,(ROW()-ROW($B$2))/16+1),"")</f>
        <v/>
      </c>
    </row>
    <row r="5266" spans="14:14" x14ac:dyDescent="0.3">
      <c r="N5266" t="str" cm="1">
        <f t="array" ref="N5266">IF(MOD(ROW()-ROW($B$2),16)=0,INDEX($M$2:$M$1000,(ROW()-ROW($B$2))/16+1),"")</f>
        <v>Резерв (0)</v>
      </c>
    </row>
    <row r="5267" spans="14:14" x14ac:dyDescent="0.3">
      <c r="N5267" t="str" cm="1">
        <f t="array" ref="N5267">IF(MOD(ROW()-ROW($B$2),16)=0,INDEX($M$2:$M$1000,(ROW()-ROW($B$2))/16+1),"")</f>
        <v/>
      </c>
    </row>
    <row r="5268" spans="14:14" x14ac:dyDescent="0.3">
      <c r="N5268" t="str" cm="1">
        <f t="array" ref="N5268">IF(MOD(ROW()-ROW($B$2),16)=0,INDEX($M$2:$M$1000,(ROW()-ROW($B$2))/16+1),"")</f>
        <v/>
      </c>
    </row>
    <row r="5269" spans="14:14" x14ac:dyDescent="0.3">
      <c r="N5269" t="str" cm="1">
        <f t="array" ref="N5269">IF(MOD(ROW()-ROW($B$2),16)=0,INDEX($M$2:$M$1000,(ROW()-ROW($B$2))/16+1),"")</f>
        <v/>
      </c>
    </row>
    <row r="5270" spans="14:14" x14ac:dyDescent="0.3">
      <c r="N5270" t="str" cm="1">
        <f t="array" ref="N5270">IF(MOD(ROW()-ROW($B$2),16)=0,INDEX($M$2:$M$1000,(ROW()-ROW($B$2))/16+1),"")</f>
        <v/>
      </c>
    </row>
    <row r="5271" spans="14:14" x14ac:dyDescent="0.3">
      <c r="N5271" t="str" cm="1">
        <f t="array" ref="N5271">IF(MOD(ROW()-ROW($B$2),16)=0,INDEX($M$2:$M$1000,(ROW()-ROW($B$2))/16+1),"")</f>
        <v/>
      </c>
    </row>
    <row r="5272" spans="14:14" x14ac:dyDescent="0.3">
      <c r="N5272" t="str" cm="1">
        <f t="array" ref="N5272">IF(MOD(ROW()-ROW($B$2),16)=0,INDEX($M$2:$M$1000,(ROW()-ROW($B$2))/16+1),"")</f>
        <v/>
      </c>
    </row>
    <row r="5273" spans="14:14" x14ac:dyDescent="0.3">
      <c r="N5273" t="str" cm="1">
        <f t="array" ref="N5273">IF(MOD(ROW()-ROW($B$2),16)=0,INDEX($M$2:$M$1000,(ROW()-ROW($B$2))/16+1),"")</f>
        <v/>
      </c>
    </row>
    <row r="5274" spans="14:14" x14ac:dyDescent="0.3">
      <c r="N5274" t="str" cm="1">
        <f t="array" ref="N5274">IF(MOD(ROW()-ROW($B$2),16)=0,INDEX($M$2:$M$1000,(ROW()-ROW($B$2))/16+1),"")</f>
        <v/>
      </c>
    </row>
    <row r="5275" spans="14:14" x14ac:dyDescent="0.3">
      <c r="N5275" t="str" cm="1">
        <f t="array" ref="N5275">IF(MOD(ROW()-ROW($B$2),16)=0,INDEX($M$2:$M$1000,(ROW()-ROW($B$2))/16+1),"")</f>
        <v/>
      </c>
    </row>
    <row r="5276" spans="14:14" x14ac:dyDescent="0.3">
      <c r="N5276" t="str" cm="1">
        <f t="array" ref="N5276">IF(MOD(ROW()-ROW($B$2),16)=0,INDEX($M$2:$M$1000,(ROW()-ROW($B$2))/16+1),"")</f>
        <v/>
      </c>
    </row>
    <row r="5277" spans="14:14" x14ac:dyDescent="0.3">
      <c r="N5277" t="str" cm="1">
        <f t="array" ref="N5277">IF(MOD(ROW()-ROW($B$2),16)=0,INDEX($M$2:$M$1000,(ROW()-ROW($B$2))/16+1),"")</f>
        <v/>
      </c>
    </row>
    <row r="5278" spans="14:14" x14ac:dyDescent="0.3">
      <c r="N5278" t="str" cm="1">
        <f t="array" ref="N5278">IF(MOD(ROW()-ROW($B$2),16)=0,INDEX($M$2:$M$1000,(ROW()-ROW($B$2))/16+1),"")</f>
        <v/>
      </c>
    </row>
    <row r="5279" spans="14:14" x14ac:dyDescent="0.3">
      <c r="N5279" t="str" cm="1">
        <f t="array" ref="N5279">IF(MOD(ROW()-ROW($B$2),16)=0,INDEX($M$2:$M$1000,(ROW()-ROW($B$2))/16+1),"")</f>
        <v/>
      </c>
    </row>
    <row r="5280" spans="14:14" x14ac:dyDescent="0.3">
      <c r="N5280" t="str" cm="1">
        <f t="array" ref="N5280">IF(MOD(ROW()-ROW($B$2),16)=0,INDEX($M$2:$M$1000,(ROW()-ROW($B$2))/16+1),"")</f>
        <v/>
      </c>
    </row>
    <row r="5281" spans="14:14" x14ac:dyDescent="0.3">
      <c r="N5281" t="str" cm="1">
        <f t="array" ref="N5281">IF(MOD(ROW()-ROW($B$2),16)=0,INDEX($M$2:$M$1000,(ROW()-ROW($B$2))/16+1),"")</f>
        <v/>
      </c>
    </row>
    <row r="5282" spans="14:14" x14ac:dyDescent="0.3">
      <c r="N5282" t="str" cm="1">
        <f t="array" ref="N5282">IF(MOD(ROW()-ROW($B$2),16)=0,INDEX($M$2:$M$1000,(ROW()-ROW($B$2))/16+1),"")</f>
        <v>Резерв (0)</v>
      </c>
    </row>
    <row r="5283" spans="14:14" x14ac:dyDescent="0.3">
      <c r="N5283" t="str" cm="1">
        <f t="array" ref="N5283">IF(MOD(ROW()-ROW($B$2),16)=0,INDEX($M$2:$M$1000,(ROW()-ROW($B$2))/16+1),"")</f>
        <v/>
      </c>
    </row>
    <row r="5284" spans="14:14" x14ac:dyDescent="0.3">
      <c r="N5284" t="str" cm="1">
        <f t="array" ref="N5284">IF(MOD(ROW()-ROW($B$2),16)=0,INDEX($M$2:$M$1000,(ROW()-ROW($B$2))/16+1),"")</f>
        <v/>
      </c>
    </row>
    <row r="5285" spans="14:14" x14ac:dyDescent="0.3">
      <c r="N5285" t="str" cm="1">
        <f t="array" ref="N5285">IF(MOD(ROW()-ROW($B$2),16)=0,INDEX($M$2:$M$1000,(ROW()-ROW($B$2))/16+1),"")</f>
        <v/>
      </c>
    </row>
    <row r="5286" spans="14:14" x14ac:dyDescent="0.3">
      <c r="N5286" t="str" cm="1">
        <f t="array" ref="N5286">IF(MOD(ROW()-ROW($B$2),16)=0,INDEX($M$2:$M$1000,(ROW()-ROW($B$2))/16+1),"")</f>
        <v/>
      </c>
    </row>
    <row r="5287" spans="14:14" x14ac:dyDescent="0.3">
      <c r="N5287" t="str" cm="1">
        <f t="array" ref="N5287">IF(MOD(ROW()-ROW($B$2),16)=0,INDEX($M$2:$M$1000,(ROW()-ROW($B$2))/16+1),"")</f>
        <v/>
      </c>
    </row>
    <row r="5288" spans="14:14" x14ac:dyDescent="0.3">
      <c r="N5288" t="str" cm="1">
        <f t="array" ref="N5288">IF(MOD(ROW()-ROW($B$2),16)=0,INDEX($M$2:$M$1000,(ROW()-ROW($B$2))/16+1),"")</f>
        <v/>
      </c>
    </row>
    <row r="5289" spans="14:14" x14ac:dyDescent="0.3">
      <c r="N5289" t="str" cm="1">
        <f t="array" ref="N5289">IF(MOD(ROW()-ROW($B$2),16)=0,INDEX($M$2:$M$1000,(ROW()-ROW($B$2))/16+1),"")</f>
        <v/>
      </c>
    </row>
    <row r="5290" spans="14:14" x14ac:dyDescent="0.3">
      <c r="N5290" t="str" cm="1">
        <f t="array" ref="N5290">IF(MOD(ROW()-ROW($B$2),16)=0,INDEX($M$2:$M$1000,(ROW()-ROW($B$2))/16+1),"")</f>
        <v/>
      </c>
    </row>
    <row r="5291" spans="14:14" x14ac:dyDescent="0.3">
      <c r="N5291" t="str" cm="1">
        <f t="array" ref="N5291">IF(MOD(ROW()-ROW($B$2),16)=0,INDEX($M$2:$M$1000,(ROW()-ROW($B$2))/16+1),"")</f>
        <v/>
      </c>
    </row>
    <row r="5292" spans="14:14" x14ac:dyDescent="0.3">
      <c r="N5292" t="str" cm="1">
        <f t="array" ref="N5292">IF(MOD(ROW()-ROW($B$2),16)=0,INDEX($M$2:$M$1000,(ROW()-ROW($B$2))/16+1),"")</f>
        <v/>
      </c>
    </row>
    <row r="5293" spans="14:14" x14ac:dyDescent="0.3">
      <c r="N5293" t="str" cm="1">
        <f t="array" ref="N5293">IF(MOD(ROW()-ROW($B$2),16)=0,INDEX($M$2:$M$1000,(ROW()-ROW($B$2))/16+1),"")</f>
        <v/>
      </c>
    </row>
    <row r="5294" spans="14:14" x14ac:dyDescent="0.3">
      <c r="N5294" t="str" cm="1">
        <f t="array" ref="N5294">IF(MOD(ROW()-ROW($B$2),16)=0,INDEX($M$2:$M$1000,(ROW()-ROW($B$2))/16+1),"")</f>
        <v/>
      </c>
    </row>
    <row r="5295" spans="14:14" x14ac:dyDescent="0.3">
      <c r="N5295" t="str" cm="1">
        <f t="array" ref="N5295">IF(MOD(ROW()-ROW($B$2),16)=0,INDEX($M$2:$M$1000,(ROW()-ROW($B$2))/16+1),"")</f>
        <v/>
      </c>
    </row>
    <row r="5296" spans="14:14" x14ac:dyDescent="0.3">
      <c r="N5296" t="str" cm="1">
        <f t="array" ref="N5296">IF(MOD(ROW()-ROW($B$2),16)=0,INDEX($M$2:$M$1000,(ROW()-ROW($B$2))/16+1),"")</f>
        <v/>
      </c>
    </row>
    <row r="5297" spans="14:14" x14ac:dyDescent="0.3">
      <c r="N5297" t="str" cm="1">
        <f t="array" ref="N5297">IF(MOD(ROW()-ROW($B$2),16)=0,INDEX($M$2:$M$1000,(ROW()-ROW($B$2))/16+1),"")</f>
        <v/>
      </c>
    </row>
    <row r="5298" spans="14:14" x14ac:dyDescent="0.3">
      <c r="N5298" t="str" cm="1">
        <f t="array" ref="N5298">IF(MOD(ROW()-ROW($B$2),16)=0,INDEX($M$2:$M$1000,(ROW()-ROW($B$2))/16+1),"")</f>
        <v>Резерв (0)</v>
      </c>
    </row>
    <row r="5299" spans="14:14" x14ac:dyDescent="0.3">
      <c r="N5299" t="str" cm="1">
        <f t="array" ref="N5299">IF(MOD(ROW()-ROW($B$2),16)=0,INDEX($M$2:$M$1000,(ROW()-ROW($B$2))/16+1),"")</f>
        <v/>
      </c>
    </row>
    <row r="5300" spans="14:14" x14ac:dyDescent="0.3">
      <c r="N5300" t="str" cm="1">
        <f t="array" ref="N5300">IF(MOD(ROW()-ROW($B$2),16)=0,INDEX($M$2:$M$1000,(ROW()-ROW($B$2))/16+1),"")</f>
        <v/>
      </c>
    </row>
    <row r="5301" spans="14:14" x14ac:dyDescent="0.3">
      <c r="N5301" t="str" cm="1">
        <f t="array" ref="N5301">IF(MOD(ROW()-ROW($B$2),16)=0,INDEX($M$2:$M$1000,(ROW()-ROW($B$2))/16+1),"")</f>
        <v/>
      </c>
    </row>
    <row r="5302" spans="14:14" x14ac:dyDescent="0.3">
      <c r="N5302" t="str" cm="1">
        <f t="array" ref="N5302">IF(MOD(ROW()-ROW($B$2),16)=0,INDEX($M$2:$M$1000,(ROW()-ROW($B$2))/16+1),"")</f>
        <v/>
      </c>
    </row>
    <row r="5303" spans="14:14" x14ac:dyDescent="0.3">
      <c r="N5303" t="str" cm="1">
        <f t="array" ref="N5303">IF(MOD(ROW()-ROW($B$2),16)=0,INDEX($M$2:$M$1000,(ROW()-ROW($B$2))/16+1),"")</f>
        <v/>
      </c>
    </row>
    <row r="5304" spans="14:14" x14ac:dyDescent="0.3">
      <c r="N5304" t="str" cm="1">
        <f t="array" ref="N5304">IF(MOD(ROW()-ROW($B$2),16)=0,INDEX($M$2:$M$1000,(ROW()-ROW($B$2))/16+1),"")</f>
        <v/>
      </c>
    </row>
    <row r="5305" spans="14:14" x14ac:dyDescent="0.3">
      <c r="N5305" t="str" cm="1">
        <f t="array" ref="N5305">IF(MOD(ROW()-ROW($B$2),16)=0,INDEX($M$2:$M$1000,(ROW()-ROW($B$2))/16+1),"")</f>
        <v/>
      </c>
    </row>
    <row r="5306" spans="14:14" x14ac:dyDescent="0.3">
      <c r="N5306" t="str" cm="1">
        <f t="array" ref="N5306">IF(MOD(ROW()-ROW($B$2),16)=0,INDEX($M$2:$M$1000,(ROW()-ROW($B$2))/16+1),"")</f>
        <v/>
      </c>
    </row>
    <row r="5307" spans="14:14" x14ac:dyDescent="0.3">
      <c r="N5307" t="str" cm="1">
        <f t="array" ref="N5307">IF(MOD(ROW()-ROW($B$2),16)=0,INDEX($M$2:$M$1000,(ROW()-ROW($B$2))/16+1),"")</f>
        <v/>
      </c>
    </row>
    <row r="5308" spans="14:14" x14ac:dyDescent="0.3">
      <c r="N5308" t="str" cm="1">
        <f t="array" ref="N5308">IF(MOD(ROW()-ROW($B$2),16)=0,INDEX($M$2:$M$1000,(ROW()-ROW($B$2))/16+1),"")</f>
        <v/>
      </c>
    </row>
    <row r="5309" spans="14:14" x14ac:dyDescent="0.3">
      <c r="N5309" t="str" cm="1">
        <f t="array" ref="N5309">IF(MOD(ROW()-ROW($B$2),16)=0,INDEX($M$2:$M$1000,(ROW()-ROW($B$2))/16+1),"")</f>
        <v/>
      </c>
    </row>
    <row r="5310" spans="14:14" x14ac:dyDescent="0.3">
      <c r="N5310" t="str" cm="1">
        <f t="array" ref="N5310">IF(MOD(ROW()-ROW($B$2),16)=0,INDEX($M$2:$M$1000,(ROW()-ROW($B$2))/16+1),"")</f>
        <v/>
      </c>
    </row>
    <row r="5311" spans="14:14" x14ac:dyDescent="0.3">
      <c r="N5311" t="str" cm="1">
        <f t="array" ref="N5311">IF(MOD(ROW()-ROW($B$2),16)=0,INDEX($M$2:$M$1000,(ROW()-ROW($B$2))/16+1),"")</f>
        <v/>
      </c>
    </row>
    <row r="5312" spans="14:14" x14ac:dyDescent="0.3">
      <c r="N5312" t="str" cm="1">
        <f t="array" ref="N5312">IF(MOD(ROW()-ROW($B$2),16)=0,INDEX($M$2:$M$1000,(ROW()-ROW($B$2))/16+1),"")</f>
        <v/>
      </c>
    </row>
    <row r="5313" spans="14:14" x14ac:dyDescent="0.3">
      <c r="N5313" t="str" cm="1">
        <f t="array" ref="N5313">IF(MOD(ROW()-ROW($B$2),16)=0,INDEX($M$2:$M$1000,(ROW()-ROW($B$2))/16+1),"")</f>
        <v/>
      </c>
    </row>
    <row r="5314" spans="14:14" x14ac:dyDescent="0.3">
      <c r="N5314" t="str" cm="1">
        <f t="array" ref="N5314">IF(MOD(ROW()-ROW($B$2),16)=0,INDEX($M$2:$M$1000,(ROW()-ROW($B$2))/16+1),"")</f>
        <v>Флаги задания (0)</v>
      </c>
    </row>
    <row r="5315" spans="14:14" x14ac:dyDescent="0.3">
      <c r="N5315" t="str" cm="1">
        <f t="array" ref="N5315">IF(MOD(ROW()-ROW($B$2),16)=0,INDEX($M$2:$M$1000,(ROW()-ROW($B$2))/16+1),"")</f>
        <v/>
      </c>
    </row>
    <row r="5316" spans="14:14" x14ac:dyDescent="0.3">
      <c r="N5316" t="str" cm="1">
        <f t="array" ref="N5316">IF(MOD(ROW()-ROW($B$2),16)=0,INDEX($M$2:$M$1000,(ROW()-ROW($B$2))/16+1),"")</f>
        <v/>
      </c>
    </row>
    <row r="5317" spans="14:14" x14ac:dyDescent="0.3">
      <c r="N5317" t="str" cm="1">
        <f t="array" ref="N5317">IF(MOD(ROW()-ROW($B$2),16)=0,INDEX($M$2:$M$1000,(ROW()-ROW($B$2))/16+1),"")</f>
        <v/>
      </c>
    </row>
    <row r="5318" spans="14:14" x14ac:dyDescent="0.3">
      <c r="N5318" t="str" cm="1">
        <f t="array" ref="N5318">IF(MOD(ROW()-ROW($B$2),16)=0,INDEX($M$2:$M$1000,(ROW()-ROW($B$2))/16+1),"")</f>
        <v/>
      </c>
    </row>
    <row r="5319" spans="14:14" x14ac:dyDescent="0.3">
      <c r="N5319" t="str" cm="1">
        <f t="array" ref="N5319">IF(MOD(ROW()-ROW($B$2),16)=0,INDEX($M$2:$M$1000,(ROW()-ROW($B$2))/16+1),"")</f>
        <v/>
      </c>
    </row>
    <row r="5320" spans="14:14" x14ac:dyDescent="0.3">
      <c r="N5320" t="str" cm="1">
        <f t="array" ref="N5320">IF(MOD(ROW()-ROW($B$2),16)=0,INDEX($M$2:$M$1000,(ROW()-ROW($B$2))/16+1),"")</f>
        <v/>
      </c>
    </row>
    <row r="5321" spans="14:14" x14ac:dyDescent="0.3">
      <c r="N5321" t="str" cm="1">
        <f t="array" ref="N5321">IF(MOD(ROW()-ROW($B$2),16)=0,INDEX($M$2:$M$1000,(ROW()-ROW($B$2))/16+1),"")</f>
        <v/>
      </c>
    </row>
    <row r="5322" spans="14:14" x14ac:dyDescent="0.3">
      <c r="N5322" t="str" cm="1">
        <f t="array" ref="N5322">IF(MOD(ROW()-ROW($B$2),16)=0,INDEX($M$2:$M$1000,(ROW()-ROW($B$2))/16+1),"")</f>
        <v/>
      </c>
    </row>
    <row r="5323" spans="14:14" x14ac:dyDescent="0.3">
      <c r="N5323" t="str" cm="1">
        <f t="array" ref="N5323">IF(MOD(ROW()-ROW($B$2),16)=0,INDEX($M$2:$M$1000,(ROW()-ROW($B$2))/16+1),"")</f>
        <v/>
      </c>
    </row>
    <row r="5324" spans="14:14" x14ac:dyDescent="0.3">
      <c r="N5324" t="str" cm="1">
        <f t="array" ref="N5324">IF(MOD(ROW()-ROW($B$2),16)=0,INDEX($M$2:$M$1000,(ROW()-ROW($B$2))/16+1),"")</f>
        <v/>
      </c>
    </row>
    <row r="5325" spans="14:14" x14ac:dyDescent="0.3">
      <c r="N5325" t="str" cm="1">
        <f t="array" ref="N5325">IF(MOD(ROW()-ROW($B$2),16)=0,INDEX($M$2:$M$1000,(ROW()-ROW($B$2))/16+1),"")</f>
        <v/>
      </c>
    </row>
    <row r="5326" spans="14:14" x14ac:dyDescent="0.3">
      <c r="N5326" t="str" cm="1">
        <f t="array" ref="N5326">IF(MOD(ROW()-ROW($B$2),16)=0,INDEX($M$2:$M$1000,(ROW()-ROW($B$2))/16+1),"")</f>
        <v/>
      </c>
    </row>
    <row r="5327" spans="14:14" x14ac:dyDescent="0.3">
      <c r="N5327" t="str" cm="1">
        <f t="array" ref="N5327">IF(MOD(ROW()-ROW($B$2),16)=0,INDEX($M$2:$M$1000,(ROW()-ROW($B$2))/16+1),"")</f>
        <v/>
      </c>
    </row>
    <row r="5328" spans="14:14" x14ac:dyDescent="0.3">
      <c r="N5328" t="str" cm="1">
        <f t="array" ref="N5328">IF(MOD(ROW()-ROW($B$2),16)=0,INDEX($M$2:$M$1000,(ROW()-ROW($B$2))/16+1),"")</f>
        <v/>
      </c>
    </row>
    <row r="5329" spans="14:14" x14ac:dyDescent="0.3">
      <c r="N5329" t="str" cm="1">
        <f t="array" ref="N5329">IF(MOD(ROW()-ROW($B$2),16)=0,INDEX($M$2:$M$1000,(ROW()-ROW($B$2))/16+1),"")</f>
        <v/>
      </c>
    </row>
    <row r="5330" spans="14:14" x14ac:dyDescent="0.3">
      <c r="N5330" t="str" cm="1">
        <f t="array" ref="N5330">IF(MOD(ROW()-ROW($B$2),16)=0,INDEX($M$2:$M$1000,(ROW()-ROW($B$2))/16+1),"")</f>
        <v/>
      </c>
    </row>
    <row r="5331" spans="14:14" x14ac:dyDescent="0.3">
      <c r="N5331" t="str" cm="1">
        <f t="array" ref="N5331">IF(MOD(ROW()-ROW($B$2),16)=0,INDEX($M$2:$M$1000,(ROW()-ROW($B$2))/16+1),"")</f>
        <v/>
      </c>
    </row>
    <row r="5332" spans="14:14" x14ac:dyDescent="0.3">
      <c r="N5332" t="str" cm="1">
        <f t="array" ref="N5332">IF(MOD(ROW()-ROW($B$2),16)=0,INDEX($M$2:$M$1000,(ROW()-ROW($B$2))/16+1),"")</f>
        <v/>
      </c>
    </row>
    <row r="5333" spans="14:14" x14ac:dyDescent="0.3">
      <c r="N5333" t="str" cm="1">
        <f t="array" ref="N5333">IF(MOD(ROW()-ROW($B$2),16)=0,INDEX($M$2:$M$1000,(ROW()-ROW($B$2))/16+1),"")</f>
        <v/>
      </c>
    </row>
    <row r="5334" spans="14:14" x14ac:dyDescent="0.3">
      <c r="N5334" t="str" cm="1">
        <f t="array" ref="N5334">IF(MOD(ROW()-ROW($B$2),16)=0,INDEX($M$2:$M$1000,(ROW()-ROW($B$2))/16+1),"")</f>
        <v/>
      </c>
    </row>
    <row r="5335" spans="14:14" x14ac:dyDescent="0.3">
      <c r="N5335" t="str" cm="1">
        <f t="array" ref="N5335">IF(MOD(ROW()-ROW($B$2),16)=0,INDEX($M$2:$M$1000,(ROW()-ROW($B$2))/16+1),"")</f>
        <v/>
      </c>
    </row>
    <row r="5336" spans="14:14" x14ac:dyDescent="0.3">
      <c r="N5336" t="str" cm="1">
        <f t="array" ref="N5336">IF(MOD(ROW()-ROW($B$2),16)=0,INDEX($M$2:$M$1000,(ROW()-ROW($B$2))/16+1),"")</f>
        <v/>
      </c>
    </row>
    <row r="5337" spans="14:14" x14ac:dyDescent="0.3">
      <c r="N5337" t="str" cm="1">
        <f t="array" ref="N5337">IF(MOD(ROW()-ROW($B$2),16)=0,INDEX($M$2:$M$1000,(ROW()-ROW($B$2))/16+1),"")</f>
        <v/>
      </c>
    </row>
    <row r="5338" spans="14:14" x14ac:dyDescent="0.3">
      <c r="N5338" t="str" cm="1">
        <f t="array" ref="N5338">IF(MOD(ROW()-ROW($B$2),16)=0,INDEX($M$2:$M$1000,(ROW()-ROW($B$2))/16+1),"")</f>
        <v/>
      </c>
    </row>
    <row r="5339" spans="14:14" x14ac:dyDescent="0.3">
      <c r="N5339" t="str" cm="1">
        <f t="array" ref="N5339">IF(MOD(ROW()-ROW($B$2),16)=0,INDEX($M$2:$M$1000,(ROW()-ROW($B$2))/16+1),"")</f>
        <v/>
      </c>
    </row>
    <row r="5340" spans="14:14" x14ac:dyDescent="0.3">
      <c r="N5340" t="str" cm="1">
        <f t="array" ref="N5340">IF(MOD(ROW()-ROW($B$2),16)=0,INDEX($M$2:$M$1000,(ROW()-ROW($B$2))/16+1),"")</f>
        <v/>
      </c>
    </row>
    <row r="5341" spans="14:14" x14ac:dyDescent="0.3">
      <c r="N5341" t="str" cm="1">
        <f t="array" ref="N5341">IF(MOD(ROW()-ROW($B$2),16)=0,INDEX($M$2:$M$1000,(ROW()-ROW($B$2))/16+1),"")</f>
        <v/>
      </c>
    </row>
    <row r="5342" spans="14:14" x14ac:dyDescent="0.3">
      <c r="N5342" t="str" cm="1">
        <f t="array" ref="N5342">IF(MOD(ROW()-ROW($B$2),16)=0,INDEX($M$2:$M$1000,(ROW()-ROW($B$2))/16+1),"")</f>
        <v/>
      </c>
    </row>
    <row r="5343" spans="14:14" x14ac:dyDescent="0.3">
      <c r="N5343" t="str" cm="1">
        <f t="array" ref="N5343">IF(MOD(ROW()-ROW($B$2),16)=0,INDEX($M$2:$M$1000,(ROW()-ROW($B$2))/16+1),"")</f>
        <v/>
      </c>
    </row>
    <row r="5344" spans="14:14" x14ac:dyDescent="0.3">
      <c r="N5344" t="str" cm="1">
        <f t="array" ref="N5344">IF(MOD(ROW()-ROW($B$2),16)=0,INDEX($M$2:$M$1000,(ROW()-ROW($B$2))/16+1),"")</f>
        <v/>
      </c>
    </row>
    <row r="5345" spans="14:14" x14ac:dyDescent="0.3">
      <c r="N5345" t="str" cm="1">
        <f t="array" ref="N5345">IF(MOD(ROW()-ROW($B$2),16)=0,INDEX($M$2:$M$1000,(ROW()-ROW($B$2))/16+1),"")</f>
        <v/>
      </c>
    </row>
    <row r="5346" spans="14:14" x14ac:dyDescent="0.3">
      <c r="N5346" t="str" cm="1">
        <f t="array" ref="N5346">IF(MOD(ROW()-ROW($B$2),16)=0,INDEX($M$2:$M$1000,(ROW()-ROW($B$2))/16+1),"")</f>
        <v/>
      </c>
    </row>
    <row r="5347" spans="14:14" x14ac:dyDescent="0.3">
      <c r="N5347" t="str" cm="1">
        <f t="array" ref="N5347">IF(MOD(ROW()-ROW($B$2),16)=0,INDEX($M$2:$M$1000,(ROW()-ROW($B$2))/16+1),"")</f>
        <v/>
      </c>
    </row>
    <row r="5348" spans="14:14" x14ac:dyDescent="0.3">
      <c r="N5348" t="str" cm="1">
        <f t="array" ref="N5348">IF(MOD(ROW()-ROW($B$2),16)=0,INDEX($M$2:$M$1000,(ROW()-ROW($B$2))/16+1),"")</f>
        <v/>
      </c>
    </row>
    <row r="5349" spans="14:14" x14ac:dyDescent="0.3">
      <c r="N5349" t="str" cm="1">
        <f t="array" ref="N5349">IF(MOD(ROW()-ROW($B$2),16)=0,INDEX($M$2:$M$1000,(ROW()-ROW($B$2))/16+1),"")</f>
        <v/>
      </c>
    </row>
    <row r="5350" spans="14:14" x14ac:dyDescent="0.3">
      <c r="N5350" t="str" cm="1">
        <f t="array" ref="N5350">IF(MOD(ROW()-ROW($B$2),16)=0,INDEX($M$2:$M$1000,(ROW()-ROW($B$2))/16+1),"")</f>
        <v/>
      </c>
    </row>
    <row r="5351" spans="14:14" x14ac:dyDescent="0.3">
      <c r="N5351" t="str" cm="1">
        <f t="array" ref="N5351">IF(MOD(ROW()-ROW($B$2),16)=0,INDEX($M$2:$M$1000,(ROW()-ROW($B$2))/16+1),"")</f>
        <v/>
      </c>
    </row>
    <row r="5352" spans="14:14" x14ac:dyDescent="0.3">
      <c r="N5352" t="str" cm="1">
        <f t="array" ref="N5352">IF(MOD(ROW()-ROW($B$2),16)=0,INDEX($M$2:$M$1000,(ROW()-ROW($B$2))/16+1),"")</f>
        <v/>
      </c>
    </row>
    <row r="5353" spans="14:14" x14ac:dyDescent="0.3">
      <c r="N5353" t="str" cm="1">
        <f t="array" ref="N5353">IF(MOD(ROW()-ROW($B$2),16)=0,INDEX($M$2:$M$1000,(ROW()-ROW($B$2))/16+1),"")</f>
        <v/>
      </c>
    </row>
    <row r="5354" spans="14:14" x14ac:dyDescent="0.3">
      <c r="N5354" t="str" cm="1">
        <f t="array" ref="N5354">IF(MOD(ROW()-ROW($B$2),16)=0,INDEX($M$2:$M$1000,(ROW()-ROW($B$2))/16+1),"")</f>
        <v/>
      </c>
    </row>
    <row r="5355" spans="14:14" x14ac:dyDescent="0.3">
      <c r="N5355" t="str" cm="1">
        <f t="array" ref="N5355">IF(MOD(ROW()-ROW($B$2),16)=0,INDEX($M$2:$M$1000,(ROW()-ROW($B$2))/16+1),"")</f>
        <v/>
      </c>
    </row>
    <row r="5356" spans="14:14" x14ac:dyDescent="0.3">
      <c r="N5356" t="str" cm="1">
        <f t="array" ref="N5356">IF(MOD(ROW()-ROW($B$2),16)=0,INDEX($M$2:$M$1000,(ROW()-ROW($B$2))/16+1),"")</f>
        <v/>
      </c>
    </row>
    <row r="5357" spans="14:14" x14ac:dyDescent="0.3">
      <c r="N5357" t="str" cm="1">
        <f t="array" ref="N5357">IF(MOD(ROW()-ROW($B$2),16)=0,INDEX($M$2:$M$1000,(ROW()-ROW($B$2))/16+1),"")</f>
        <v/>
      </c>
    </row>
    <row r="5358" spans="14:14" x14ac:dyDescent="0.3">
      <c r="N5358" t="str" cm="1">
        <f t="array" ref="N5358">IF(MOD(ROW()-ROW($B$2),16)=0,INDEX($M$2:$M$1000,(ROW()-ROW($B$2))/16+1),"")</f>
        <v/>
      </c>
    </row>
    <row r="5359" spans="14:14" x14ac:dyDescent="0.3">
      <c r="N5359" t="str" cm="1">
        <f t="array" ref="N5359">IF(MOD(ROW()-ROW($B$2),16)=0,INDEX($M$2:$M$1000,(ROW()-ROW($B$2))/16+1),"")</f>
        <v/>
      </c>
    </row>
    <row r="5360" spans="14:14" x14ac:dyDescent="0.3">
      <c r="N5360" t="str" cm="1">
        <f t="array" ref="N5360">IF(MOD(ROW()-ROW($B$2),16)=0,INDEX($M$2:$M$1000,(ROW()-ROW($B$2))/16+1),"")</f>
        <v/>
      </c>
    </row>
    <row r="5361" spans="14:14" x14ac:dyDescent="0.3">
      <c r="N5361" t="str" cm="1">
        <f t="array" ref="N5361">IF(MOD(ROW()-ROW($B$2),16)=0,INDEX($M$2:$M$1000,(ROW()-ROW($B$2))/16+1),"")</f>
        <v/>
      </c>
    </row>
    <row r="5362" spans="14:14" x14ac:dyDescent="0.3">
      <c r="N5362" t="str" cm="1">
        <f t="array" ref="N5362">IF(MOD(ROW()-ROW($B$2),16)=0,INDEX($M$2:$M$1000,(ROW()-ROW($B$2))/16+1),"")</f>
        <v/>
      </c>
    </row>
    <row r="5363" spans="14:14" x14ac:dyDescent="0.3">
      <c r="N5363" t="str" cm="1">
        <f t="array" ref="N5363">IF(MOD(ROW()-ROW($B$2),16)=0,INDEX($M$2:$M$1000,(ROW()-ROW($B$2))/16+1),"")</f>
        <v/>
      </c>
    </row>
    <row r="5364" spans="14:14" x14ac:dyDescent="0.3">
      <c r="N5364" t="str" cm="1">
        <f t="array" ref="N5364">IF(MOD(ROW()-ROW($B$2),16)=0,INDEX($M$2:$M$1000,(ROW()-ROW($B$2))/16+1),"")</f>
        <v/>
      </c>
    </row>
    <row r="5365" spans="14:14" x14ac:dyDescent="0.3">
      <c r="N5365" t="str" cm="1">
        <f t="array" ref="N5365">IF(MOD(ROW()-ROW($B$2),16)=0,INDEX($M$2:$M$1000,(ROW()-ROW($B$2))/16+1),"")</f>
        <v/>
      </c>
    </row>
    <row r="5366" spans="14:14" x14ac:dyDescent="0.3">
      <c r="N5366" t="str" cm="1">
        <f t="array" ref="N5366">IF(MOD(ROW()-ROW($B$2),16)=0,INDEX($M$2:$M$1000,(ROW()-ROW($B$2))/16+1),"")</f>
        <v/>
      </c>
    </row>
    <row r="5367" spans="14:14" x14ac:dyDescent="0.3">
      <c r="N5367" t="str" cm="1">
        <f t="array" ref="N5367">IF(MOD(ROW()-ROW($B$2),16)=0,INDEX($M$2:$M$1000,(ROW()-ROW($B$2))/16+1),"")</f>
        <v/>
      </c>
    </row>
    <row r="5368" spans="14:14" x14ac:dyDescent="0.3">
      <c r="N5368" t="str" cm="1">
        <f t="array" ref="N5368">IF(MOD(ROW()-ROW($B$2),16)=0,INDEX($M$2:$M$1000,(ROW()-ROW($B$2))/16+1),"")</f>
        <v/>
      </c>
    </row>
    <row r="5369" spans="14:14" x14ac:dyDescent="0.3">
      <c r="N5369" t="str" cm="1">
        <f t="array" ref="N5369">IF(MOD(ROW()-ROW($B$2),16)=0,INDEX($M$2:$M$1000,(ROW()-ROW($B$2))/16+1),"")</f>
        <v/>
      </c>
    </row>
    <row r="5370" spans="14:14" x14ac:dyDescent="0.3">
      <c r="N5370" t="str" cm="1">
        <f t="array" ref="N5370">IF(MOD(ROW()-ROW($B$2),16)=0,INDEX($M$2:$M$1000,(ROW()-ROW($B$2))/16+1),"")</f>
        <v/>
      </c>
    </row>
    <row r="5371" spans="14:14" x14ac:dyDescent="0.3">
      <c r="N5371" t="str" cm="1">
        <f t="array" ref="N5371">IF(MOD(ROW()-ROW($B$2),16)=0,INDEX($M$2:$M$1000,(ROW()-ROW($B$2))/16+1),"")</f>
        <v/>
      </c>
    </row>
    <row r="5372" spans="14:14" x14ac:dyDescent="0.3">
      <c r="N5372" t="str" cm="1">
        <f t="array" ref="N5372">IF(MOD(ROW()-ROW($B$2),16)=0,INDEX($M$2:$M$1000,(ROW()-ROW($B$2))/16+1),"")</f>
        <v/>
      </c>
    </row>
    <row r="5373" spans="14:14" x14ac:dyDescent="0.3">
      <c r="N5373" t="str" cm="1">
        <f t="array" ref="N5373">IF(MOD(ROW()-ROW($B$2),16)=0,INDEX($M$2:$M$1000,(ROW()-ROW($B$2))/16+1),"")</f>
        <v/>
      </c>
    </row>
    <row r="5374" spans="14:14" x14ac:dyDescent="0.3">
      <c r="N5374" t="str" cm="1">
        <f t="array" ref="N5374">IF(MOD(ROW()-ROW($B$2),16)=0,INDEX($M$2:$M$1000,(ROW()-ROW($B$2))/16+1),"")</f>
        <v/>
      </c>
    </row>
    <row r="5375" spans="14:14" x14ac:dyDescent="0.3">
      <c r="N5375" t="str" cm="1">
        <f t="array" ref="N5375">IF(MOD(ROW()-ROW($B$2),16)=0,INDEX($M$2:$M$1000,(ROW()-ROW($B$2))/16+1),"")</f>
        <v/>
      </c>
    </row>
    <row r="5376" spans="14:14" x14ac:dyDescent="0.3">
      <c r="N5376" t="str" cm="1">
        <f t="array" ref="N5376">IF(MOD(ROW()-ROW($B$2),16)=0,INDEX($M$2:$M$1000,(ROW()-ROW($B$2))/16+1),"")</f>
        <v/>
      </c>
    </row>
    <row r="5377" spans="14:14" x14ac:dyDescent="0.3">
      <c r="N5377" t="str" cm="1">
        <f t="array" ref="N5377">IF(MOD(ROW()-ROW($B$2),16)=0,INDEX($M$2:$M$1000,(ROW()-ROW($B$2))/16+1),"")</f>
        <v/>
      </c>
    </row>
    <row r="5378" spans="14:14" x14ac:dyDescent="0.3">
      <c r="N5378" t="str" cm="1">
        <f t="array" ref="N5378">IF(MOD(ROW()-ROW($B$2),16)=0,INDEX($M$2:$M$1000,(ROW()-ROW($B$2))/16+1),"")</f>
        <v/>
      </c>
    </row>
    <row r="5379" spans="14:14" x14ac:dyDescent="0.3">
      <c r="N5379" t="str" cm="1">
        <f t="array" ref="N5379">IF(MOD(ROW()-ROW($B$2),16)=0,INDEX($M$2:$M$1000,(ROW()-ROW($B$2))/16+1),"")</f>
        <v/>
      </c>
    </row>
    <row r="5380" spans="14:14" x14ac:dyDescent="0.3">
      <c r="N5380" t="str" cm="1">
        <f t="array" ref="N5380">IF(MOD(ROW()-ROW($B$2),16)=0,INDEX($M$2:$M$1000,(ROW()-ROW($B$2))/16+1),"")</f>
        <v/>
      </c>
    </row>
    <row r="5381" spans="14:14" x14ac:dyDescent="0.3">
      <c r="N5381" t="str" cm="1">
        <f t="array" ref="N5381">IF(MOD(ROW()-ROW($B$2),16)=0,INDEX($M$2:$M$1000,(ROW()-ROW($B$2))/16+1),"")</f>
        <v/>
      </c>
    </row>
    <row r="5382" spans="14:14" x14ac:dyDescent="0.3">
      <c r="N5382" t="str" cm="1">
        <f t="array" ref="N5382">IF(MOD(ROW()-ROW($B$2),16)=0,INDEX($M$2:$M$1000,(ROW()-ROW($B$2))/16+1),"")</f>
        <v/>
      </c>
    </row>
    <row r="5383" spans="14:14" x14ac:dyDescent="0.3">
      <c r="N5383" t="str" cm="1">
        <f t="array" ref="N5383">IF(MOD(ROW()-ROW($B$2),16)=0,INDEX($M$2:$M$1000,(ROW()-ROW($B$2))/16+1),"")</f>
        <v/>
      </c>
    </row>
    <row r="5384" spans="14:14" x14ac:dyDescent="0.3">
      <c r="N5384" t="str" cm="1">
        <f t="array" ref="N5384">IF(MOD(ROW()-ROW($B$2),16)=0,INDEX($M$2:$M$1000,(ROW()-ROW($B$2))/16+1),"")</f>
        <v/>
      </c>
    </row>
    <row r="5385" spans="14:14" x14ac:dyDescent="0.3">
      <c r="N5385" t="str" cm="1">
        <f t="array" ref="N5385">IF(MOD(ROW()-ROW($B$2),16)=0,INDEX($M$2:$M$1000,(ROW()-ROW($B$2))/16+1),"")</f>
        <v/>
      </c>
    </row>
    <row r="5386" spans="14:14" x14ac:dyDescent="0.3">
      <c r="N5386" t="str" cm="1">
        <f t="array" ref="N5386">IF(MOD(ROW()-ROW($B$2),16)=0,INDEX($M$2:$M$1000,(ROW()-ROW($B$2))/16+1),"")</f>
        <v/>
      </c>
    </row>
    <row r="5387" spans="14:14" x14ac:dyDescent="0.3">
      <c r="N5387" t="str" cm="1">
        <f t="array" ref="N5387">IF(MOD(ROW()-ROW($B$2),16)=0,INDEX($M$2:$M$1000,(ROW()-ROW($B$2))/16+1),"")</f>
        <v/>
      </c>
    </row>
    <row r="5388" spans="14:14" x14ac:dyDescent="0.3">
      <c r="N5388" t="str" cm="1">
        <f t="array" ref="N5388">IF(MOD(ROW()-ROW($B$2),16)=0,INDEX($M$2:$M$1000,(ROW()-ROW($B$2))/16+1),"")</f>
        <v/>
      </c>
    </row>
    <row r="5389" spans="14:14" x14ac:dyDescent="0.3">
      <c r="N5389" t="str" cm="1">
        <f t="array" ref="N5389">IF(MOD(ROW()-ROW($B$2),16)=0,INDEX($M$2:$M$1000,(ROW()-ROW($B$2))/16+1),"")</f>
        <v/>
      </c>
    </row>
    <row r="5390" spans="14:14" x14ac:dyDescent="0.3">
      <c r="N5390" t="str" cm="1">
        <f t="array" ref="N5390">IF(MOD(ROW()-ROW($B$2),16)=0,INDEX($M$2:$M$1000,(ROW()-ROW($B$2))/16+1),"")</f>
        <v/>
      </c>
    </row>
    <row r="5391" spans="14:14" x14ac:dyDescent="0.3">
      <c r="N5391" t="str" cm="1">
        <f t="array" ref="N5391">IF(MOD(ROW()-ROW($B$2),16)=0,INDEX($M$2:$M$1000,(ROW()-ROW($B$2))/16+1),"")</f>
        <v/>
      </c>
    </row>
    <row r="5392" spans="14:14" x14ac:dyDescent="0.3">
      <c r="N5392" t="str" cm="1">
        <f t="array" ref="N5392">IF(MOD(ROW()-ROW($B$2),16)=0,INDEX($M$2:$M$1000,(ROW()-ROW($B$2))/16+1),"")</f>
        <v/>
      </c>
    </row>
    <row r="5393" spans="14:14" x14ac:dyDescent="0.3">
      <c r="N5393" t="str" cm="1">
        <f t="array" ref="N5393">IF(MOD(ROW()-ROW($B$2),16)=0,INDEX($M$2:$M$1000,(ROW()-ROW($B$2))/16+1),"")</f>
        <v/>
      </c>
    </row>
    <row r="5394" spans="14:14" x14ac:dyDescent="0.3">
      <c r="N5394" t="str" cm="1">
        <f t="array" ref="N5394">IF(MOD(ROW()-ROW($B$2),16)=0,INDEX($M$2:$M$1000,(ROW()-ROW($B$2))/16+1),"")</f>
        <v/>
      </c>
    </row>
    <row r="5395" spans="14:14" x14ac:dyDescent="0.3">
      <c r="N5395" t="str" cm="1">
        <f t="array" ref="N5395">IF(MOD(ROW()-ROW($B$2),16)=0,INDEX($M$2:$M$1000,(ROW()-ROW($B$2))/16+1),"")</f>
        <v/>
      </c>
    </row>
    <row r="5396" spans="14:14" x14ac:dyDescent="0.3">
      <c r="N5396" t="str" cm="1">
        <f t="array" ref="N5396">IF(MOD(ROW()-ROW($B$2),16)=0,INDEX($M$2:$M$1000,(ROW()-ROW($B$2))/16+1),"")</f>
        <v/>
      </c>
    </row>
    <row r="5397" spans="14:14" x14ac:dyDescent="0.3">
      <c r="N5397" t="str" cm="1">
        <f t="array" ref="N5397">IF(MOD(ROW()-ROW($B$2),16)=0,INDEX($M$2:$M$1000,(ROW()-ROW($B$2))/16+1),"")</f>
        <v/>
      </c>
    </row>
    <row r="5398" spans="14:14" x14ac:dyDescent="0.3">
      <c r="N5398" t="str" cm="1">
        <f t="array" ref="N5398">IF(MOD(ROW()-ROW($B$2),16)=0,INDEX($M$2:$M$1000,(ROW()-ROW($B$2))/16+1),"")</f>
        <v/>
      </c>
    </row>
    <row r="5399" spans="14:14" x14ac:dyDescent="0.3">
      <c r="N5399" t="str" cm="1">
        <f t="array" ref="N5399">IF(MOD(ROW()-ROW($B$2),16)=0,INDEX($M$2:$M$1000,(ROW()-ROW($B$2))/16+1),"")</f>
        <v/>
      </c>
    </row>
    <row r="5400" spans="14:14" x14ac:dyDescent="0.3">
      <c r="N5400" t="str" cm="1">
        <f t="array" ref="N5400">IF(MOD(ROW()-ROW($B$2),16)=0,INDEX($M$2:$M$1000,(ROW()-ROW($B$2))/16+1),"")</f>
        <v/>
      </c>
    </row>
    <row r="5401" spans="14:14" x14ac:dyDescent="0.3">
      <c r="N5401" t="str" cm="1">
        <f t="array" ref="N5401">IF(MOD(ROW()-ROW($B$2),16)=0,INDEX($M$2:$M$1000,(ROW()-ROW($B$2))/16+1),"")</f>
        <v/>
      </c>
    </row>
    <row r="5402" spans="14:14" x14ac:dyDescent="0.3">
      <c r="N5402" t="str" cm="1">
        <f t="array" ref="N5402">IF(MOD(ROW()-ROW($B$2),16)=0,INDEX($M$2:$M$1000,(ROW()-ROW($B$2))/16+1),"")</f>
        <v/>
      </c>
    </row>
    <row r="5403" spans="14:14" x14ac:dyDescent="0.3">
      <c r="N5403" t="str" cm="1">
        <f t="array" ref="N5403">IF(MOD(ROW()-ROW($B$2),16)=0,INDEX($M$2:$M$1000,(ROW()-ROW($B$2))/16+1),"")</f>
        <v/>
      </c>
    </row>
    <row r="5404" spans="14:14" x14ac:dyDescent="0.3">
      <c r="N5404" t="str" cm="1">
        <f t="array" ref="N5404">IF(MOD(ROW()-ROW($B$2),16)=0,INDEX($M$2:$M$1000,(ROW()-ROW($B$2))/16+1),"")</f>
        <v/>
      </c>
    </row>
    <row r="5405" spans="14:14" x14ac:dyDescent="0.3">
      <c r="N5405" t="str" cm="1">
        <f t="array" ref="N5405">IF(MOD(ROW()-ROW($B$2),16)=0,INDEX($M$2:$M$1000,(ROW()-ROW($B$2))/16+1),"")</f>
        <v/>
      </c>
    </row>
    <row r="5406" spans="14:14" x14ac:dyDescent="0.3">
      <c r="N5406" t="str" cm="1">
        <f t="array" ref="N5406">IF(MOD(ROW()-ROW($B$2),16)=0,INDEX($M$2:$M$1000,(ROW()-ROW($B$2))/16+1),"")</f>
        <v/>
      </c>
    </row>
    <row r="5407" spans="14:14" x14ac:dyDescent="0.3">
      <c r="N5407" t="str" cm="1">
        <f t="array" ref="N5407">IF(MOD(ROW()-ROW($B$2),16)=0,INDEX($M$2:$M$1000,(ROW()-ROW($B$2))/16+1),"")</f>
        <v/>
      </c>
    </row>
    <row r="5408" spans="14:14" x14ac:dyDescent="0.3">
      <c r="N5408" t="str" cm="1">
        <f t="array" ref="N5408">IF(MOD(ROW()-ROW($B$2),16)=0,INDEX($M$2:$M$1000,(ROW()-ROW($B$2))/16+1),"")</f>
        <v/>
      </c>
    </row>
    <row r="5409" spans="14:14" x14ac:dyDescent="0.3">
      <c r="N5409" t="str" cm="1">
        <f t="array" ref="N5409">IF(MOD(ROW()-ROW($B$2),16)=0,INDEX($M$2:$M$1000,(ROW()-ROW($B$2))/16+1),"")</f>
        <v/>
      </c>
    </row>
    <row r="5410" spans="14:14" x14ac:dyDescent="0.3">
      <c r="N5410" t="str" cm="1">
        <f t="array" ref="N5410">IF(MOD(ROW()-ROW($B$2),16)=0,INDEX($M$2:$M$1000,(ROW()-ROW($B$2))/16+1),"")</f>
        <v/>
      </c>
    </row>
    <row r="5411" spans="14:14" x14ac:dyDescent="0.3">
      <c r="N5411" t="str" cm="1">
        <f t="array" ref="N5411">IF(MOD(ROW()-ROW($B$2),16)=0,INDEX($M$2:$M$1000,(ROW()-ROW($B$2))/16+1),"")</f>
        <v/>
      </c>
    </row>
    <row r="5412" spans="14:14" x14ac:dyDescent="0.3">
      <c r="N5412" t="str" cm="1">
        <f t="array" ref="N5412">IF(MOD(ROW()-ROW($B$2),16)=0,INDEX($M$2:$M$1000,(ROW()-ROW($B$2))/16+1),"")</f>
        <v/>
      </c>
    </row>
    <row r="5413" spans="14:14" x14ac:dyDescent="0.3">
      <c r="N5413" t="str" cm="1">
        <f t="array" ref="N5413">IF(MOD(ROW()-ROW($B$2),16)=0,INDEX($M$2:$M$1000,(ROW()-ROW($B$2))/16+1),"")</f>
        <v/>
      </c>
    </row>
    <row r="5414" spans="14:14" x14ac:dyDescent="0.3">
      <c r="N5414" t="str" cm="1">
        <f t="array" ref="N5414">IF(MOD(ROW()-ROW($B$2),16)=0,INDEX($M$2:$M$1000,(ROW()-ROW($B$2))/16+1),"")</f>
        <v/>
      </c>
    </row>
    <row r="5415" spans="14:14" x14ac:dyDescent="0.3">
      <c r="N5415" t="str" cm="1">
        <f t="array" ref="N5415">IF(MOD(ROW()-ROW($B$2),16)=0,INDEX($M$2:$M$1000,(ROW()-ROW($B$2))/16+1),"")</f>
        <v/>
      </c>
    </row>
    <row r="5416" spans="14:14" x14ac:dyDescent="0.3">
      <c r="N5416" t="str" cm="1">
        <f t="array" ref="N5416">IF(MOD(ROW()-ROW($B$2),16)=0,INDEX($M$2:$M$1000,(ROW()-ROW($B$2))/16+1),"")</f>
        <v/>
      </c>
    </row>
    <row r="5417" spans="14:14" x14ac:dyDescent="0.3">
      <c r="N5417" t="str" cm="1">
        <f t="array" ref="N5417">IF(MOD(ROW()-ROW($B$2),16)=0,INDEX($M$2:$M$1000,(ROW()-ROW($B$2))/16+1),"")</f>
        <v/>
      </c>
    </row>
    <row r="5418" spans="14:14" x14ac:dyDescent="0.3">
      <c r="N5418" t="str" cm="1">
        <f t="array" ref="N5418">IF(MOD(ROW()-ROW($B$2),16)=0,INDEX($M$2:$M$1000,(ROW()-ROW($B$2))/16+1),"")</f>
        <v/>
      </c>
    </row>
    <row r="5419" spans="14:14" x14ac:dyDescent="0.3">
      <c r="N5419" t="str" cm="1">
        <f t="array" ref="N5419">IF(MOD(ROW()-ROW($B$2),16)=0,INDEX($M$2:$M$1000,(ROW()-ROW($B$2))/16+1),"")</f>
        <v/>
      </c>
    </row>
    <row r="5420" spans="14:14" x14ac:dyDescent="0.3">
      <c r="N5420" t="str" cm="1">
        <f t="array" ref="N5420">IF(MOD(ROW()-ROW($B$2),16)=0,INDEX($M$2:$M$1000,(ROW()-ROW($B$2))/16+1),"")</f>
        <v/>
      </c>
    </row>
    <row r="5421" spans="14:14" x14ac:dyDescent="0.3">
      <c r="N5421" t="str" cm="1">
        <f t="array" ref="N5421">IF(MOD(ROW()-ROW($B$2),16)=0,INDEX($M$2:$M$1000,(ROW()-ROW($B$2))/16+1),"")</f>
        <v/>
      </c>
    </row>
    <row r="5422" spans="14:14" x14ac:dyDescent="0.3">
      <c r="N5422" t="str" cm="1">
        <f t="array" ref="N5422">IF(MOD(ROW()-ROW($B$2),16)=0,INDEX($M$2:$M$1000,(ROW()-ROW($B$2))/16+1),"")</f>
        <v/>
      </c>
    </row>
    <row r="5423" spans="14:14" x14ac:dyDescent="0.3">
      <c r="N5423" t="str" cm="1">
        <f t="array" ref="N5423">IF(MOD(ROW()-ROW($B$2),16)=0,INDEX($M$2:$M$1000,(ROW()-ROW($B$2))/16+1),"")</f>
        <v/>
      </c>
    </row>
    <row r="5424" spans="14:14" x14ac:dyDescent="0.3">
      <c r="N5424" t="str" cm="1">
        <f t="array" ref="N5424">IF(MOD(ROW()-ROW($B$2),16)=0,INDEX($M$2:$M$1000,(ROW()-ROW($B$2))/16+1),"")</f>
        <v/>
      </c>
    </row>
    <row r="5425" spans="14:14" x14ac:dyDescent="0.3">
      <c r="N5425" t="str" cm="1">
        <f t="array" ref="N5425">IF(MOD(ROW()-ROW($B$2),16)=0,INDEX($M$2:$M$1000,(ROW()-ROW($B$2))/16+1),"")</f>
        <v/>
      </c>
    </row>
    <row r="5426" spans="14:14" x14ac:dyDescent="0.3">
      <c r="N5426" t="str" cm="1">
        <f t="array" ref="N5426">IF(MOD(ROW()-ROW($B$2),16)=0,INDEX($M$2:$M$1000,(ROW()-ROW($B$2))/16+1),"")</f>
        <v/>
      </c>
    </row>
    <row r="5427" spans="14:14" x14ac:dyDescent="0.3">
      <c r="N5427" t="str" cm="1">
        <f t="array" ref="N5427">IF(MOD(ROW()-ROW($B$2),16)=0,INDEX($M$2:$M$1000,(ROW()-ROW($B$2))/16+1),"")</f>
        <v/>
      </c>
    </row>
    <row r="5428" spans="14:14" x14ac:dyDescent="0.3">
      <c r="N5428" t="str" cm="1">
        <f t="array" ref="N5428">IF(MOD(ROW()-ROW($B$2),16)=0,INDEX($M$2:$M$1000,(ROW()-ROW($B$2))/16+1),"")</f>
        <v/>
      </c>
    </row>
    <row r="5429" spans="14:14" x14ac:dyDescent="0.3">
      <c r="N5429" t="str" cm="1">
        <f t="array" ref="N5429">IF(MOD(ROW()-ROW($B$2),16)=0,INDEX($M$2:$M$1000,(ROW()-ROW($B$2))/16+1),"")</f>
        <v/>
      </c>
    </row>
    <row r="5430" spans="14:14" x14ac:dyDescent="0.3">
      <c r="N5430" t="str" cm="1">
        <f t="array" ref="N5430">IF(MOD(ROW()-ROW($B$2),16)=0,INDEX($M$2:$M$1000,(ROW()-ROW($B$2))/16+1),"")</f>
        <v/>
      </c>
    </row>
    <row r="5431" spans="14:14" x14ac:dyDescent="0.3">
      <c r="N5431" t="str" cm="1">
        <f t="array" ref="N5431">IF(MOD(ROW()-ROW($B$2),16)=0,INDEX($M$2:$M$1000,(ROW()-ROW($B$2))/16+1),"")</f>
        <v/>
      </c>
    </row>
    <row r="5432" spans="14:14" x14ac:dyDescent="0.3">
      <c r="N5432" t="str" cm="1">
        <f t="array" ref="N5432">IF(MOD(ROW()-ROW($B$2),16)=0,INDEX($M$2:$M$1000,(ROW()-ROW($B$2))/16+1),"")</f>
        <v/>
      </c>
    </row>
    <row r="5433" spans="14:14" x14ac:dyDescent="0.3">
      <c r="N5433" t="str" cm="1">
        <f t="array" ref="N5433">IF(MOD(ROW()-ROW($B$2),16)=0,INDEX($M$2:$M$1000,(ROW()-ROW($B$2))/16+1),"")</f>
        <v/>
      </c>
    </row>
    <row r="5434" spans="14:14" x14ac:dyDescent="0.3">
      <c r="N5434" t="str" cm="1">
        <f t="array" ref="N5434">IF(MOD(ROW()-ROW($B$2),16)=0,INDEX($M$2:$M$1000,(ROW()-ROW($B$2))/16+1),"")</f>
        <v/>
      </c>
    </row>
    <row r="5435" spans="14:14" x14ac:dyDescent="0.3">
      <c r="N5435" t="str" cm="1">
        <f t="array" ref="N5435">IF(MOD(ROW()-ROW($B$2),16)=0,INDEX($M$2:$M$1000,(ROW()-ROW($B$2))/16+1),"")</f>
        <v/>
      </c>
    </row>
    <row r="5436" spans="14:14" x14ac:dyDescent="0.3">
      <c r="N5436" t="str" cm="1">
        <f t="array" ref="N5436">IF(MOD(ROW()-ROW($B$2),16)=0,INDEX($M$2:$M$1000,(ROW()-ROW($B$2))/16+1),"")</f>
        <v/>
      </c>
    </row>
    <row r="5437" spans="14:14" x14ac:dyDescent="0.3">
      <c r="N5437" t="str" cm="1">
        <f t="array" ref="N5437">IF(MOD(ROW()-ROW($B$2),16)=0,INDEX($M$2:$M$1000,(ROW()-ROW($B$2))/16+1),"")</f>
        <v/>
      </c>
    </row>
    <row r="5438" spans="14:14" x14ac:dyDescent="0.3">
      <c r="N5438" t="str" cm="1">
        <f t="array" ref="N5438">IF(MOD(ROW()-ROW($B$2),16)=0,INDEX($M$2:$M$1000,(ROW()-ROW($B$2))/16+1),"")</f>
        <v/>
      </c>
    </row>
    <row r="5439" spans="14:14" x14ac:dyDescent="0.3">
      <c r="N5439" t="str" cm="1">
        <f t="array" ref="N5439">IF(MOD(ROW()-ROW($B$2),16)=0,INDEX($M$2:$M$1000,(ROW()-ROW($B$2))/16+1),"")</f>
        <v/>
      </c>
    </row>
    <row r="5440" spans="14:14" x14ac:dyDescent="0.3">
      <c r="N5440" t="str" cm="1">
        <f t="array" ref="N5440">IF(MOD(ROW()-ROW($B$2),16)=0,INDEX($M$2:$M$1000,(ROW()-ROW($B$2))/16+1),"")</f>
        <v/>
      </c>
    </row>
    <row r="5441" spans="14:14" x14ac:dyDescent="0.3">
      <c r="N5441" t="str" cm="1">
        <f t="array" ref="N5441">IF(MOD(ROW()-ROW($B$2),16)=0,INDEX($M$2:$M$1000,(ROW()-ROW($B$2))/16+1),"")</f>
        <v/>
      </c>
    </row>
    <row r="5442" spans="14:14" x14ac:dyDescent="0.3">
      <c r="N5442" t="str" cm="1">
        <f t="array" ref="N5442">IF(MOD(ROW()-ROW($B$2),16)=0,INDEX($M$2:$M$1000,(ROW()-ROW($B$2))/16+1),"")</f>
        <v/>
      </c>
    </row>
    <row r="5443" spans="14:14" x14ac:dyDescent="0.3">
      <c r="N5443" t="str" cm="1">
        <f t="array" ref="N5443">IF(MOD(ROW()-ROW($B$2),16)=0,INDEX($M$2:$M$1000,(ROW()-ROW($B$2))/16+1),"")</f>
        <v/>
      </c>
    </row>
    <row r="5444" spans="14:14" x14ac:dyDescent="0.3">
      <c r="N5444" t="str" cm="1">
        <f t="array" ref="N5444">IF(MOD(ROW()-ROW($B$2),16)=0,INDEX($M$2:$M$1000,(ROW()-ROW($B$2))/16+1),"")</f>
        <v/>
      </c>
    </row>
    <row r="5445" spans="14:14" x14ac:dyDescent="0.3">
      <c r="N5445" t="str" cm="1">
        <f t="array" ref="N5445">IF(MOD(ROW()-ROW($B$2),16)=0,INDEX($M$2:$M$1000,(ROW()-ROW($B$2))/16+1),"")</f>
        <v/>
      </c>
    </row>
    <row r="5446" spans="14:14" x14ac:dyDescent="0.3">
      <c r="N5446" t="str" cm="1">
        <f t="array" ref="N5446">IF(MOD(ROW()-ROW($B$2),16)=0,INDEX($M$2:$M$1000,(ROW()-ROW($B$2))/16+1),"")</f>
        <v/>
      </c>
    </row>
    <row r="5447" spans="14:14" x14ac:dyDescent="0.3">
      <c r="N5447" t="str" cm="1">
        <f t="array" ref="N5447">IF(MOD(ROW()-ROW($B$2),16)=0,INDEX($M$2:$M$1000,(ROW()-ROW($B$2))/16+1),"")</f>
        <v/>
      </c>
    </row>
    <row r="5448" spans="14:14" x14ac:dyDescent="0.3">
      <c r="N5448" t="str" cm="1">
        <f t="array" ref="N5448">IF(MOD(ROW()-ROW($B$2),16)=0,INDEX($M$2:$M$1000,(ROW()-ROW($B$2))/16+1),"")</f>
        <v/>
      </c>
    </row>
    <row r="5449" spans="14:14" x14ac:dyDescent="0.3">
      <c r="N5449" t="str" cm="1">
        <f t="array" ref="N5449">IF(MOD(ROW()-ROW($B$2),16)=0,INDEX($M$2:$M$1000,(ROW()-ROW($B$2))/16+1),"")</f>
        <v/>
      </c>
    </row>
    <row r="5450" spans="14:14" x14ac:dyDescent="0.3">
      <c r="N5450" t="str" cm="1">
        <f t="array" ref="N5450">IF(MOD(ROW()-ROW($B$2),16)=0,INDEX($M$2:$M$1000,(ROW()-ROW($B$2))/16+1),"")</f>
        <v/>
      </c>
    </row>
    <row r="5451" spans="14:14" x14ac:dyDescent="0.3">
      <c r="N5451" t="str" cm="1">
        <f t="array" ref="N5451">IF(MOD(ROW()-ROW($B$2),16)=0,INDEX($M$2:$M$1000,(ROW()-ROW($B$2))/16+1),"")</f>
        <v/>
      </c>
    </row>
    <row r="5452" spans="14:14" x14ac:dyDescent="0.3">
      <c r="N5452" t="str" cm="1">
        <f t="array" ref="N5452">IF(MOD(ROW()-ROW($B$2),16)=0,INDEX($M$2:$M$1000,(ROW()-ROW($B$2))/16+1),"")</f>
        <v/>
      </c>
    </row>
    <row r="5453" spans="14:14" x14ac:dyDescent="0.3">
      <c r="N5453" t="str" cm="1">
        <f t="array" ref="N5453">IF(MOD(ROW()-ROW($B$2),16)=0,INDEX($M$2:$M$1000,(ROW()-ROW($B$2))/16+1),"")</f>
        <v/>
      </c>
    </row>
    <row r="5454" spans="14:14" x14ac:dyDescent="0.3">
      <c r="N5454" t="str" cm="1">
        <f t="array" ref="N5454">IF(MOD(ROW()-ROW($B$2),16)=0,INDEX($M$2:$M$1000,(ROW()-ROW($B$2))/16+1),"")</f>
        <v/>
      </c>
    </row>
    <row r="5455" spans="14:14" x14ac:dyDescent="0.3">
      <c r="N5455" t="str" cm="1">
        <f t="array" ref="N5455">IF(MOD(ROW()-ROW($B$2),16)=0,INDEX($M$2:$M$1000,(ROW()-ROW($B$2))/16+1),"")</f>
        <v/>
      </c>
    </row>
    <row r="5456" spans="14:14" x14ac:dyDescent="0.3">
      <c r="N5456" t="str" cm="1">
        <f t="array" ref="N5456">IF(MOD(ROW()-ROW($B$2),16)=0,INDEX($M$2:$M$1000,(ROW()-ROW($B$2))/16+1),"")</f>
        <v/>
      </c>
    </row>
    <row r="5457" spans="14:14" x14ac:dyDescent="0.3">
      <c r="N5457" t="str" cm="1">
        <f t="array" ref="N5457">IF(MOD(ROW()-ROW($B$2),16)=0,INDEX($M$2:$M$1000,(ROW()-ROW($B$2))/16+1),"")</f>
        <v/>
      </c>
    </row>
    <row r="5458" spans="14:14" x14ac:dyDescent="0.3">
      <c r="N5458" t="str" cm="1">
        <f t="array" ref="N5458">IF(MOD(ROW()-ROW($B$2),16)=0,INDEX($M$2:$M$1000,(ROW()-ROW($B$2))/16+1),"")</f>
        <v/>
      </c>
    </row>
    <row r="5459" spans="14:14" x14ac:dyDescent="0.3">
      <c r="N5459" t="str" cm="1">
        <f t="array" ref="N5459">IF(MOD(ROW()-ROW($B$2),16)=0,INDEX($M$2:$M$1000,(ROW()-ROW($B$2))/16+1),"")</f>
        <v/>
      </c>
    </row>
    <row r="5460" spans="14:14" x14ac:dyDescent="0.3">
      <c r="N5460" t="str" cm="1">
        <f t="array" ref="N5460">IF(MOD(ROW()-ROW($B$2),16)=0,INDEX($M$2:$M$1000,(ROW()-ROW($B$2))/16+1),"")</f>
        <v/>
      </c>
    </row>
    <row r="5461" spans="14:14" x14ac:dyDescent="0.3">
      <c r="N5461" t="str" cm="1">
        <f t="array" ref="N5461">IF(MOD(ROW()-ROW($B$2),16)=0,INDEX($M$2:$M$1000,(ROW()-ROW($B$2))/16+1),"")</f>
        <v/>
      </c>
    </row>
    <row r="5462" spans="14:14" x14ac:dyDescent="0.3">
      <c r="N5462" t="str" cm="1">
        <f t="array" ref="N5462">IF(MOD(ROW()-ROW($B$2),16)=0,INDEX($M$2:$M$1000,(ROW()-ROW($B$2))/16+1),"")</f>
        <v/>
      </c>
    </row>
    <row r="5463" spans="14:14" x14ac:dyDescent="0.3">
      <c r="N5463" t="str" cm="1">
        <f t="array" ref="N5463">IF(MOD(ROW()-ROW($B$2),16)=0,INDEX($M$2:$M$1000,(ROW()-ROW($B$2))/16+1),"")</f>
        <v/>
      </c>
    </row>
    <row r="5464" spans="14:14" x14ac:dyDescent="0.3">
      <c r="N5464" t="str" cm="1">
        <f t="array" ref="N5464">IF(MOD(ROW()-ROW($B$2),16)=0,INDEX($M$2:$M$1000,(ROW()-ROW($B$2))/16+1),"")</f>
        <v/>
      </c>
    </row>
    <row r="5465" spans="14:14" x14ac:dyDescent="0.3">
      <c r="N5465" t="str" cm="1">
        <f t="array" ref="N5465">IF(MOD(ROW()-ROW($B$2),16)=0,INDEX($M$2:$M$1000,(ROW()-ROW($B$2))/16+1),"")</f>
        <v/>
      </c>
    </row>
    <row r="5466" spans="14:14" x14ac:dyDescent="0.3">
      <c r="N5466" t="str" cm="1">
        <f t="array" ref="N5466">IF(MOD(ROW()-ROW($B$2),16)=0,INDEX($M$2:$M$1000,(ROW()-ROW($B$2))/16+1),"")</f>
        <v/>
      </c>
    </row>
    <row r="5467" spans="14:14" x14ac:dyDescent="0.3">
      <c r="N5467" t="str" cm="1">
        <f t="array" ref="N5467">IF(MOD(ROW()-ROW($B$2),16)=0,INDEX($M$2:$M$1000,(ROW()-ROW($B$2))/16+1),"")</f>
        <v/>
      </c>
    </row>
    <row r="5468" spans="14:14" x14ac:dyDescent="0.3">
      <c r="N5468" t="str" cm="1">
        <f t="array" ref="N5468">IF(MOD(ROW()-ROW($B$2),16)=0,INDEX($M$2:$M$1000,(ROW()-ROW($B$2))/16+1),"")</f>
        <v/>
      </c>
    </row>
    <row r="5469" spans="14:14" x14ac:dyDescent="0.3">
      <c r="N5469" t="str" cm="1">
        <f t="array" ref="N5469">IF(MOD(ROW()-ROW($B$2),16)=0,INDEX($M$2:$M$1000,(ROW()-ROW($B$2))/16+1),"")</f>
        <v/>
      </c>
    </row>
    <row r="5470" spans="14:14" x14ac:dyDescent="0.3">
      <c r="N5470" t="str" cm="1">
        <f t="array" ref="N5470">IF(MOD(ROW()-ROW($B$2),16)=0,INDEX($M$2:$M$1000,(ROW()-ROW($B$2))/16+1),"")</f>
        <v/>
      </c>
    </row>
    <row r="5471" spans="14:14" x14ac:dyDescent="0.3">
      <c r="N5471" t="str" cm="1">
        <f t="array" ref="N5471">IF(MOD(ROW()-ROW($B$2),16)=0,INDEX($M$2:$M$1000,(ROW()-ROW($B$2))/16+1),"")</f>
        <v/>
      </c>
    </row>
    <row r="5472" spans="14:14" x14ac:dyDescent="0.3">
      <c r="N5472" t="str" cm="1">
        <f t="array" ref="N5472">IF(MOD(ROW()-ROW($B$2),16)=0,INDEX($M$2:$M$1000,(ROW()-ROW($B$2))/16+1),"")</f>
        <v/>
      </c>
    </row>
    <row r="5473" spans="14:14" x14ac:dyDescent="0.3">
      <c r="N5473" t="str" cm="1">
        <f t="array" ref="N5473">IF(MOD(ROW()-ROW($B$2),16)=0,INDEX($M$2:$M$1000,(ROW()-ROW($B$2))/16+1),"")</f>
        <v/>
      </c>
    </row>
    <row r="5474" spans="14:14" x14ac:dyDescent="0.3">
      <c r="N5474" t="str" cm="1">
        <f t="array" ref="N5474">IF(MOD(ROW()-ROW($B$2),16)=0,INDEX($M$2:$M$1000,(ROW()-ROW($B$2))/16+1),"")</f>
        <v/>
      </c>
    </row>
    <row r="5475" spans="14:14" x14ac:dyDescent="0.3">
      <c r="N5475" t="str" cm="1">
        <f t="array" ref="N5475">IF(MOD(ROW()-ROW($B$2),16)=0,INDEX($M$2:$M$1000,(ROW()-ROW($B$2))/16+1),"")</f>
        <v/>
      </c>
    </row>
    <row r="5476" spans="14:14" x14ac:dyDescent="0.3">
      <c r="N5476" t="str" cm="1">
        <f t="array" ref="N5476">IF(MOD(ROW()-ROW($B$2),16)=0,INDEX($M$2:$M$1000,(ROW()-ROW($B$2))/16+1),"")</f>
        <v/>
      </c>
    </row>
    <row r="5477" spans="14:14" x14ac:dyDescent="0.3">
      <c r="N5477" t="str" cm="1">
        <f t="array" ref="N5477">IF(MOD(ROW()-ROW($B$2),16)=0,INDEX($M$2:$M$1000,(ROW()-ROW($B$2))/16+1),"")</f>
        <v/>
      </c>
    </row>
    <row r="5478" spans="14:14" x14ac:dyDescent="0.3">
      <c r="N5478" t="str" cm="1">
        <f t="array" ref="N5478">IF(MOD(ROW()-ROW($B$2),16)=0,INDEX($M$2:$M$1000,(ROW()-ROW($B$2))/16+1),"")</f>
        <v/>
      </c>
    </row>
    <row r="5479" spans="14:14" x14ac:dyDescent="0.3">
      <c r="N5479" t="str" cm="1">
        <f t="array" ref="N5479">IF(MOD(ROW()-ROW($B$2),16)=0,INDEX($M$2:$M$1000,(ROW()-ROW($B$2))/16+1),"")</f>
        <v/>
      </c>
    </row>
    <row r="5480" spans="14:14" x14ac:dyDescent="0.3">
      <c r="N5480" t="str" cm="1">
        <f t="array" ref="N5480">IF(MOD(ROW()-ROW($B$2),16)=0,INDEX($M$2:$M$1000,(ROW()-ROW($B$2))/16+1),"")</f>
        <v/>
      </c>
    </row>
    <row r="5481" spans="14:14" x14ac:dyDescent="0.3">
      <c r="N5481" t="str" cm="1">
        <f t="array" ref="N5481">IF(MOD(ROW()-ROW($B$2),16)=0,INDEX($M$2:$M$1000,(ROW()-ROW($B$2))/16+1),"")</f>
        <v/>
      </c>
    </row>
    <row r="5482" spans="14:14" x14ac:dyDescent="0.3">
      <c r="N5482" t="str" cm="1">
        <f t="array" ref="N5482">IF(MOD(ROW()-ROW($B$2),16)=0,INDEX($M$2:$M$1000,(ROW()-ROW($B$2))/16+1),"")</f>
        <v/>
      </c>
    </row>
    <row r="5483" spans="14:14" x14ac:dyDescent="0.3">
      <c r="N5483" t="str" cm="1">
        <f t="array" ref="N5483">IF(MOD(ROW()-ROW($B$2),16)=0,INDEX($M$2:$M$1000,(ROW()-ROW($B$2))/16+1),"")</f>
        <v/>
      </c>
    </row>
    <row r="5484" spans="14:14" x14ac:dyDescent="0.3">
      <c r="N5484" t="str" cm="1">
        <f t="array" ref="N5484">IF(MOD(ROW()-ROW($B$2),16)=0,INDEX($M$2:$M$1000,(ROW()-ROW($B$2))/16+1),"")</f>
        <v/>
      </c>
    </row>
    <row r="5485" spans="14:14" x14ac:dyDescent="0.3">
      <c r="N5485" t="str" cm="1">
        <f t="array" ref="N5485">IF(MOD(ROW()-ROW($B$2),16)=0,INDEX($M$2:$M$1000,(ROW()-ROW($B$2))/16+1),"")</f>
        <v/>
      </c>
    </row>
    <row r="5486" spans="14:14" x14ac:dyDescent="0.3">
      <c r="N5486" t="str" cm="1">
        <f t="array" ref="N5486">IF(MOD(ROW()-ROW($B$2),16)=0,INDEX($M$2:$M$1000,(ROW()-ROW($B$2))/16+1),"")</f>
        <v/>
      </c>
    </row>
    <row r="5487" spans="14:14" x14ac:dyDescent="0.3">
      <c r="N5487" t="str" cm="1">
        <f t="array" ref="N5487">IF(MOD(ROW()-ROW($B$2),16)=0,INDEX($M$2:$M$1000,(ROW()-ROW($B$2))/16+1),"")</f>
        <v/>
      </c>
    </row>
    <row r="5488" spans="14:14" x14ac:dyDescent="0.3">
      <c r="N5488" t="str" cm="1">
        <f t="array" ref="N5488">IF(MOD(ROW()-ROW($B$2),16)=0,INDEX($M$2:$M$1000,(ROW()-ROW($B$2))/16+1),"")</f>
        <v/>
      </c>
    </row>
    <row r="5489" spans="14:14" x14ac:dyDescent="0.3">
      <c r="N5489" t="str" cm="1">
        <f t="array" ref="N5489">IF(MOD(ROW()-ROW($B$2),16)=0,INDEX($M$2:$M$1000,(ROW()-ROW($B$2))/16+1),"")</f>
        <v/>
      </c>
    </row>
    <row r="5490" spans="14:14" x14ac:dyDescent="0.3">
      <c r="N5490" t="str" cm="1">
        <f t="array" ref="N5490">IF(MOD(ROW()-ROW($B$2),16)=0,INDEX($M$2:$M$1000,(ROW()-ROW($B$2))/16+1),"")</f>
        <v/>
      </c>
    </row>
    <row r="5491" spans="14:14" x14ac:dyDescent="0.3">
      <c r="N5491" t="str" cm="1">
        <f t="array" ref="N5491">IF(MOD(ROW()-ROW($B$2),16)=0,INDEX($M$2:$M$1000,(ROW()-ROW($B$2))/16+1),"")</f>
        <v/>
      </c>
    </row>
    <row r="5492" spans="14:14" x14ac:dyDescent="0.3">
      <c r="N5492" t="str" cm="1">
        <f t="array" ref="N5492">IF(MOD(ROW()-ROW($B$2),16)=0,INDEX($M$2:$M$1000,(ROW()-ROW($B$2))/16+1),"")</f>
        <v/>
      </c>
    </row>
    <row r="5493" spans="14:14" x14ac:dyDescent="0.3">
      <c r="N5493" t="str" cm="1">
        <f t="array" ref="N5493">IF(MOD(ROW()-ROW($B$2),16)=0,INDEX($M$2:$M$1000,(ROW()-ROW($B$2))/16+1),"")</f>
        <v/>
      </c>
    </row>
    <row r="5494" spans="14:14" x14ac:dyDescent="0.3">
      <c r="N5494" t="str" cm="1">
        <f t="array" ref="N5494">IF(MOD(ROW()-ROW($B$2),16)=0,INDEX($M$2:$M$1000,(ROW()-ROW($B$2))/16+1),"")</f>
        <v/>
      </c>
    </row>
    <row r="5495" spans="14:14" x14ac:dyDescent="0.3">
      <c r="N5495" t="str" cm="1">
        <f t="array" ref="N5495">IF(MOD(ROW()-ROW($B$2),16)=0,INDEX($M$2:$M$1000,(ROW()-ROW($B$2))/16+1),"")</f>
        <v/>
      </c>
    </row>
    <row r="5496" spans="14:14" x14ac:dyDescent="0.3">
      <c r="N5496" t="str" cm="1">
        <f t="array" ref="N5496">IF(MOD(ROW()-ROW($B$2),16)=0,INDEX($M$2:$M$1000,(ROW()-ROW($B$2))/16+1),"")</f>
        <v/>
      </c>
    </row>
    <row r="5497" spans="14:14" x14ac:dyDescent="0.3">
      <c r="N5497" t="str" cm="1">
        <f t="array" ref="N5497">IF(MOD(ROW()-ROW($B$2),16)=0,INDEX($M$2:$M$1000,(ROW()-ROW($B$2))/16+1),"")</f>
        <v/>
      </c>
    </row>
    <row r="5498" spans="14:14" x14ac:dyDescent="0.3">
      <c r="N5498" t="str" cm="1">
        <f t="array" ref="N5498">IF(MOD(ROW()-ROW($B$2),16)=0,INDEX($M$2:$M$1000,(ROW()-ROW($B$2))/16+1),"")</f>
        <v/>
      </c>
    </row>
    <row r="5499" spans="14:14" x14ac:dyDescent="0.3">
      <c r="N5499" t="str" cm="1">
        <f t="array" ref="N5499">IF(MOD(ROW()-ROW($B$2),16)=0,INDEX($M$2:$M$1000,(ROW()-ROW($B$2))/16+1),"")</f>
        <v/>
      </c>
    </row>
    <row r="5500" spans="14:14" x14ac:dyDescent="0.3">
      <c r="N5500" t="str" cm="1">
        <f t="array" ref="N5500">IF(MOD(ROW()-ROW($B$2),16)=0,INDEX($M$2:$M$1000,(ROW()-ROW($B$2))/16+1),"")</f>
        <v/>
      </c>
    </row>
    <row r="5501" spans="14:14" x14ac:dyDescent="0.3">
      <c r="N5501" t="str" cm="1">
        <f t="array" ref="N5501">IF(MOD(ROW()-ROW($B$2),16)=0,INDEX($M$2:$M$1000,(ROW()-ROW($B$2))/16+1),"")</f>
        <v/>
      </c>
    </row>
    <row r="5502" spans="14:14" x14ac:dyDescent="0.3">
      <c r="N5502" t="str" cm="1">
        <f t="array" ref="N5502">IF(MOD(ROW()-ROW($B$2),16)=0,INDEX($M$2:$M$1000,(ROW()-ROW($B$2))/16+1),"")</f>
        <v/>
      </c>
    </row>
    <row r="5503" spans="14:14" x14ac:dyDescent="0.3">
      <c r="N5503" t="str" cm="1">
        <f t="array" ref="N5503">IF(MOD(ROW()-ROW($B$2),16)=0,INDEX($M$2:$M$1000,(ROW()-ROW($B$2))/16+1),"")</f>
        <v/>
      </c>
    </row>
    <row r="5504" spans="14:14" x14ac:dyDescent="0.3">
      <c r="N5504" t="str" cm="1">
        <f t="array" ref="N5504">IF(MOD(ROW()-ROW($B$2),16)=0,INDEX($M$2:$M$1000,(ROW()-ROW($B$2))/16+1),"")</f>
        <v/>
      </c>
    </row>
    <row r="5505" spans="14:14" x14ac:dyDescent="0.3">
      <c r="N5505" t="str" cm="1">
        <f t="array" ref="N5505">IF(MOD(ROW()-ROW($B$2),16)=0,INDEX($M$2:$M$1000,(ROW()-ROW($B$2))/16+1),"")</f>
        <v/>
      </c>
    </row>
    <row r="5506" spans="14:14" x14ac:dyDescent="0.3">
      <c r="N5506" t="str" cm="1">
        <f t="array" ref="N5506">IF(MOD(ROW()-ROW($B$2),16)=0,INDEX($M$2:$M$1000,(ROW()-ROW($B$2))/16+1),"")</f>
        <v/>
      </c>
    </row>
    <row r="5507" spans="14:14" x14ac:dyDescent="0.3">
      <c r="N5507" t="str" cm="1">
        <f t="array" ref="N5507">IF(MOD(ROW()-ROW($B$2),16)=0,INDEX($M$2:$M$1000,(ROW()-ROW($B$2))/16+1),"")</f>
        <v/>
      </c>
    </row>
    <row r="5508" spans="14:14" x14ac:dyDescent="0.3">
      <c r="N5508" t="str" cm="1">
        <f t="array" ref="N5508">IF(MOD(ROW()-ROW($B$2),16)=0,INDEX($M$2:$M$1000,(ROW()-ROW($B$2))/16+1),"")</f>
        <v/>
      </c>
    </row>
    <row r="5509" spans="14:14" x14ac:dyDescent="0.3">
      <c r="N5509" t="str" cm="1">
        <f t="array" ref="N5509">IF(MOD(ROW()-ROW($B$2),16)=0,INDEX($M$2:$M$1000,(ROW()-ROW($B$2))/16+1),"")</f>
        <v/>
      </c>
    </row>
    <row r="5510" spans="14:14" x14ac:dyDescent="0.3">
      <c r="N5510" t="str" cm="1">
        <f t="array" ref="N5510">IF(MOD(ROW()-ROW($B$2),16)=0,INDEX($M$2:$M$1000,(ROW()-ROW($B$2))/16+1),"")</f>
        <v/>
      </c>
    </row>
    <row r="5511" spans="14:14" x14ac:dyDescent="0.3">
      <c r="N5511" t="str" cm="1">
        <f t="array" ref="N5511">IF(MOD(ROW()-ROW($B$2),16)=0,INDEX($M$2:$M$1000,(ROW()-ROW($B$2))/16+1),"")</f>
        <v/>
      </c>
    </row>
    <row r="5512" spans="14:14" x14ac:dyDescent="0.3">
      <c r="N5512" t="str" cm="1">
        <f t="array" ref="N5512">IF(MOD(ROW()-ROW($B$2),16)=0,INDEX($M$2:$M$1000,(ROW()-ROW($B$2))/16+1),"")</f>
        <v/>
      </c>
    </row>
    <row r="5513" spans="14:14" x14ac:dyDescent="0.3">
      <c r="N5513" t="str" cm="1">
        <f t="array" ref="N5513">IF(MOD(ROW()-ROW($B$2),16)=0,INDEX($M$2:$M$1000,(ROW()-ROW($B$2))/16+1),"")</f>
        <v/>
      </c>
    </row>
    <row r="5514" spans="14:14" x14ac:dyDescent="0.3">
      <c r="N5514" t="str" cm="1">
        <f t="array" ref="N5514">IF(MOD(ROW()-ROW($B$2),16)=0,INDEX($M$2:$M$1000,(ROW()-ROW($B$2))/16+1),"")</f>
        <v/>
      </c>
    </row>
    <row r="5515" spans="14:14" x14ac:dyDescent="0.3">
      <c r="N5515" t="str" cm="1">
        <f t="array" ref="N5515">IF(MOD(ROW()-ROW($B$2),16)=0,INDEX($M$2:$M$1000,(ROW()-ROW($B$2))/16+1),"")</f>
        <v/>
      </c>
    </row>
    <row r="5516" spans="14:14" x14ac:dyDescent="0.3">
      <c r="N5516" t="str" cm="1">
        <f t="array" ref="N5516">IF(MOD(ROW()-ROW($B$2),16)=0,INDEX($M$2:$M$1000,(ROW()-ROW($B$2))/16+1),"")</f>
        <v/>
      </c>
    </row>
    <row r="5517" spans="14:14" x14ac:dyDescent="0.3">
      <c r="N5517" t="str" cm="1">
        <f t="array" ref="N5517">IF(MOD(ROW()-ROW($B$2),16)=0,INDEX($M$2:$M$1000,(ROW()-ROW($B$2))/16+1),"")</f>
        <v/>
      </c>
    </row>
    <row r="5518" spans="14:14" x14ac:dyDescent="0.3">
      <c r="N5518" t="str" cm="1">
        <f t="array" ref="N5518">IF(MOD(ROW()-ROW($B$2),16)=0,INDEX($M$2:$M$1000,(ROW()-ROW($B$2))/16+1),"")</f>
        <v/>
      </c>
    </row>
    <row r="5519" spans="14:14" x14ac:dyDescent="0.3">
      <c r="N5519" t="str" cm="1">
        <f t="array" ref="N5519">IF(MOD(ROW()-ROW($B$2),16)=0,INDEX($M$2:$M$1000,(ROW()-ROW($B$2))/16+1),"")</f>
        <v/>
      </c>
    </row>
    <row r="5520" spans="14:14" x14ac:dyDescent="0.3">
      <c r="N5520" t="str" cm="1">
        <f t="array" ref="N5520">IF(MOD(ROW()-ROW($B$2),16)=0,INDEX($M$2:$M$1000,(ROW()-ROW($B$2))/16+1),"")</f>
        <v/>
      </c>
    </row>
    <row r="5521" spans="14:14" x14ac:dyDescent="0.3">
      <c r="N5521" t="str" cm="1">
        <f t="array" ref="N5521">IF(MOD(ROW()-ROW($B$2),16)=0,INDEX($M$2:$M$1000,(ROW()-ROW($B$2))/16+1),"")</f>
        <v/>
      </c>
    </row>
    <row r="5522" spans="14:14" x14ac:dyDescent="0.3">
      <c r="N5522" t="str" cm="1">
        <f t="array" ref="N5522">IF(MOD(ROW()-ROW($B$2),16)=0,INDEX($M$2:$M$1000,(ROW()-ROW($B$2))/16+1),"")</f>
        <v/>
      </c>
    </row>
    <row r="5523" spans="14:14" x14ac:dyDescent="0.3">
      <c r="N5523" t="str" cm="1">
        <f t="array" ref="N5523">IF(MOD(ROW()-ROW($B$2),16)=0,INDEX($M$2:$M$1000,(ROW()-ROW($B$2))/16+1),"")</f>
        <v/>
      </c>
    </row>
    <row r="5524" spans="14:14" x14ac:dyDescent="0.3">
      <c r="N5524" t="str" cm="1">
        <f t="array" ref="N5524">IF(MOD(ROW()-ROW($B$2),16)=0,INDEX($M$2:$M$1000,(ROW()-ROW($B$2))/16+1),"")</f>
        <v/>
      </c>
    </row>
    <row r="5525" spans="14:14" x14ac:dyDescent="0.3">
      <c r="N5525" t="str" cm="1">
        <f t="array" ref="N5525">IF(MOD(ROW()-ROW($B$2),16)=0,INDEX($M$2:$M$1000,(ROW()-ROW($B$2))/16+1),"")</f>
        <v/>
      </c>
    </row>
    <row r="5526" spans="14:14" x14ac:dyDescent="0.3">
      <c r="N5526" t="str" cm="1">
        <f t="array" ref="N5526">IF(MOD(ROW()-ROW($B$2),16)=0,INDEX($M$2:$M$1000,(ROW()-ROW($B$2))/16+1),"")</f>
        <v/>
      </c>
    </row>
    <row r="5527" spans="14:14" x14ac:dyDescent="0.3">
      <c r="N5527" t="str" cm="1">
        <f t="array" ref="N5527">IF(MOD(ROW()-ROW($B$2),16)=0,INDEX($M$2:$M$1000,(ROW()-ROW($B$2))/16+1),"")</f>
        <v/>
      </c>
    </row>
    <row r="5528" spans="14:14" x14ac:dyDescent="0.3">
      <c r="N5528" t="str" cm="1">
        <f t="array" ref="N5528">IF(MOD(ROW()-ROW($B$2),16)=0,INDEX($M$2:$M$1000,(ROW()-ROW($B$2))/16+1),"")</f>
        <v/>
      </c>
    </row>
    <row r="5529" spans="14:14" x14ac:dyDescent="0.3">
      <c r="N5529" t="str" cm="1">
        <f t="array" ref="N5529">IF(MOD(ROW()-ROW($B$2),16)=0,INDEX($M$2:$M$1000,(ROW()-ROW($B$2))/16+1),"")</f>
        <v/>
      </c>
    </row>
    <row r="5530" spans="14:14" x14ac:dyDescent="0.3">
      <c r="N5530" t="str" cm="1">
        <f t="array" ref="N5530">IF(MOD(ROW()-ROW($B$2),16)=0,INDEX($M$2:$M$1000,(ROW()-ROW($B$2))/16+1),"")</f>
        <v/>
      </c>
    </row>
    <row r="5531" spans="14:14" x14ac:dyDescent="0.3">
      <c r="N5531" t="str" cm="1">
        <f t="array" ref="N5531">IF(MOD(ROW()-ROW($B$2),16)=0,INDEX($M$2:$M$1000,(ROW()-ROW($B$2))/16+1),"")</f>
        <v/>
      </c>
    </row>
    <row r="5532" spans="14:14" x14ac:dyDescent="0.3">
      <c r="N5532" t="str" cm="1">
        <f t="array" ref="N5532">IF(MOD(ROW()-ROW($B$2),16)=0,INDEX($M$2:$M$1000,(ROW()-ROW($B$2))/16+1),"")</f>
        <v/>
      </c>
    </row>
    <row r="5533" spans="14:14" x14ac:dyDescent="0.3">
      <c r="N5533" t="str" cm="1">
        <f t="array" ref="N5533">IF(MOD(ROW()-ROW($B$2),16)=0,INDEX($M$2:$M$1000,(ROW()-ROW($B$2))/16+1),"")</f>
        <v/>
      </c>
    </row>
    <row r="5534" spans="14:14" x14ac:dyDescent="0.3">
      <c r="N5534" t="str" cm="1">
        <f t="array" ref="N5534">IF(MOD(ROW()-ROW($B$2),16)=0,INDEX($M$2:$M$1000,(ROW()-ROW($B$2))/16+1),"")</f>
        <v/>
      </c>
    </row>
    <row r="5535" spans="14:14" x14ac:dyDescent="0.3">
      <c r="N5535" t="str" cm="1">
        <f t="array" ref="N5535">IF(MOD(ROW()-ROW($B$2),16)=0,INDEX($M$2:$M$1000,(ROW()-ROW($B$2))/16+1),"")</f>
        <v/>
      </c>
    </row>
    <row r="5536" spans="14:14" x14ac:dyDescent="0.3">
      <c r="N5536" t="str" cm="1">
        <f t="array" ref="N5536">IF(MOD(ROW()-ROW($B$2),16)=0,INDEX($M$2:$M$1000,(ROW()-ROW($B$2))/16+1),"")</f>
        <v/>
      </c>
    </row>
    <row r="5537" spans="14:14" x14ac:dyDescent="0.3">
      <c r="N5537" t="str" cm="1">
        <f t="array" ref="N5537">IF(MOD(ROW()-ROW($B$2),16)=0,INDEX($M$2:$M$1000,(ROW()-ROW($B$2))/16+1),"")</f>
        <v/>
      </c>
    </row>
    <row r="5538" spans="14:14" x14ac:dyDescent="0.3">
      <c r="N5538" t="str" cm="1">
        <f t="array" ref="N5538">IF(MOD(ROW()-ROW($B$2),16)=0,INDEX($M$2:$M$1000,(ROW()-ROW($B$2))/16+1),"")</f>
        <v/>
      </c>
    </row>
    <row r="5539" spans="14:14" x14ac:dyDescent="0.3">
      <c r="N5539" t="str" cm="1">
        <f t="array" ref="N5539">IF(MOD(ROW()-ROW($B$2),16)=0,INDEX($M$2:$M$1000,(ROW()-ROW($B$2))/16+1),"")</f>
        <v/>
      </c>
    </row>
    <row r="5540" spans="14:14" x14ac:dyDescent="0.3">
      <c r="N5540" t="str" cm="1">
        <f t="array" ref="N5540">IF(MOD(ROW()-ROW($B$2),16)=0,INDEX($M$2:$M$1000,(ROW()-ROW($B$2))/16+1),"")</f>
        <v/>
      </c>
    </row>
    <row r="5541" spans="14:14" x14ac:dyDescent="0.3">
      <c r="N5541" t="str" cm="1">
        <f t="array" ref="N5541">IF(MOD(ROW()-ROW($B$2),16)=0,INDEX($M$2:$M$1000,(ROW()-ROW($B$2))/16+1),"")</f>
        <v/>
      </c>
    </row>
    <row r="5542" spans="14:14" x14ac:dyDescent="0.3">
      <c r="N5542" t="str" cm="1">
        <f t="array" ref="N5542">IF(MOD(ROW()-ROW($B$2),16)=0,INDEX($M$2:$M$1000,(ROW()-ROW($B$2))/16+1),"")</f>
        <v/>
      </c>
    </row>
    <row r="5543" spans="14:14" x14ac:dyDescent="0.3">
      <c r="N5543" t="str" cm="1">
        <f t="array" ref="N5543">IF(MOD(ROW()-ROW($B$2),16)=0,INDEX($M$2:$M$1000,(ROW()-ROW($B$2))/16+1),"")</f>
        <v/>
      </c>
    </row>
    <row r="5544" spans="14:14" x14ac:dyDescent="0.3">
      <c r="N5544" t="str" cm="1">
        <f t="array" ref="N5544">IF(MOD(ROW()-ROW($B$2),16)=0,INDEX($M$2:$M$1000,(ROW()-ROW($B$2))/16+1),"")</f>
        <v/>
      </c>
    </row>
    <row r="5545" spans="14:14" x14ac:dyDescent="0.3">
      <c r="N5545" t="str" cm="1">
        <f t="array" ref="N5545">IF(MOD(ROW()-ROW($B$2),16)=0,INDEX($M$2:$M$1000,(ROW()-ROW($B$2))/16+1),"")</f>
        <v/>
      </c>
    </row>
    <row r="5546" spans="14:14" x14ac:dyDescent="0.3">
      <c r="N5546" t="str" cm="1">
        <f t="array" ref="N5546">IF(MOD(ROW()-ROW($B$2),16)=0,INDEX($M$2:$M$1000,(ROW()-ROW($B$2))/16+1),"")</f>
        <v/>
      </c>
    </row>
    <row r="5547" spans="14:14" x14ac:dyDescent="0.3">
      <c r="N5547" t="str" cm="1">
        <f t="array" ref="N5547">IF(MOD(ROW()-ROW($B$2),16)=0,INDEX($M$2:$M$1000,(ROW()-ROW($B$2))/16+1),"")</f>
        <v/>
      </c>
    </row>
    <row r="5548" spans="14:14" x14ac:dyDescent="0.3">
      <c r="N5548" t="str" cm="1">
        <f t="array" ref="N5548">IF(MOD(ROW()-ROW($B$2),16)=0,INDEX($M$2:$M$1000,(ROW()-ROW($B$2))/16+1),"")</f>
        <v/>
      </c>
    </row>
    <row r="5549" spans="14:14" x14ac:dyDescent="0.3">
      <c r="N5549" t="str" cm="1">
        <f t="array" ref="N5549">IF(MOD(ROW()-ROW($B$2),16)=0,INDEX($M$2:$M$1000,(ROW()-ROW($B$2))/16+1),"")</f>
        <v/>
      </c>
    </row>
    <row r="5550" spans="14:14" x14ac:dyDescent="0.3">
      <c r="N5550" t="str" cm="1">
        <f t="array" ref="N5550">IF(MOD(ROW()-ROW($B$2),16)=0,INDEX($M$2:$M$1000,(ROW()-ROW($B$2))/16+1),"")</f>
        <v/>
      </c>
    </row>
    <row r="5551" spans="14:14" x14ac:dyDescent="0.3">
      <c r="N5551" t="str" cm="1">
        <f t="array" ref="N5551">IF(MOD(ROW()-ROW($B$2),16)=0,INDEX($M$2:$M$1000,(ROW()-ROW($B$2))/16+1),"")</f>
        <v/>
      </c>
    </row>
    <row r="5552" spans="14:14" x14ac:dyDescent="0.3">
      <c r="N5552" t="str" cm="1">
        <f t="array" ref="N5552">IF(MOD(ROW()-ROW($B$2),16)=0,INDEX($M$2:$M$1000,(ROW()-ROW($B$2))/16+1),"")</f>
        <v/>
      </c>
    </row>
    <row r="5553" spans="14:14" x14ac:dyDescent="0.3">
      <c r="N5553" t="str" cm="1">
        <f t="array" ref="N5553">IF(MOD(ROW()-ROW($B$2),16)=0,INDEX($M$2:$M$1000,(ROW()-ROW($B$2))/16+1),"")</f>
        <v/>
      </c>
    </row>
    <row r="5554" spans="14:14" x14ac:dyDescent="0.3">
      <c r="N5554" t="str" cm="1">
        <f t="array" ref="N5554">IF(MOD(ROW()-ROW($B$2),16)=0,INDEX($M$2:$M$1000,(ROW()-ROW($B$2))/16+1),"")</f>
        <v/>
      </c>
    </row>
    <row r="5555" spans="14:14" x14ac:dyDescent="0.3">
      <c r="N5555" t="str" cm="1">
        <f t="array" ref="N5555">IF(MOD(ROW()-ROW($B$2),16)=0,INDEX($M$2:$M$1000,(ROW()-ROW($B$2))/16+1),"")</f>
        <v/>
      </c>
    </row>
    <row r="5556" spans="14:14" x14ac:dyDescent="0.3">
      <c r="N5556" t="str" cm="1">
        <f t="array" ref="N5556">IF(MOD(ROW()-ROW($B$2),16)=0,INDEX($M$2:$M$1000,(ROW()-ROW($B$2))/16+1),"")</f>
        <v/>
      </c>
    </row>
    <row r="5557" spans="14:14" x14ac:dyDescent="0.3">
      <c r="N5557" t="str" cm="1">
        <f t="array" ref="N5557">IF(MOD(ROW()-ROW($B$2),16)=0,INDEX($M$2:$M$1000,(ROW()-ROW($B$2))/16+1),"")</f>
        <v/>
      </c>
    </row>
    <row r="5558" spans="14:14" x14ac:dyDescent="0.3">
      <c r="N5558" t="str" cm="1">
        <f t="array" ref="N5558">IF(MOD(ROW()-ROW($B$2),16)=0,INDEX($M$2:$M$1000,(ROW()-ROW($B$2))/16+1),"")</f>
        <v/>
      </c>
    </row>
    <row r="5559" spans="14:14" x14ac:dyDescent="0.3">
      <c r="N5559" t="str" cm="1">
        <f t="array" ref="N5559">IF(MOD(ROW()-ROW($B$2),16)=0,INDEX($M$2:$M$1000,(ROW()-ROW($B$2))/16+1),"")</f>
        <v/>
      </c>
    </row>
    <row r="5560" spans="14:14" x14ac:dyDescent="0.3">
      <c r="N5560" t="str" cm="1">
        <f t="array" ref="N5560">IF(MOD(ROW()-ROW($B$2),16)=0,INDEX($M$2:$M$1000,(ROW()-ROW($B$2))/16+1),"")</f>
        <v/>
      </c>
    </row>
    <row r="5561" spans="14:14" x14ac:dyDescent="0.3">
      <c r="N5561" t="str" cm="1">
        <f t="array" ref="N5561">IF(MOD(ROW()-ROW($B$2),16)=0,INDEX($M$2:$M$1000,(ROW()-ROW($B$2))/16+1),"")</f>
        <v/>
      </c>
    </row>
    <row r="5562" spans="14:14" x14ac:dyDescent="0.3">
      <c r="N5562" t="str" cm="1">
        <f t="array" ref="N5562">IF(MOD(ROW()-ROW($B$2),16)=0,INDEX($M$2:$M$1000,(ROW()-ROW($B$2))/16+1),"")</f>
        <v/>
      </c>
    </row>
    <row r="5563" spans="14:14" x14ac:dyDescent="0.3">
      <c r="N5563" t="str" cm="1">
        <f t="array" ref="N5563">IF(MOD(ROW()-ROW($B$2),16)=0,INDEX($M$2:$M$1000,(ROW()-ROW($B$2))/16+1),"")</f>
        <v/>
      </c>
    </row>
    <row r="5564" spans="14:14" x14ac:dyDescent="0.3">
      <c r="N5564" t="str" cm="1">
        <f t="array" ref="N5564">IF(MOD(ROW()-ROW($B$2),16)=0,INDEX($M$2:$M$1000,(ROW()-ROW($B$2))/16+1),"")</f>
        <v/>
      </c>
    </row>
    <row r="5565" spans="14:14" x14ac:dyDescent="0.3">
      <c r="N5565" t="str" cm="1">
        <f t="array" ref="N5565">IF(MOD(ROW()-ROW($B$2),16)=0,INDEX($M$2:$M$1000,(ROW()-ROW($B$2))/16+1),"")</f>
        <v/>
      </c>
    </row>
    <row r="5566" spans="14:14" x14ac:dyDescent="0.3">
      <c r="N5566" t="str" cm="1">
        <f t="array" ref="N5566">IF(MOD(ROW()-ROW($B$2),16)=0,INDEX($M$2:$M$1000,(ROW()-ROW($B$2))/16+1),"")</f>
        <v/>
      </c>
    </row>
    <row r="5567" spans="14:14" x14ac:dyDescent="0.3">
      <c r="N5567" t="str" cm="1">
        <f t="array" ref="N5567">IF(MOD(ROW()-ROW($B$2),16)=0,INDEX($M$2:$M$1000,(ROW()-ROW($B$2))/16+1),"")</f>
        <v/>
      </c>
    </row>
    <row r="5568" spans="14:14" x14ac:dyDescent="0.3">
      <c r="N5568" t="str" cm="1">
        <f t="array" ref="N5568">IF(MOD(ROW()-ROW($B$2),16)=0,INDEX($M$2:$M$1000,(ROW()-ROW($B$2))/16+1),"")</f>
        <v/>
      </c>
    </row>
    <row r="5569" spans="14:14" x14ac:dyDescent="0.3">
      <c r="N5569" t="str" cm="1">
        <f t="array" ref="N5569">IF(MOD(ROW()-ROW($B$2),16)=0,INDEX($M$2:$M$1000,(ROW()-ROW($B$2))/16+1),"")</f>
        <v/>
      </c>
    </row>
    <row r="5570" spans="14:14" x14ac:dyDescent="0.3">
      <c r="N5570" t="str" cm="1">
        <f t="array" ref="N5570">IF(MOD(ROW()-ROW($B$2),16)=0,INDEX($M$2:$M$1000,(ROW()-ROW($B$2))/16+1),"")</f>
        <v/>
      </c>
    </row>
    <row r="5571" spans="14:14" x14ac:dyDescent="0.3">
      <c r="N5571" t="str" cm="1">
        <f t="array" ref="N5571">IF(MOD(ROW()-ROW($B$2),16)=0,INDEX($M$2:$M$1000,(ROW()-ROW($B$2))/16+1),"")</f>
        <v/>
      </c>
    </row>
    <row r="5572" spans="14:14" x14ac:dyDescent="0.3">
      <c r="N5572" t="str" cm="1">
        <f t="array" ref="N5572">IF(MOD(ROW()-ROW($B$2),16)=0,INDEX($M$2:$M$1000,(ROW()-ROW($B$2))/16+1),"")</f>
        <v/>
      </c>
    </row>
    <row r="5573" spans="14:14" x14ac:dyDescent="0.3">
      <c r="N5573" t="str" cm="1">
        <f t="array" ref="N5573">IF(MOD(ROW()-ROW($B$2),16)=0,INDEX($M$2:$M$1000,(ROW()-ROW($B$2))/16+1),"")</f>
        <v/>
      </c>
    </row>
    <row r="5574" spans="14:14" x14ac:dyDescent="0.3">
      <c r="N5574" t="str" cm="1">
        <f t="array" ref="N5574">IF(MOD(ROW()-ROW($B$2),16)=0,INDEX($M$2:$M$1000,(ROW()-ROW($B$2))/16+1),"")</f>
        <v/>
      </c>
    </row>
    <row r="5575" spans="14:14" x14ac:dyDescent="0.3">
      <c r="N5575" t="str" cm="1">
        <f t="array" ref="N5575">IF(MOD(ROW()-ROW($B$2),16)=0,INDEX($M$2:$M$1000,(ROW()-ROW($B$2))/16+1),"")</f>
        <v/>
      </c>
    </row>
    <row r="5576" spans="14:14" x14ac:dyDescent="0.3">
      <c r="N5576" t="str" cm="1">
        <f t="array" ref="N5576">IF(MOD(ROW()-ROW($B$2),16)=0,INDEX($M$2:$M$1000,(ROW()-ROW($B$2))/16+1),"")</f>
        <v/>
      </c>
    </row>
    <row r="5577" spans="14:14" x14ac:dyDescent="0.3">
      <c r="N5577" t="str" cm="1">
        <f t="array" ref="N5577">IF(MOD(ROW()-ROW($B$2),16)=0,INDEX($M$2:$M$1000,(ROW()-ROW($B$2))/16+1),"")</f>
        <v/>
      </c>
    </row>
    <row r="5578" spans="14:14" x14ac:dyDescent="0.3">
      <c r="N5578" t="str" cm="1">
        <f t="array" ref="N5578">IF(MOD(ROW()-ROW($B$2),16)=0,INDEX($M$2:$M$1000,(ROW()-ROW($B$2))/16+1),"")</f>
        <v/>
      </c>
    </row>
    <row r="5579" spans="14:14" x14ac:dyDescent="0.3">
      <c r="N5579" t="str" cm="1">
        <f t="array" ref="N5579">IF(MOD(ROW()-ROW($B$2),16)=0,INDEX($M$2:$M$1000,(ROW()-ROW($B$2))/16+1),"")</f>
        <v/>
      </c>
    </row>
    <row r="5580" spans="14:14" x14ac:dyDescent="0.3">
      <c r="N5580" t="str" cm="1">
        <f t="array" ref="N5580">IF(MOD(ROW()-ROW($B$2),16)=0,INDEX($M$2:$M$1000,(ROW()-ROW($B$2))/16+1),"")</f>
        <v/>
      </c>
    </row>
    <row r="5581" spans="14:14" x14ac:dyDescent="0.3">
      <c r="N5581" t="str" cm="1">
        <f t="array" ref="N5581">IF(MOD(ROW()-ROW($B$2),16)=0,INDEX($M$2:$M$1000,(ROW()-ROW($B$2))/16+1),"")</f>
        <v/>
      </c>
    </row>
    <row r="5582" spans="14:14" x14ac:dyDescent="0.3">
      <c r="N5582" t="str" cm="1">
        <f t="array" ref="N5582">IF(MOD(ROW()-ROW($B$2),16)=0,INDEX($M$2:$M$1000,(ROW()-ROW($B$2))/16+1),"")</f>
        <v/>
      </c>
    </row>
    <row r="5583" spans="14:14" x14ac:dyDescent="0.3">
      <c r="N5583" t="str" cm="1">
        <f t="array" ref="N5583">IF(MOD(ROW()-ROW($B$2),16)=0,INDEX($M$2:$M$1000,(ROW()-ROW($B$2))/16+1),"")</f>
        <v/>
      </c>
    </row>
    <row r="5584" spans="14:14" x14ac:dyDescent="0.3">
      <c r="N5584" t="str" cm="1">
        <f t="array" ref="N5584">IF(MOD(ROW()-ROW($B$2),16)=0,INDEX($M$2:$M$1000,(ROW()-ROW($B$2))/16+1),"")</f>
        <v/>
      </c>
    </row>
    <row r="5585" spans="14:14" x14ac:dyDescent="0.3">
      <c r="N5585" t="str" cm="1">
        <f t="array" ref="N5585">IF(MOD(ROW()-ROW($B$2),16)=0,INDEX($M$2:$M$1000,(ROW()-ROW($B$2))/16+1),"")</f>
        <v/>
      </c>
    </row>
    <row r="5586" spans="14:14" x14ac:dyDescent="0.3">
      <c r="N5586" t="str" cm="1">
        <f t="array" ref="N5586">IF(MOD(ROW()-ROW($B$2),16)=0,INDEX($M$2:$M$1000,(ROW()-ROW($B$2))/16+1),"")</f>
        <v/>
      </c>
    </row>
    <row r="5587" spans="14:14" x14ac:dyDescent="0.3">
      <c r="N5587" t="str" cm="1">
        <f t="array" ref="N5587">IF(MOD(ROW()-ROW($B$2),16)=0,INDEX($M$2:$M$1000,(ROW()-ROW($B$2))/16+1),"")</f>
        <v/>
      </c>
    </row>
    <row r="5588" spans="14:14" x14ac:dyDescent="0.3">
      <c r="N5588" t="str" cm="1">
        <f t="array" ref="N5588">IF(MOD(ROW()-ROW($B$2),16)=0,INDEX($M$2:$M$1000,(ROW()-ROW($B$2))/16+1),"")</f>
        <v/>
      </c>
    </row>
    <row r="5589" spans="14:14" x14ac:dyDescent="0.3">
      <c r="N5589" t="str" cm="1">
        <f t="array" ref="N5589">IF(MOD(ROW()-ROW($B$2),16)=0,INDEX($M$2:$M$1000,(ROW()-ROW($B$2))/16+1),"")</f>
        <v/>
      </c>
    </row>
    <row r="5590" spans="14:14" x14ac:dyDescent="0.3">
      <c r="N5590" t="str" cm="1">
        <f t="array" ref="N5590">IF(MOD(ROW()-ROW($B$2),16)=0,INDEX($M$2:$M$1000,(ROW()-ROW($B$2))/16+1),"")</f>
        <v/>
      </c>
    </row>
    <row r="5591" spans="14:14" x14ac:dyDescent="0.3">
      <c r="N5591" t="str" cm="1">
        <f t="array" ref="N5591">IF(MOD(ROW()-ROW($B$2),16)=0,INDEX($M$2:$M$1000,(ROW()-ROW($B$2))/16+1),"")</f>
        <v/>
      </c>
    </row>
    <row r="5592" spans="14:14" x14ac:dyDescent="0.3">
      <c r="N5592" t="str" cm="1">
        <f t="array" ref="N5592">IF(MOD(ROW()-ROW($B$2),16)=0,INDEX($M$2:$M$1000,(ROW()-ROW($B$2))/16+1),"")</f>
        <v/>
      </c>
    </row>
    <row r="5593" spans="14:14" x14ac:dyDescent="0.3">
      <c r="N5593" t="str" cm="1">
        <f t="array" ref="N5593">IF(MOD(ROW()-ROW($B$2),16)=0,INDEX($M$2:$M$1000,(ROW()-ROW($B$2))/16+1),"")</f>
        <v/>
      </c>
    </row>
    <row r="5594" spans="14:14" x14ac:dyDescent="0.3">
      <c r="N5594" t="str" cm="1">
        <f t="array" ref="N5594">IF(MOD(ROW()-ROW($B$2),16)=0,INDEX($M$2:$M$1000,(ROW()-ROW($B$2))/16+1),"")</f>
        <v/>
      </c>
    </row>
    <row r="5595" spans="14:14" x14ac:dyDescent="0.3">
      <c r="N5595" t="str" cm="1">
        <f t="array" ref="N5595">IF(MOD(ROW()-ROW($B$2),16)=0,INDEX($M$2:$M$1000,(ROW()-ROW($B$2))/16+1),"")</f>
        <v/>
      </c>
    </row>
    <row r="5596" spans="14:14" x14ac:dyDescent="0.3">
      <c r="N5596" t="str" cm="1">
        <f t="array" ref="N5596">IF(MOD(ROW()-ROW($B$2),16)=0,INDEX($M$2:$M$1000,(ROW()-ROW($B$2))/16+1),"")</f>
        <v/>
      </c>
    </row>
    <row r="5597" spans="14:14" x14ac:dyDescent="0.3">
      <c r="N5597" t="str" cm="1">
        <f t="array" ref="N5597">IF(MOD(ROW()-ROW($B$2),16)=0,INDEX($M$2:$M$1000,(ROW()-ROW($B$2))/16+1),"")</f>
        <v/>
      </c>
    </row>
    <row r="5598" spans="14:14" x14ac:dyDescent="0.3">
      <c r="N5598" t="str" cm="1">
        <f t="array" ref="N5598">IF(MOD(ROW()-ROW($B$2),16)=0,INDEX($M$2:$M$1000,(ROW()-ROW($B$2))/16+1),"")</f>
        <v/>
      </c>
    </row>
    <row r="5599" spans="14:14" x14ac:dyDescent="0.3">
      <c r="N5599" t="str" cm="1">
        <f t="array" ref="N5599">IF(MOD(ROW()-ROW($B$2),16)=0,INDEX($M$2:$M$1000,(ROW()-ROW($B$2))/16+1),"")</f>
        <v/>
      </c>
    </row>
    <row r="5600" spans="14:14" x14ac:dyDescent="0.3">
      <c r="N5600" t="str" cm="1">
        <f t="array" ref="N5600">IF(MOD(ROW()-ROW($B$2),16)=0,INDEX($M$2:$M$1000,(ROW()-ROW($B$2))/16+1),"")</f>
        <v/>
      </c>
    </row>
    <row r="5601" spans="14:14" x14ac:dyDescent="0.3">
      <c r="N5601" t="str" cm="1">
        <f t="array" ref="N5601">IF(MOD(ROW()-ROW($B$2),16)=0,INDEX($M$2:$M$1000,(ROW()-ROW($B$2))/16+1),"")</f>
        <v/>
      </c>
    </row>
    <row r="5602" spans="14:14" x14ac:dyDescent="0.3">
      <c r="N5602" t="str" cm="1">
        <f t="array" ref="N5602">IF(MOD(ROW()-ROW($B$2),16)=0,INDEX($M$2:$M$1000,(ROW()-ROW($B$2))/16+1),"")</f>
        <v/>
      </c>
    </row>
    <row r="5603" spans="14:14" x14ac:dyDescent="0.3">
      <c r="N5603" t="str" cm="1">
        <f t="array" ref="N5603">IF(MOD(ROW()-ROW($B$2),16)=0,INDEX($M$2:$M$1000,(ROW()-ROW($B$2))/16+1),"")</f>
        <v/>
      </c>
    </row>
    <row r="5604" spans="14:14" x14ac:dyDescent="0.3">
      <c r="N5604" t="str" cm="1">
        <f t="array" ref="N5604">IF(MOD(ROW()-ROW($B$2),16)=0,INDEX($M$2:$M$1000,(ROW()-ROW($B$2))/16+1),"")</f>
        <v/>
      </c>
    </row>
    <row r="5605" spans="14:14" x14ac:dyDescent="0.3">
      <c r="N5605" t="str" cm="1">
        <f t="array" ref="N5605">IF(MOD(ROW()-ROW($B$2),16)=0,INDEX($M$2:$M$1000,(ROW()-ROW($B$2))/16+1),"")</f>
        <v/>
      </c>
    </row>
    <row r="5606" spans="14:14" x14ac:dyDescent="0.3">
      <c r="N5606" t="str" cm="1">
        <f t="array" ref="N5606">IF(MOD(ROW()-ROW($B$2),16)=0,INDEX($M$2:$M$1000,(ROW()-ROW($B$2))/16+1),"")</f>
        <v/>
      </c>
    </row>
    <row r="5607" spans="14:14" x14ac:dyDescent="0.3">
      <c r="N5607" t="str" cm="1">
        <f t="array" ref="N5607">IF(MOD(ROW()-ROW($B$2),16)=0,INDEX($M$2:$M$1000,(ROW()-ROW($B$2))/16+1),"")</f>
        <v/>
      </c>
    </row>
    <row r="5608" spans="14:14" x14ac:dyDescent="0.3">
      <c r="N5608" t="str" cm="1">
        <f t="array" ref="N5608">IF(MOD(ROW()-ROW($B$2),16)=0,INDEX($M$2:$M$1000,(ROW()-ROW($B$2))/16+1),"")</f>
        <v/>
      </c>
    </row>
    <row r="5609" spans="14:14" x14ac:dyDescent="0.3">
      <c r="N5609" t="str" cm="1">
        <f t="array" ref="N5609">IF(MOD(ROW()-ROW($B$2),16)=0,INDEX($M$2:$M$1000,(ROW()-ROW($B$2))/16+1),"")</f>
        <v/>
      </c>
    </row>
    <row r="5610" spans="14:14" x14ac:dyDescent="0.3">
      <c r="N5610" t="str" cm="1">
        <f t="array" ref="N5610">IF(MOD(ROW()-ROW($B$2),16)=0,INDEX($M$2:$M$1000,(ROW()-ROW($B$2))/16+1),"")</f>
        <v/>
      </c>
    </row>
    <row r="5611" spans="14:14" x14ac:dyDescent="0.3">
      <c r="N5611" t="str" cm="1">
        <f t="array" ref="N5611">IF(MOD(ROW()-ROW($B$2),16)=0,INDEX($M$2:$M$1000,(ROW()-ROW($B$2))/16+1),"")</f>
        <v/>
      </c>
    </row>
    <row r="5612" spans="14:14" x14ac:dyDescent="0.3">
      <c r="N5612" t="str" cm="1">
        <f t="array" ref="N5612">IF(MOD(ROW()-ROW($B$2),16)=0,INDEX($M$2:$M$1000,(ROW()-ROW($B$2))/16+1),"")</f>
        <v/>
      </c>
    </row>
    <row r="5613" spans="14:14" x14ac:dyDescent="0.3">
      <c r="N5613" t="str" cm="1">
        <f t="array" ref="N5613">IF(MOD(ROW()-ROW($B$2),16)=0,INDEX($M$2:$M$1000,(ROW()-ROW($B$2))/16+1),"")</f>
        <v/>
      </c>
    </row>
    <row r="5614" spans="14:14" x14ac:dyDescent="0.3">
      <c r="N5614" t="str" cm="1">
        <f t="array" ref="N5614">IF(MOD(ROW()-ROW($B$2),16)=0,INDEX($M$2:$M$1000,(ROW()-ROW($B$2))/16+1),"")</f>
        <v/>
      </c>
    </row>
    <row r="5615" spans="14:14" x14ac:dyDescent="0.3">
      <c r="N5615" t="str" cm="1">
        <f t="array" ref="N5615">IF(MOD(ROW()-ROW($B$2),16)=0,INDEX($M$2:$M$1000,(ROW()-ROW($B$2))/16+1),"")</f>
        <v/>
      </c>
    </row>
    <row r="5616" spans="14:14" x14ac:dyDescent="0.3">
      <c r="N5616" t="str" cm="1">
        <f t="array" ref="N5616">IF(MOD(ROW()-ROW($B$2),16)=0,INDEX($M$2:$M$1000,(ROW()-ROW($B$2))/16+1),"")</f>
        <v/>
      </c>
    </row>
    <row r="5617" spans="14:14" x14ac:dyDescent="0.3">
      <c r="N5617" t="str" cm="1">
        <f t="array" ref="N5617">IF(MOD(ROW()-ROW($B$2),16)=0,INDEX($M$2:$M$1000,(ROW()-ROW($B$2))/16+1),"")</f>
        <v/>
      </c>
    </row>
    <row r="5618" spans="14:14" x14ac:dyDescent="0.3">
      <c r="N5618" t="str" cm="1">
        <f t="array" ref="N5618">IF(MOD(ROW()-ROW($B$2),16)=0,INDEX($M$2:$M$1000,(ROW()-ROW($B$2))/16+1),"")</f>
        <v/>
      </c>
    </row>
    <row r="5619" spans="14:14" x14ac:dyDescent="0.3">
      <c r="N5619" t="str" cm="1">
        <f t="array" ref="N5619">IF(MOD(ROW()-ROW($B$2),16)=0,INDEX($M$2:$M$1000,(ROW()-ROW($B$2))/16+1),"")</f>
        <v/>
      </c>
    </row>
    <row r="5620" spans="14:14" x14ac:dyDescent="0.3">
      <c r="N5620" t="str" cm="1">
        <f t="array" ref="N5620">IF(MOD(ROW()-ROW($B$2),16)=0,INDEX($M$2:$M$1000,(ROW()-ROW($B$2))/16+1),"")</f>
        <v/>
      </c>
    </row>
    <row r="5621" spans="14:14" x14ac:dyDescent="0.3">
      <c r="N5621" t="str" cm="1">
        <f t="array" ref="N5621">IF(MOD(ROW()-ROW($B$2),16)=0,INDEX($M$2:$M$1000,(ROW()-ROW($B$2))/16+1),"")</f>
        <v/>
      </c>
    </row>
    <row r="5622" spans="14:14" x14ac:dyDescent="0.3">
      <c r="N5622" t="str" cm="1">
        <f t="array" ref="N5622">IF(MOD(ROW()-ROW($B$2),16)=0,INDEX($M$2:$M$1000,(ROW()-ROW($B$2))/16+1),"")</f>
        <v/>
      </c>
    </row>
    <row r="5623" spans="14:14" x14ac:dyDescent="0.3">
      <c r="N5623" t="str" cm="1">
        <f t="array" ref="N5623">IF(MOD(ROW()-ROW($B$2),16)=0,INDEX($M$2:$M$1000,(ROW()-ROW($B$2))/16+1),"")</f>
        <v/>
      </c>
    </row>
    <row r="5624" spans="14:14" x14ac:dyDescent="0.3">
      <c r="N5624" t="str" cm="1">
        <f t="array" ref="N5624">IF(MOD(ROW()-ROW($B$2),16)=0,INDEX($M$2:$M$1000,(ROW()-ROW($B$2))/16+1),"")</f>
        <v/>
      </c>
    </row>
    <row r="5625" spans="14:14" x14ac:dyDescent="0.3">
      <c r="N5625" t="str" cm="1">
        <f t="array" ref="N5625">IF(MOD(ROW()-ROW($B$2),16)=0,INDEX($M$2:$M$1000,(ROW()-ROW($B$2))/16+1),"")</f>
        <v/>
      </c>
    </row>
    <row r="5626" spans="14:14" x14ac:dyDescent="0.3">
      <c r="N5626" t="str" cm="1">
        <f t="array" ref="N5626">IF(MOD(ROW()-ROW($B$2),16)=0,INDEX($M$2:$M$1000,(ROW()-ROW($B$2))/16+1),"")</f>
        <v/>
      </c>
    </row>
    <row r="5627" spans="14:14" x14ac:dyDescent="0.3">
      <c r="N5627" t="str" cm="1">
        <f t="array" ref="N5627">IF(MOD(ROW()-ROW($B$2),16)=0,INDEX($M$2:$M$1000,(ROW()-ROW($B$2))/16+1),"")</f>
        <v/>
      </c>
    </row>
    <row r="5628" spans="14:14" x14ac:dyDescent="0.3">
      <c r="N5628" t="str" cm="1">
        <f t="array" ref="N5628">IF(MOD(ROW()-ROW($B$2),16)=0,INDEX($M$2:$M$1000,(ROW()-ROW($B$2))/16+1),"")</f>
        <v/>
      </c>
    </row>
    <row r="5629" spans="14:14" x14ac:dyDescent="0.3">
      <c r="N5629" t="str" cm="1">
        <f t="array" ref="N5629">IF(MOD(ROW()-ROW($B$2),16)=0,INDEX($M$2:$M$1000,(ROW()-ROW($B$2))/16+1),"")</f>
        <v/>
      </c>
    </row>
    <row r="5630" spans="14:14" x14ac:dyDescent="0.3">
      <c r="N5630" t="str" cm="1">
        <f t="array" ref="N5630">IF(MOD(ROW()-ROW($B$2),16)=0,INDEX($M$2:$M$1000,(ROW()-ROW($B$2))/16+1),"")</f>
        <v/>
      </c>
    </row>
    <row r="5631" spans="14:14" x14ac:dyDescent="0.3">
      <c r="N5631" t="str" cm="1">
        <f t="array" ref="N5631">IF(MOD(ROW()-ROW($B$2),16)=0,INDEX($M$2:$M$1000,(ROW()-ROW($B$2))/16+1),"")</f>
        <v/>
      </c>
    </row>
    <row r="5632" spans="14:14" x14ac:dyDescent="0.3">
      <c r="N5632" t="str" cm="1">
        <f t="array" ref="N5632">IF(MOD(ROW()-ROW($B$2),16)=0,INDEX($M$2:$M$1000,(ROW()-ROW($B$2))/16+1),"")</f>
        <v/>
      </c>
    </row>
    <row r="5633" spans="14:14" x14ac:dyDescent="0.3">
      <c r="N5633" t="str" cm="1">
        <f t="array" ref="N5633">IF(MOD(ROW()-ROW($B$2),16)=0,INDEX($M$2:$M$1000,(ROW()-ROW($B$2))/16+1),"")</f>
        <v/>
      </c>
    </row>
    <row r="5634" spans="14:14" x14ac:dyDescent="0.3">
      <c r="N5634" t="str" cm="1">
        <f t="array" ref="N5634">IF(MOD(ROW()-ROW($B$2),16)=0,INDEX($M$2:$M$1000,(ROW()-ROW($B$2))/16+1),"")</f>
        <v/>
      </c>
    </row>
    <row r="5635" spans="14:14" x14ac:dyDescent="0.3">
      <c r="N5635" t="str" cm="1">
        <f t="array" ref="N5635">IF(MOD(ROW()-ROW($B$2),16)=0,INDEX($M$2:$M$1000,(ROW()-ROW($B$2))/16+1),"")</f>
        <v/>
      </c>
    </row>
    <row r="5636" spans="14:14" x14ac:dyDescent="0.3">
      <c r="N5636" t="str" cm="1">
        <f t="array" ref="N5636">IF(MOD(ROW()-ROW($B$2),16)=0,INDEX($M$2:$M$1000,(ROW()-ROW($B$2))/16+1),"")</f>
        <v/>
      </c>
    </row>
    <row r="5637" spans="14:14" x14ac:dyDescent="0.3">
      <c r="N5637" t="str" cm="1">
        <f t="array" ref="N5637">IF(MOD(ROW()-ROW($B$2),16)=0,INDEX($M$2:$M$1000,(ROW()-ROW($B$2))/16+1),"")</f>
        <v/>
      </c>
    </row>
    <row r="5638" spans="14:14" x14ac:dyDescent="0.3">
      <c r="N5638" t="str" cm="1">
        <f t="array" ref="N5638">IF(MOD(ROW()-ROW($B$2),16)=0,INDEX($M$2:$M$1000,(ROW()-ROW($B$2))/16+1),"")</f>
        <v/>
      </c>
    </row>
    <row r="5639" spans="14:14" x14ac:dyDescent="0.3">
      <c r="N5639" t="str" cm="1">
        <f t="array" ref="N5639">IF(MOD(ROW()-ROW($B$2),16)=0,INDEX($M$2:$M$1000,(ROW()-ROW($B$2))/16+1),"")</f>
        <v/>
      </c>
    </row>
    <row r="5640" spans="14:14" x14ac:dyDescent="0.3">
      <c r="N5640" t="str" cm="1">
        <f t="array" ref="N5640">IF(MOD(ROW()-ROW($B$2),16)=0,INDEX($M$2:$M$1000,(ROW()-ROW($B$2))/16+1),"")</f>
        <v/>
      </c>
    </row>
    <row r="5641" spans="14:14" x14ac:dyDescent="0.3">
      <c r="N5641" t="str" cm="1">
        <f t="array" ref="N5641">IF(MOD(ROW()-ROW($B$2),16)=0,INDEX($M$2:$M$1000,(ROW()-ROW($B$2))/16+1),"")</f>
        <v/>
      </c>
    </row>
    <row r="5642" spans="14:14" x14ac:dyDescent="0.3">
      <c r="N5642" t="str" cm="1">
        <f t="array" ref="N5642">IF(MOD(ROW()-ROW($B$2),16)=0,INDEX($M$2:$M$1000,(ROW()-ROW($B$2))/16+1),"")</f>
        <v/>
      </c>
    </row>
    <row r="5643" spans="14:14" x14ac:dyDescent="0.3">
      <c r="N5643" t="str" cm="1">
        <f t="array" ref="N5643">IF(MOD(ROW()-ROW($B$2),16)=0,INDEX($M$2:$M$1000,(ROW()-ROW($B$2))/16+1),"")</f>
        <v/>
      </c>
    </row>
    <row r="5644" spans="14:14" x14ac:dyDescent="0.3">
      <c r="N5644" t="str" cm="1">
        <f t="array" ref="N5644">IF(MOD(ROW()-ROW($B$2),16)=0,INDEX($M$2:$M$1000,(ROW()-ROW($B$2))/16+1),"")</f>
        <v/>
      </c>
    </row>
    <row r="5645" spans="14:14" x14ac:dyDescent="0.3">
      <c r="N5645" t="str" cm="1">
        <f t="array" ref="N5645">IF(MOD(ROW()-ROW($B$2),16)=0,INDEX($M$2:$M$1000,(ROW()-ROW($B$2))/16+1),"")</f>
        <v/>
      </c>
    </row>
    <row r="5646" spans="14:14" x14ac:dyDescent="0.3">
      <c r="N5646" t="str" cm="1">
        <f t="array" ref="N5646">IF(MOD(ROW()-ROW($B$2),16)=0,INDEX($M$2:$M$1000,(ROW()-ROW($B$2))/16+1),"")</f>
        <v/>
      </c>
    </row>
    <row r="5647" spans="14:14" x14ac:dyDescent="0.3">
      <c r="N5647" t="str" cm="1">
        <f t="array" ref="N5647">IF(MOD(ROW()-ROW($B$2),16)=0,INDEX($M$2:$M$1000,(ROW()-ROW($B$2))/16+1),"")</f>
        <v/>
      </c>
    </row>
    <row r="5648" spans="14:14" x14ac:dyDescent="0.3">
      <c r="N5648" t="str" cm="1">
        <f t="array" ref="N5648">IF(MOD(ROW()-ROW($B$2),16)=0,INDEX($M$2:$M$1000,(ROW()-ROW($B$2))/16+1),"")</f>
        <v/>
      </c>
    </row>
    <row r="5649" spans="14:14" x14ac:dyDescent="0.3">
      <c r="N5649" t="str" cm="1">
        <f t="array" ref="N5649">IF(MOD(ROW()-ROW($B$2),16)=0,INDEX($M$2:$M$1000,(ROW()-ROW($B$2))/16+1),"")</f>
        <v/>
      </c>
    </row>
    <row r="5650" spans="14:14" x14ac:dyDescent="0.3">
      <c r="N5650" t="str" cm="1">
        <f t="array" ref="N5650">IF(MOD(ROW()-ROW($B$2),16)=0,INDEX($M$2:$M$1000,(ROW()-ROW($B$2))/16+1),"")</f>
        <v/>
      </c>
    </row>
    <row r="5651" spans="14:14" x14ac:dyDescent="0.3">
      <c r="N5651" t="str" cm="1">
        <f t="array" ref="N5651">IF(MOD(ROW()-ROW($B$2),16)=0,INDEX($M$2:$M$1000,(ROW()-ROW($B$2))/16+1),"")</f>
        <v/>
      </c>
    </row>
    <row r="5652" spans="14:14" x14ac:dyDescent="0.3">
      <c r="N5652" t="str" cm="1">
        <f t="array" ref="N5652">IF(MOD(ROW()-ROW($B$2),16)=0,INDEX($M$2:$M$1000,(ROW()-ROW($B$2))/16+1),"")</f>
        <v/>
      </c>
    </row>
    <row r="5653" spans="14:14" x14ac:dyDescent="0.3">
      <c r="N5653" t="str" cm="1">
        <f t="array" ref="N5653">IF(MOD(ROW()-ROW($B$2),16)=0,INDEX($M$2:$M$1000,(ROW()-ROW($B$2))/16+1),"")</f>
        <v/>
      </c>
    </row>
    <row r="5654" spans="14:14" x14ac:dyDescent="0.3">
      <c r="N5654" t="str" cm="1">
        <f t="array" ref="N5654">IF(MOD(ROW()-ROW($B$2),16)=0,INDEX($M$2:$M$1000,(ROW()-ROW($B$2))/16+1),"")</f>
        <v/>
      </c>
    </row>
    <row r="5655" spans="14:14" x14ac:dyDescent="0.3">
      <c r="N5655" t="str" cm="1">
        <f t="array" ref="N5655">IF(MOD(ROW()-ROW($B$2),16)=0,INDEX($M$2:$M$1000,(ROW()-ROW($B$2))/16+1),"")</f>
        <v/>
      </c>
    </row>
    <row r="5656" spans="14:14" x14ac:dyDescent="0.3">
      <c r="N5656" t="str" cm="1">
        <f t="array" ref="N5656">IF(MOD(ROW()-ROW($B$2),16)=0,INDEX($M$2:$M$1000,(ROW()-ROW($B$2))/16+1),"")</f>
        <v/>
      </c>
    </row>
    <row r="5657" spans="14:14" x14ac:dyDescent="0.3">
      <c r="N5657" t="str" cm="1">
        <f t="array" ref="N5657">IF(MOD(ROW()-ROW($B$2),16)=0,INDEX($M$2:$M$1000,(ROW()-ROW($B$2))/16+1),"")</f>
        <v/>
      </c>
    </row>
    <row r="5658" spans="14:14" x14ac:dyDescent="0.3">
      <c r="N5658" t="str" cm="1">
        <f t="array" ref="N5658">IF(MOD(ROW()-ROW($B$2),16)=0,INDEX($M$2:$M$1000,(ROW()-ROW($B$2))/16+1),"")</f>
        <v/>
      </c>
    </row>
    <row r="5659" spans="14:14" x14ac:dyDescent="0.3">
      <c r="N5659" t="str" cm="1">
        <f t="array" ref="N5659">IF(MOD(ROW()-ROW($B$2),16)=0,INDEX($M$2:$M$1000,(ROW()-ROW($B$2))/16+1),"")</f>
        <v/>
      </c>
    </row>
    <row r="5660" spans="14:14" x14ac:dyDescent="0.3">
      <c r="N5660" t="str" cm="1">
        <f t="array" ref="N5660">IF(MOD(ROW()-ROW($B$2),16)=0,INDEX($M$2:$M$1000,(ROW()-ROW($B$2))/16+1),"")</f>
        <v/>
      </c>
    </row>
    <row r="5661" spans="14:14" x14ac:dyDescent="0.3">
      <c r="N5661" t="str" cm="1">
        <f t="array" ref="N5661">IF(MOD(ROW()-ROW($B$2),16)=0,INDEX($M$2:$M$1000,(ROW()-ROW($B$2))/16+1),"")</f>
        <v/>
      </c>
    </row>
    <row r="5662" spans="14:14" x14ac:dyDescent="0.3">
      <c r="N5662" t="str" cm="1">
        <f t="array" ref="N5662">IF(MOD(ROW()-ROW($B$2),16)=0,INDEX($M$2:$M$1000,(ROW()-ROW($B$2))/16+1),"")</f>
        <v/>
      </c>
    </row>
    <row r="5663" spans="14:14" x14ac:dyDescent="0.3">
      <c r="N5663" t="str" cm="1">
        <f t="array" ref="N5663">IF(MOD(ROW()-ROW($B$2),16)=0,INDEX($M$2:$M$1000,(ROW()-ROW($B$2))/16+1),"")</f>
        <v/>
      </c>
    </row>
    <row r="5664" spans="14:14" x14ac:dyDescent="0.3">
      <c r="N5664" t="str" cm="1">
        <f t="array" ref="N5664">IF(MOD(ROW()-ROW($B$2),16)=0,INDEX($M$2:$M$1000,(ROW()-ROW($B$2))/16+1),"")</f>
        <v/>
      </c>
    </row>
    <row r="5665" spans="14:14" x14ac:dyDescent="0.3">
      <c r="N5665" t="str" cm="1">
        <f t="array" ref="N5665">IF(MOD(ROW()-ROW($B$2),16)=0,INDEX($M$2:$M$1000,(ROW()-ROW($B$2))/16+1),"")</f>
        <v/>
      </c>
    </row>
    <row r="5666" spans="14:14" x14ac:dyDescent="0.3">
      <c r="N5666" t="str" cm="1">
        <f t="array" ref="N5666">IF(MOD(ROW()-ROW($B$2),16)=0,INDEX($M$2:$M$1000,(ROW()-ROW($B$2))/16+1),"")</f>
        <v/>
      </c>
    </row>
    <row r="5667" spans="14:14" x14ac:dyDescent="0.3">
      <c r="N5667" t="str" cm="1">
        <f t="array" ref="N5667">IF(MOD(ROW()-ROW($B$2),16)=0,INDEX($M$2:$M$1000,(ROW()-ROW($B$2))/16+1),"")</f>
        <v/>
      </c>
    </row>
    <row r="5668" spans="14:14" x14ac:dyDescent="0.3">
      <c r="N5668" t="str" cm="1">
        <f t="array" ref="N5668">IF(MOD(ROW()-ROW($B$2),16)=0,INDEX($M$2:$M$1000,(ROW()-ROW($B$2))/16+1),"")</f>
        <v/>
      </c>
    </row>
    <row r="5669" spans="14:14" x14ac:dyDescent="0.3">
      <c r="N5669" t="str" cm="1">
        <f t="array" ref="N5669">IF(MOD(ROW()-ROW($B$2),16)=0,INDEX($M$2:$M$1000,(ROW()-ROW($B$2))/16+1),"")</f>
        <v/>
      </c>
    </row>
    <row r="5670" spans="14:14" x14ac:dyDescent="0.3">
      <c r="N5670" t="str" cm="1">
        <f t="array" ref="N5670">IF(MOD(ROW()-ROW($B$2),16)=0,INDEX($M$2:$M$1000,(ROW()-ROW($B$2))/16+1),"")</f>
        <v/>
      </c>
    </row>
    <row r="5671" spans="14:14" x14ac:dyDescent="0.3">
      <c r="N5671" t="str" cm="1">
        <f t="array" ref="N5671">IF(MOD(ROW()-ROW($B$2),16)=0,INDEX($M$2:$M$1000,(ROW()-ROW($B$2))/16+1),"")</f>
        <v/>
      </c>
    </row>
    <row r="5672" spans="14:14" x14ac:dyDescent="0.3">
      <c r="N5672" t="str" cm="1">
        <f t="array" ref="N5672">IF(MOD(ROW()-ROW($B$2),16)=0,INDEX($M$2:$M$1000,(ROW()-ROW($B$2))/16+1),"")</f>
        <v/>
      </c>
    </row>
    <row r="5673" spans="14:14" x14ac:dyDescent="0.3">
      <c r="N5673" t="str" cm="1">
        <f t="array" ref="N5673">IF(MOD(ROW()-ROW($B$2),16)=0,INDEX($M$2:$M$1000,(ROW()-ROW($B$2))/16+1),"")</f>
        <v/>
      </c>
    </row>
    <row r="5674" spans="14:14" x14ac:dyDescent="0.3">
      <c r="N5674" t="str" cm="1">
        <f t="array" ref="N5674">IF(MOD(ROW()-ROW($B$2),16)=0,INDEX($M$2:$M$1000,(ROW()-ROW($B$2))/16+1),"")</f>
        <v/>
      </c>
    </row>
    <row r="5675" spans="14:14" x14ac:dyDescent="0.3">
      <c r="N5675" t="str" cm="1">
        <f t="array" ref="N5675">IF(MOD(ROW()-ROW($B$2),16)=0,INDEX($M$2:$M$1000,(ROW()-ROW($B$2))/16+1),"")</f>
        <v/>
      </c>
    </row>
    <row r="5676" spans="14:14" x14ac:dyDescent="0.3">
      <c r="N5676" t="str" cm="1">
        <f t="array" ref="N5676">IF(MOD(ROW()-ROW($B$2),16)=0,INDEX($M$2:$M$1000,(ROW()-ROW($B$2))/16+1),"")</f>
        <v/>
      </c>
    </row>
    <row r="5677" spans="14:14" x14ac:dyDescent="0.3">
      <c r="N5677" t="str" cm="1">
        <f t="array" ref="N5677">IF(MOD(ROW()-ROW($B$2),16)=0,INDEX($M$2:$M$1000,(ROW()-ROW($B$2))/16+1),"")</f>
        <v/>
      </c>
    </row>
    <row r="5678" spans="14:14" x14ac:dyDescent="0.3">
      <c r="N5678" t="str" cm="1">
        <f t="array" ref="N5678">IF(MOD(ROW()-ROW($B$2),16)=0,INDEX($M$2:$M$1000,(ROW()-ROW($B$2))/16+1),"")</f>
        <v/>
      </c>
    </row>
    <row r="5679" spans="14:14" x14ac:dyDescent="0.3">
      <c r="N5679" t="str" cm="1">
        <f t="array" ref="N5679">IF(MOD(ROW()-ROW($B$2),16)=0,INDEX($M$2:$M$1000,(ROW()-ROW($B$2))/16+1),"")</f>
        <v/>
      </c>
    </row>
    <row r="5680" spans="14:14" x14ac:dyDescent="0.3">
      <c r="N5680" t="str" cm="1">
        <f t="array" ref="N5680">IF(MOD(ROW()-ROW($B$2),16)=0,INDEX($M$2:$M$1000,(ROW()-ROW($B$2))/16+1),"")</f>
        <v/>
      </c>
    </row>
    <row r="5681" spans="14:14" x14ac:dyDescent="0.3">
      <c r="N5681" t="str" cm="1">
        <f t="array" ref="N5681">IF(MOD(ROW()-ROW($B$2),16)=0,INDEX($M$2:$M$1000,(ROW()-ROW($B$2))/16+1),"")</f>
        <v/>
      </c>
    </row>
    <row r="5682" spans="14:14" x14ac:dyDescent="0.3">
      <c r="N5682" t="str" cm="1">
        <f t="array" ref="N5682">IF(MOD(ROW()-ROW($B$2),16)=0,INDEX($M$2:$M$1000,(ROW()-ROW($B$2))/16+1),"")</f>
        <v/>
      </c>
    </row>
    <row r="5683" spans="14:14" x14ac:dyDescent="0.3">
      <c r="N5683" t="str" cm="1">
        <f t="array" ref="N5683">IF(MOD(ROW()-ROW($B$2),16)=0,INDEX($M$2:$M$1000,(ROW()-ROW($B$2))/16+1),"")</f>
        <v/>
      </c>
    </row>
    <row r="5684" spans="14:14" x14ac:dyDescent="0.3">
      <c r="N5684" t="str" cm="1">
        <f t="array" ref="N5684">IF(MOD(ROW()-ROW($B$2),16)=0,INDEX($M$2:$M$1000,(ROW()-ROW($B$2))/16+1),"")</f>
        <v/>
      </c>
    </row>
    <row r="5685" spans="14:14" x14ac:dyDescent="0.3">
      <c r="N5685" t="str" cm="1">
        <f t="array" ref="N5685">IF(MOD(ROW()-ROW($B$2),16)=0,INDEX($M$2:$M$1000,(ROW()-ROW($B$2))/16+1),"")</f>
        <v/>
      </c>
    </row>
    <row r="5686" spans="14:14" x14ac:dyDescent="0.3">
      <c r="N5686" t="str" cm="1">
        <f t="array" ref="N5686">IF(MOD(ROW()-ROW($B$2),16)=0,INDEX($M$2:$M$1000,(ROW()-ROW($B$2))/16+1),"")</f>
        <v/>
      </c>
    </row>
    <row r="5687" spans="14:14" x14ac:dyDescent="0.3">
      <c r="N5687" t="str" cm="1">
        <f t="array" ref="N5687">IF(MOD(ROW()-ROW($B$2),16)=0,INDEX($M$2:$M$1000,(ROW()-ROW($B$2))/16+1),"")</f>
        <v/>
      </c>
    </row>
    <row r="5688" spans="14:14" x14ac:dyDescent="0.3">
      <c r="N5688" t="str" cm="1">
        <f t="array" ref="N5688">IF(MOD(ROW()-ROW($B$2),16)=0,INDEX($M$2:$M$1000,(ROW()-ROW($B$2))/16+1),"")</f>
        <v/>
      </c>
    </row>
    <row r="5689" spans="14:14" x14ac:dyDescent="0.3">
      <c r="N5689" t="str" cm="1">
        <f t="array" ref="N5689">IF(MOD(ROW()-ROW($B$2),16)=0,INDEX($M$2:$M$1000,(ROW()-ROW($B$2))/16+1),"")</f>
        <v/>
      </c>
    </row>
    <row r="5690" spans="14:14" x14ac:dyDescent="0.3">
      <c r="N5690" t="str" cm="1">
        <f t="array" ref="N5690">IF(MOD(ROW()-ROW($B$2),16)=0,INDEX($M$2:$M$1000,(ROW()-ROW($B$2))/16+1),"")</f>
        <v/>
      </c>
    </row>
    <row r="5691" spans="14:14" x14ac:dyDescent="0.3">
      <c r="N5691" t="str" cm="1">
        <f t="array" ref="N5691">IF(MOD(ROW()-ROW($B$2),16)=0,INDEX($M$2:$M$1000,(ROW()-ROW($B$2))/16+1),"")</f>
        <v/>
      </c>
    </row>
    <row r="5692" spans="14:14" x14ac:dyDescent="0.3">
      <c r="N5692" t="str" cm="1">
        <f t="array" ref="N5692">IF(MOD(ROW()-ROW($B$2),16)=0,INDEX($M$2:$M$1000,(ROW()-ROW($B$2))/16+1),"")</f>
        <v/>
      </c>
    </row>
    <row r="5693" spans="14:14" x14ac:dyDescent="0.3">
      <c r="N5693" t="str" cm="1">
        <f t="array" ref="N5693">IF(MOD(ROW()-ROW($B$2),16)=0,INDEX($M$2:$M$1000,(ROW()-ROW($B$2))/16+1),"")</f>
        <v/>
      </c>
    </row>
    <row r="5694" spans="14:14" x14ac:dyDescent="0.3">
      <c r="N5694" t="str" cm="1">
        <f t="array" ref="N5694">IF(MOD(ROW()-ROW($B$2),16)=0,INDEX($M$2:$M$1000,(ROW()-ROW($B$2))/16+1),"")</f>
        <v/>
      </c>
    </row>
    <row r="5695" spans="14:14" x14ac:dyDescent="0.3">
      <c r="N5695" t="str" cm="1">
        <f t="array" ref="N5695">IF(MOD(ROW()-ROW($B$2),16)=0,INDEX($M$2:$M$1000,(ROW()-ROW($B$2))/16+1),"")</f>
        <v/>
      </c>
    </row>
    <row r="5696" spans="14:14" x14ac:dyDescent="0.3">
      <c r="N5696" t="str" cm="1">
        <f t="array" ref="N5696">IF(MOD(ROW()-ROW($B$2),16)=0,INDEX($M$2:$M$1000,(ROW()-ROW($B$2))/16+1),"")</f>
        <v/>
      </c>
    </row>
    <row r="5697" spans="14:14" x14ac:dyDescent="0.3">
      <c r="N5697" t="str" cm="1">
        <f t="array" ref="N5697">IF(MOD(ROW()-ROW($B$2),16)=0,INDEX($M$2:$M$1000,(ROW()-ROW($B$2))/16+1),"")</f>
        <v/>
      </c>
    </row>
    <row r="5698" spans="14:14" x14ac:dyDescent="0.3">
      <c r="N5698" t="str" cm="1">
        <f t="array" ref="N5698">IF(MOD(ROW()-ROW($B$2),16)=0,INDEX($M$2:$M$1000,(ROW()-ROW($B$2))/16+1),"")</f>
        <v/>
      </c>
    </row>
    <row r="5699" spans="14:14" x14ac:dyDescent="0.3">
      <c r="N5699" t="str" cm="1">
        <f t="array" ref="N5699">IF(MOD(ROW()-ROW($B$2),16)=0,INDEX($M$2:$M$1000,(ROW()-ROW($B$2))/16+1),"")</f>
        <v/>
      </c>
    </row>
    <row r="5700" spans="14:14" x14ac:dyDescent="0.3">
      <c r="N5700" t="str" cm="1">
        <f t="array" ref="N5700">IF(MOD(ROW()-ROW($B$2),16)=0,INDEX($M$2:$M$1000,(ROW()-ROW($B$2))/16+1),"")</f>
        <v/>
      </c>
    </row>
    <row r="5701" spans="14:14" x14ac:dyDescent="0.3">
      <c r="N5701" t="str" cm="1">
        <f t="array" ref="N5701">IF(MOD(ROW()-ROW($B$2),16)=0,INDEX($M$2:$M$1000,(ROW()-ROW($B$2))/16+1),"")</f>
        <v/>
      </c>
    </row>
    <row r="5702" spans="14:14" x14ac:dyDescent="0.3">
      <c r="N5702" t="str" cm="1">
        <f t="array" ref="N5702">IF(MOD(ROW()-ROW($B$2),16)=0,INDEX($M$2:$M$1000,(ROW()-ROW($B$2))/16+1),"")</f>
        <v/>
      </c>
    </row>
    <row r="5703" spans="14:14" x14ac:dyDescent="0.3">
      <c r="N5703" t="str" cm="1">
        <f t="array" ref="N5703">IF(MOD(ROW()-ROW($B$2),16)=0,INDEX($M$2:$M$1000,(ROW()-ROW($B$2))/16+1),"")</f>
        <v/>
      </c>
    </row>
    <row r="5704" spans="14:14" x14ac:dyDescent="0.3">
      <c r="N5704" t="str" cm="1">
        <f t="array" ref="N5704">IF(MOD(ROW()-ROW($B$2),16)=0,INDEX($M$2:$M$1000,(ROW()-ROW($B$2))/16+1),"")</f>
        <v/>
      </c>
    </row>
    <row r="5705" spans="14:14" x14ac:dyDescent="0.3">
      <c r="N5705" t="str" cm="1">
        <f t="array" ref="N5705">IF(MOD(ROW()-ROW($B$2),16)=0,INDEX($M$2:$M$1000,(ROW()-ROW($B$2))/16+1),"")</f>
        <v/>
      </c>
    </row>
    <row r="5706" spans="14:14" x14ac:dyDescent="0.3">
      <c r="N5706" t="str" cm="1">
        <f t="array" ref="N5706">IF(MOD(ROW()-ROW($B$2),16)=0,INDEX($M$2:$M$1000,(ROW()-ROW($B$2))/16+1),"")</f>
        <v/>
      </c>
    </row>
    <row r="5707" spans="14:14" x14ac:dyDescent="0.3">
      <c r="N5707" t="str" cm="1">
        <f t="array" ref="N5707">IF(MOD(ROW()-ROW($B$2),16)=0,INDEX($M$2:$M$1000,(ROW()-ROW($B$2))/16+1),"")</f>
        <v/>
      </c>
    </row>
    <row r="5708" spans="14:14" x14ac:dyDescent="0.3">
      <c r="N5708" t="str" cm="1">
        <f t="array" ref="N5708">IF(MOD(ROW()-ROW($B$2),16)=0,INDEX($M$2:$M$1000,(ROW()-ROW($B$2))/16+1),"")</f>
        <v/>
      </c>
    </row>
    <row r="5709" spans="14:14" x14ac:dyDescent="0.3">
      <c r="N5709" t="str" cm="1">
        <f t="array" ref="N5709">IF(MOD(ROW()-ROW($B$2),16)=0,INDEX($M$2:$M$1000,(ROW()-ROW($B$2))/16+1),"")</f>
        <v/>
      </c>
    </row>
    <row r="5710" spans="14:14" x14ac:dyDescent="0.3">
      <c r="N5710" t="str" cm="1">
        <f t="array" ref="N5710">IF(MOD(ROW()-ROW($B$2),16)=0,INDEX($M$2:$M$1000,(ROW()-ROW($B$2))/16+1),"")</f>
        <v/>
      </c>
    </row>
    <row r="5711" spans="14:14" x14ac:dyDescent="0.3">
      <c r="N5711" t="str" cm="1">
        <f t="array" ref="N5711">IF(MOD(ROW()-ROW($B$2),16)=0,INDEX($M$2:$M$1000,(ROW()-ROW($B$2))/16+1),"")</f>
        <v/>
      </c>
    </row>
    <row r="5712" spans="14:14" x14ac:dyDescent="0.3">
      <c r="N5712" t="str" cm="1">
        <f t="array" ref="N5712">IF(MOD(ROW()-ROW($B$2),16)=0,INDEX($M$2:$M$1000,(ROW()-ROW($B$2))/16+1),"")</f>
        <v/>
      </c>
    </row>
    <row r="5713" spans="14:14" x14ac:dyDescent="0.3">
      <c r="N5713" t="str" cm="1">
        <f t="array" ref="N5713">IF(MOD(ROW()-ROW($B$2),16)=0,INDEX($M$2:$M$1000,(ROW()-ROW($B$2))/16+1),"")</f>
        <v/>
      </c>
    </row>
    <row r="5714" spans="14:14" x14ac:dyDescent="0.3">
      <c r="N5714" t="str" cm="1">
        <f t="array" ref="N5714">IF(MOD(ROW()-ROW($B$2),16)=0,INDEX($M$2:$M$1000,(ROW()-ROW($B$2))/16+1),"")</f>
        <v/>
      </c>
    </row>
    <row r="5715" spans="14:14" x14ac:dyDescent="0.3">
      <c r="N5715" t="str" cm="1">
        <f t="array" ref="N5715">IF(MOD(ROW()-ROW($B$2),16)=0,INDEX($M$2:$M$1000,(ROW()-ROW($B$2))/16+1),"")</f>
        <v/>
      </c>
    </row>
    <row r="5716" spans="14:14" x14ac:dyDescent="0.3">
      <c r="N5716" t="str" cm="1">
        <f t="array" ref="N5716">IF(MOD(ROW()-ROW($B$2),16)=0,INDEX($M$2:$M$1000,(ROW()-ROW($B$2))/16+1),"")</f>
        <v/>
      </c>
    </row>
    <row r="5717" spans="14:14" x14ac:dyDescent="0.3">
      <c r="N5717" t="str" cm="1">
        <f t="array" ref="N5717">IF(MOD(ROW()-ROW($B$2),16)=0,INDEX($M$2:$M$1000,(ROW()-ROW($B$2))/16+1),"")</f>
        <v/>
      </c>
    </row>
    <row r="5718" spans="14:14" x14ac:dyDescent="0.3">
      <c r="N5718" t="str" cm="1">
        <f t="array" ref="N5718">IF(MOD(ROW()-ROW($B$2),16)=0,INDEX($M$2:$M$1000,(ROW()-ROW($B$2))/16+1),"")</f>
        <v/>
      </c>
    </row>
    <row r="5719" spans="14:14" x14ac:dyDescent="0.3">
      <c r="N5719" t="str" cm="1">
        <f t="array" ref="N5719">IF(MOD(ROW()-ROW($B$2),16)=0,INDEX($M$2:$M$1000,(ROW()-ROW($B$2))/16+1),"")</f>
        <v/>
      </c>
    </row>
    <row r="5720" spans="14:14" x14ac:dyDescent="0.3">
      <c r="N5720" t="str" cm="1">
        <f t="array" ref="N5720">IF(MOD(ROW()-ROW($B$2),16)=0,INDEX($M$2:$M$1000,(ROW()-ROW($B$2))/16+1),"")</f>
        <v/>
      </c>
    </row>
    <row r="5721" spans="14:14" x14ac:dyDescent="0.3">
      <c r="N5721" t="str" cm="1">
        <f t="array" ref="N5721">IF(MOD(ROW()-ROW($B$2),16)=0,INDEX($M$2:$M$1000,(ROW()-ROW($B$2))/16+1),"")</f>
        <v/>
      </c>
    </row>
    <row r="5722" spans="14:14" x14ac:dyDescent="0.3">
      <c r="N5722" t="str" cm="1">
        <f t="array" ref="N5722">IF(MOD(ROW()-ROW($B$2),16)=0,INDEX($M$2:$M$1000,(ROW()-ROW($B$2))/16+1),"")</f>
        <v/>
      </c>
    </row>
    <row r="5723" spans="14:14" x14ac:dyDescent="0.3">
      <c r="N5723" t="str" cm="1">
        <f t="array" ref="N5723">IF(MOD(ROW()-ROW($B$2),16)=0,INDEX($M$2:$M$1000,(ROW()-ROW($B$2))/16+1),"")</f>
        <v/>
      </c>
    </row>
    <row r="5724" spans="14:14" x14ac:dyDescent="0.3">
      <c r="N5724" t="str" cm="1">
        <f t="array" ref="N5724">IF(MOD(ROW()-ROW($B$2),16)=0,INDEX($M$2:$M$1000,(ROW()-ROW($B$2))/16+1),"")</f>
        <v/>
      </c>
    </row>
    <row r="5725" spans="14:14" x14ac:dyDescent="0.3">
      <c r="N5725" t="str" cm="1">
        <f t="array" ref="N5725">IF(MOD(ROW()-ROW($B$2),16)=0,INDEX($M$2:$M$1000,(ROW()-ROW($B$2))/16+1),"")</f>
        <v/>
      </c>
    </row>
    <row r="5726" spans="14:14" x14ac:dyDescent="0.3">
      <c r="N5726" t="str" cm="1">
        <f t="array" ref="N5726">IF(MOD(ROW()-ROW($B$2),16)=0,INDEX($M$2:$M$1000,(ROW()-ROW($B$2))/16+1),"")</f>
        <v/>
      </c>
    </row>
    <row r="5727" spans="14:14" x14ac:dyDescent="0.3">
      <c r="N5727" t="str" cm="1">
        <f t="array" ref="N5727">IF(MOD(ROW()-ROW($B$2),16)=0,INDEX($M$2:$M$1000,(ROW()-ROW($B$2))/16+1),"")</f>
        <v/>
      </c>
    </row>
    <row r="5728" spans="14:14" x14ac:dyDescent="0.3">
      <c r="N5728" t="str" cm="1">
        <f t="array" ref="N5728">IF(MOD(ROW()-ROW($B$2),16)=0,INDEX($M$2:$M$1000,(ROW()-ROW($B$2))/16+1),"")</f>
        <v/>
      </c>
    </row>
    <row r="5729" spans="14:14" x14ac:dyDescent="0.3">
      <c r="N5729" t="str" cm="1">
        <f t="array" ref="N5729">IF(MOD(ROW()-ROW($B$2),16)=0,INDEX($M$2:$M$1000,(ROW()-ROW($B$2))/16+1),"")</f>
        <v/>
      </c>
    </row>
    <row r="5730" spans="14:14" x14ac:dyDescent="0.3">
      <c r="N5730" t="str" cm="1">
        <f t="array" ref="N5730">IF(MOD(ROW()-ROW($B$2),16)=0,INDEX($M$2:$M$1000,(ROW()-ROW($B$2))/16+1),"")</f>
        <v/>
      </c>
    </row>
    <row r="5731" spans="14:14" x14ac:dyDescent="0.3">
      <c r="N5731" t="str" cm="1">
        <f t="array" ref="N5731">IF(MOD(ROW()-ROW($B$2),16)=0,INDEX($M$2:$M$1000,(ROW()-ROW($B$2))/16+1),"")</f>
        <v/>
      </c>
    </row>
    <row r="5732" spans="14:14" x14ac:dyDescent="0.3">
      <c r="N5732" t="str" cm="1">
        <f t="array" ref="N5732">IF(MOD(ROW()-ROW($B$2),16)=0,INDEX($M$2:$M$1000,(ROW()-ROW($B$2))/16+1),"")</f>
        <v/>
      </c>
    </row>
    <row r="5733" spans="14:14" x14ac:dyDescent="0.3">
      <c r="N5733" t="str" cm="1">
        <f t="array" ref="N5733">IF(MOD(ROW()-ROW($B$2),16)=0,INDEX($M$2:$M$1000,(ROW()-ROW($B$2))/16+1),"")</f>
        <v/>
      </c>
    </row>
    <row r="5734" spans="14:14" x14ac:dyDescent="0.3">
      <c r="N5734" t="str" cm="1">
        <f t="array" ref="N5734">IF(MOD(ROW()-ROW($B$2),16)=0,INDEX($M$2:$M$1000,(ROW()-ROW($B$2))/16+1),"")</f>
        <v/>
      </c>
    </row>
    <row r="5735" spans="14:14" x14ac:dyDescent="0.3">
      <c r="N5735" t="str" cm="1">
        <f t="array" ref="N5735">IF(MOD(ROW()-ROW($B$2),16)=0,INDEX($M$2:$M$1000,(ROW()-ROW($B$2))/16+1),"")</f>
        <v/>
      </c>
    </row>
    <row r="5736" spans="14:14" x14ac:dyDescent="0.3">
      <c r="N5736" t="str" cm="1">
        <f t="array" ref="N5736">IF(MOD(ROW()-ROW($B$2),16)=0,INDEX($M$2:$M$1000,(ROW()-ROW($B$2))/16+1),"")</f>
        <v/>
      </c>
    </row>
    <row r="5737" spans="14:14" x14ac:dyDescent="0.3">
      <c r="N5737" t="str" cm="1">
        <f t="array" ref="N5737">IF(MOD(ROW()-ROW($B$2),16)=0,INDEX($M$2:$M$1000,(ROW()-ROW($B$2))/16+1),"")</f>
        <v/>
      </c>
    </row>
    <row r="5738" spans="14:14" x14ac:dyDescent="0.3">
      <c r="N5738" t="str" cm="1">
        <f t="array" ref="N5738">IF(MOD(ROW()-ROW($B$2),16)=0,INDEX($M$2:$M$1000,(ROW()-ROW($B$2))/16+1),"")</f>
        <v/>
      </c>
    </row>
    <row r="5739" spans="14:14" x14ac:dyDescent="0.3">
      <c r="N5739" t="str" cm="1">
        <f t="array" ref="N5739">IF(MOD(ROW()-ROW($B$2),16)=0,INDEX($M$2:$M$1000,(ROW()-ROW($B$2))/16+1),"")</f>
        <v/>
      </c>
    </row>
    <row r="5740" spans="14:14" x14ac:dyDescent="0.3">
      <c r="N5740" t="str" cm="1">
        <f t="array" ref="N5740">IF(MOD(ROW()-ROW($B$2),16)=0,INDEX($M$2:$M$1000,(ROW()-ROW($B$2))/16+1),"")</f>
        <v/>
      </c>
    </row>
    <row r="5741" spans="14:14" x14ac:dyDescent="0.3">
      <c r="N5741" t="str" cm="1">
        <f t="array" ref="N5741">IF(MOD(ROW()-ROW($B$2),16)=0,INDEX($M$2:$M$1000,(ROW()-ROW($B$2))/16+1),"")</f>
        <v/>
      </c>
    </row>
    <row r="5742" spans="14:14" x14ac:dyDescent="0.3">
      <c r="N5742" t="str" cm="1">
        <f t="array" ref="N5742">IF(MOD(ROW()-ROW($B$2),16)=0,INDEX($M$2:$M$1000,(ROW()-ROW($B$2))/16+1),"")</f>
        <v/>
      </c>
    </row>
    <row r="5743" spans="14:14" x14ac:dyDescent="0.3">
      <c r="N5743" t="str" cm="1">
        <f t="array" ref="N5743">IF(MOD(ROW()-ROW($B$2),16)=0,INDEX($M$2:$M$1000,(ROW()-ROW($B$2))/16+1),"")</f>
        <v/>
      </c>
    </row>
    <row r="5744" spans="14:14" x14ac:dyDescent="0.3">
      <c r="N5744" t="str" cm="1">
        <f t="array" ref="N5744">IF(MOD(ROW()-ROW($B$2),16)=0,INDEX($M$2:$M$1000,(ROW()-ROW($B$2))/16+1),"")</f>
        <v/>
      </c>
    </row>
    <row r="5745" spans="14:14" x14ac:dyDescent="0.3">
      <c r="N5745" t="str" cm="1">
        <f t="array" ref="N5745">IF(MOD(ROW()-ROW($B$2),16)=0,INDEX($M$2:$M$1000,(ROW()-ROW($B$2))/16+1),"")</f>
        <v/>
      </c>
    </row>
    <row r="5746" spans="14:14" x14ac:dyDescent="0.3">
      <c r="N5746" t="str" cm="1">
        <f t="array" ref="N5746">IF(MOD(ROW()-ROW($B$2),16)=0,INDEX($M$2:$M$1000,(ROW()-ROW($B$2))/16+1),"")</f>
        <v/>
      </c>
    </row>
    <row r="5747" spans="14:14" x14ac:dyDescent="0.3">
      <c r="N5747" t="str" cm="1">
        <f t="array" ref="N5747">IF(MOD(ROW()-ROW($B$2),16)=0,INDEX($M$2:$M$1000,(ROW()-ROW($B$2))/16+1),"")</f>
        <v/>
      </c>
    </row>
    <row r="5748" spans="14:14" x14ac:dyDescent="0.3">
      <c r="N5748" t="str" cm="1">
        <f t="array" ref="N5748">IF(MOD(ROW()-ROW($B$2),16)=0,INDEX($M$2:$M$1000,(ROW()-ROW($B$2))/16+1),"")</f>
        <v/>
      </c>
    </row>
    <row r="5749" spans="14:14" x14ac:dyDescent="0.3">
      <c r="N5749" t="str" cm="1">
        <f t="array" ref="N5749">IF(MOD(ROW()-ROW($B$2),16)=0,INDEX($M$2:$M$1000,(ROW()-ROW($B$2))/16+1),"")</f>
        <v/>
      </c>
    </row>
    <row r="5750" spans="14:14" x14ac:dyDescent="0.3">
      <c r="N5750" t="str" cm="1">
        <f t="array" ref="N5750">IF(MOD(ROW()-ROW($B$2),16)=0,INDEX($M$2:$M$1000,(ROW()-ROW($B$2))/16+1),"")</f>
        <v/>
      </c>
    </row>
    <row r="5751" spans="14:14" x14ac:dyDescent="0.3">
      <c r="N5751" t="str" cm="1">
        <f t="array" ref="N5751">IF(MOD(ROW()-ROW($B$2),16)=0,INDEX($M$2:$M$1000,(ROW()-ROW($B$2))/16+1),"")</f>
        <v/>
      </c>
    </row>
    <row r="5752" spans="14:14" x14ac:dyDescent="0.3">
      <c r="N5752" t="str" cm="1">
        <f t="array" ref="N5752">IF(MOD(ROW()-ROW($B$2),16)=0,INDEX($M$2:$M$1000,(ROW()-ROW($B$2))/16+1),"")</f>
        <v/>
      </c>
    </row>
    <row r="5753" spans="14:14" x14ac:dyDescent="0.3">
      <c r="N5753" t="str" cm="1">
        <f t="array" ref="N5753">IF(MOD(ROW()-ROW($B$2),16)=0,INDEX($M$2:$M$1000,(ROW()-ROW($B$2))/16+1),"")</f>
        <v/>
      </c>
    </row>
    <row r="5754" spans="14:14" x14ac:dyDescent="0.3">
      <c r="N5754" t="str" cm="1">
        <f t="array" ref="N5754">IF(MOD(ROW()-ROW($B$2),16)=0,INDEX($M$2:$M$1000,(ROW()-ROW($B$2))/16+1),"")</f>
        <v/>
      </c>
    </row>
    <row r="5755" spans="14:14" x14ac:dyDescent="0.3">
      <c r="N5755" t="str" cm="1">
        <f t="array" ref="N5755">IF(MOD(ROW()-ROW($B$2),16)=0,INDEX($M$2:$M$1000,(ROW()-ROW($B$2))/16+1),"")</f>
        <v/>
      </c>
    </row>
    <row r="5756" spans="14:14" x14ac:dyDescent="0.3">
      <c r="N5756" t="str" cm="1">
        <f t="array" ref="N5756">IF(MOD(ROW()-ROW($B$2),16)=0,INDEX($M$2:$M$1000,(ROW()-ROW($B$2))/16+1),"")</f>
        <v/>
      </c>
    </row>
    <row r="5757" spans="14:14" x14ac:dyDescent="0.3">
      <c r="N5757" t="str" cm="1">
        <f t="array" ref="N5757">IF(MOD(ROW()-ROW($B$2),16)=0,INDEX($M$2:$M$1000,(ROW()-ROW($B$2))/16+1),"")</f>
        <v/>
      </c>
    </row>
    <row r="5758" spans="14:14" x14ac:dyDescent="0.3">
      <c r="N5758" t="str" cm="1">
        <f t="array" ref="N5758">IF(MOD(ROW()-ROW($B$2),16)=0,INDEX($M$2:$M$1000,(ROW()-ROW($B$2))/16+1),"")</f>
        <v/>
      </c>
    </row>
    <row r="5759" spans="14:14" x14ac:dyDescent="0.3">
      <c r="N5759" t="str" cm="1">
        <f t="array" ref="N5759">IF(MOD(ROW()-ROW($B$2),16)=0,INDEX($M$2:$M$1000,(ROW()-ROW($B$2))/16+1),"")</f>
        <v/>
      </c>
    </row>
    <row r="5760" spans="14:14" x14ac:dyDescent="0.3">
      <c r="N5760" t="str" cm="1">
        <f t="array" ref="N5760">IF(MOD(ROW()-ROW($B$2),16)=0,INDEX($M$2:$M$1000,(ROW()-ROW($B$2))/16+1),"")</f>
        <v/>
      </c>
    </row>
    <row r="5761" spans="14:14" x14ac:dyDescent="0.3">
      <c r="N5761" t="str" cm="1">
        <f t="array" ref="N5761">IF(MOD(ROW()-ROW($B$2),16)=0,INDEX($M$2:$M$1000,(ROW()-ROW($B$2))/16+1),"")</f>
        <v/>
      </c>
    </row>
    <row r="5762" spans="14:14" x14ac:dyDescent="0.3">
      <c r="N5762" t="str" cm="1">
        <f t="array" ref="N5762">IF(MOD(ROW()-ROW($B$2),16)=0,INDEX($M$2:$M$1000,(ROW()-ROW($B$2))/16+1),"")</f>
        <v/>
      </c>
    </row>
    <row r="5763" spans="14:14" x14ac:dyDescent="0.3">
      <c r="N5763" t="str" cm="1">
        <f t="array" ref="N5763">IF(MOD(ROW()-ROW($B$2),16)=0,INDEX($M$2:$M$1000,(ROW()-ROW($B$2))/16+1),"")</f>
        <v/>
      </c>
    </row>
    <row r="5764" spans="14:14" x14ac:dyDescent="0.3">
      <c r="N5764" t="str" cm="1">
        <f t="array" ref="N5764">IF(MOD(ROW()-ROW($B$2),16)=0,INDEX($M$2:$M$1000,(ROW()-ROW($B$2))/16+1),"")</f>
        <v/>
      </c>
    </row>
    <row r="5765" spans="14:14" x14ac:dyDescent="0.3">
      <c r="N5765" t="str" cm="1">
        <f t="array" ref="N5765">IF(MOD(ROW()-ROW($B$2),16)=0,INDEX($M$2:$M$1000,(ROW()-ROW($B$2))/16+1),"")</f>
        <v/>
      </c>
    </row>
    <row r="5766" spans="14:14" x14ac:dyDescent="0.3">
      <c r="N5766" t="str" cm="1">
        <f t="array" ref="N5766">IF(MOD(ROW()-ROW($B$2),16)=0,INDEX($M$2:$M$1000,(ROW()-ROW($B$2))/16+1),"")</f>
        <v/>
      </c>
    </row>
    <row r="5767" spans="14:14" x14ac:dyDescent="0.3">
      <c r="N5767" t="str" cm="1">
        <f t="array" ref="N5767">IF(MOD(ROW()-ROW($B$2),16)=0,INDEX($M$2:$M$1000,(ROW()-ROW($B$2))/16+1),"")</f>
        <v/>
      </c>
    </row>
    <row r="5768" spans="14:14" x14ac:dyDescent="0.3">
      <c r="N5768" t="str" cm="1">
        <f t="array" ref="N5768">IF(MOD(ROW()-ROW($B$2),16)=0,INDEX($M$2:$M$1000,(ROW()-ROW($B$2))/16+1),"")</f>
        <v/>
      </c>
    </row>
    <row r="5769" spans="14:14" x14ac:dyDescent="0.3">
      <c r="N5769" t="str" cm="1">
        <f t="array" ref="N5769">IF(MOD(ROW()-ROW($B$2),16)=0,INDEX($M$2:$M$1000,(ROW()-ROW($B$2))/16+1),"")</f>
        <v/>
      </c>
    </row>
    <row r="5770" spans="14:14" x14ac:dyDescent="0.3">
      <c r="N5770" t="str" cm="1">
        <f t="array" ref="N5770">IF(MOD(ROW()-ROW($B$2),16)=0,INDEX($M$2:$M$1000,(ROW()-ROW($B$2))/16+1),"")</f>
        <v/>
      </c>
    </row>
    <row r="5771" spans="14:14" x14ac:dyDescent="0.3">
      <c r="N5771" t="str" cm="1">
        <f t="array" ref="N5771">IF(MOD(ROW()-ROW($B$2),16)=0,INDEX($M$2:$M$1000,(ROW()-ROW($B$2))/16+1),"")</f>
        <v/>
      </c>
    </row>
    <row r="5772" spans="14:14" x14ac:dyDescent="0.3">
      <c r="N5772" t="str" cm="1">
        <f t="array" ref="N5772">IF(MOD(ROW()-ROW($B$2),16)=0,INDEX($M$2:$M$1000,(ROW()-ROW($B$2))/16+1),"")</f>
        <v/>
      </c>
    </row>
    <row r="5773" spans="14:14" x14ac:dyDescent="0.3">
      <c r="N5773" t="str" cm="1">
        <f t="array" ref="N5773">IF(MOD(ROW()-ROW($B$2),16)=0,INDEX($M$2:$M$1000,(ROW()-ROW($B$2))/16+1),"")</f>
        <v/>
      </c>
    </row>
    <row r="5774" spans="14:14" x14ac:dyDescent="0.3">
      <c r="N5774" t="str" cm="1">
        <f t="array" ref="N5774">IF(MOD(ROW()-ROW($B$2),16)=0,INDEX($M$2:$M$1000,(ROW()-ROW($B$2))/16+1),"")</f>
        <v/>
      </c>
    </row>
    <row r="5775" spans="14:14" x14ac:dyDescent="0.3">
      <c r="N5775" t="str" cm="1">
        <f t="array" ref="N5775">IF(MOD(ROW()-ROW($B$2),16)=0,INDEX($M$2:$M$1000,(ROW()-ROW($B$2))/16+1),"")</f>
        <v/>
      </c>
    </row>
    <row r="5776" spans="14:14" x14ac:dyDescent="0.3">
      <c r="N5776" t="str" cm="1">
        <f t="array" ref="N5776">IF(MOD(ROW()-ROW($B$2),16)=0,INDEX($M$2:$M$1000,(ROW()-ROW($B$2))/16+1),"")</f>
        <v/>
      </c>
    </row>
    <row r="5777" spans="14:14" x14ac:dyDescent="0.3">
      <c r="N5777" t="str" cm="1">
        <f t="array" ref="N5777">IF(MOD(ROW()-ROW($B$2),16)=0,INDEX($M$2:$M$1000,(ROW()-ROW($B$2))/16+1),"")</f>
        <v/>
      </c>
    </row>
    <row r="5778" spans="14:14" x14ac:dyDescent="0.3">
      <c r="N5778" t="str" cm="1">
        <f t="array" ref="N5778">IF(MOD(ROW()-ROW($B$2),16)=0,INDEX($M$2:$M$1000,(ROW()-ROW($B$2))/16+1),"")</f>
        <v/>
      </c>
    </row>
    <row r="5779" spans="14:14" x14ac:dyDescent="0.3">
      <c r="N5779" t="str" cm="1">
        <f t="array" ref="N5779">IF(MOD(ROW()-ROW($B$2),16)=0,INDEX($M$2:$M$1000,(ROW()-ROW($B$2))/16+1),"")</f>
        <v/>
      </c>
    </row>
    <row r="5780" spans="14:14" x14ac:dyDescent="0.3">
      <c r="N5780" t="str" cm="1">
        <f t="array" ref="N5780">IF(MOD(ROW()-ROW($B$2),16)=0,INDEX($M$2:$M$1000,(ROW()-ROW($B$2))/16+1),"")</f>
        <v/>
      </c>
    </row>
    <row r="5781" spans="14:14" x14ac:dyDescent="0.3">
      <c r="N5781" t="str" cm="1">
        <f t="array" ref="N5781">IF(MOD(ROW()-ROW($B$2),16)=0,INDEX($M$2:$M$1000,(ROW()-ROW($B$2))/16+1),"")</f>
        <v/>
      </c>
    </row>
    <row r="5782" spans="14:14" x14ac:dyDescent="0.3">
      <c r="N5782" t="str" cm="1">
        <f t="array" ref="N5782">IF(MOD(ROW()-ROW($B$2),16)=0,INDEX($M$2:$M$1000,(ROW()-ROW($B$2))/16+1),"")</f>
        <v/>
      </c>
    </row>
    <row r="5783" spans="14:14" x14ac:dyDescent="0.3">
      <c r="N5783" t="str" cm="1">
        <f t="array" ref="N5783">IF(MOD(ROW()-ROW($B$2),16)=0,INDEX($M$2:$M$1000,(ROW()-ROW($B$2))/16+1),"")</f>
        <v/>
      </c>
    </row>
    <row r="5784" spans="14:14" x14ac:dyDescent="0.3">
      <c r="N5784" t="str" cm="1">
        <f t="array" ref="N5784">IF(MOD(ROW()-ROW($B$2),16)=0,INDEX($M$2:$M$1000,(ROW()-ROW($B$2))/16+1),"")</f>
        <v/>
      </c>
    </row>
    <row r="5785" spans="14:14" x14ac:dyDescent="0.3">
      <c r="N5785" t="str" cm="1">
        <f t="array" ref="N5785">IF(MOD(ROW()-ROW($B$2),16)=0,INDEX($M$2:$M$1000,(ROW()-ROW($B$2))/16+1),"")</f>
        <v/>
      </c>
    </row>
    <row r="5786" spans="14:14" x14ac:dyDescent="0.3">
      <c r="N5786" t="str" cm="1">
        <f t="array" ref="N5786">IF(MOD(ROW()-ROW($B$2),16)=0,INDEX($M$2:$M$1000,(ROW()-ROW($B$2))/16+1),"")</f>
        <v/>
      </c>
    </row>
    <row r="5787" spans="14:14" x14ac:dyDescent="0.3">
      <c r="N5787" t="str" cm="1">
        <f t="array" ref="N5787">IF(MOD(ROW()-ROW($B$2),16)=0,INDEX($M$2:$M$1000,(ROW()-ROW($B$2))/16+1),"")</f>
        <v/>
      </c>
    </row>
    <row r="5788" spans="14:14" x14ac:dyDescent="0.3">
      <c r="N5788" t="str" cm="1">
        <f t="array" ref="N5788">IF(MOD(ROW()-ROW($B$2),16)=0,INDEX($M$2:$M$1000,(ROW()-ROW($B$2))/16+1),"")</f>
        <v/>
      </c>
    </row>
    <row r="5789" spans="14:14" x14ac:dyDescent="0.3">
      <c r="N5789" t="str" cm="1">
        <f t="array" ref="N5789">IF(MOD(ROW()-ROW($B$2),16)=0,INDEX($M$2:$M$1000,(ROW()-ROW($B$2))/16+1),"")</f>
        <v/>
      </c>
    </row>
    <row r="5790" spans="14:14" x14ac:dyDescent="0.3">
      <c r="N5790" t="str" cm="1">
        <f t="array" ref="N5790">IF(MOD(ROW()-ROW($B$2),16)=0,INDEX($M$2:$M$1000,(ROW()-ROW($B$2))/16+1),"")</f>
        <v/>
      </c>
    </row>
    <row r="5791" spans="14:14" x14ac:dyDescent="0.3">
      <c r="N5791" t="str" cm="1">
        <f t="array" ref="N5791">IF(MOD(ROW()-ROW($B$2),16)=0,INDEX($M$2:$M$1000,(ROW()-ROW($B$2))/16+1),"")</f>
        <v/>
      </c>
    </row>
    <row r="5792" spans="14:14" x14ac:dyDescent="0.3">
      <c r="N5792" t="str" cm="1">
        <f t="array" ref="N5792">IF(MOD(ROW()-ROW($B$2),16)=0,INDEX($M$2:$M$1000,(ROW()-ROW($B$2))/16+1),"")</f>
        <v/>
      </c>
    </row>
    <row r="5793" spans="14:14" x14ac:dyDescent="0.3">
      <c r="N5793" t="str" cm="1">
        <f t="array" ref="N5793">IF(MOD(ROW()-ROW($B$2),16)=0,INDEX($M$2:$M$1000,(ROW()-ROW($B$2))/16+1),"")</f>
        <v/>
      </c>
    </row>
    <row r="5794" spans="14:14" x14ac:dyDescent="0.3">
      <c r="N5794" t="str" cm="1">
        <f t="array" ref="N5794">IF(MOD(ROW()-ROW($B$2),16)=0,INDEX($M$2:$M$1000,(ROW()-ROW($B$2))/16+1),"")</f>
        <v/>
      </c>
    </row>
    <row r="5795" spans="14:14" x14ac:dyDescent="0.3">
      <c r="N5795" t="str" cm="1">
        <f t="array" ref="N5795">IF(MOD(ROW()-ROW($B$2),16)=0,INDEX($M$2:$M$1000,(ROW()-ROW($B$2))/16+1),"")</f>
        <v/>
      </c>
    </row>
    <row r="5796" spans="14:14" x14ac:dyDescent="0.3">
      <c r="N5796" t="str" cm="1">
        <f t="array" ref="N5796">IF(MOD(ROW()-ROW($B$2),16)=0,INDEX($M$2:$M$1000,(ROW()-ROW($B$2))/16+1),"")</f>
        <v/>
      </c>
    </row>
    <row r="5797" spans="14:14" x14ac:dyDescent="0.3">
      <c r="N5797" t="str" cm="1">
        <f t="array" ref="N5797">IF(MOD(ROW()-ROW($B$2),16)=0,INDEX($M$2:$M$1000,(ROW()-ROW($B$2))/16+1),"")</f>
        <v/>
      </c>
    </row>
    <row r="5798" spans="14:14" x14ac:dyDescent="0.3">
      <c r="N5798" t="str" cm="1">
        <f t="array" ref="N5798">IF(MOD(ROW()-ROW($B$2),16)=0,INDEX($M$2:$M$1000,(ROW()-ROW($B$2))/16+1),"")</f>
        <v/>
      </c>
    </row>
    <row r="5799" spans="14:14" x14ac:dyDescent="0.3">
      <c r="N5799" t="str" cm="1">
        <f t="array" ref="N5799">IF(MOD(ROW()-ROW($B$2),16)=0,INDEX($M$2:$M$1000,(ROW()-ROW($B$2))/16+1),"")</f>
        <v/>
      </c>
    </row>
    <row r="5800" spans="14:14" x14ac:dyDescent="0.3">
      <c r="N5800" t="str" cm="1">
        <f t="array" ref="N5800">IF(MOD(ROW()-ROW($B$2),16)=0,INDEX($M$2:$M$1000,(ROW()-ROW($B$2))/16+1),"")</f>
        <v/>
      </c>
    </row>
    <row r="5801" spans="14:14" x14ac:dyDescent="0.3">
      <c r="N5801" t="str" cm="1">
        <f t="array" ref="N5801">IF(MOD(ROW()-ROW($B$2),16)=0,INDEX($M$2:$M$1000,(ROW()-ROW($B$2))/16+1),"")</f>
        <v/>
      </c>
    </row>
    <row r="5802" spans="14:14" x14ac:dyDescent="0.3">
      <c r="N5802" t="str" cm="1">
        <f t="array" ref="N5802">IF(MOD(ROW()-ROW($B$2),16)=0,INDEX($M$2:$M$1000,(ROW()-ROW($B$2))/16+1),"")</f>
        <v/>
      </c>
    </row>
    <row r="5803" spans="14:14" x14ac:dyDescent="0.3">
      <c r="N5803" t="str" cm="1">
        <f t="array" ref="N5803">IF(MOD(ROW()-ROW($B$2),16)=0,INDEX($M$2:$M$1000,(ROW()-ROW($B$2))/16+1),"")</f>
        <v/>
      </c>
    </row>
    <row r="5804" spans="14:14" x14ac:dyDescent="0.3">
      <c r="N5804" t="str" cm="1">
        <f t="array" ref="N5804">IF(MOD(ROW()-ROW($B$2),16)=0,INDEX($M$2:$M$1000,(ROW()-ROW($B$2))/16+1),"")</f>
        <v/>
      </c>
    </row>
    <row r="5805" spans="14:14" x14ac:dyDescent="0.3">
      <c r="N5805" t="str" cm="1">
        <f t="array" ref="N5805">IF(MOD(ROW()-ROW($B$2),16)=0,INDEX($M$2:$M$1000,(ROW()-ROW($B$2))/16+1),"")</f>
        <v/>
      </c>
    </row>
    <row r="5806" spans="14:14" x14ac:dyDescent="0.3">
      <c r="N5806" t="str" cm="1">
        <f t="array" ref="N5806">IF(MOD(ROW()-ROW($B$2),16)=0,INDEX($M$2:$M$1000,(ROW()-ROW($B$2))/16+1),"")</f>
        <v/>
      </c>
    </row>
    <row r="5807" spans="14:14" x14ac:dyDescent="0.3">
      <c r="N5807" t="str" cm="1">
        <f t="array" ref="N5807">IF(MOD(ROW()-ROW($B$2),16)=0,INDEX($M$2:$M$1000,(ROW()-ROW($B$2))/16+1),"")</f>
        <v/>
      </c>
    </row>
    <row r="5808" spans="14:14" x14ac:dyDescent="0.3">
      <c r="N5808" t="str" cm="1">
        <f t="array" ref="N5808">IF(MOD(ROW()-ROW($B$2),16)=0,INDEX($M$2:$M$1000,(ROW()-ROW($B$2))/16+1),"")</f>
        <v/>
      </c>
    </row>
    <row r="5809" spans="14:14" x14ac:dyDescent="0.3">
      <c r="N5809" t="str" cm="1">
        <f t="array" ref="N5809">IF(MOD(ROW()-ROW($B$2),16)=0,INDEX($M$2:$M$1000,(ROW()-ROW($B$2))/16+1),"")</f>
        <v/>
      </c>
    </row>
    <row r="5810" spans="14:14" x14ac:dyDescent="0.3">
      <c r="N5810" t="str" cm="1">
        <f t="array" ref="N5810">IF(MOD(ROW()-ROW($B$2),16)=0,INDEX($M$2:$M$1000,(ROW()-ROW($B$2))/16+1),"")</f>
        <v/>
      </c>
    </row>
    <row r="5811" spans="14:14" x14ac:dyDescent="0.3">
      <c r="N5811" t="str" cm="1">
        <f t="array" ref="N5811">IF(MOD(ROW()-ROW($B$2),16)=0,INDEX($M$2:$M$1000,(ROW()-ROW($B$2))/16+1),"")</f>
        <v/>
      </c>
    </row>
    <row r="5812" spans="14:14" x14ac:dyDescent="0.3">
      <c r="N5812" t="str" cm="1">
        <f t="array" ref="N5812">IF(MOD(ROW()-ROW($B$2),16)=0,INDEX($M$2:$M$1000,(ROW()-ROW($B$2))/16+1),"")</f>
        <v/>
      </c>
    </row>
    <row r="5813" spans="14:14" x14ac:dyDescent="0.3">
      <c r="N5813" t="str" cm="1">
        <f t="array" ref="N5813">IF(MOD(ROW()-ROW($B$2),16)=0,INDEX($M$2:$M$1000,(ROW()-ROW($B$2))/16+1),"")</f>
        <v/>
      </c>
    </row>
    <row r="5814" spans="14:14" x14ac:dyDescent="0.3">
      <c r="N5814" t="str" cm="1">
        <f t="array" ref="N5814">IF(MOD(ROW()-ROW($B$2),16)=0,INDEX($M$2:$M$1000,(ROW()-ROW($B$2))/16+1),"")</f>
        <v/>
      </c>
    </row>
    <row r="5815" spans="14:14" x14ac:dyDescent="0.3">
      <c r="N5815" t="str" cm="1">
        <f t="array" ref="N5815">IF(MOD(ROW()-ROW($B$2),16)=0,INDEX($M$2:$M$1000,(ROW()-ROW($B$2))/16+1),"")</f>
        <v/>
      </c>
    </row>
    <row r="5816" spans="14:14" x14ac:dyDescent="0.3">
      <c r="N5816" t="str" cm="1">
        <f t="array" ref="N5816">IF(MOD(ROW()-ROW($B$2),16)=0,INDEX($M$2:$M$1000,(ROW()-ROW($B$2))/16+1),"")</f>
        <v/>
      </c>
    </row>
    <row r="5817" spans="14:14" x14ac:dyDescent="0.3">
      <c r="N5817" t="str" cm="1">
        <f t="array" ref="N5817">IF(MOD(ROW()-ROW($B$2),16)=0,INDEX($M$2:$M$1000,(ROW()-ROW($B$2))/16+1),"")</f>
        <v/>
      </c>
    </row>
    <row r="5818" spans="14:14" x14ac:dyDescent="0.3">
      <c r="N5818" t="str" cm="1">
        <f t="array" ref="N5818">IF(MOD(ROW()-ROW($B$2),16)=0,INDEX($M$2:$M$1000,(ROW()-ROW($B$2))/16+1),"")</f>
        <v/>
      </c>
    </row>
    <row r="5819" spans="14:14" x14ac:dyDescent="0.3">
      <c r="N5819" t="str" cm="1">
        <f t="array" ref="N5819">IF(MOD(ROW()-ROW($B$2),16)=0,INDEX($M$2:$M$1000,(ROW()-ROW($B$2))/16+1),"")</f>
        <v/>
      </c>
    </row>
    <row r="5820" spans="14:14" x14ac:dyDescent="0.3">
      <c r="N5820" t="str" cm="1">
        <f t="array" ref="N5820">IF(MOD(ROW()-ROW($B$2),16)=0,INDEX($M$2:$M$1000,(ROW()-ROW($B$2))/16+1),"")</f>
        <v/>
      </c>
    </row>
    <row r="5821" spans="14:14" x14ac:dyDescent="0.3">
      <c r="N5821" t="str" cm="1">
        <f t="array" ref="N5821">IF(MOD(ROW()-ROW($B$2),16)=0,INDEX($M$2:$M$1000,(ROW()-ROW($B$2))/16+1),"")</f>
        <v/>
      </c>
    </row>
    <row r="5822" spans="14:14" x14ac:dyDescent="0.3">
      <c r="N5822" t="str" cm="1">
        <f t="array" ref="N5822">IF(MOD(ROW()-ROW($B$2),16)=0,INDEX($M$2:$M$1000,(ROW()-ROW($B$2))/16+1),"")</f>
        <v/>
      </c>
    </row>
    <row r="5823" spans="14:14" x14ac:dyDescent="0.3">
      <c r="N5823" t="str" cm="1">
        <f t="array" ref="N5823">IF(MOD(ROW()-ROW($B$2),16)=0,INDEX($M$2:$M$1000,(ROW()-ROW($B$2))/16+1),"")</f>
        <v/>
      </c>
    </row>
    <row r="5824" spans="14:14" x14ac:dyDescent="0.3">
      <c r="N5824" t="str" cm="1">
        <f t="array" ref="N5824">IF(MOD(ROW()-ROW($B$2),16)=0,INDEX($M$2:$M$1000,(ROW()-ROW($B$2))/16+1),"")</f>
        <v/>
      </c>
    </row>
    <row r="5825" spans="14:14" x14ac:dyDescent="0.3">
      <c r="N5825" t="str" cm="1">
        <f t="array" ref="N5825">IF(MOD(ROW()-ROW($B$2),16)=0,INDEX($M$2:$M$1000,(ROW()-ROW($B$2))/16+1),"")</f>
        <v/>
      </c>
    </row>
    <row r="5826" spans="14:14" x14ac:dyDescent="0.3">
      <c r="N5826" t="str" cm="1">
        <f t="array" ref="N5826">IF(MOD(ROW()-ROW($B$2),16)=0,INDEX($M$2:$M$1000,(ROW()-ROW($B$2))/16+1),"")</f>
        <v/>
      </c>
    </row>
    <row r="5827" spans="14:14" x14ac:dyDescent="0.3">
      <c r="N5827" t="str" cm="1">
        <f t="array" ref="N5827">IF(MOD(ROW()-ROW($B$2),16)=0,INDEX($M$2:$M$1000,(ROW()-ROW($B$2))/16+1),"")</f>
        <v/>
      </c>
    </row>
    <row r="5828" spans="14:14" x14ac:dyDescent="0.3">
      <c r="N5828" t="str" cm="1">
        <f t="array" ref="N5828">IF(MOD(ROW()-ROW($B$2),16)=0,INDEX($M$2:$M$1000,(ROW()-ROW($B$2))/16+1),"")</f>
        <v/>
      </c>
    </row>
    <row r="5829" spans="14:14" x14ac:dyDescent="0.3">
      <c r="N5829" t="str" cm="1">
        <f t="array" ref="N5829">IF(MOD(ROW()-ROW($B$2),16)=0,INDEX($M$2:$M$1000,(ROW()-ROW($B$2))/16+1),"")</f>
        <v/>
      </c>
    </row>
    <row r="5830" spans="14:14" x14ac:dyDescent="0.3">
      <c r="N5830" t="str" cm="1">
        <f t="array" ref="N5830">IF(MOD(ROW()-ROW($B$2),16)=0,INDEX($M$2:$M$1000,(ROW()-ROW($B$2))/16+1),"")</f>
        <v/>
      </c>
    </row>
    <row r="5831" spans="14:14" x14ac:dyDescent="0.3">
      <c r="N5831" t="str" cm="1">
        <f t="array" ref="N5831">IF(MOD(ROW()-ROW($B$2),16)=0,INDEX($M$2:$M$1000,(ROW()-ROW($B$2))/16+1),"")</f>
        <v/>
      </c>
    </row>
    <row r="5832" spans="14:14" x14ac:dyDescent="0.3">
      <c r="N5832" t="str" cm="1">
        <f t="array" ref="N5832">IF(MOD(ROW()-ROW($B$2),16)=0,INDEX($M$2:$M$1000,(ROW()-ROW($B$2))/16+1),"")</f>
        <v/>
      </c>
    </row>
    <row r="5833" spans="14:14" x14ac:dyDescent="0.3">
      <c r="N5833" t="str" cm="1">
        <f t="array" ref="N5833">IF(MOD(ROW()-ROW($B$2),16)=0,INDEX($M$2:$M$1000,(ROW()-ROW($B$2))/16+1),"")</f>
        <v/>
      </c>
    </row>
    <row r="5834" spans="14:14" x14ac:dyDescent="0.3">
      <c r="N5834" t="str" cm="1">
        <f t="array" ref="N5834">IF(MOD(ROW()-ROW($B$2),16)=0,INDEX($M$2:$M$1000,(ROW()-ROW($B$2))/16+1),"")</f>
        <v/>
      </c>
    </row>
    <row r="5835" spans="14:14" x14ac:dyDescent="0.3">
      <c r="N5835" t="str" cm="1">
        <f t="array" ref="N5835">IF(MOD(ROW()-ROW($B$2),16)=0,INDEX($M$2:$M$1000,(ROW()-ROW($B$2))/16+1),"")</f>
        <v/>
      </c>
    </row>
    <row r="5836" spans="14:14" x14ac:dyDescent="0.3">
      <c r="N5836" t="str" cm="1">
        <f t="array" ref="N5836">IF(MOD(ROW()-ROW($B$2),16)=0,INDEX($M$2:$M$1000,(ROW()-ROW($B$2))/16+1),"")</f>
        <v/>
      </c>
    </row>
    <row r="5837" spans="14:14" x14ac:dyDescent="0.3">
      <c r="N5837" t="str" cm="1">
        <f t="array" ref="N5837">IF(MOD(ROW()-ROW($B$2),16)=0,INDEX($M$2:$M$1000,(ROW()-ROW($B$2))/16+1),"")</f>
        <v/>
      </c>
    </row>
    <row r="5838" spans="14:14" x14ac:dyDescent="0.3">
      <c r="N5838" t="str" cm="1">
        <f t="array" ref="N5838">IF(MOD(ROW()-ROW($B$2),16)=0,INDEX($M$2:$M$1000,(ROW()-ROW($B$2))/16+1),"")</f>
        <v/>
      </c>
    </row>
    <row r="5839" spans="14:14" x14ac:dyDescent="0.3">
      <c r="N5839" t="str" cm="1">
        <f t="array" ref="N5839">IF(MOD(ROW()-ROW($B$2),16)=0,INDEX($M$2:$M$1000,(ROW()-ROW($B$2))/16+1),"")</f>
        <v/>
      </c>
    </row>
    <row r="5840" spans="14:14" x14ac:dyDescent="0.3">
      <c r="N5840" t="str" cm="1">
        <f t="array" ref="N5840">IF(MOD(ROW()-ROW($B$2),16)=0,INDEX($M$2:$M$1000,(ROW()-ROW($B$2))/16+1),"")</f>
        <v/>
      </c>
    </row>
    <row r="5841" spans="14:14" x14ac:dyDescent="0.3">
      <c r="N5841" t="str" cm="1">
        <f t="array" ref="N5841">IF(MOD(ROW()-ROW($B$2),16)=0,INDEX($M$2:$M$1000,(ROW()-ROW($B$2))/16+1),"")</f>
        <v/>
      </c>
    </row>
    <row r="5842" spans="14:14" x14ac:dyDescent="0.3">
      <c r="N5842" t="str" cm="1">
        <f t="array" ref="N5842">IF(MOD(ROW()-ROW($B$2),16)=0,INDEX($M$2:$M$1000,(ROW()-ROW($B$2))/16+1),"")</f>
        <v/>
      </c>
    </row>
    <row r="5843" spans="14:14" x14ac:dyDescent="0.3">
      <c r="N5843" t="str" cm="1">
        <f t="array" ref="N5843">IF(MOD(ROW()-ROW($B$2),16)=0,INDEX($M$2:$M$1000,(ROW()-ROW($B$2))/16+1),"")</f>
        <v/>
      </c>
    </row>
    <row r="5844" spans="14:14" x14ac:dyDescent="0.3">
      <c r="N5844" t="str" cm="1">
        <f t="array" ref="N5844">IF(MOD(ROW()-ROW($B$2),16)=0,INDEX($M$2:$M$1000,(ROW()-ROW($B$2))/16+1),"")</f>
        <v/>
      </c>
    </row>
    <row r="5845" spans="14:14" x14ac:dyDescent="0.3">
      <c r="N5845" t="str" cm="1">
        <f t="array" ref="N5845">IF(MOD(ROW()-ROW($B$2),16)=0,INDEX($M$2:$M$1000,(ROW()-ROW($B$2))/16+1),"")</f>
        <v/>
      </c>
    </row>
    <row r="5846" spans="14:14" x14ac:dyDescent="0.3">
      <c r="N5846" t="str" cm="1">
        <f t="array" ref="N5846">IF(MOD(ROW()-ROW($B$2),16)=0,INDEX($M$2:$M$1000,(ROW()-ROW($B$2))/16+1),"")</f>
        <v/>
      </c>
    </row>
    <row r="5847" spans="14:14" x14ac:dyDescent="0.3">
      <c r="N5847" t="str" cm="1">
        <f t="array" ref="N5847">IF(MOD(ROW()-ROW($B$2),16)=0,INDEX($M$2:$M$1000,(ROW()-ROW($B$2))/16+1),"")</f>
        <v/>
      </c>
    </row>
    <row r="5848" spans="14:14" x14ac:dyDescent="0.3">
      <c r="N5848" t="str" cm="1">
        <f t="array" ref="N5848">IF(MOD(ROW()-ROW($B$2),16)=0,INDEX($M$2:$M$1000,(ROW()-ROW($B$2))/16+1),"")</f>
        <v/>
      </c>
    </row>
    <row r="5849" spans="14:14" x14ac:dyDescent="0.3">
      <c r="N5849" t="str" cm="1">
        <f t="array" ref="N5849">IF(MOD(ROW()-ROW($B$2),16)=0,INDEX($M$2:$M$1000,(ROW()-ROW($B$2))/16+1),"")</f>
        <v/>
      </c>
    </row>
    <row r="5850" spans="14:14" x14ac:dyDescent="0.3">
      <c r="N5850" t="str" cm="1">
        <f t="array" ref="N5850">IF(MOD(ROW()-ROW($B$2),16)=0,INDEX($M$2:$M$1000,(ROW()-ROW($B$2))/16+1),"")</f>
        <v/>
      </c>
    </row>
    <row r="5851" spans="14:14" x14ac:dyDescent="0.3">
      <c r="N5851" t="str" cm="1">
        <f t="array" ref="N5851">IF(MOD(ROW()-ROW($B$2),16)=0,INDEX($M$2:$M$1000,(ROW()-ROW($B$2))/16+1),"")</f>
        <v/>
      </c>
    </row>
    <row r="5852" spans="14:14" x14ac:dyDescent="0.3">
      <c r="N5852" t="str" cm="1">
        <f t="array" ref="N5852">IF(MOD(ROW()-ROW($B$2),16)=0,INDEX($M$2:$M$1000,(ROW()-ROW($B$2))/16+1),"")</f>
        <v/>
      </c>
    </row>
    <row r="5853" spans="14:14" x14ac:dyDescent="0.3">
      <c r="N5853" t="str" cm="1">
        <f t="array" ref="N5853">IF(MOD(ROW()-ROW($B$2),16)=0,INDEX($M$2:$M$1000,(ROW()-ROW($B$2))/16+1),"")</f>
        <v/>
      </c>
    </row>
    <row r="5854" spans="14:14" x14ac:dyDescent="0.3">
      <c r="N5854" t="str" cm="1">
        <f t="array" ref="N5854">IF(MOD(ROW()-ROW($B$2),16)=0,INDEX($M$2:$M$1000,(ROW()-ROW($B$2))/16+1),"")</f>
        <v/>
      </c>
    </row>
    <row r="5855" spans="14:14" x14ac:dyDescent="0.3">
      <c r="N5855" t="str" cm="1">
        <f t="array" ref="N5855">IF(MOD(ROW()-ROW($B$2),16)=0,INDEX($M$2:$M$1000,(ROW()-ROW($B$2))/16+1),"")</f>
        <v/>
      </c>
    </row>
    <row r="5856" spans="14:14" x14ac:dyDescent="0.3">
      <c r="N5856" t="str" cm="1">
        <f t="array" ref="N5856">IF(MOD(ROW()-ROW($B$2),16)=0,INDEX($M$2:$M$1000,(ROW()-ROW($B$2))/16+1),"")</f>
        <v/>
      </c>
    </row>
    <row r="5857" spans="14:14" x14ac:dyDescent="0.3">
      <c r="N5857" t="str" cm="1">
        <f t="array" ref="N5857">IF(MOD(ROW()-ROW($B$2),16)=0,INDEX($M$2:$M$1000,(ROW()-ROW($B$2))/16+1),"")</f>
        <v/>
      </c>
    </row>
    <row r="5858" spans="14:14" x14ac:dyDescent="0.3">
      <c r="N5858" t="str" cm="1">
        <f t="array" ref="N5858">IF(MOD(ROW()-ROW($B$2),16)=0,INDEX($M$2:$M$1000,(ROW()-ROW($B$2))/16+1),"")</f>
        <v/>
      </c>
    </row>
    <row r="5859" spans="14:14" x14ac:dyDescent="0.3">
      <c r="N5859" t="str" cm="1">
        <f t="array" ref="N5859">IF(MOD(ROW()-ROW($B$2),16)=0,INDEX($M$2:$M$1000,(ROW()-ROW($B$2))/16+1),"")</f>
        <v/>
      </c>
    </row>
    <row r="5860" spans="14:14" x14ac:dyDescent="0.3">
      <c r="N5860" t="str" cm="1">
        <f t="array" ref="N5860">IF(MOD(ROW()-ROW($B$2),16)=0,INDEX($M$2:$M$1000,(ROW()-ROW($B$2))/16+1),"")</f>
        <v/>
      </c>
    </row>
    <row r="5861" spans="14:14" x14ac:dyDescent="0.3">
      <c r="N5861" t="str" cm="1">
        <f t="array" ref="N5861">IF(MOD(ROW()-ROW($B$2),16)=0,INDEX($M$2:$M$1000,(ROW()-ROW($B$2))/16+1),"")</f>
        <v/>
      </c>
    </row>
    <row r="5862" spans="14:14" x14ac:dyDescent="0.3">
      <c r="N5862" t="str" cm="1">
        <f t="array" ref="N5862">IF(MOD(ROW()-ROW($B$2),16)=0,INDEX($M$2:$M$1000,(ROW()-ROW($B$2))/16+1),"")</f>
        <v/>
      </c>
    </row>
    <row r="5863" spans="14:14" x14ac:dyDescent="0.3">
      <c r="N5863" t="str" cm="1">
        <f t="array" ref="N5863">IF(MOD(ROW()-ROW($B$2),16)=0,INDEX($M$2:$M$1000,(ROW()-ROW($B$2))/16+1),"")</f>
        <v/>
      </c>
    </row>
    <row r="5864" spans="14:14" x14ac:dyDescent="0.3">
      <c r="N5864" t="str" cm="1">
        <f t="array" ref="N5864">IF(MOD(ROW()-ROW($B$2),16)=0,INDEX($M$2:$M$1000,(ROW()-ROW($B$2))/16+1),"")</f>
        <v/>
      </c>
    </row>
    <row r="5865" spans="14:14" x14ac:dyDescent="0.3">
      <c r="N5865" t="str" cm="1">
        <f t="array" ref="N5865">IF(MOD(ROW()-ROW($B$2),16)=0,INDEX($M$2:$M$1000,(ROW()-ROW($B$2))/16+1),"")</f>
        <v/>
      </c>
    </row>
    <row r="5866" spans="14:14" x14ac:dyDescent="0.3">
      <c r="N5866" t="str" cm="1">
        <f t="array" ref="N5866">IF(MOD(ROW()-ROW($B$2),16)=0,INDEX($M$2:$M$1000,(ROW()-ROW($B$2))/16+1),"")</f>
        <v/>
      </c>
    </row>
    <row r="5867" spans="14:14" x14ac:dyDescent="0.3">
      <c r="N5867" t="str" cm="1">
        <f t="array" ref="N5867">IF(MOD(ROW()-ROW($B$2),16)=0,INDEX($M$2:$M$1000,(ROW()-ROW($B$2))/16+1),"")</f>
        <v/>
      </c>
    </row>
    <row r="5868" spans="14:14" x14ac:dyDescent="0.3">
      <c r="N5868" t="str" cm="1">
        <f t="array" ref="N5868">IF(MOD(ROW()-ROW($B$2),16)=0,INDEX($M$2:$M$1000,(ROW()-ROW($B$2))/16+1),"")</f>
        <v/>
      </c>
    </row>
    <row r="5869" spans="14:14" x14ac:dyDescent="0.3">
      <c r="N5869" t="str" cm="1">
        <f t="array" ref="N5869">IF(MOD(ROW()-ROW($B$2),16)=0,INDEX($M$2:$M$1000,(ROW()-ROW($B$2))/16+1),"")</f>
        <v/>
      </c>
    </row>
    <row r="5870" spans="14:14" x14ac:dyDescent="0.3">
      <c r="N5870" t="str" cm="1">
        <f t="array" ref="N5870">IF(MOD(ROW()-ROW($B$2),16)=0,INDEX($M$2:$M$1000,(ROW()-ROW($B$2))/16+1),"")</f>
        <v/>
      </c>
    </row>
    <row r="5871" spans="14:14" x14ac:dyDescent="0.3">
      <c r="N5871" t="str" cm="1">
        <f t="array" ref="N5871">IF(MOD(ROW()-ROW($B$2),16)=0,INDEX($M$2:$M$1000,(ROW()-ROW($B$2))/16+1),"")</f>
        <v/>
      </c>
    </row>
    <row r="5872" spans="14:14" x14ac:dyDescent="0.3">
      <c r="N5872" t="str" cm="1">
        <f t="array" ref="N5872">IF(MOD(ROW()-ROW($B$2),16)=0,INDEX($M$2:$M$1000,(ROW()-ROW($B$2))/16+1),"")</f>
        <v/>
      </c>
    </row>
    <row r="5873" spans="14:14" x14ac:dyDescent="0.3">
      <c r="N5873" t="str" cm="1">
        <f t="array" ref="N5873">IF(MOD(ROW()-ROW($B$2),16)=0,INDEX($M$2:$M$1000,(ROW()-ROW($B$2))/16+1),"")</f>
        <v/>
      </c>
    </row>
    <row r="5874" spans="14:14" x14ac:dyDescent="0.3">
      <c r="N5874" t="str" cm="1">
        <f t="array" ref="N5874">IF(MOD(ROW()-ROW($B$2),16)=0,INDEX($M$2:$M$1000,(ROW()-ROW($B$2))/16+1),"")</f>
        <v/>
      </c>
    </row>
    <row r="5875" spans="14:14" x14ac:dyDescent="0.3">
      <c r="N5875" t="str" cm="1">
        <f t="array" ref="N5875">IF(MOD(ROW()-ROW($B$2),16)=0,INDEX($M$2:$M$1000,(ROW()-ROW($B$2))/16+1),"")</f>
        <v/>
      </c>
    </row>
    <row r="5876" spans="14:14" x14ac:dyDescent="0.3">
      <c r="N5876" t="str" cm="1">
        <f t="array" ref="N5876">IF(MOD(ROW()-ROW($B$2),16)=0,INDEX($M$2:$M$1000,(ROW()-ROW($B$2))/16+1),"")</f>
        <v/>
      </c>
    </row>
    <row r="5877" spans="14:14" x14ac:dyDescent="0.3">
      <c r="N5877" t="str" cm="1">
        <f t="array" ref="N5877">IF(MOD(ROW()-ROW($B$2),16)=0,INDEX($M$2:$M$1000,(ROW()-ROW($B$2))/16+1),"")</f>
        <v/>
      </c>
    </row>
    <row r="5878" spans="14:14" x14ac:dyDescent="0.3">
      <c r="N5878" t="str" cm="1">
        <f t="array" ref="N5878">IF(MOD(ROW()-ROW($B$2),16)=0,INDEX($M$2:$M$1000,(ROW()-ROW($B$2))/16+1),"")</f>
        <v/>
      </c>
    </row>
    <row r="5879" spans="14:14" x14ac:dyDescent="0.3">
      <c r="N5879" t="str" cm="1">
        <f t="array" ref="N5879">IF(MOD(ROW()-ROW($B$2),16)=0,INDEX($M$2:$M$1000,(ROW()-ROW($B$2))/16+1),"")</f>
        <v/>
      </c>
    </row>
    <row r="5880" spans="14:14" x14ac:dyDescent="0.3">
      <c r="N5880" t="str" cm="1">
        <f t="array" ref="N5880">IF(MOD(ROW()-ROW($B$2),16)=0,INDEX($M$2:$M$1000,(ROW()-ROW($B$2))/16+1),"")</f>
        <v/>
      </c>
    </row>
    <row r="5881" spans="14:14" x14ac:dyDescent="0.3">
      <c r="N5881" t="str" cm="1">
        <f t="array" ref="N5881">IF(MOD(ROW()-ROW($B$2),16)=0,INDEX($M$2:$M$1000,(ROW()-ROW($B$2))/16+1),"")</f>
        <v/>
      </c>
    </row>
    <row r="5882" spans="14:14" x14ac:dyDescent="0.3">
      <c r="N5882" t="str" cm="1">
        <f t="array" ref="N5882">IF(MOD(ROW()-ROW($B$2),16)=0,INDEX($M$2:$M$1000,(ROW()-ROW($B$2))/16+1),"")</f>
        <v/>
      </c>
    </row>
    <row r="5883" spans="14:14" x14ac:dyDescent="0.3">
      <c r="N5883" t="str" cm="1">
        <f t="array" ref="N5883">IF(MOD(ROW()-ROW($B$2),16)=0,INDEX($M$2:$M$1000,(ROW()-ROW($B$2))/16+1),"")</f>
        <v/>
      </c>
    </row>
    <row r="5884" spans="14:14" x14ac:dyDescent="0.3">
      <c r="N5884" t="str" cm="1">
        <f t="array" ref="N5884">IF(MOD(ROW()-ROW($B$2),16)=0,INDEX($M$2:$M$1000,(ROW()-ROW($B$2))/16+1),"")</f>
        <v/>
      </c>
    </row>
    <row r="5885" spans="14:14" x14ac:dyDescent="0.3">
      <c r="N5885" t="str" cm="1">
        <f t="array" ref="N5885">IF(MOD(ROW()-ROW($B$2),16)=0,INDEX($M$2:$M$1000,(ROW()-ROW($B$2))/16+1),"")</f>
        <v/>
      </c>
    </row>
    <row r="5886" spans="14:14" x14ac:dyDescent="0.3">
      <c r="N5886" t="str" cm="1">
        <f t="array" ref="N5886">IF(MOD(ROW()-ROW($B$2),16)=0,INDEX($M$2:$M$1000,(ROW()-ROW($B$2))/16+1),"")</f>
        <v/>
      </c>
    </row>
    <row r="5887" spans="14:14" x14ac:dyDescent="0.3">
      <c r="N5887" t="str" cm="1">
        <f t="array" ref="N5887">IF(MOD(ROW()-ROW($B$2),16)=0,INDEX($M$2:$M$1000,(ROW()-ROW($B$2))/16+1),"")</f>
        <v/>
      </c>
    </row>
    <row r="5888" spans="14:14" x14ac:dyDescent="0.3">
      <c r="N5888" t="str" cm="1">
        <f t="array" ref="N5888">IF(MOD(ROW()-ROW($B$2),16)=0,INDEX($M$2:$M$1000,(ROW()-ROW($B$2))/16+1),"")</f>
        <v/>
      </c>
    </row>
    <row r="5889" spans="14:14" x14ac:dyDescent="0.3">
      <c r="N5889" t="str" cm="1">
        <f t="array" ref="N5889">IF(MOD(ROW()-ROW($B$2),16)=0,INDEX($M$2:$M$1000,(ROW()-ROW($B$2))/16+1),"")</f>
        <v/>
      </c>
    </row>
    <row r="5890" spans="14:14" x14ac:dyDescent="0.3">
      <c r="N5890" t="str" cm="1">
        <f t="array" ref="N5890">IF(MOD(ROW()-ROW($B$2),16)=0,INDEX($M$2:$M$1000,(ROW()-ROW($B$2))/16+1),"")</f>
        <v/>
      </c>
    </row>
    <row r="5891" spans="14:14" x14ac:dyDescent="0.3">
      <c r="N5891" t="str" cm="1">
        <f t="array" ref="N5891">IF(MOD(ROW()-ROW($B$2),16)=0,INDEX($M$2:$M$1000,(ROW()-ROW($B$2))/16+1),"")</f>
        <v/>
      </c>
    </row>
    <row r="5892" spans="14:14" x14ac:dyDescent="0.3">
      <c r="N5892" t="str" cm="1">
        <f t="array" ref="N5892">IF(MOD(ROW()-ROW($B$2),16)=0,INDEX($M$2:$M$1000,(ROW()-ROW($B$2))/16+1),"")</f>
        <v/>
      </c>
    </row>
    <row r="5893" spans="14:14" x14ac:dyDescent="0.3">
      <c r="N5893" t="str" cm="1">
        <f t="array" ref="N5893">IF(MOD(ROW()-ROW($B$2),16)=0,INDEX($M$2:$M$1000,(ROW()-ROW($B$2))/16+1),"")</f>
        <v/>
      </c>
    </row>
    <row r="5894" spans="14:14" x14ac:dyDescent="0.3">
      <c r="N5894" t="str" cm="1">
        <f t="array" ref="N5894">IF(MOD(ROW()-ROW($B$2),16)=0,INDEX($M$2:$M$1000,(ROW()-ROW($B$2))/16+1),"")</f>
        <v/>
      </c>
    </row>
    <row r="5895" spans="14:14" x14ac:dyDescent="0.3">
      <c r="N5895" t="str" cm="1">
        <f t="array" ref="N5895">IF(MOD(ROW()-ROW($B$2),16)=0,INDEX($M$2:$M$1000,(ROW()-ROW($B$2))/16+1),"")</f>
        <v/>
      </c>
    </row>
    <row r="5896" spans="14:14" x14ac:dyDescent="0.3">
      <c r="N5896" t="str" cm="1">
        <f t="array" ref="N5896">IF(MOD(ROW()-ROW($B$2),16)=0,INDEX($M$2:$M$1000,(ROW()-ROW($B$2))/16+1),"")</f>
        <v/>
      </c>
    </row>
    <row r="5897" spans="14:14" x14ac:dyDescent="0.3">
      <c r="N5897" t="str" cm="1">
        <f t="array" ref="N5897">IF(MOD(ROW()-ROW($B$2),16)=0,INDEX($M$2:$M$1000,(ROW()-ROW($B$2))/16+1),"")</f>
        <v/>
      </c>
    </row>
    <row r="5898" spans="14:14" x14ac:dyDescent="0.3">
      <c r="N5898" t="str" cm="1">
        <f t="array" ref="N5898">IF(MOD(ROW()-ROW($B$2),16)=0,INDEX($M$2:$M$1000,(ROW()-ROW($B$2))/16+1),"")</f>
        <v/>
      </c>
    </row>
    <row r="5899" spans="14:14" x14ac:dyDescent="0.3">
      <c r="N5899" t="str" cm="1">
        <f t="array" ref="N5899">IF(MOD(ROW()-ROW($B$2),16)=0,INDEX($M$2:$M$1000,(ROW()-ROW($B$2))/16+1),"")</f>
        <v/>
      </c>
    </row>
    <row r="5900" spans="14:14" x14ac:dyDescent="0.3">
      <c r="N5900" t="str" cm="1">
        <f t="array" ref="N5900">IF(MOD(ROW()-ROW($B$2),16)=0,INDEX($M$2:$M$1000,(ROW()-ROW($B$2))/16+1),"")</f>
        <v/>
      </c>
    </row>
    <row r="5901" spans="14:14" x14ac:dyDescent="0.3">
      <c r="N5901" t="str" cm="1">
        <f t="array" ref="N5901">IF(MOD(ROW()-ROW($B$2),16)=0,INDEX($M$2:$M$1000,(ROW()-ROW($B$2))/16+1),"")</f>
        <v/>
      </c>
    </row>
    <row r="5902" spans="14:14" x14ac:dyDescent="0.3">
      <c r="N5902" t="str" cm="1">
        <f t="array" ref="N5902">IF(MOD(ROW()-ROW($B$2),16)=0,INDEX($M$2:$M$1000,(ROW()-ROW($B$2))/16+1),"")</f>
        <v/>
      </c>
    </row>
    <row r="5903" spans="14:14" x14ac:dyDescent="0.3">
      <c r="N5903" t="str" cm="1">
        <f t="array" ref="N5903">IF(MOD(ROW()-ROW($B$2),16)=0,INDEX($M$2:$M$1000,(ROW()-ROW($B$2))/16+1),"")</f>
        <v/>
      </c>
    </row>
    <row r="5904" spans="14:14" x14ac:dyDescent="0.3">
      <c r="N5904" t="str" cm="1">
        <f t="array" ref="N5904">IF(MOD(ROW()-ROW($B$2),16)=0,INDEX($M$2:$M$1000,(ROW()-ROW($B$2))/16+1),"")</f>
        <v/>
      </c>
    </row>
    <row r="5905" spans="14:14" x14ac:dyDescent="0.3">
      <c r="N5905" t="str" cm="1">
        <f t="array" ref="N5905">IF(MOD(ROW()-ROW($B$2),16)=0,INDEX($M$2:$M$1000,(ROW()-ROW($B$2))/16+1),"")</f>
        <v/>
      </c>
    </row>
    <row r="5906" spans="14:14" x14ac:dyDescent="0.3">
      <c r="N5906" t="str" cm="1">
        <f t="array" ref="N5906">IF(MOD(ROW()-ROW($B$2),16)=0,INDEX($M$2:$M$1000,(ROW()-ROW($B$2))/16+1),"")</f>
        <v/>
      </c>
    </row>
    <row r="5907" spans="14:14" x14ac:dyDescent="0.3">
      <c r="N5907" t="str" cm="1">
        <f t="array" ref="N5907">IF(MOD(ROW()-ROW($B$2),16)=0,INDEX($M$2:$M$1000,(ROW()-ROW($B$2))/16+1),"")</f>
        <v/>
      </c>
    </row>
    <row r="5908" spans="14:14" x14ac:dyDescent="0.3">
      <c r="N5908" t="str" cm="1">
        <f t="array" ref="N5908">IF(MOD(ROW()-ROW($B$2),16)=0,INDEX($M$2:$M$1000,(ROW()-ROW($B$2))/16+1),"")</f>
        <v/>
      </c>
    </row>
    <row r="5909" spans="14:14" x14ac:dyDescent="0.3">
      <c r="N5909" t="str" cm="1">
        <f t="array" ref="N5909">IF(MOD(ROW()-ROW($B$2),16)=0,INDEX($M$2:$M$1000,(ROW()-ROW($B$2))/16+1),"")</f>
        <v/>
      </c>
    </row>
    <row r="5910" spans="14:14" x14ac:dyDescent="0.3">
      <c r="N5910" t="str" cm="1">
        <f t="array" ref="N5910">IF(MOD(ROW()-ROW($B$2),16)=0,INDEX($M$2:$M$1000,(ROW()-ROW($B$2))/16+1),"")</f>
        <v/>
      </c>
    </row>
    <row r="5911" spans="14:14" x14ac:dyDescent="0.3">
      <c r="N5911" t="str" cm="1">
        <f t="array" ref="N5911">IF(MOD(ROW()-ROW($B$2),16)=0,INDEX($M$2:$M$1000,(ROW()-ROW($B$2))/16+1),"")</f>
        <v/>
      </c>
    </row>
    <row r="5912" spans="14:14" x14ac:dyDescent="0.3">
      <c r="N5912" t="str" cm="1">
        <f t="array" ref="N5912">IF(MOD(ROW()-ROW($B$2),16)=0,INDEX($M$2:$M$1000,(ROW()-ROW($B$2))/16+1),"")</f>
        <v/>
      </c>
    </row>
    <row r="5913" spans="14:14" x14ac:dyDescent="0.3">
      <c r="N5913" t="str" cm="1">
        <f t="array" ref="N5913">IF(MOD(ROW()-ROW($B$2),16)=0,INDEX($M$2:$M$1000,(ROW()-ROW($B$2))/16+1),"")</f>
        <v/>
      </c>
    </row>
    <row r="5914" spans="14:14" x14ac:dyDescent="0.3">
      <c r="N5914" t="str" cm="1">
        <f t="array" ref="N5914">IF(MOD(ROW()-ROW($B$2),16)=0,INDEX($M$2:$M$1000,(ROW()-ROW($B$2))/16+1),"")</f>
        <v/>
      </c>
    </row>
    <row r="5915" spans="14:14" x14ac:dyDescent="0.3">
      <c r="N5915" t="str" cm="1">
        <f t="array" ref="N5915">IF(MOD(ROW()-ROW($B$2),16)=0,INDEX($M$2:$M$1000,(ROW()-ROW($B$2))/16+1),"")</f>
        <v/>
      </c>
    </row>
    <row r="5916" spans="14:14" x14ac:dyDescent="0.3">
      <c r="N5916" t="str" cm="1">
        <f t="array" ref="N5916">IF(MOD(ROW()-ROW($B$2),16)=0,INDEX($M$2:$M$1000,(ROW()-ROW($B$2))/16+1),"")</f>
        <v/>
      </c>
    </row>
    <row r="5917" spans="14:14" x14ac:dyDescent="0.3">
      <c r="N5917" t="str" cm="1">
        <f t="array" ref="N5917">IF(MOD(ROW()-ROW($B$2),16)=0,INDEX($M$2:$M$1000,(ROW()-ROW($B$2))/16+1),"")</f>
        <v/>
      </c>
    </row>
    <row r="5918" spans="14:14" x14ac:dyDescent="0.3">
      <c r="N5918" t="str" cm="1">
        <f t="array" ref="N5918">IF(MOD(ROW()-ROW($B$2),16)=0,INDEX($M$2:$M$1000,(ROW()-ROW($B$2))/16+1),"")</f>
        <v/>
      </c>
    </row>
    <row r="5919" spans="14:14" x14ac:dyDescent="0.3">
      <c r="N5919" t="str" cm="1">
        <f t="array" ref="N5919">IF(MOD(ROW()-ROW($B$2),16)=0,INDEX($M$2:$M$1000,(ROW()-ROW($B$2))/16+1),"")</f>
        <v/>
      </c>
    </row>
    <row r="5920" spans="14:14" x14ac:dyDescent="0.3">
      <c r="N5920" t="str" cm="1">
        <f t="array" ref="N5920">IF(MOD(ROW()-ROW($B$2),16)=0,INDEX($M$2:$M$1000,(ROW()-ROW($B$2))/16+1),"")</f>
        <v/>
      </c>
    </row>
    <row r="5921" spans="14:14" x14ac:dyDescent="0.3">
      <c r="N5921" t="str" cm="1">
        <f t="array" ref="N5921">IF(MOD(ROW()-ROW($B$2),16)=0,INDEX($M$2:$M$1000,(ROW()-ROW($B$2))/16+1),"")</f>
        <v/>
      </c>
    </row>
    <row r="5922" spans="14:14" x14ac:dyDescent="0.3">
      <c r="N5922" t="str" cm="1">
        <f t="array" ref="N5922">IF(MOD(ROW()-ROW($B$2),16)=0,INDEX($M$2:$M$1000,(ROW()-ROW($B$2))/16+1),"")</f>
        <v/>
      </c>
    </row>
    <row r="5923" spans="14:14" x14ac:dyDescent="0.3">
      <c r="N5923" t="str" cm="1">
        <f t="array" ref="N5923">IF(MOD(ROW()-ROW($B$2),16)=0,INDEX($M$2:$M$1000,(ROW()-ROW($B$2))/16+1),"")</f>
        <v/>
      </c>
    </row>
    <row r="5924" spans="14:14" x14ac:dyDescent="0.3">
      <c r="N5924" t="str" cm="1">
        <f t="array" ref="N5924">IF(MOD(ROW()-ROW($B$2),16)=0,INDEX($M$2:$M$1000,(ROW()-ROW($B$2))/16+1),"")</f>
        <v/>
      </c>
    </row>
    <row r="5925" spans="14:14" x14ac:dyDescent="0.3">
      <c r="N5925" t="str" cm="1">
        <f t="array" ref="N5925">IF(MOD(ROW()-ROW($B$2),16)=0,INDEX($M$2:$M$1000,(ROW()-ROW($B$2))/16+1),"")</f>
        <v/>
      </c>
    </row>
    <row r="5926" spans="14:14" x14ac:dyDescent="0.3">
      <c r="N5926" t="str" cm="1">
        <f t="array" ref="N5926">IF(MOD(ROW()-ROW($B$2),16)=0,INDEX($M$2:$M$1000,(ROW()-ROW($B$2))/16+1),"")</f>
        <v/>
      </c>
    </row>
    <row r="5927" spans="14:14" x14ac:dyDescent="0.3">
      <c r="N5927" t="str" cm="1">
        <f t="array" ref="N5927">IF(MOD(ROW()-ROW($B$2),16)=0,INDEX($M$2:$M$1000,(ROW()-ROW($B$2))/16+1),"")</f>
        <v/>
      </c>
    </row>
    <row r="5928" spans="14:14" x14ac:dyDescent="0.3">
      <c r="N5928" t="str" cm="1">
        <f t="array" ref="N5928">IF(MOD(ROW()-ROW($B$2),16)=0,INDEX($M$2:$M$1000,(ROW()-ROW($B$2))/16+1),"")</f>
        <v/>
      </c>
    </row>
    <row r="5929" spans="14:14" x14ac:dyDescent="0.3">
      <c r="N5929" t="str" cm="1">
        <f t="array" ref="N5929">IF(MOD(ROW()-ROW($B$2),16)=0,INDEX($M$2:$M$1000,(ROW()-ROW($B$2))/16+1),"")</f>
        <v/>
      </c>
    </row>
    <row r="5930" spans="14:14" x14ac:dyDescent="0.3">
      <c r="N5930" t="str" cm="1">
        <f t="array" ref="N5930">IF(MOD(ROW()-ROW($B$2),16)=0,INDEX($M$2:$M$1000,(ROW()-ROW($B$2))/16+1),"")</f>
        <v/>
      </c>
    </row>
    <row r="5931" spans="14:14" x14ac:dyDescent="0.3">
      <c r="N5931" t="str" cm="1">
        <f t="array" ref="N5931">IF(MOD(ROW()-ROW($B$2),16)=0,INDEX($M$2:$M$1000,(ROW()-ROW($B$2))/16+1),"")</f>
        <v/>
      </c>
    </row>
    <row r="5932" spans="14:14" x14ac:dyDescent="0.3">
      <c r="N5932" t="str" cm="1">
        <f t="array" ref="N5932">IF(MOD(ROW()-ROW($B$2),16)=0,INDEX($M$2:$M$1000,(ROW()-ROW($B$2))/16+1),"")</f>
        <v/>
      </c>
    </row>
    <row r="5933" spans="14:14" x14ac:dyDescent="0.3">
      <c r="N5933" t="str" cm="1">
        <f t="array" ref="N5933">IF(MOD(ROW()-ROW($B$2),16)=0,INDEX($M$2:$M$1000,(ROW()-ROW($B$2))/16+1),"")</f>
        <v/>
      </c>
    </row>
    <row r="5934" spans="14:14" x14ac:dyDescent="0.3">
      <c r="N5934" t="str" cm="1">
        <f t="array" ref="N5934">IF(MOD(ROW()-ROW($B$2),16)=0,INDEX($M$2:$M$1000,(ROW()-ROW($B$2))/16+1),"")</f>
        <v/>
      </c>
    </row>
    <row r="5935" spans="14:14" x14ac:dyDescent="0.3">
      <c r="N5935" t="str" cm="1">
        <f t="array" ref="N5935">IF(MOD(ROW()-ROW($B$2),16)=0,INDEX($M$2:$M$1000,(ROW()-ROW($B$2))/16+1),"")</f>
        <v/>
      </c>
    </row>
    <row r="5936" spans="14:14" x14ac:dyDescent="0.3">
      <c r="N5936" t="str" cm="1">
        <f t="array" ref="N5936">IF(MOD(ROW()-ROW($B$2),16)=0,INDEX($M$2:$M$1000,(ROW()-ROW($B$2))/16+1),"")</f>
        <v/>
      </c>
    </row>
    <row r="5937" spans="14:14" x14ac:dyDescent="0.3">
      <c r="N5937" t="str" cm="1">
        <f t="array" ref="N5937">IF(MOD(ROW()-ROW($B$2),16)=0,INDEX($M$2:$M$1000,(ROW()-ROW($B$2))/16+1),"")</f>
        <v/>
      </c>
    </row>
    <row r="5938" spans="14:14" x14ac:dyDescent="0.3">
      <c r="N5938" t="str" cm="1">
        <f t="array" ref="N5938">IF(MOD(ROW()-ROW($B$2),16)=0,INDEX($M$2:$M$1000,(ROW()-ROW($B$2))/16+1),"")</f>
        <v/>
      </c>
    </row>
    <row r="5939" spans="14:14" x14ac:dyDescent="0.3">
      <c r="N5939" t="str" cm="1">
        <f t="array" ref="N5939">IF(MOD(ROW()-ROW($B$2),16)=0,INDEX($M$2:$M$1000,(ROW()-ROW($B$2))/16+1),"")</f>
        <v/>
      </c>
    </row>
    <row r="5940" spans="14:14" x14ac:dyDescent="0.3">
      <c r="N5940" t="str" cm="1">
        <f t="array" ref="N5940">IF(MOD(ROW()-ROW($B$2),16)=0,INDEX($M$2:$M$1000,(ROW()-ROW($B$2))/16+1),"")</f>
        <v/>
      </c>
    </row>
    <row r="5941" spans="14:14" x14ac:dyDescent="0.3">
      <c r="N5941" t="str" cm="1">
        <f t="array" ref="N5941">IF(MOD(ROW()-ROW($B$2),16)=0,INDEX($M$2:$M$1000,(ROW()-ROW($B$2))/16+1),"")</f>
        <v/>
      </c>
    </row>
    <row r="5942" spans="14:14" x14ac:dyDescent="0.3">
      <c r="N5942" t="str" cm="1">
        <f t="array" ref="N5942">IF(MOD(ROW()-ROW($B$2),16)=0,INDEX($M$2:$M$1000,(ROW()-ROW($B$2))/16+1),"")</f>
        <v/>
      </c>
    </row>
    <row r="5943" spans="14:14" x14ac:dyDescent="0.3">
      <c r="N5943" t="str" cm="1">
        <f t="array" ref="N5943">IF(MOD(ROW()-ROW($B$2),16)=0,INDEX($M$2:$M$1000,(ROW()-ROW($B$2))/16+1),"")</f>
        <v/>
      </c>
    </row>
    <row r="5944" spans="14:14" x14ac:dyDescent="0.3">
      <c r="N5944" t="str" cm="1">
        <f t="array" ref="N5944">IF(MOD(ROW()-ROW($B$2),16)=0,INDEX($M$2:$M$1000,(ROW()-ROW($B$2))/16+1),"")</f>
        <v/>
      </c>
    </row>
    <row r="5945" spans="14:14" x14ac:dyDescent="0.3">
      <c r="N5945" t="str" cm="1">
        <f t="array" ref="N5945">IF(MOD(ROW()-ROW($B$2),16)=0,INDEX($M$2:$M$1000,(ROW()-ROW($B$2))/16+1),"")</f>
        <v/>
      </c>
    </row>
    <row r="5946" spans="14:14" x14ac:dyDescent="0.3">
      <c r="N5946" t="str" cm="1">
        <f t="array" ref="N5946">IF(MOD(ROW()-ROW($B$2),16)=0,INDEX($M$2:$M$1000,(ROW()-ROW($B$2))/16+1),"")</f>
        <v/>
      </c>
    </row>
    <row r="5947" spans="14:14" x14ac:dyDescent="0.3">
      <c r="N5947" t="str" cm="1">
        <f t="array" ref="N5947">IF(MOD(ROW()-ROW($B$2),16)=0,INDEX($M$2:$M$1000,(ROW()-ROW($B$2))/16+1),"")</f>
        <v/>
      </c>
    </row>
    <row r="5948" spans="14:14" x14ac:dyDescent="0.3">
      <c r="N5948" t="str" cm="1">
        <f t="array" ref="N5948">IF(MOD(ROW()-ROW($B$2),16)=0,INDEX($M$2:$M$1000,(ROW()-ROW($B$2))/16+1),"")</f>
        <v/>
      </c>
    </row>
    <row r="5949" spans="14:14" x14ac:dyDescent="0.3">
      <c r="N5949" t="str" cm="1">
        <f t="array" ref="N5949">IF(MOD(ROW()-ROW($B$2),16)=0,INDEX($M$2:$M$1000,(ROW()-ROW($B$2))/16+1),"")</f>
        <v/>
      </c>
    </row>
    <row r="5950" spans="14:14" x14ac:dyDescent="0.3">
      <c r="N5950" t="str" cm="1">
        <f t="array" ref="N5950">IF(MOD(ROW()-ROW($B$2),16)=0,INDEX($M$2:$M$1000,(ROW()-ROW($B$2))/16+1),"")</f>
        <v/>
      </c>
    </row>
    <row r="5951" spans="14:14" x14ac:dyDescent="0.3">
      <c r="N5951" t="str" cm="1">
        <f t="array" ref="N5951">IF(MOD(ROW()-ROW($B$2),16)=0,INDEX($M$2:$M$1000,(ROW()-ROW($B$2))/16+1),"")</f>
        <v/>
      </c>
    </row>
    <row r="5952" spans="14:14" x14ac:dyDescent="0.3">
      <c r="N5952" t="str" cm="1">
        <f t="array" ref="N5952">IF(MOD(ROW()-ROW($B$2),16)=0,INDEX($M$2:$M$1000,(ROW()-ROW($B$2))/16+1),"")</f>
        <v/>
      </c>
    </row>
    <row r="5953" spans="14:14" x14ac:dyDescent="0.3">
      <c r="N5953" t="str" cm="1">
        <f t="array" ref="N5953">IF(MOD(ROW()-ROW($B$2),16)=0,INDEX($M$2:$M$1000,(ROW()-ROW($B$2))/16+1),"")</f>
        <v/>
      </c>
    </row>
    <row r="5954" spans="14:14" x14ac:dyDescent="0.3">
      <c r="N5954" t="str" cm="1">
        <f t="array" ref="N5954">IF(MOD(ROW()-ROW($B$2),16)=0,INDEX($M$2:$M$1000,(ROW()-ROW($B$2))/16+1),"")</f>
        <v/>
      </c>
    </row>
    <row r="5955" spans="14:14" x14ac:dyDescent="0.3">
      <c r="N5955" t="str" cm="1">
        <f t="array" ref="N5955">IF(MOD(ROW()-ROW($B$2),16)=0,INDEX($M$2:$M$1000,(ROW()-ROW($B$2))/16+1),"")</f>
        <v/>
      </c>
    </row>
    <row r="5956" spans="14:14" x14ac:dyDescent="0.3">
      <c r="N5956" t="str" cm="1">
        <f t="array" ref="N5956">IF(MOD(ROW()-ROW($B$2),16)=0,INDEX($M$2:$M$1000,(ROW()-ROW($B$2))/16+1),"")</f>
        <v/>
      </c>
    </row>
    <row r="5957" spans="14:14" x14ac:dyDescent="0.3">
      <c r="N5957" t="str" cm="1">
        <f t="array" ref="N5957">IF(MOD(ROW()-ROW($B$2),16)=0,INDEX($M$2:$M$1000,(ROW()-ROW($B$2))/16+1),"")</f>
        <v/>
      </c>
    </row>
    <row r="5958" spans="14:14" x14ac:dyDescent="0.3">
      <c r="N5958" t="str" cm="1">
        <f t="array" ref="N5958">IF(MOD(ROW()-ROW($B$2),16)=0,INDEX($M$2:$M$1000,(ROW()-ROW($B$2))/16+1),"")</f>
        <v/>
      </c>
    </row>
    <row r="5959" spans="14:14" x14ac:dyDescent="0.3">
      <c r="N5959" t="str" cm="1">
        <f t="array" ref="N5959">IF(MOD(ROW()-ROW($B$2),16)=0,INDEX($M$2:$M$1000,(ROW()-ROW($B$2))/16+1),"")</f>
        <v/>
      </c>
    </row>
    <row r="5960" spans="14:14" x14ac:dyDescent="0.3">
      <c r="N5960" t="str" cm="1">
        <f t="array" ref="N5960">IF(MOD(ROW()-ROW($B$2),16)=0,INDEX($M$2:$M$1000,(ROW()-ROW($B$2))/16+1),"")</f>
        <v/>
      </c>
    </row>
    <row r="5961" spans="14:14" x14ac:dyDescent="0.3">
      <c r="N5961" t="str" cm="1">
        <f t="array" ref="N5961">IF(MOD(ROW()-ROW($B$2),16)=0,INDEX($M$2:$M$1000,(ROW()-ROW($B$2))/16+1),"")</f>
        <v/>
      </c>
    </row>
    <row r="5962" spans="14:14" x14ac:dyDescent="0.3">
      <c r="N5962" t="str" cm="1">
        <f t="array" ref="N5962">IF(MOD(ROW()-ROW($B$2),16)=0,INDEX($M$2:$M$1000,(ROW()-ROW($B$2))/16+1),"")</f>
        <v/>
      </c>
    </row>
    <row r="5963" spans="14:14" x14ac:dyDescent="0.3">
      <c r="N5963" t="str" cm="1">
        <f t="array" ref="N5963">IF(MOD(ROW()-ROW($B$2),16)=0,INDEX($M$2:$M$1000,(ROW()-ROW($B$2))/16+1),"")</f>
        <v/>
      </c>
    </row>
    <row r="5964" spans="14:14" x14ac:dyDescent="0.3">
      <c r="N5964" t="str" cm="1">
        <f t="array" ref="N5964">IF(MOD(ROW()-ROW($B$2),16)=0,INDEX($M$2:$M$1000,(ROW()-ROW($B$2))/16+1),"")</f>
        <v/>
      </c>
    </row>
    <row r="5965" spans="14:14" x14ac:dyDescent="0.3">
      <c r="N5965" t="str" cm="1">
        <f t="array" ref="N5965">IF(MOD(ROW()-ROW($B$2),16)=0,INDEX($M$2:$M$1000,(ROW()-ROW($B$2))/16+1),"")</f>
        <v/>
      </c>
    </row>
    <row r="5966" spans="14:14" x14ac:dyDescent="0.3">
      <c r="N5966" t="str" cm="1">
        <f t="array" ref="N5966">IF(MOD(ROW()-ROW($B$2),16)=0,INDEX($M$2:$M$1000,(ROW()-ROW($B$2))/16+1),"")</f>
        <v/>
      </c>
    </row>
    <row r="5967" spans="14:14" x14ac:dyDescent="0.3">
      <c r="N5967" t="str" cm="1">
        <f t="array" ref="N5967">IF(MOD(ROW()-ROW($B$2),16)=0,INDEX($M$2:$M$1000,(ROW()-ROW($B$2))/16+1),"")</f>
        <v/>
      </c>
    </row>
    <row r="5968" spans="14:14" x14ac:dyDescent="0.3">
      <c r="N5968" t="str" cm="1">
        <f t="array" ref="N5968">IF(MOD(ROW()-ROW($B$2),16)=0,INDEX($M$2:$M$1000,(ROW()-ROW($B$2))/16+1),"")</f>
        <v/>
      </c>
    </row>
    <row r="5969" spans="14:14" x14ac:dyDescent="0.3">
      <c r="N5969" t="str" cm="1">
        <f t="array" ref="N5969">IF(MOD(ROW()-ROW($B$2),16)=0,INDEX($M$2:$M$1000,(ROW()-ROW($B$2))/16+1),"")</f>
        <v/>
      </c>
    </row>
    <row r="5970" spans="14:14" x14ac:dyDescent="0.3">
      <c r="N5970" t="str" cm="1">
        <f t="array" ref="N5970">IF(MOD(ROW()-ROW($B$2),16)=0,INDEX($M$2:$M$1000,(ROW()-ROW($B$2))/16+1),"")</f>
        <v/>
      </c>
    </row>
    <row r="5971" spans="14:14" x14ac:dyDescent="0.3">
      <c r="N5971" t="str" cm="1">
        <f t="array" ref="N5971">IF(MOD(ROW()-ROW($B$2),16)=0,INDEX($M$2:$M$1000,(ROW()-ROW($B$2))/16+1),"")</f>
        <v/>
      </c>
    </row>
    <row r="5972" spans="14:14" x14ac:dyDescent="0.3">
      <c r="N5972" t="str" cm="1">
        <f t="array" ref="N5972">IF(MOD(ROW()-ROW($B$2),16)=0,INDEX($M$2:$M$1000,(ROW()-ROW($B$2))/16+1),"")</f>
        <v/>
      </c>
    </row>
    <row r="5973" spans="14:14" x14ac:dyDescent="0.3">
      <c r="N5973" t="str" cm="1">
        <f t="array" ref="N5973">IF(MOD(ROW()-ROW($B$2),16)=0,INDEX($M$2:$M$1000,(ROW()-ROW($B$2))/16+1),"")</f>
        <v/>
      </c>
    </row>
    <row r="5974" spans="14:14" x14ac:dyDescent="0.3">
      <c r="N5974" t="str" cm="1">
        <f t="array" ref="N5974">IF(MOD(ROW()-ROW($B$2),16)=0,INDEX($M$2:$M$1000,(ROW()-ROW($B$2))/16+1),"")</f>
        <v/>
      </c>
    </row>
    <row r="5975" spans="14:14" x14ac:dyDescent="0.3">
      <c r="N5975" t="str" cm="1">
        <f t="array" ref="N5975">IF(MOD(ROW()-ROW($B$2),16)=0,INDEX($M$2:$M$1000,(ROW()-ROW($B$2))/16+1),"")</f>
        <v/>
      </c>
    </row>
    <row r="5976" spans="14:14" x14ac:dyDescent="0.3">
      <c r="N5976" t="str" cm="1">
        <f t="array" ref="N5976">IF(MOD(ROW()-ROW($B$2),16)=0,INDEX($M$2:$M$1000,(ROW()-ROW($B$2))/16+1),"")</f>
        <v/>
      </c>
    </row>
    <row r="5977" spans="14:14" x14ac:dyDescent="0.3">
      <c r="N5977" t="str" cm="1">
        <f t="array" ref="N5977">IF(MOD(ROW()-ROW($B$2),16)=0,INDEX($M$2:$M$1000,(ROW()-ROW($B$2))/16+1),"")</f>
        <v/>
      </c>
    </row>
    <row r="5978" spans="14:14" x14ac:dyDescent="0.3">
      <c r="N5978" t="str" cm="1">
        <f t="array" ref="N5978">IF(MOD(ROW()-ROW($B$2),16)=0,INDEX($M$2:$M$1000,(ROW()-ROW($B$2))/16+1),"")</f>
        <v/>
      </c>
    </row>
    <row r="5979" spans="14:14" x14ac:dyDescent="0.3">
      <c r="N5979" t="str" cm="1">
        <f t="array" ref="N5979">IF(MOD(ROW()-ROW($B$2),16)=0,INDEX($M$2:$M$1000,(ROW()-ROW($B$2))/16+1),"")</f>
        <v/>
      </c>
    </row>
    <row r="5980" spans="14:14" x14ac:dyDescent="0.3">
      <c r="N5980" t="str" cm="1">
        <f t="array" ref="N5980">IF(MOD(ROW()-ROW($B$2),16)=0,INDEX($M$2:$M$1000,(ROW()-ROW($B$2))/16+1),"")</f>
        <v/>
      </c>
    </row>
    <row r="5981" spans="14:14" x14ac:dyDescent="0.3">
      <c r="N5981" t="str" cm="1">
        <f t="array" ref="N5981">IF(MOD(ROW()-ROW($B$2),16)=0,INDEX($M$2:$M$1000,(ROW()-ROW($B$2))/16+1),"")</f>
        <v/>
      </c>
    </row>
    <row r="5982" spans="14:14" x14ac:dyDescent="0.3">
      <c r="N5982" t="str" cm="1">
        <f t="array" ref="N5982">IF(MOD(ROW()-ROW($B$2),16)=0,INDEX($M$2:$M$1000,(ROW()-ROW($B$2))/16+1),"")</f>
        <v/>
      </c>
    </row>
    <row r="5983" spans="14:14" x14ac:dyDescent="0.3">
      <c r="N5983" t="str" cm="1">
        <f t="array" ref="N5983">IF(MOD(ROW()-ROW($B$2),16)=0,INDEX($M$2:$M$1000,(ROW()-ROW($B$2))/16+1),"")</f>
        <v/>
      </c>
    </row>
    <row r="5984" spans="14:14" x14ac:dyDescent="0.3">
      <c r="N5984" t="str" cm="1">
        <f t="array" ref="N5984">IF(MOD(ROW()-ROW($B$2),16)=0,INDEX($M$2:$M$1000,(ROW()-ROW($B$2))/16+1),"")</f>
        <v/>
      </c>
    </row>
    <row r="5985" spans="14:14" x14ac:dyDescent="0.3">
      <c r="N5985" t="str" cm="1">
        <f t="array" ref="N5985">IF(MOD(ROW()-ROW($B$2),16)=0,INDEX($M$2:$M$1000,(ROW()-ROW($B$2))/16+1),"")</f>
        <v/>
      </c>
    </row>
    <row r="5986" spans="14:14" x14ac:dyDescent="0.3">
      <c r="N5986" t="str" cm="1">
        <f t="array" ref="N5986">IF(MOD(ROW()-ROW($B$2),16)=0,INDEX($M$2:$M$1000,(ROW()-ROW($B$2))/16+1),"")</f>
        <v/>
      </c>
    </row>
    <row r="5987" spans="14:14" x14ac:dyDescent="0.3">
      <c r="N5987" t="str" cm="1">
        <f t="array" ref="N5987">IF(MOD(ROW()-ROW($B$2),16)=0,INDEX($M$2:$M$1000,(ROW()-ROW($B$2))/16+1),"")</f>
        <v/>
      </c>
    </row>
    <row r="5988" spans="14:14" x14ac:dyDescent="0.3">
      <c r="N5988" t="str" cm="1">
        <f t="array" ref="N5988">IF(MOD(ROW()-ROW($B$2),16)=0,INDEX($M$2:$M$1000,(ROW()-ROW($B$2))/16+1),"")</f>
        <v/>
      </c>
    </row>
    <row r="5989" spans="14:14" x14ac:dyDescent="0.3">
      <c r="N5989" t="str" cm="1">
        <f t="array" ref="N5989">IF(MOD(ROW()-ROW($B$2),16)=0,INDEX($M$2:$M$1000,(ROW()-ROW($B$2))/16+1),"")</f>
        <v/>
      </c>
    </row>
    <row r="5990" spans="14:14" x14ac:dyDescent="0.3">
      <c r="N5990" t="str" cm="1">
        <f t="array" ref="N5990">IF(MOD(ROW()-ROW($B$2),16)=0,INDEX($M$2:$M$1000,(ROW()-ROW($B$2))/16+1),"")</f>
        <v/>
      </c>
    </row>
    <row r="5991" spans="14:14" x14ac:dyDescent="0.3">
      <c r="N5991" t="str" cm="1">
        <f t="array" ref="N5991">IF(MOD(ROW()-ROW($B$2),16)=0,INDEX($M$2:$M$1000,(ROW()-ROW($B$2))/16+1),"")</f>
        <v/>
      </c>
    </row>
    <row r="5992" spans="14:14" x14ac:dyDescent="0.3">
      <c r="N5992" t="str" cm="1">
        <f t="array" ref="N5992">IF(MOD(ROW()-ROW($B$2),16)=0,INDEX($M$2:$M$1000,(ROW()-ROW($B$2))/16+1),"")</f>
        <v/>
      </c>
    </row>
    <row r="5993" spans="14:14" x14ac:dyDescent="0.3">
      <c r="N5993" t="str" cm="1">
        <f t="array" ref="N5993">IF(MOD(ROW()-ROW($B$2),16)=0,INDEX($M$2:$M$1000,(ROW()-ROW($B$2))/16+1),"")</f>
        <v/>
      </c>
    </row>
    <row r="5994" spans="14:14" x14ac:dyDescent="0.3">
      <c r="N5994" t="str" cm="1">
        <f t="array" ref="N5994">IF(MOD(ROW()-ROW($B$2),16)=0,INDEX($M$2:$M$1000,(ROW()-ROW($B$2))/16+1),"")</f>
        <v/>
      </c>
    </row>
    <row r="5995" spans="14:14" x14ac:dyDescent="0.3">
      <c r="N5995" t="str" cm="1">
        <f t="array" ref="N5995">IF(MOD(ROW()-ROW($B$2),16)=0,INDEX($M$2:$M$1000,(ROW()-ROW($B$2))/16+1),"")</f>
        <v/>
      </c>
    </row>
    <row r="5996" spans="14:14" x14ac:dyDescent="0.3">
      <c r="N5996" t="str" cm="1">
        <f t="array" ref="N5996">IF(MOD(ROW()-ROW($B$2),16)=0,INDEX($M$2:$M$1000,(ROW()-ROW($B$2))/16+1),"")</f>
        <v/>
      </c>
    </row>
    <row r="5997" spans="14:14" x14ac:dyDescent="0.3">
      <c r="N5997" t="str" cm="1">
        <f t="array" ref="N5997">IF(MOD(ROW()-ROW($B$2),16)=0,INDEX($M$2:$M$1000,(ROW()-ROW($B$2))/16+1),"")</f>
        <v/>
      </c>
    </row>
    <row r="5998" spans="14:14" x14ac:dyDescent="0.3">
      <c r="N5998" t="str" cm="1">
        <f t="array" ref="N5998">IF(MOD(ROW()-ROW($B$2),16)=0,INDEX($M$2:$M$1000,(ROW()-ROW($B$2))/16+1),"")</f>
        <v/>
      </c>
    </row>
    <row r="5999" spans="14:14" x14ac:dyDescent="0.3">
      <c r="N5999" t="str" cm="1">
        <f t="array" ref="N5999">IF(MOD(ROW()-ROW($B$2),16)=0,INDEX($M$2:$M$1000,(ROW()-ROW($B$2))/16+1),"")</f>
        <v/>
      </c>
    </row>
    <row r="6000" spans="14:14" x14ac:dyDescent="0.3">
      <c r="N6000" t="str" cm="1">
        <f t="array" ref="N6000">IF(MOD(ROW()-ROW($B$2),16)=0,INDEX($M$2:$M$1000,(ROW()-ROW($B$2))/16+1),"")</f>
        <v/>
      </c>
    </row>
    <row r="6001" spans="14:14" x14ac:dyDescent="0.3">
      <c r="N6001" t="str" cm="1">
        <f t="array" ref="N6001">IF(MOD(ROW()-ROW($B$2),16)=0,INDEX($M$2:$M$1000,(ROW()-ROW($B$2))/16+1),"")</f>
        <v/>
      </c>
    </row>
    <row r="6002" spans="14:14" x14ac:dyDescent="0.3">
      <c r="N6002" t="str" cm="1">
        <f t="array" ref="N6002">IF(MOD(ROW()-ROW($B$2),16)=0,INDEX($M$2:$M$1000,(ROW()-ROW($B$2))/16+1),"")</f>
        <v/>
      </c>
    </row>
    <row r="6003" spans="14:14" x14ac:dyDescent="0.3">
      <c r="N6003" t="str" cm="1">
        <f t="array" ref="N6003">IF(MOD(ROW()-ROW($B$2),16)=0,INDEX($M$2:$M$1000,(ROW()-ROW($B$2))/16+1),"")</f>
        <v/>
      </c>
    </row>
    <row r="6004" spans="14:14" x14ac:dyDescent="0.3">
      <c r="N6004" t="str" cm="1">
        <f t="array" ref="N6004">IF(MOD(ROW()-ROW($B$2),16)=0,INDEX($M$2:$M$1000,(ROW()-ROW($B$2))/16+1),"")</f>
        <v/>
      </c>
    </row>
    <row r="6005" spans="14:14" x14ac:dyDescent="0.3">
      <c r="N6005" t="str" cm="1">
        <f t="array" ref="N6005">IF(MOD(ROW()-ROW($B$2),16)=0,INDEX($M$2:$M$1000,(ROW()-ROW($B$2))/16+1),"")</f>
        <v/>
      </c>
    </row>
    <row r="6006" spans="14:14" x14ac:dyDescent="0.3">
      <c r="N6006" t="str" cm="1">
        <f t="array" ref="N6006">IF(MOD(ROW()-ROW($B$2),16)=0,INDEX($M$2:$M$1000,(ROW()-ROW($B$2))/16+1),"")</f>
        <v/>
      </c>
    </row>
    <row r="6007" spans="14:14" x14ac:dyDescent="0.3">
      <c r="N6007" t="str" cm="1">
        <f t="array" ref="N6007">IF(MOD(ROW()-ROW($B$2),16)=0,INDEX($M$2:$M$1000,(ROW()-ROW($B$2))/16+1),"")</f>
        <v/>
      </c>
    </row>
    <row r="6008" spans="14:14" x14ac:dyDescent="0.3">
      <c r="N6008" t="str" cm="1">
        <f t="array" ref="N6008">IF(MOD(ROW()-ROW($B$2),16)=0,INDEX($M$2:$M$1000,(ROW()-ROW($B$2))/16+1),"")</f>
        <v/>
      </c>
    </row>
    <row r="6009" spans="14:14" x14ac:dyDescent="0.3">
      <c r="N6009" t="str" cm="1">
        <f t="array" ref="N6009">IF(MOD(ROW()-ROW($B$2),16)=0,INDEX($M$2:$M$1000,(ROW()-ROW($B$2))/16+1),"")</f>
        <v/>
      </c>
    </row>
    <row r="6010" spans="14:14" x14ac:dyDescent="0.3">
      <c r="N6010" t="str" cm="1">
        <f t="array" ref="N6010">IF(MOD(ROW()-ROW($B$2),16)=0,INDEX($M$2:$M$1000,(ROW()-ROW($B$2))/16+1),"")</f>
        <v/>
      </c>
    </row>
    <row r="6011" spans="14:14" x14ac:dyDescent="0.3">
      <c r="N6011" t="str" cm="1">
        <f t="array" ref="N6011">IF(MOD(ROW()-ROW($B$2),16)=0,INDEX($M$2:$M$1000,(ROW()-ROW($B$2))/16+1),"")</f>
        <v/>
      </c>
    </row>
    <row r="6012" spans="14:14" x14ac:dyDescent="0.3">
      <c r="N6012" t="str" cm="1">
        <f t="array" ref="N6012">IF(MOD(ROW()-ROW($B$2),16)=0,INDEX($M$2:$M$1000,(ROW()-ROW($B$2))/16+1),"")</f>
        <v/>
      </c>
    </row>
    <row r="6013" spans="14:14" x14ac:dyDescent="0.3">
      <c r="N6013" t="str" cm="1">
        <f t="array" ref="N6013">IF(MOD(ROW()-ROW($B$2),16)=0,INDEX($M$2:$M$1000,(ROW()-ROW($B$2))/16+1),"")</f>
        <v/>
      </c>
    </row>
    <row r="6014" spans="14:14" x14ac:dyDescent="0.3">
      <c r="N6014" t="str" cm="1">
        <f t="array" ref="N6014">IF(MOD(ROW()-ROW($B$2),16)=0,INDEX($M$2:$M$1000,(ROW()-ROW($B$2))/16+1),"")</f>
        <v/>
      </c>
    </row>
    <row r="6015" spans="14:14" x14ac:dyDescent="0.3">
      <c r="N6015" t="str" cm="1">
        <f t="array" ref="N6015">IF(MOD(ROW()-ROW($B$2),16)=0,INDEX($M$2:$M$1000,(ROW()-ROW($B$2))/16+1),"")</f>
        <v/>
      </c>
    </row>
    <row r="6016" spans="14:14" x14ac:dyDescent="0.3">
      <c r="N6016" t="str" cm="1">
        <f t="array" ref="N6016">IF(MOD(ROW()-ROW($B$2),16)=0,INDEX($M$2:$M$1000,(ROW()-ROW($B$2))/16+1),"")</f>
        <v/>
      </c>
    </row>
    <row r="6017" spans="14:14" x14ac:dyDescent="0.3">
      <c r="N6017" t="str" cm="1">
        <f t="array" ref="N6017">IF(MOD(ROW()-ROW($B$2),16)=0,INDEX($M$2:$M$1000,(ROW()-ROW($B$2))/16+1),"")</f>
        <v/>
      </c>
    </row>
    <row r="6018" spans="14:14" x14ac:dyDescent="0.3">
      <c r="N6018" t="str" cm="1">
        <f t="array" ref="N6018">IF(MOD(ROW()-ROW($B$2),16)=0,INDEX($M$2:$M$1000,(ROW()-ROW($B$2))/16+1),"")</f>
        <v/>
      </c>
    </row>
    <row r="6019" spans="14:14" x14ac:dyDescent="0.3">
      <c r="N6019" t="str" cm="1">
        <f t="array" ref="N6019">IF(MOD(ROW()-ROW($B$2),16)=0,INDEX($M$2:$M$1000,(ROW()-ROW($B$2))/16+1),"")</f>
        <v/>
      </c>
    </row>
    <row r="6020" spans="14:14" x14ac:dyDescent="0.3">
      <c r="N6020" t="str" cm="1">
        <f t="array" ref="N6020">IF(MOD(ROW()-ROW($B$2),16)=0,INDEX($M$2:$M$1000,(ROW()-ROW($B$2))/16+1),"")</f>
        <v/>
      </c>
    </row>
    <row r="6021" spans="14:14" x14ac:dyDescent="0.3">
      <c r="N6021" t="str" cm="1">
        <f t="array" ref="N6021">IF(MOD(ROW()-ROW($B$2),16)=0,INDEX($M$2:$M$1000,(ROW()-ROW($B$2))/16+1),"")</f>
        <v/>
      </c>
    </row>
    <row r="6022" spans="14:14" x14ac:dyDescent="0.3">
      <c r="N6022" t="str" cm="1">
        <f t="array" ref="N6022">IF(MOD(ROW()-ROW($B$2),16)=0,INDEX($M$2:$M$1000,(ROW()-ROW($B$2))/16+1),"")</f>
        <v/>
      </c>
    </row>
    <row r="6023" spans="14:14" x14ac:dyDescent="0.3">
      <c r="N6023" t="str" cm="1">
        <f t="array" ref="N6023">IF(MOD(ROW()-ROW($B$2),16)=0,INDEX($M$2:$M$1000,(ROW()-ROW($B$2))/16+1),"")</f>
        <v/>
      </c>
    </row>
    <row r="6024" spans="14:14" x14ac:dyDescent="0.3">
      <c r="N6024" t="str" cm="1">
        <f t="array" ref="N6024">IF(MOD(ROW()-ROW($B$2),16)=0,INDEX($M$2:$M$1000,(ROW()-ROW($B$2))/16+1),"")</f>
        <v/>
      </c>
    </row>
    <row r="6025" spans="14:14" x14ac:dyDescent="0.3">
      <c r="N6025" t="str" cm="1">
        <f t="array" ref="N6025">IF(MOD(ROW()-ROW($B$2),16)=0,INDEX($M$2:$M$1000,(ROW()-ROW($B$2))/16+1),"")</f>
        <v/>
      </c>
    </row>
    <row r="6026" spans="14:14" x14ac:dyDescent="0.3">
      <c r="N6026" t="str" cm="1">
        <f t="array" ref="N6026">IF(MOD(ROW()-ROW($B$2),16)=0,INDEX($M$2:$M$1000,(ROW()-ROW($B$2))/16+1),"")</f>
        <v/>
      </c>
    </row>
    <row r="6027" spans="14:14" x14ac:dyDescent="0.3">
      <c r="N6027" t="str" cm="1">
        <f t="array" ref="N6027">IF(MOD(ROW()-ROW($B$2),16)=0,INDEX($M$2:$M$1000,(ROW()-ROW($B$2))/16+1),"")</f>
        <v/>
      </c>
    </row>
    <row r="6028" spans="14:14" x14ac:dyDescent="0.3">
      <c r="N6028" t="str" cm="1">
        <f t="array" ref="N6028">IF(MOD(ROW()-ROW($B$2),16)=0,INDEX($M$2:$M$1000,(ROW()-ROW($B$2))/16+1),"")</f>
        <v/>
      </c>
    </row>
    <row r="6029" spans="14:14" x14ac:dyDescent="0.3">
      <c r="N6029" t="str" cm="1">
        <f t="array" ref="N6029">IF(MOD(ROW()-ROW($B$2),16)=0,INDEX($M$2:$M$1000,(ROW()-ROW($B$2))/16+1),"")</f>
        <v/>
      </c>
    </row>
    <row r="6030" spans="14:14" x14ac:dyDescent="0.3">
      <c r="N6030" t="str" cm="1">
        <f t="array" ref="N6030">IF(MOD(ROW()-ROW($B$2),16)=0,INDEX($M$2:$M$1000,(ROW()-ROW($B$2))/16+1),"")</f>
        <v/>
      </c>
    </row>
    <row r="6031" spans="14:14" x14ac:dyDescent="0.3">
      <c r="N6031" t="str" cm="1">
        <f t="array" ref="N6031">IF(MOD(ROW()-ROW($B$2),16)=0,INDEX($M$2:$M$1000,(ROW()-ROW($B$2))/16+1),"")</f>
        <v/>
      </c>
    </row>
    <row r="6032" spans="14:14" x14ac:dyDescent="0.3">
      <c r="N6032" t="str" cm="1">
        <f t="array" ref="N6032">IF(MOD(ROW()-ROW($B$2),16)=0,INDEX($M$2:$M$1000,(ROW()-ROW($B$2))/16+1),"")</f>
        <v/>
      </c>
    </row>
    <row r="6033" spans="14:14" x14ac:dyDescent="0.3">
      <c r="N6033" t="str" cm="1">
        <f t="array" ref="N6033">IF(MOD(ROW()-ROW($B$2),16)=0,INDEX($M$2:$M$1000,(ROW()-ROW($B$2))/16+1),"")</f>
        <v/>
      </c>
    </row>
    <row r="6034" spans="14:14" x14ac:dyDescent="0.3">
      <c r="N6034" t="str" cm="1">
        <f t="array" ref="N6034">IF(MOD(ROW()-ROW($B$2),16)=0,INDEX($M$2:$M$1000,(ROW()-ROW($B$2))/16+1),"")</f>
        <v/>
      </c>
    </row>
    <row r="6035" spans="14:14" x14ac:dyDescent="0.3">
      <c r="N6035" t="str" cm="1">
        <f t="array" ref="N6035">IF(MOD(ROW()-ROW($B$2),16)=0,INDEX($M$2:$M$1000,(ROW()-ROW($B$2))/16+1),"")</f>
        <v/>
      </c>
    </row>
    <row r="6036" spans="14:14" x14ac:dyDescent="0.3">
      <c r="N6036" t="str" cm="1">
        <f t="array" ref="N6036">IF(MOD(ROW()-ROW($B$2),16)=0,INDEX($M$2:$M$1000,(ROW()-ROW($B$2))/16+1),"")</f>
        <v/>
      </c>
    </row>
    <row r="6037" spans="14:14" x14ac:dyDescent="0.3">
      <c r="N6037" t="str" cm="1">
        <f t="array" ref="N6037">IF(MOD(ROW()-ROW($B$2),16)=0,INDEX($M$2:$M$1000,(ROW()-ROW($B$2))/16+1),"")</f>
        <v/>
      </c>
    </row>
    <row r="6038" spans="14:14" x14ac:dyDescent="0.3">
      <c r="N6038" t="str" cm="1">
        <f t="array" ref="N6038">IF(MOD(ROW()-ROW($B$2),16)=0,INDEX($M$2:$M$1000,(ROW()-ROW($B$2))/16+1),"")</f>
        <v/>
      </c>
    </row>
    <row r="6039" spans="14:14" x14ac:dyDescent="0.3">
      <c r="N6039" t="str" cm="1">
        <f t="array" ref="N6039">IF(MOD(ROW()-ROW($B$2),16)=0,INDEX($M$2:$M$1000,(ROW()-ROW($B$2))/16+1),"")</f>
        <v/>
      </c>
    </row>
    <row r="6040" spans="14:14" x14ac:dyDescent="0.3">
      <c r="N6040" t="str" cm="1">
        <f t="array" ref="N6040">IF(MOD(ROW()-ROW($B$2),16)=0,INDEX($M$2:$M$1000,(ROW()-ROW($B$2))/16+1),"")</f>
        <v/>
      </c>
    </row>
    <row r="6041" spans="14:14" x14ac:dyDescent="0.3">
      <c r="N6041" t="str" cm="1">
        <f t="array" ref="N6041">IF(MOD(ROW()-ROW($B$2),16)=0,INDEX($M$2:$M$1000,(ROW()-ROW($B$2))/16+1),"")</f>
        <v/>
      </c>
    </row>
    <row r="6042" spans="14:14" x14ac:dyDescent="0.3">
      <c r="N6042" t="str" cm="1">
        <f t="array" ref="N6042">IF(MOD(ROW()-ROW($B$2),16)=0,INDEX($M$2:$M$1000,(ROW()-ROW($B$2))/16+1),"")</f>
        <v/>
      </c>
    </row>
    <row r="6043" spans="14:14" x14ac:dyDescent="0.3">
      <c r="N6043" t="str" cm="1">
        <f t="array" ref="N6043">IF(MOD(ROW()-ROW($B$2),16)=0,INDEX($M$2:$M$1000,(ROW()-ROW($B$2))/16+1),"")</f>
        <v/>
      </c>
    </row>
    <row r="6044" spans="14:14" x14ac:dyDescent="0.3">
      <c r="N6044" t="str" cm="1">
        <f t="array" ref="N6044">IF(MOD(ROW()-ROW($B$2),16)=0,INDEX($M$2:$M$1000,(ROW()-ROW($B$2))/16+1),"")</f>
        <v/>
      </c>
    </row>
    <row r="6045" spans="14:14" x14ac:dyDescent="0.3">
      <c r="N6045" t="str" cm="1">
        <f t="array" ref="N6045">IF(MOD(ROW()-ROW($B$2),16)=0,INDEX($M$2:$M$1000,(ROW()-ROW($B$2))/16+1),"")</f>
        <v/>
      </c>
    </row>
    <row r="6046" spans="14:14" x14ac:dyDescent="0.3">
      <c r="N6046" t="str" cm="1">
        <f t="array" ref="N6046">IF(MOD(ROW()-ROW($B$2),16)=0,INDEX($M$2:$M$1000,(ROW()-ROW($B$2))/16+1),"")</f>
        <v/>
      </c>
    </row>
    <row r="6047" spans="14:14" x14ac:dyDescent="0.3">
      <c r="N6047" t="str" cm="1">
        <f t="array" ref="N6047">IF(MOD(ROW()-ROW($B$2),16)=0,INDEX($M$2:$M$1000,(ROW()-ROW($B$2))/16+1),"")</f>
        <v/>
      </c>
    </row>
    <row r="6048" spans="14:14" x14ac:dyDescent="0.3">
      <c r="N6048" t="str" cm="1">
        <f t="array" ref="N6048">IF(MOD(ROW()-ROW($B$2),16)=0,INDEX($M$2:$M$1000,(ROW()-ROW($B$2))/16+1),"")</f>
        <v/>
      </c>
    </row>
    <row r="6049" spans="14:14" x14ac:dyDescent="0.3">
      <c r="N6049" t="str" cm="1">
        <f t="array" ref="N6049">IF(MOD(ROW()-ROW($B$2),16)=0,INDEX($M$2:$M$1000,(ROW()-ROW($B$2))/16+1),"")</f>
        <v/>
      </c>
    </row>
    <row r="6050" spans="14:14" x14ac:dyDescent="0.3">
      <c r="N6050" t="str" cm="1">
        <f t="array" ref="N6050">IF(MOD(ROW()-ROW($B$2),16)=0,INDEX($M$2:$M$1000,(ROW()-ROW($B$2))/16+1),"")</f>
        <v/>
      </c>
    </row>
    <row r="6051" spans="14:14" x14ac:dyDescent="0.3">
      <c r="N6051" t="str" cm="1">
        <f t="array" ref="N6051">IF(MOD(ROW()-ROW($B$2),16)=0,INDEX($M$2:$M$1000,(ROW()-ROW($B$2))/16+1),"")</f>
        <v/>
      </c>
    </row>
    <row r="6052" spans="14:14" x14ac:dyDescent="0.3">
      <c r="N6052" t="str" cm="1">
        <f t="array" ref="N6052">IF(MOD(ROW()-ROW($B$2),16)=0,INDEX($M$2:$M$1000,(ROW()-ROW($B$2))/16+1),"")</f>
        <v/>
      </c>
    </row>
    <row r="6053" spans="14:14" x14ac:dyDescent="0.3">
      <c r="N6053" t="str" cm="1">
        <f t="array" ref="N6053">IF(MOD(ROW()-ROW($B$2),16)=0,INDEX($M$2:$M$1000,(ROW()-ROW($B$2))/16+1),"")</f>
        <v/>
      </c>
    </row>
    <row r="6054" spans="14:14" x14ac:dyDescent="0.3">
      <c r="N6054" t="str" cm="1">
        <f t="array" ref="N6054">IF(MOD(ROW()-ROW($B$2),16)=0,INDEX($M$2:$M$1000,(ROW()-ROW($B$2))/16+1),"")</f>
        <v/>
      </c>
    </row>
    <row r="6055" spans="14:14" x14ac:dyDescent="0.3">
      <c r="N6055" t="str" cm="1">
        <f t="array" ref="N6055">IF(MOD(ROW()-ROW($B$2),16)=0,INDEX($M$2:$M$1000,(ROW()-ROW($B$2))/16+1),"")</f>
        <v/>
      </c>
    </row>
    <row r="6056" spans="14:14" x14ac:dyDescent="0.3">
      <c r="N6056" t="str" cm="1">
        <f t="array" ref="N6056">IF(MOD(ROW()-ROW($B$2),16)=0,INDEX($M$2:$M$1000,(ROW()-ROW($B$2))/16+1),"")</f>
        <v/>
      </c>
    </row>
    <row r="6057" spans="14:14" x14ac:dyDescent="0.3">
      <c r="N6057" t="str" cm="1">
        <f t="array" ref="N6057">IF(MOD(ROW()-ROW($B$2),16)=0,INDEX($M$2:$M$1000,(ROW()-ROW($B$2))/16+1),"")</f>
        <v/>
      </c>
    </row>
    <row r="6058" spans="14:14" x14ac:dyDescent="0.3">
      <c r="N6058" t="str" cm="1">
        <f t="array" ref="N6058">IF(MOD(ROW()-ROW($B$2),16)=0,INDEX($M$2:$M$1000,(ROW()-ROW($B$2))/16+1),"")</f>
        <v/>
      </c>
    </row>
    <row r="6059" spans="14:14" x14ac:dyDescent="0.3">
      <c r="N6059" t="str" cm="1">
        <f t="array" ref="N6059">IF(MOD(ROW()-ROW($B$2),16)=0,INDEX($M$2:$M$1000,(ROW()-ROW($B$2))/16+1),"")</f>
        <v/>
      </c>
    </row>
    <row r="6060" spans="14:14" x14ac:dyDescent="0.3">
      <c r="N6060" t="str" cm="1">
        <f t="array" ref="N6060">IF(MOD(ROW()-ROW($B$2),16)=0,INDEX($M$2:$M$1000,(ROW()-ROW($B$2))/16+1),"")</f>
        <v/>
      </c>
    </row>
    <row r="6061" spans="14:14" x14ac:dyDescent="0.3">
      <c r="N6061" t="str" cm="1">
        <f t="array" ref="N6061">IF(MOD(ROW()-ROW($B$2),16)=0,INDEX($M$2:$M$1000,(ROW()-ROW($B$2))/16+1),"")</f>
        <v/>
      </c>
    </row>
    <row r="6062" spans="14:14" x14ac:dyDescent="0.3">
      <c r="N6062" t="str" cm="1">
        <f t="array" ref="N6062">IF(MOD(ROW()-ROW($B$2),16)=0,INDEX($M$2:$M$1000,(ROW()-ROW($B$2))/16+1),"")</f>
        <v/>
      </c>
    </row>
    <row r="6063" spans="14:14" x14ac:dyDescent="0.3">
      <c r="N6063" t="str" cm="1">
        <f t="array" ref="N6063">IF(MOD(ROW()-ROW($B$2),16)=0,INDEX($M$2:$M$1000,(ROW()-ROW($B$2))/16+1),"")</f>
        <v/>
      </c>
    </row>
    <row r="6064" spans="14:14" x14ac:dyDescent="0.3">
      <c r="N6064" t="str" cm="1">
        <f t="array" ref="N6064">IF(MOD(ROW()-ROW($B$2),16)=0,INDEX($M$2:$M$1000,(ROW()-ROW($B$2))/16+1),"")</f>
        <v/>
      </c>
    </row>
    <row r="6065" spans="14:14" x14ac:dyDescent="0.3">
      <c r="N6065" t="str" cm="1">
        <f t="array" ref="N6065">IF(MOD(ROW()-ROW($B$2),16)=0,INDEX($M$2:$M$1000,(ROW()-ROW($B$2))/16+1),"")</f>
        <v/>
      </c>
    </row>
    <row r="6066" spans="14:14" x14ac:dyDescent="0.3">
      <c r="N6066" t="str" cm="1">
        <f t="array" ref="N6066">IF(MOD(ROW()-ROW($B$2),16)=0,INDEX($M$2:$M$1000,(ROW()-ROW($B$2))/16+1),"")</f>
        <v/>
      </c>
    </row>
    <row r="6067" spans="14:14" x14ac:dyDescent="0.3">
      <c r="N6067" t="str" cm="1">
        <f t="array" ref="N6067">IF(MOD(ROW()-ROW($B$2),16)=0,INDEX($M$2:$M$1000,(ROW()-ROW($B$2))/16+1),"")</f>
        <v/>
      </c>
    </row>
    <row r="6068" spans="14:14" x14ac:dyDescent="0.3">
      <c r="N6068" t="str" cm="1">
        <f t="array" ref="N6068">IF(MOD(ROW()-ROW($B$2),16)=0,INDEX($M$2:$M$1000,(ROW()-ROW($B$2))/16+1),"")</f>
        <v/>
      </c>
    </row>
    <row r="6069" spans="14:14" x14ac:dyDescent="0.3">
      <c r="N6069" t="str" cm="1">
        <f t="array" ref="N6069">IF(MOD(ROW()-ROW($B$2),16)=0,INDEX($M$2:$M$1000,(ROW()-ROW($B$2))/16+1),"")</f>
        <v/>
      </c>
    </row>
    <row r="6070" spans="14:14" x14ac:dyDescent="0.3">
      <c r="N6070" t="str" cm="1">
        <f t="array" ref="N6070">IF(MOD(ROW()-ROW($B$2),16)=0,INDEX($M$2:$M$1000,(ROW()-ROW($B$2))/16+1),"")</f>
        <v/>
      </c>
    </row>
    <row r="6071" spans="14:14" x14ac:dyDescent="0.3">
      <c r="N6071" t="str" cm="1">
        <f t="array" ref="N6071">IF(MOD(ROW()-ROW($B$2),16)=0,INDEX($M$2:$M$1000,(ROW()-ROW($B$2))/16+1),"")</f>
        <v/>
      </c>
    </row>
    <row r="6072" spans="14:14" x14ac:dyDescent="0.3">
      <c r="N6072" t="str" cm="1">
        <f t="array" ref="N6072">IF(MOD(ROW()-ROW($B$2),16)=0,INDEX($M$2:$M$1000,(ROW()-ROW($B$2))/16+1),"")</f>
        <v/>
      </c>
    </row>
    <row r="6073" spans="14:14" x14ac:dyDescent="0.3">
      <c r="N6073" t="str" cm="1">
        <f t="array" ref="N6073">IF(MOD(ROW()-ROW($B$2),16)=0,INDEX($M$2:$M$1000,(ROW()-ROW($B$2))/16+1),"")</f>
        <v/>
      </c>
    </row>
    <row r="6074" spans="14:14" x14ac:dyDescent="0.3">
      <c r="N6074" t="str" cm="1">
        <f t="array" ref="N6074">IF(MOD(ROW()-ROW($B$2),16)=0,INDEX($M$2:$M$1000,(ROW()-ROW($B$2))/16+1),"")</f>
        <v/>
      </c>
    </row>
    <row r="6075" spans="14:14" x14ac:dyDescent="0.3">
      <c r="N6075" t="str" cm="1">
        <f t="array" ref="N6075">IF(MOD(ROW()-ROW($B$2),16)=0,INDEX($M$2:$M$1000,(ROW()-ROW($B$2))/16+1),"")</f>
        <v/>
      </c>
    </row>
    <row r="6076" spans="14:14" x14ac:dyDescent="0.3">
      <c r="N6076" t="str" cm="1">
        <f t="array" ref="N6076">IF(MOD(ROW()-ROW($B$2),16)=0,INDEX($M$2:$M$1000,(ROW()-ROW($B$2))/16+1),"")</f>
        <v/>
      </c>
    </row>
    <row r="6077" spans="14:14" x14ac:dyDescent="0.3">
      <c r="N6077" t="str" cm="1">
        <f t="array" ref="N6077">IF(MOD(ROW()-ROW($B$2),16)=0,INDEX($M$2:$M$1000,(ROW()-ROW($B$2))/16+1),"")</f>
        <v/>
      </c>
    </row>
    <row r="6078" spans="14:14" x14ac:dyDescent="0.3">
      <c r="N6078" t="str" cm="1">
        <f t="array" ref="N6078">IF(MOD(ROW()-ROW($B$2),16)=0,INDEX($M$2:$M$1000,(ROW()-ROW($B$2))/16+1),"")</f>
        <v/>
      </c>
    </row>
    <row r="6079" spans="14:14" x14ac:dyDescent="0.3">
      <c r="N6079" t="str" cm="1">
        <f t="array" ref="N6079">IF(MOD(ROW()-ROW($B$2),16)=0,INDEX($M$2:$M$1000,(ROW()-ROW($B$2))/16+1),"")</f>
        <v/>
      </c>
    </row>
    <row r="6080" spans="14:14" x14ac:dyDescent="0.3">
      <c r="N6080" t="str" cm="1">
        <f t="array" ref="N6080">IF(MOD(ROW()-ROW($B$2),16)=0,INDEX($M$2:$M$1000,(ROW()-ROW($B$2))/16+1),"")</f>
        <v/>
      </c>
    </row>
    <row r="6081" spans="14:14" x14ac:dyDescent="0.3">
      <c r="N6081" t="str" cm="1">
        <f t="array" ref="N6081">IF(MOD(ROW()-ROW($B$2),16)=0,INDEX($M$2:$M$1000,(ROW()-ROW($B$2))/16+1),"")</f>
        <v/>
      </c>
    </row>
    <row r="6082" spans="14:14" x14ac:dyDescent="0.3">
      <c r="N6082" t="str" cm="1">
        <f t="array" ref="N6082">IF(MOD(ROW()-ROW($B$2),16)=0,INDEX($M$2:$M$1000,(ROW()-ROW($B$2))/16+1),"")</f>
        <v/>
      </c>
    </row>
    <row r="6083" spans="14:14" x14ac:dyDescent="0.3">
      <c r="N6083" t="str" cm="1">
        <f t="array" ref="N6083">IF(MOD(ROW()-ROW($B$2),16)=0,INDEX($M$2:$M$1000,(ROW()-ROW($B$2))/16+1),"")</f>
        <v/>
      </c>
    </row>
    <row r="6084" spans="14:14" x14ac:dyDescent="0.3">
      <c r="N6084" t="str" cm="1">
        <f t="array" ref="N6084">IF(MOD(ROW()-ROW($B$2),16)=0,INDEX($M$2:$M$1000,(ROW()-ROW($B$2))/16+1),"")</f>
        <v/>
      </c>
    </row>
    <row r="6085" spans="14:14" x14ac:dyDescent="0.3">
      <c r="N6085" t="str" cm="1">
        <f t="array" ref="N6085">IF(MOD(ROW()-ROW($B$2),16)=0,INDEX($M$2:$M$1000,(ROW()-ROW($B$2))/16+1),"")</f>
        <v/>
      </c>
    </row>
    <row r="6086" spans="14:14" x14ac:dyDescent="0.3">
      <c r="N6086" t="str" cm="1">
        <f t="array" ref="N6086">IF(MOD(ROW()-ROW($B$2),16)=0,INDEX($M$2:$M$1000,(ROW()-ROW($B$2))/16+1),"")</f>
        <v/>
      </c>
    </row>
    <row r="6087" spans="14:14" x14ac:dyDescent="0.3">
      <c r="N6087" t="str" cm="1">
        <f t="array" ref="N6087">IF(MOD(ROW()-ROW($B$2),16)=0,INDEX($M$2:$M$1000,(ROW()-ROW($B$2))/16+1),"")</f>
        <v/>
      </c>
    </row>
    <row r="6088" spans="14:14" x14ac:dyDescent="0.3">
      <c r="N6088" t="str" cm="1">
        <f t="array" ref="N6088">IF(MOD(ROW()-ROW($B$2),16)=0,INDEX($M$2:$M$1000,(ROW()-ROW($B$2))/16+1),"")</f>
        <v/>
      </c>
    </row>
    <row r="6089" spans="14:14" x14ac:dyDescent="0.3">
      <c r="N6089" t="str" cm="1">
        <f t="array" ref="N6089">IF(MOD(ROW()-ROW($B$2),16)=0,INDEX($M$2:$M$1000,(ROW()-ROW($B$2))/16+1),"")</f>
        <v/>
      </c>
    </row>
    <row r="6090" spans="14:14" x14ac:dyDescent="0.3">
      <c r="N6090" t="str" cm="1">
        <f t="array" ref="N6090">IF(MOD(ROW()-ROW($B$2),16)=0,INDEX($M$2:$M$1000,(ROW()-ROW($B$2))/16+1),"")</f>
        <v/>
      </c>
    </row>
    <row r="6091" spans="14:14" x14ac:dyDescent="0.3">
      <c r="N6091" t="str" cm="1">
        <f t="array" ref="N6091">IF(MOD(ROW()-ROW($B$2),16)=0,INDEX($M$2:$M$1000,(ROW()-ROW($B$2))/16+1),"")</f>
        <v/>
      </c>
    </row>
    <row r="6092" spans="14:14" x14ac:dyDescent="0.3">
      <c r="N6092" t="str" cm="1">
        <f t="array" ref="N6092">IF(MOD(ROW()-ROW($B$2),16)=0,INDEX($M$2:$M$1000,(ROW()-ROW($B$2))/16+1),"")</f>
        <v/>
      </c>
    </row>
    <row r="6093" spans="14:14" x14ac:dyDescent="0.3">
      <c r="N6093" t="str" cm="1">
        <f t="array" ref="N6093">IF(MOD(ROW()-ROW($B$2),16)=0,INDEX($M$2:$M$1000,(ROW()-ROW($B$2))/16+1),"")</f>
        <v/>
      </c>
    </row>
    <row r="6094" spans="14:14" x14ac:dyDescent="0.3">
      <c r="N6094" t="str" cm="1">
        <f t="array" ref="N6094">IF(MOD(ROW()-ROW($B$2),16)=0,INDEX($M$2:$M$1000,(ROW()-ROW($B$2))/16+1),"")</f>
        <v/>
      </c>
    </row>
    <row r="6095" spans="14:14" x14ac:dyDescent="0.3">
      <c r="N6095" t="str" cm="1">
        <f t="array" ref="N6095">IF(MOD(ROW()-ROW($B$2),16)=0,INDEX($M$2:$M$1000,(ROW()-ROW($B$2))/16+1),"")</f>
        <v/>
      </c>
    </row>
    <row r="6096" spans="14:14" x14ac:dyDescent="0.3">
      <c r="N6096" t="str" cm="1">
        <f t="array" ref="N6096">IF(MOD(ROW()-ROW($B$2),16)=0,INDEX($M$2:$M$1000,(ROW()-ROW($B$2))/16+1),"")</f>
        <v/>
      </c>
    </row>
    <row r="6097" spans="14:14" x14ac:dyDescent="0.3">
      <c r="N6097" t="str" cm="1">
        <f t="array" ref="N6097">IF(MOD(ROW()-ROW($B$2),16)=0,INDEX($M$2:$M$1000,(ROW()-ROW($B$2))/16+1),"")</f>
        <v/>
      </c>
    </row>
    <row r="6098" spans="14:14" x14ac:dyDescent="0.3">
      <c r="N6098" t="str" cm="1">
        <f t="array" ref="N6098">IF(MOD(ROW()-ROW($B$2),16)=0,INDEX($M$2:$M$1000,(ROW()-ROW($B$2))/16+1),"")</f>
        <v/>
      </c>
    </row>
    <row r="6099" spans="14:14" x14ac:dyDescent="0.3">
      <c r="N6099" t="str" cm="1">
        <f t="array" ref="N6099">IF(MOD(ROW()-ROW($B$2),16)=0,INDEX($M$2:$M$1000,(ROW()-ROW($B$2))/16+1),"")</f>
        <v/>
      </c>
    </row>
    <row r="6100" spans="14:14" x14ac:dyDescent="0.3">
      <c r="N6100" t="str" cm="1">
        <f t="array" ref="N6100">IF(MOD(ROW()-ROW($B$2),16)=0,INDEX($M$2:$M$1000,(ROW()-ROW($B$2))/16+1),"")</f>
        <v/>
      </c>
    </row>
    <row r="6101" spans="14:14" x14ac:dyDescent="0.3">
      <c r="N6101" t="str" cm="1">
        <f t="array" ref="N6101">IF(MOD(ROW()-ROW($B$2),16)=0,INDEX($M$2:$M$1000,(ROW()-ROW($B$2))/16+1),"")</f>
        <v/>
      </c>
    </row>
    <row r="6102" spans="14:14" x14ac:dyDescent="0.3">
      <c r="N6102" t="str" cm="1">
        <f t="array" ref="N6102">IF(MOD(ROW()-ROW($B$2),16)=0,INDEX($M$2:$M$1000,(ROW()-ROW($B$2))/16+1),"")</f>
        <v/>
      </c>
    </row>
    <row r="6103" spans="14:14" x14ac:dyDescent="0.3">
      <c r="N6103" t="str" cm="1">
        <f t="array" ref="N6103">IF(MOD(ROW()-ROW($B$2),16)=0,INDEX($M$2:$M$1000,(ROW()-ROW($B$2))/16+1),"")</f>
        <v/>
      </c>
    </row>
    <row r="6104" spans="14:14" x14ac:dyDescent="0.3">
      <c r="N6104" t="str" cm="1">
        <f t="array" ref="N6104">IF(MOD(ROW()-ROW($B$2),16)=0,INDEX($M$2:$M$1000,(ROW()-ROW($B$2))/16+1),"")</f>
        <v/>
      </c>
    </row>
    <row r="6105" spans="14:14" x14ac:dyDescent="0.3">
      <c r="N6105" t="str" cm="1">
        <f t="array" ref="N6105">IF(MOD(ROW()-ROW($B$2),16)=0,INDEX($M$2:$M$1000,(ROW()-ROW($B$2))/16+1),"")</f>
        <v/>
      </c>
    </row>
    <row r="6106" spans="14:14" x14ac:dyDescent="0.3">
      <c r="N6106" t="str" cm="1">
        <f t="array" ref="N6106">IF(MOD(ROW()-ROW($B$2),16)=0,INDEX($M$2:$M$1000,(ROW()-ROW($B$2))/16+1),"")</f>
        <v/>
      </c>
    </row>
    <row r="6107" spans="14:14" x14ac:dyDescent="0.3">
      <c r="N6107" t="str" cm="1">
        <f t="array" ref="N6107">IF(MOD(ROW()-ROW($B$2),16)=0,INDEX($M$2:$M$1000,(ROW()-ROW($B$2))/16+1),"")</f>
        <v/>
      </c>
    </row>
    <row r="6108" spans="14:14" x14ac:dyDescent="0.3">
      <c r="N6108" t="str" cm="1">
        <f t="array" ref="N6108">IF(MOD(ROW()-ROW($B$2),16)=0,INDEX($M$2:$M$1000,(ROW()-ROW($B$2))/16+1),"")</f>
        <v/>
      </c>
    </row>
    <row r="6109" spans="14:14" x14ac:dyDescent="0.3">
      <c r="N6109" t="str" cm="1">
        <f t="array" ref="N6109">IF(MOD(ROW()-ROW($B$2),16)=0,INDEX($M$2:$M$1000,(ROW()-ROW($B$2))/16+1),"")</f>
        <v/>
      </c>
    </row>
    <row r="6110" spans="14:14" x14ac:dyDescent="0.3">
      <c r="N6110" t="str" cm="1">
        <f t="array" ref="N6110">IF(MOD(ROW()-ROW($B$2),16)=0,INDEX($M$2:$M$1000,(ROW()-ROW($B$2))/16+1),"")</f>
        <v/>
      </c>
    </row>
    <row r="6111" spans="14:14" x14ac:dyDescent="0.3">
      <c r="N6111" t="str" cm="1">
        <f t="array" ref="N6111">IF(MOD(ROW()-ROW($B$2),16)=0,INDEX($M$2:$M$1000,(ROW()-ROW($B$2))/16+1),"")</f>
        <v/>
      </c>
    </row>
    <row r="6112" spans="14:14" x14ac:dyDescent="0.3">
      <c r="N6112" t="str" cm="1">
        <f t="array" ref="N6112">IF(MOD(ROW()-ROW($B$2),16)=0,INDEX($M$2:$M$1000,(ROW()-ROW($B$2))/16+1),"")</f>
        <v/>
      </c>
    </row>
    <row r="6113" spans="14:14" x14ac:dyDescent="0.3">
      <c r="N6113" t="str" cm="1">
        <f t="array" ref="N6113">IF(MOD(ROW()-ROW($B$2),16)=0,INDEX($M$2:$M$1000,(ROW()-ROW($B$2))/16+1),"")</f>
        <v/>
      </c>
    </row>
    <row r="6114" spans="14:14" x14ac:dyDescent="0.3">
      <c r="N6114" t="str" cm="1">
        <f t="array" ref="N6114">IF(MOD(ROW()-ROW($B$2),16)=0,INDEX($M$2:$M$1000,(ROW()-ROW($B$2))/16+1),"")</f>
        <v/>
      </c>
    </row>
    <row r="6115" spans="14:14" x14ac:dyDescent="0.3">
      <c r="N6115" t="str" cm="1">
        <f t="array" ref="N6115">IF(MOD(ROW()-ROW($B$2),16)=0,INDEX($M$2:$M$1000,(ROW()-ROW($B$2))/16+1),"")</f>
        <v/>
      </c>
    </row>
    <row r="6116" spans="14:14" x14ac:dyDescent="0.3">
      <c r="N6116" t="str" cm="1">
        <f t="array" ref="N6116">IF(MOD(ROW()-ROW($B$2),16)=0,INDEX($M$2:$M$1000,(ROW()-ROW($B$2))/16+1),"")</f>
        <v/>
      </c>
    </row>
    <row r="6117" spans="14:14" x14ac:dyDescent="0.3">
      <c r="N6117" t="str" cm="1">
        <f t="array" ref="N6117">IF(MOD(ROW()-ROW($B$2),16)=0,INDEX($M$2:$M$1000,(ROW()-ROW($B$2))/16+1),"")</f>
        <v/>
      </c>
    </row>
    <row r="6118" spans="14:14" x14ac:dyDescent="0.3">
      <c r="N6118" t="str" cm="1">
        <f t="array" ref="N6118">IF(MOD(ROW()-ROW($B$2),16)=0,INDEX($M$2:$M$1000,(ROW()-ROW($B$2))/16+1),"")</f>
        <v/>
      </c>
    </row>
    <row r="6119" spans="14:14" x14ac:dyDescent="0.3">
      <c r="N6119" t="str" cm="1">
        <f t="array" ref="N6119">IF(MOD(ROW()-ROW($B$2),16)=0,INDEX($M$2:$M$1000,(ROW()-ROW($B$2))/16+1),"")</f>
        <v/>
      </c>
    </row>
    <row r="6120" spans="14:14" x14ac:dyDescent="0.3">
      <c r="N6120" t="str" cm="1">
        <f t="array" ref="N6120">IF(MOD(ROW()-ROW($B$2),16)=0,INDEX($M$2:$M$1000,(ROW()-ROW($B$2))/16+1),"")</f>
        <v/>
      </c>
    </row>
    <row r="6121" spans="14:14" x14ac:dyDescent="0.3">
      <c r="N6121" t="str" cm="1">
        <f t="array" ref="N6121">IF(MOD(ROW()-ROW($B$2),16)=0,INDEX($M$2:$M$1000,(ROW()-ROW($B$2))/16+1),"")</f>
        <v/>
      </c>
    </row>
    <row r="6122" spans="14:14" x14ac:dyDescent="0.3">
      <c r="N6122" t="str" cm="1">
        <f t="array" ref="N6122">IF(MOD(ROW()-ROW($B$2),16)=0,INDEX($M$2:$M$1000,(ROW()-ROW($B$2))/16+1),"")</f>
        <v/>
      </c>
    </row>
    <row r="6123" spans="14:14" x14ac:dyDescent="0.3">
      <c r="N6123" t="str" cm="1">
        <f t="array" ref="N6123">IF(MOD(ROW()-ROW($B$2),16)=0,INDEX($M$2:$M$1000,(ROW()-ROW($B$2))/16+1),"")</f>
        <v/>
      </c>
    </row>
    <row r="6124" spans="14:14" x14ac:dyDescent="0.3">
      <c r="N6124" t="str" cm="1">
        <f t="array" ref="N6124">IF(MOD(ROW()-ROW($B$2),16)=0,INDEX($M$2:$M$1000,(ROW()-ROW($B$2))/16+1),"")</f>
        <v/>
      </c>
    </row>
    <row r="6125" spans="14:14" x14ac:dyDescent="0.3">
      <c r="N6125" t="str" cm="1">
        <f t="array" ref="N6125">IF(MOD(ROW()-ROW($B$2),16)=0,INDEX($M$2:$M$1000,(ROW()-ROW($B$2))/16+1),"")</f>
        <v/>
      </c>
    </row>
    <row r="6126" spans="14:14" x14ac:dyDescent="0.3">
      <c r="N6126" t="str" cm="1">
        <f t="array" ref="N6126">IF(MOD(ROW()-ROW($B$2),16)=0,INDEX($M$2:$M$1000,(ROW()-ROW($B$2))/16+1),"")</f>
        <v/>
      </c>
    </row>
    <row r="6127" spans="14:14" x14ac:dyDescent="0.3">
      <c r="N6127" t="str" cm="1">
        <f t="array" ref="N6127">IF(MOD(ROW()-ROW($B$2),16)=0,INDEX($M$2:$M$1000,(ROW()-ROW($B$2))/16+1),"")</f>
        <v/>
      </c>
    </row>
    <row r="6128" spans="14:14" x14ac:dyDescent="0.3">
      <c r="N6128" t="str" cm="1">
        <f t="array" ref="N6128">IF(MOD(ROW()-ROW($B$2),16)=0,INDEX($M$2:$M$1000,(ROW()-ROW($B$2))/16+1),"")</f>
        <v/>
      </c>
    </row>
    <row r="6129" spans="14:14" x14ac:dyDescent="0.3">
      <c r="N6129" t="str" cm="1">
        <f t="array" ref="N6129">IF(MOD(ROW()-ROW($B$2),16)=0,INDEX($M$2:$M$1000,(ROW()-ROW($B$2))/16+1),"")</f>
        <v/>
      </c>
    </row>
    <row r="6130" spans="14:14" x14ac:dyDescent="0.3">
      <c r="N6130" t="str" cm="1">
        <f t="array" ref="N6130">IF(MOD(ROW()-ROW($B$2),16)=0,INDEX($M$2:$M$1000,(ROW()-ROW($B$2))/16+1),"")</f>
        <v/>
      </c>
    </row>
    <row r="6131" spans="14:14" x14ac:dyDescent="0.3">
      <c r="N6131" t="str" cm="1">
        <f t="array" ref="N6131">IF(MOD(ROW()-ROW($B$2),16)=0,INDEX($M$2:$M$1000,(ROW()-ROW($B$2))/16+1),"")</f>
        <v/>
      </c>
    </row>
    <row r="6132" spans="14:14" x14ac:dyDescent="0.3">
      <c r="N6132" t="str" cm="1">
        <f t="array" ref="N6132">IF(MOD(ROW()-ROW($B$2),16)=0,INDEX($M$2:$M$1000,(ROW()-ROW($B$2))/16+1),"")</f>
        <v/>
      </c>
    </row>
    <row r="6133" spans="14:14" x14ac:dyDescent="0.3">
      <c r="N6133" t="str" cm="1">
        <f t="array" ref="N6133">IF(MOD(ROW()-ROW($B$2),16)=0,INDEX($M$2:$M$1000,(ROW()-ROW($B$2))/16+1),"")</f>
        <v/>
      </c>
    </row>
    <row r="6134" spans="14:14" x14ac:dyDescent="0.3">
      <c r="N6134" t="str" cm="1">
        <f t="array" ref="N6134">IF(MOD(ROW()-ROW($B$2),16)=0,INDEX($M$2:$M$1000,(ROW()-ROW($B$2))/16+1),"")</f>
        <v/>
      </c>
    </row>
    <row r="6135" spans="14:14" x14ac:dyDescent="0.3">
      <c r="N6135" t="str" cm="1">
        <f t="array" ref="N6135">IF(MOD(ROW()-ROW($B$2),16)=0,INDEX($M$2:$M$1000,(ROW()-ROW($B$2))/16+1),"")</f>
        <v/>
      </c>
    </row>
    <row r="6136" spans="14:14" x14ac:dyDescent="0.3">
      <c r="N6136" t="str" cm="1">
        <f t="array" ref="N6136">IF(MOD(ROW()-ROW($B$2),16)=0,INDEX($M$2:$M$1000,(ROW()-ROW($B$2))/16+1),"")</f>
        <v/>
      </c>
    </row>
    <row r="6137" spans="14:14" x14ac:dyDescent="0.3">
      <c r="N6137" t="str" cm="1">
        <f t="array" ref="N6137">IF(MOD(ROW()-ROW($B$2),16)=0,INDEX($M$2:$M$1000,(ROW()-ROW($B$2))/16+1),"")</f>
        <v/>
      </c>
    </row>
    <row r="6138" spans="14:14" x14ac:dyDescent="0.3">
      <c r="N6138" t="str" cm="1">
        <f t="array" ref="N6138">IF(MOD(ROW()-ROW($B$2),16)=0,INDEX($M$2:$M$1000,(ROW()-ROW($B$2))/16+1),"")</f>
        <v/>
      </c>
    </row>
    <row r="6139" spans="14:14" x14ac:dyDescent="0.3">
      <c r="N6139" t="str" cm="1">
        <f t="array" ref="N6139">IF(MOD(ROW()-ROW($B$2),16)=0,INDEX($M$2:$M$1000,(ROW()-ROW($B$2))/16+1),"")</f>
        <v/>
      </c>
    </row>
    <row r="6140" spans="14:14" x14ac:dyDescent="0.3">
      <c r="N6140" t="str" cm="1">
        <f t="array" ref="N6140">IF(MOD(ROW()-ROW($B$2),16)=0,INDEX($M$2:$M$1000,(ROW()-ROW($B$2))/16+1),"")</f>
        <v/>
      </c>
    </row>
    <row r="6141" spans="14:14" x14ac:dyDescent="0.3">
      <c r="N6141" t="str" cm="1">
        <f t="array" ref="N6141">IF(MOD(ROW()-ROW($B$2),16)=0,INDEX($M$2:$M$1000,(ROW()-ROW($B$2))/16+1),"")</f>
        <v/>
      </c>
    </row>
    <row r="6142" spans="14:14" x14ac:dyDescent="0.3">
      <c r="N6142" t="str" cm="1">
        <f t="array" ref="N6142">IF(MOD(ROW()-ROW($B$2),16)=0,INDEX($M$2:$M$1000,(ROW()-ROW($B$2))/16+1),"")</f>
        <v/>
      </c>
    </row>
    <row r="6143" spans="14:14" x14ac:dyDescent="0.3">
      <c r="N6143" t="str" cm="1">
        <f t="array" ref="N6143">IF(MOD(ROW()-ROW($B$2),16)=0,INDEX($M$2:$M$1000,(ROW()-ROW($B$2))/16+1),"")</f>
        <v/>
      </c>
    </row>
    <row r="6144" spans="14:14" x14ac:dyDescent="0.3">
      <c r="N6144" t="str" cm="1">
        <f t="array" ref="N6144">IF(MOD(ROW()-ROW($B$2),16)=0,INDEX($M$2:$M$1000,(ROW()-ROW($B$2))/16+1),"")</f>
        <v/>
      </c>
    </row>
    <row r="6145" spans="14:14" x14ac:dyDescent="0.3">
      <c r="N6145" t="str" cm="1">
        <f t="array" ref="N6145">IF(MOD(ROW()-ROW($B$2),16)=0,INDEX($M$2:$M$1000,(ROW()-ROW($B$2))/16+1),"")</f>
        <v/>
      </c>
    </row>
    <row r="6146" spans="14:14" x14ac:dyDescent="0.3">
      <c r="N6146" t="str" cm="1">
        <f t="array" ref="N6146">IF(MOD(ROW()-ROW($B$2),16)=0,INDEX($M$2:$M$1000,(ROW()-ROW($B$2))/16+1),"")</f>
        <v/>
      </c>
    </row>
    <row r="6147" spans="14:14" x14ac:dyDescent="0.3">
      <c r="N6147" t="str" cm="1">
        <f t="array" ref="N6147">IF(MOD(ROW()-ROW($B$2),16)=0,INDEX($M$2:$M$1000,(ROW()-ROW($B$2))/16+1),"")</f>
        <v/>
      </c>
    </row>
    <row r="6148" spans="14:14" x14ac:dyDescent="0.3">
      <c r="N6148" t="str" cm="1">
        <f t="array" ref="N6148">IF(MOD(ROW()-ROW($B$2),16)=0,INDEX($M$2:$M$1000,(ROW()-ROW($B$2))/16+1),"")</f>
        <v/>
      </c>
    </row>
    <row r="6149" spans="14:14" x14ac:dyDescent="0.3">
      <c r="N6149" t="str" cm="1">
        <f t="array" ref="N6149">IF(MOD(ROW()-ROW($B$2),16)=0,INDEX($M$2:$M$1000,(ROW()-ROW($B$2))/16+1),"")</f>
        <v/>
      </c>
    </row>
    <row r="6150" spans="14:14" x14ac:dyDescent="0.3">
      <c r="N6150" t="str" cm="1">
        <f t="array" ref="N6150">IF(MOD(ROW()-ROW($B$2),16)=0,INDEX($M$2:$M$1000,(ROW()-ROW($B$2))/16+1),"")</f>
        <v/>
      </c>
    </row>
    <row r="6151" spans="14:14" x14ac:dyDescent="0.3">
      <c r="N6151" t="str" cm="1">
        <f t="array" ref="N6151">IF(MOD(ROW()-ROW($B$2),16)=0,INDEX($M$2:$M$1000,(ROW()-ROW($B$2))/16+1),"")</f>
        <v/>
      </c>
    </row>
    <row r="6152" spans="14:14" x14ac:dyDescent="0.3">
      <c r="N6152" t="str" cm="1">
        <f t="array" ref="N6152">IF(MOD(ROW()-ROW($B$2),16)=0,INDEX($M$2:$M$1000,(ROW()-ROW($B$2))/16+1),"")</f>
        <v/>
      </c>
    </row>
    <row r="6153" spans="14:14" x14ac:dyDescent="0.3">
      <c r="N6153" t="str" cm="1">
        <f t="array" ref="N6153">IF(MOD(ROW()-ROW($B$2),16)=0,INDEX($M$2:$M$1000,(ROW()-ROW($B$2))/16+1),"")</f>
        <v/>
      </c>
    </row>
    <row r="6154" spans="14:14" x14ac:dyDescent="0.3">
      <c r="N6154" t="str" cm="1">
        <f t="array" ref="N6154">IF(MOD(ROW()-ROW($B$2),16)=0,INDEX($M$2:$M$1000,(ROW()-ROW($B$2))/16+1),"")</f>
        <v/>
      </c>
    </row>
    <row r="6155" spans="14:14" x14ac:dyDescent="0.3">
      <c r="N6155" t="str" cm="1">
        <f t="array" ref="N6155">IF(MOD(ROW()-ROW($B$2),16)=0,INDEX($M$2:$M$1000,(ROW()-ROW($B$2))/16+1),"")</f>
        <v/>
      </c>
    </row>
    <row r="6156" spans="14:14" x14ac:dyDescent="0.3">
      <c r="N6156" t="str" cm="1">
        <f t="array" ref="N6156">IF(MOD(ROW()-ROW($B$2),16)=0,INDEX($M$2:$M$1000,(ROW()-ROW($B$2))/16+1),"")</f>
        <v/>
      </c>
    </row>
    <row r="6157" spans="14:14" x14ac:dyDescent="0.3">
      <c r="N6157" t="str" cm="1">
        <f t="array" ref="N6157">IF(MOD(ROW()-ROW($B$2),16)=0,INDEX($M$2:$M$1000,(ROW()-ROW($B$2))/16+1),"")</f>
        <v/>
      </c>
    </row>
    <row r="6158" spans="14:14" x14ac:dyDescent="0.3">
      <c r="N6158" t="str" cm="1">
        <f t="array" ref="N6158">IF(MOD(ROW()-ROW($B$2),16)=0,INDEX($M$2:$M$1000,(ROW()-ROW($B$2))/16+1),"")</f>
        <v/>
      </c>
    </row>
    <row r="6159" spans="14:14" x14ac:dyDescent="0.3">
      <c r="N6159" t="str" cm="1">
        <f t="array" ref="N6159">IF(MOD(ROW()-ROW($B$2),16)=0,INDEX($M$2:$M$1000,(ROW()-ROW($B$2))/16+1),"")</f>
        <v/>
      </c>
    </row>
    <row r="6160" spans="14:14" x14ac:dyDescent="0.3">
      <c r="N6160" t="str" cm="1">
        <f t="array" ref="N6160">IF(MOD(ROW()-ROW($B$2),16)=0,INDEX($M$2:$M$1000,(ROW()-ROW($B$2))/16+1),"")</f>
        <v/>
      </c>
    </row>
    <row r="6161" spans="14:14" x14ac:dyDescent="0.3">
      <c r="N6161" t="str" cm="1">
        <f t="array" ref="N6161">IF(MOD(ROW()-ROW($B$2),16)=0,INDEX($M$2:$M$1000,(ROW()-ROW($B$2))/16+1),"")</f>
        <v/>
      </c>
    </row>
    <row r="6162" spans="14:14" x14ac:dyDescent="0.3">
      <c r="N6162" t="str" cm="1">
        <f t="array" ref="N6162">IF(MOD(ROW()-ROW($B$2),16)=0,INDEX($M$2:$M$1000,(ROW()-ROW($B$2))/16+1),"")</f>
        <v/>
      </c>
    </row>
    <row r="6163" spans="14:14" x14ac:dyDescent="0.3">
      <c r="N6163" t="str" cm="1">
        <f t="array" ref="N6163">IF(MOD(ROW()-ROW($B$2),16)=0,INDEX($M$2:$M$1000,(ROW()-ROW($B$2))/16+1),"")</f>
        <v/>
      </c>
    </row>
    <row r="6164" spans="14:14" x14ac:dyDescent="0.3">
      <c r="N6164" t="str" cm="1">
        <f t="array" ref="N6164">IF(MOD(ROW()-ROW($B$2),16)=0,INDEX($M$2:$M$1000,(ROW()-ROW($B$2))/16+1),"")</f>
        <v/>
      </c>
    </row>
    <row r="6165" spans="14:14" x14ac:dyDescent="0.3">
      <c r="N6165" t="str" cm="1">
        <f t="array" ref="N6165">IF(MOD(ROW()-ROW($B$2),16)=0,INDEX($M$2:$M$1000,(ROW()-ROW($B$2))/16+1),"")</f>
        <v/>
      </c>
    </row>
    <row r="6166" spans="14:14" x14ac:dyDescent="0.3">
      <c r="N6166" t="str" cm="1">
        <f t="array" ref="N6166">IF(MOD(ROW()-ROW($B$2),16)=0,INDEX($M$2:$M$1000,(ROW()-ROW($B$2))/16+1),"")</f>
        <v/>
      </c>
    </row>
    <row r="6167" spans="14:14" x14ac:dyDescent="0.3">
      <c r="N6167" t="str" cm="1">
        <f t="array" ref="N6167">IF(MOD(ROW()-ROW($B$2),16)=0,INDEX($M$2:$M$1000,(ROW()-ROW($B$2))/16+1),"")</f>
        <v/>
      </c>
    </row>
    <row r="6168" spans="14:14" x14ac:dyDescent="0.3">
      <c r="N6168" t="str" cm="1">
        <f t="array" ref="N6168">IF(MOD(ROW()-ROW($B$2),16)=0,INDEX($M$2:$M$1000,(ROW()-ROW($B$2))/16+1),"")</f>
        <v/>
      </c>
    </row>
    <row r="6169" spans="14:14" x14ac:dyDescent="0.3">
      <c r="N6169" t="str" cm="1">
        <f t="array" ref="N6169">IF(MOD(ROW()-ROW($B$2),16)=0,INDEX($M$2:$M$1000,(ROW()-ROW($B$2))/16+1),"")</f>
        <v/>
      </c>
    </row>
    <row r="6170" spans="14:14" x14ac:dyDescent="0.3">
      <c r="N6170" t="str" cm="1">
        <f t="array" ref="N6170">IF(MOD(ROW()-ROW($B$2),16)=0,INDEX($M$2:$M$1000,(ROW()-ROW($B$2))/16+1),"")</f>
        <v/>
      </c>
    </row>
    <row r="6171" spans="14:14" x14ac:dyDescent="0.3">
      <c r="N6171" t="str" cm="1">
        <f t="array" ref="N6171">IF(MOD(ROW()-ROW($B$2),16)=0,INDEX($M$2:$M$1000,(ROW()-ROW($B$2))/16+1),"")</f>
        <v/>
      </c>
    </row>
    <row r="6172" spans="14:14" x14ac:dyDescent="0.3">
      <c r="N6172" t="str" cm="1">
        <f t="array" ref="N6172">IF(MOD(ROW()-ROW($B$2),16)=0,INDEX($M$2:$M$1000,(ROW()-ROW($B$2))/16+1),"")</f>
        <v/>
      </c>
    </row>
    <row r="6173" spans="14:14" x14ac:dyDescent="0.3">
      <c r="N6173" t="str" cm="1">
        <f t="array" ref="N6173">IF(MOD(ROW()-ROW($B$2),16)=0,INDEX($M$2:$M$1000,(ROW()-ROW($B$2))/16+1),"")</f>
        <v/>
      </c>
    </row>
    <row r="6174" spans="14:14" x14ac:dyDescent="0.3">
      <c r="N6174" t="str" cm="1">
        <f t="array" ref="N6174">IF(MOD(ROW()-ROW($B$2),16)=0,INDEX($M$2:$M$1000,(ROW()-ROW($B$2))/16+1),"")</f>
        <v/>
      </c>
    </row>
    <row r="6175" spans="14:14" x14ac:dyDescent="0.3">
      <c r="N6175" t="str" cm="1">
        <f t="array" ref="N6175">IF(MOD(ROW()-ROW($B$2),16)=0,INDEX($M$2:$M$1000,(ROW()-ROW($B$2))/16+1),"")</f>
        <v/>
      </c>
    </row>
    <row r="6176" spans="14:14" x14ac:dyDescent="0.3">
      <c r="N6176" t="str" cm="1">
        <f t="array" ref="N6176">IF(MOD(ROW()-ROW($B$2),16)=0,INDEX($M$2:$M$1000,(ROW()-ROW($B$2))/16+1),"")</f>
        <v/>
      </c>
    </row>
    <row r="6177" spans="14:14" x14ac:dyDescent="0.3">
      <c r="N6177" t="str" cm="1">
        <f t="array" ref="N6177">IF(MOD(ROW()-ROW($B$2),16)=0,INDEX($M$2:$M$1000,(ROW()-ROW($B$2))/16+1),"")</f>
        <v/>
      </c>
    </row>
    <row r="6178" spans="14:14" x14ac:dyDescent="0.3">
      <c r="N6178" t="str" cm="1">
        <f t="array" ref="N6178">IF(MOD(ROW()-ROW($B$2),16)=0,INDEX($M$2:$M$1000,(ROW()-ROW($B$2))/16+1),"")</f>
        <v/>
      </c>
    </row>
    <row r="6179" spans="14:14" x14ac:dyDescent="0.3">
      <c r="N6179" t="str" cm="1">
        <f t="array" ref="N6179">IF(MOD(ROW()-ROW($B$2),16)=0,INDEX($M$2:$M$1000,(ROW()-ROW($B$2))/16+1),"")</f>
        <v/>
      </c>
    </row>
    <row r="6180" spans="14:14" x14ac:dyDescent="0.3">
      <c r="N6180" t="str" cm="1">
        <f t="array" ref="N6180">IF(MOD(ROW()-ROW($B$2),16)=0,INDEX($M$2:$M$1000,(ROW()-ROW($B$2))/16+1),"")</f>
        <v/>
      </c>
    </row>
    <row r="6181" spans="14:14" x14ac:dyDescent="0.3">
      <c r="N6181" t="str" cm="1">
        <f t="array" ref="N6181">IF(MOD(ROW()-ROW($B$2),16)=0,INDEX($M$2:$M$1000,(ROW()-ROW($B$2))/16+1),"")</f>
        <v/>
      </c>
    </row>
    <row r="6182" spans="14:14" x14ac:dyDescent="0.3">
      <c r="N6182" t="str" cm="1">
        <f t="array" ref="N6182">IF(MOD(ROW()-ROW($B$2),16)=0,INDEX($M$2:$M$1000,(ROW()-ROW($B$2))/16+1),"")</f>
        <v/>
      </c>
    </row>
    <row r="6183" spans="14:14" x14ac:dyDescent="0.3">
      <c r="N6183" t="str" cm="1">
        <f t="array" ref="N6183">IF(MOD(ROW()-ROW($B$2),16)=0,INDEX($M$2:$M$1000,(ROW()-ROW($B$2))/16+1),"")</f>
        <v/>
      </c>
    </row>
    <row r="6184" spans="14:14" x14ac:dyDescent="0.3">
      <c r="N6184" t="str" cm="1">
        <f t="array" ref="N6184">IF(MOD(ROW()-ROW($B$2),16)=0,INDEX($M$2:$M$1000,(ROW()-ROW($B$2))/16+1),"")</f>
        <v/>
      </c>
    </row>
    <row r="6185" spans="14:14" x14ac:dyDescent="0.3">
      <c r="N6185" t="str" cm="1">
        <f t="array" ref="N6185">IF(MOD(ROW()-ROW($B$2),16)=0,INDEX($M$2:$M$1000,(ROW()-ROW($B$2))/16+1),"")</f>
        <v/>
      </c>
    </row>
    <row r="6186" spans="14:14" x14ac:dyDescent="0.3">
      <c r="N6186" t="str" cm="1">
        <f t="array" ref="N6186">IF(MOD(ROW()-ROW($B$2),16)=0,INDEX($M$2:$M$1000,(ROW()-ROW($B$2))/16+1),"")</f>
        <v/>
      </c>
    </row>
    <row r="6187" spans="14:14" x14ac:dyDescent="0.3">
      <c r="N6187" t="str" cm="1">
        <f t="array" ref="N6187">IF(MOD(ROW()-ROW($B$2),16)=0,INDEX($M$2:$M$1000,(ROW()-ROW($B$2))/16+1),"")</f>
        <v/>
      </c>
    </row>
    <row r="6188" spans="14:14" x14ac:dyDescent="0.3">
      <c r="N6188" t="str" cm="1">
        <f t="array" ref="N6188">IF(MOD(ROW()-ROW($B$2),16)=0,INDEX($M$2:$M$1000,(ROW()-ROW($B$2))/16+1),"")</f>
        <v/>
      </c>
    </row>
    <row r="6189" spans="14:14" x14ac:dyDescent="0.3">
      <c r="N6189" t="str" cm="1">
        <f t="array" ref="N6189">IF(MOD(ROW()-ROW($B$2),16)=0,INDEX($M$2:$M$1000,(ROW()-ROW($B$2))/16+1),"")</f>
        <v/>
      </c>
    </row>
    <row r="6190" spans="14:14" x14ac:dyDescent="0.3">
      <c r="N6190" t="str" cm="1">
        <f t="array" ref="N6190">IF(MOD(ROW()-ROW($B$2),16)=0,INDEX($M$2:$M$1000,(ROW()-ROW($B$2))/16+1),"")</f>
        <v/>
      </c>
    </row>
    <row r="6191" spans="14:14" x14ac:dyDescent="0.3">
      <c r="N6191" t="str" cm="1">
        <f t="array" ref="N6191">IF(MOD(ROW()-ROW($B$2),16)=0,INDEX($M$2:$M$1000,(ROW()-ROW($B$2))/16+1),"")</f>
        <v/>
      </c>
    </row>
    <row r="6192" spans="14:14" x14ac:dyDescent="0.3">
      <c r="N6192" t="str" cm="1">
        <f t="array" ref="N6192">IF(MOD(ROW()-ROW($B$2),16)=0,INDEX($M$2:$M$1000,(ROW()-ROW($B$2))/16+1),"")</f>
        <v/>
      </c>
    </row>
    <row r="6193" spans="14:14" x14ac:dyDescent="0.3">
      <c r="N6193" t="str" cm="1">
        <f t="array" ref="N6193">IF(MOD(ROW()-ROW($B$2),16)=0,INDEX($M$2:$M$1000,(ROW()-ROW($B$2))/16+1),"")</f>
        <v/>
      </c>
    </row>
    <row r="6194" spans="14:14" x14ac:dyDescent="0.3">
      <c r="N6194" t="str" cm="1">
        <f t="array" ref="N6194">IF(MOD(ROW()-ROW($B$2),16)=0,INDEX($M$2:$M$1000,(ROW()-ROW($B$2))/16+1),"")</f>
        <v/>
      </c>
    </row>
    <row r="6195" spans="14:14" x14ac:dyDescent="0.3">
      <c r="N6195" t="str" cm="1">
        <f t="array" ref="N6195">IF(MOD(ROW()-ROW($B$2),16)=0,INDEX($M$2:$M$1000,(ROW()-ROW($B$2))/16+1),"")</f>
        <v/>
      </c>
    </row>
    <row r="6196" spans="14:14" x14ac:dyDescent="0.3">
      <c r="N6196" t="str" cm="1">
        <f t="array" ref="N6196">IF(MOD(ROW()-ROW($B$2),16)=0,INDEX($M$2:$M$1000,(ROW()-ROW($B$2))/16+1),"")</f>
        <v/>
      </c>
    </row>
    <row r="6197" spans="14:14" x14ac:dyDescent="0.3">
      <c r="N6197" t="str" cm="1">
        <f t="array" ref="N6197">IF(MOD(ROW()-ROW($B$2),16)=0,INDEX($M$2:$M$1000,(ROW()-ROW($B$2))/16+1),"")</f>
        <v/>
      </c>
    </row>
    <row r="6198" spans="14:14" x14ac:dyDescent="0.3">
      <c r="N6198" t="str" cm="1">
        <f t="array" ref="N6198">IF(MOD(ROW()-ROW($B$2),16)=0,INDEX($M$2:$M$1000,(ROW()-ROW($B$2))/16+1),"")</f>
        <v/>
      </c>
    </row>
    <row r="6199" spans="14:14" x14ac:dyDescent="0.3">
      <c r="N6199" t="str" cm="1">
        <f t="array" ref="N6199">IF(MOD(ROW()-ROW($B$2),16)=0,INDEX($M$2:$M$1000,(ROW()-ROW($B$2))/16+1),"")</f>
        <v/>
      </c>
    </row>
    <row r="6200" spans="14:14" x14ac:dyDescent="0.3">
      <c r="N6200" t="str" cm="1">
        <f t="array" ref="N6200">IF(MOD(ROW()-ROW($B$2),16)=0,INDEX($M$2:$M$1000,(ROW()-ROW($B$2))/16+1),"")</f>
        <v/>
      </c>
    </row>
    <row r="6201" spans="14:14" x14ac:dyDescent="0.3">
      <c r="N6201" t="str" cm="1">
        <f t="array" ref="N6201">IF(MOD(ROW()-ROW($B$2),16)=0,INDEX($M$2:$M$1000,(ROW()-ROW($B$2))/16+1),"")</f>
        <v/>
      </c>
    </row>
    <row r="6202" spans="14:14" x14ac:dyDescent="0.3">
      <c r="N6202" t="str" cm="1">
        <f t="array" ref="N6202">IF(MOD(ROW()-ROW($B$2),16)=0,INDEX($M$2:$M$1000,(ROW()-ROW($B$2))/16+1),"")</f>
        <v/>
      </c>
    </row>
    <row r="6203" spans="14:14" x14ac:dyDescent="0.3">
      <c r="N6203" t="str" cm="1">
        <f t="array" ref="N6203">IF(MOD(ROW()-ROW($B$2),16)=0,INDEX($M$2:$M$1000,(ROW()-ROW($B$2))/16+1),"")</f>
        <v/>
      </c>
    </row>
    <row r="6204" spans="14:14" x14ac:dyDescent="0.3">
      <c r="N6204" t="str" cm="1">
        <f t="array" ref="N6204">IF(MOD(ROW()-ROW($B$2),16)=0,INDEX($M$2:$M$1000,(ROW()-ROW($B$2))/16+1),"")</f>
        <v/>
      </c>
    </row>
    <row r="6205" spans="14:14" x14ac:dyDescent="0.3">
      <c r="N6205" t="str" cm="1">
        <f t="array" ref="N6205">IF(MOD(ROW()-ROW($B$2),16)=0,INDEX($M$2:$M$1000,(ROW()-ROW($B$2))/16+1),"")</f>
        <v/>
      </c>
    </row>
    <row r="6206" spans="14:14" x14ac:dyDescent="0.3">
      <c r="N6206" t="str" cm="1">
        <f t="array" ref="N6206">IF(MOD(ROW()-ROW($B$2),16)=0,INDEX($M$2:$M$1000,(ROW()-ROW($B$2))/16+1),"")</f>
        <v/>
      </c>
    </row>
    <row r="6207" spans="14:14" x14ac:dyDescent="0.3">
      <c r="N6207" t="str" cm="1">
        <f t="array" ref="N6207">IF(MOD(ROW()-ROW($B$2),16)=0,INDEX($M$2:$M$1000,(ROW()-ROW($B$2))/16+1),"")</f>
        <v/>
      </c>
    </row>
    <row r="6208" spans="14:14" x14ac:dyDescent="0.3">
      <c r="N6208" t="str" cm="1">
        <f t="array" ref="N6208">IF(MOD(ROW()-ROW($B$2),16)=0,INDEX($M$2:$M$1000,(ROW()-ROW($B$2))/16+1),"")</f>
        <v/>
      </c>
    </row>
    <row r="6209" spans="14:14" x14ac:dyDescent="0.3">
      <c r="N6209" t="str" cm="1">
        <f t="array" ref="N6209">IF(MOD(ROW()-ROW($B$2),16)=0,INDEX($M$2:$M$1000,(ROW()-ROW($B$2))/16+1),"")</f>
        <v/>
      </c>
    </row>
    <row r="6210" spans="14:14" x14ac:dyDescent="0.3">
      <c r="N6210" t="str" cm="1">
        <f t="array" ref="N6210">IF(MOD(ROW()-ROW($B$2),16)=0,INDEX($M$2:$M$1000,(ROW()-ROW($B$2))/16+1),"")</f>
        <v/>
      </c>
    </row>
    <row r="6211" spans="14:14" x14ac:dyDescent="0.3">
      <c r="N6211" t="str" cm="1">
        <f t="array" ref="N6211">IF(MOD(ROW()-ROW($B$2),16)=0,INDEX($M$2:$M$1000,(ROW()-ROW($B$2))/16+1),"")</f>
        <v/>
      </c>
    </row>
    <row r="6212" spans="14:14" x14ac:dyDescent="0.3">
      <c r="N6212" t="str" cm="1">
        <f t="array" ref="N6212">IF(MOD(ROW()-ROW($B$2),16)=0,INDEX($M$2:$M$1000,(ROW()-ROW($B$2))/16+1),"")</f>
        <v/>
      </c>
    </row>
    <row r="6213" spans="14:14" x14ac:dyDescent="0.3">
      <c r="N6213" t="str" cm="1">
        <f t="array" ref="N6213">IF(MOD(ROW()-ROW($B$2),16)=0,INDEX($M$2:$M$1000,(ROW()-ROW($B$2))/16+1),"")</f>
        <v/>
      </c>
    </row>
    <row r="6214" spans="14:14" x14ac:dyDescent="0.3">
      <c r="N6214" t="str" cm="1">
        <f t="array" ref="N6214">IF(MOD(ROW()-ROW($B$2),16)=0,INDEX($M$2:$M$1000,(ROW()-ROW($B$2))/16+1),"")</f>
        <v/>
      </c>
    </row>
    <row r="6215" spans="14:14" x14ac:dyDescent="0.3">
      <c r="N6215" t="str" cm="1">
        <f t="array" ref="N6215">IF(MOD(ROW()-ROW($B$2),16)=0,INDEX($M$2:$M$1000,(ROW()-ROW($B$2))/16+1),"")</f>
        <v/>
      </c>
    </row>
    <row r="6216" spans="14:14" x14ac:dyDescent="0.3">
      <c r="N6216" t="str" cm="1">
        <f t="array" ref="N6216">IF(MOD(ROW()-ROW($B$2),16)=0,INDEX($M$2:$M$1000,(ROW()-ROW($B$2))/16+1),"")</f>
        <v/>
      </c>
    </row>
    <row r="6217" spans="14:14" x14ac:dyDescent="0.3">
      <c r="N6217" t="str" cm="1">
        <f t="array" ref="N6217">IF(MOD(ROW()-ROW($B$2),16)=0,INDEX($M$2:$M$1000,(ROW()-ROW($B$2))/16+1),"")</f>
        <v/>
      </c>
    </row>
    <row r="6218" spans="14:14" x14ac:dyDescent="0.3">
      <c r="N6218" t="str" cm="1">
        <f t="array" ref="N6218">IF(MOD(ROW()-ROW($B$2),16)=0,INDEX($M$2:$M$1000,(ROW()-ROW($B$2))/16+1),"")</f>
        <v/>
      </c>
    </row>
    <row r="6219" spans="14:14" x14ac:dyDescent="0.3">
      <c r="N6219" t="str" cm="1">
        <f t="array" ref="N6219">IF(MOD(ROW()-ROW($B$2),16)=0,INDEX($M$2:$M$1000,(ROW()-ROW($B$2))/16+1),"")</f>
        <v/>
      </c>
    </row>
    <row r="6220" spans="14:14" x14ac:dyDescent="0.3">
      <c r="N6220" t="str" cm="1">
        <f t="array" ref="N6220">IF(MOD(ROW()-ROW($B$2),16)=0,INDEX($M$2:$M$1000,(ROW()-ROW($B$2))/16+1),"")</f>
        <v/>
      </c>
    </row>
    <row r="6221" spans="14:14" x14ac:dyDescent="0.3">
      <c r="N6221" t="str" cm="1">
        <f t="array" ref="N6221">IF(MOD(ROW()-ROW($B$2),16)=0,INDEX($M$2:$M$1000,(ROW()-ROW($B$2))/16+1),"")</f>
        <v/>
      </c>
    </row>
    <row r="6222" spans="14:14" x14ac:dyDescent="0.3">
      <c r="N6222" t="str" cm="1">
        <f t="array" ref="N6222">IF(MOD(ROW()-ROW($B$2),16)=0,INDEX($M$2:$M$1000,(ROW()-ROW($B$2))/16+1),"")</f>
        <v/>
      </c>
    </row>
    <row r="6223" spans="14:14" x14ac:dyDescent="0.3">
      <c r="N6223" t="str" cm="1">
        <f t="array" ref="N6223">IF(MOD(ROW()-ROW($B$2),16)=0,INDEX($M$2:$M$1000,(ROW()-ROW($B$2))/16+1),"")</f>
        <v/>
      </c>
    </row>
    <row r="6224" spans="14:14" x14ac:dyDescent="0.3">
      <c r="N6224" t="str" cm="1">
        <f t="array" ref="N6224">IF(MOD(ROW()-ROW($B$2),16)=0,INDEX($M$2:$M$1000,(ROW()-ROW($B$2))/16+1),"")</f>
        <v/>
      </c>
    </row>
    <row r="6225" spans="14:14" x14ac:dyDescent="0.3">
      <c r="N6225" t="str" cm="1">
        <f t="array" ref="N6225">IF(MOD(ROW()-ROW($B$2),16)=0,INDEX($M$2:$M$1000,(ROW()-ROW($B$2))/16+1),"")</f>
        <v/>
      </c>
    </row>
    <row r="6226" spans="14:14" x14ac:dyDescent="0.3">
      <c r="N6226" t="str" cm="1">
        <f t="array" ref="N6226">IF(MOD(ROW()-ROW($B$2),16)=0,INDEX($M$2:$M$1000,(ROW()-ROW($B$2))/16+1),"")</f>
        <v/>
      </c>
    </row>
    <row r="6227" spans="14:14" x14ac:dyDescent="0.3">
      <c r="N6227" t="str" cm="1">
        <f t="array" ref="N6227">IF(MOD(ROW()-ROW($B$2),16)=0,INDEX($M$2:$M$1000,(ROW()-ROW($B$2))/16+1),"")</f>
        <v/>
      </c>
    </row>
    <row r="6228" spans="14:14" x14ac:dyDescent="0.3">
      <c r="N6228" t="str" cm="1">
        <f t="array" ref="N6228">IF(MOD(ROW()-ROW($B$2),16)=0,INDEX($M$2:$M$1000,(ROW()-ROW($B$2))/16+1),"")</f>
        <v/>
      </c>
    </row>
    <row r="6229" spans="14:14" x14ac:dyDescent="0.3">
      <c r="N6229" t="str" cm="1">
        <f t="array" ref="N6229">IF(MOD(ROW()-ROW($B$2),16)=0,INDEX($M$2:$M$1000,(ROW()-ROW($B$2))/16+1),"")</f>
        <v/>
      </c>
    </row>
    <row r="6230" spans="14:14" x14ac:dyDescent="0.3">
      <c r="N6230" t="str" cm="1">
        <f t="array" ref="N6230">IF(MOD(ROW()-ROW($B$2),16)=0,INDEX($M$2:$M$1000,(ROW()-ROW($B$2))/16+1),"")</f>
        <v/>
      </c>
    </row>
    <row r="6231" spans="14:14" x14ac:dyDescent="0.3">
      <c r="N6231" t="str" cm="1">
        <f t="array" ref="N6231">IF(MOD(ROW()-ROW($B$2),16)=0,INDEX($M$2:$M$1000,(ROW()-ROW($B$2))/16+1),"")</f>
        <v/>
      </c>
    </row>
    <row r="6232" spans="14:14" x14ac:dyDescent="0.3">
      <c r="N6232" t="str" cm="1">
        <f t="array" ref="N6232">IF(MOD(ROW()-ROW($B$2),16)=0,INDEX($M$2:$M$1000,(ROW()-ROW($B$2))/16+1),"")</f>
        <v/>
      </c>
    </row>
    <row r="6233" spans="14:14" x14ac:dyDescent="0.3">
      <c r="N6233" t="str" cm="1">
        <f t="array" ref="N6233">IF(MOD(ROW()-ROW($B$2),16)=0,INDEX($M$2:$M$1000,(ROW()-ROW($B$2))/16+1),"")</f>
        <v/>
      </c>
    </row>
    <row r="6234" spans="14:14" x14ac:dyDescent="0.3">
      <c r="N6234" t="str" cm="1">
        <f t="array" ref="N6234">IF(MOD(ROW()-ROW($B$2),16)=0,INDEX($M$2:$M$1000,(ROW()-ROW($B$2))/16+1),"")</f>
        <v/>
      </c>
    </row>
    <row r="6235" spans="14:14" x14ac:dyDescent="0.3">
      <c r="N6235" t="str" cm="1">
        <f t="array" ref="N6235">IF(MOD(ROW()-ROW($B$2),16)=0,INDEX($M$2:$M$1000,(ROW()-ROW($B$2))/16+1),"")</f>
        <v/>
      </c>
    </row>
    <row r="6236" spans="14:14" x14ac:dyDescent="0.3">
      <c r="N6236" t="str" cm="1">
        <f t="array" ref="N6236">IF(MOD(ROW()-ROW($B$2),16)=0,INDEX($M$2:$M$1000,(ROW()-ROW($B$2))/16+1),"")</f>
        <v/>
      </c>
    </row>
    <row r="6237" spans="14:14" x14ac:dyDescent="0.3">
      <c r="N6237" t="str" cm="1">
        <f t="array" ref="N6237">IF(MOD(ROW()-ROW($B$2),16)=0,INDEX($M$2:$M$1000,(ROW()-ROW($B$2))/16+1),"")</f>
        <v/>
      </c>
    </row>
    <row r="6238" spans="14:14" x14ac:dyDescent="0.3">
      <c r="N6238" t="str" cm="1">
        <f t="array" ref="N6238">IF(MOD(ROW()-ROW($B$2),16)=0,INDEX($M$2:$M$1000,(ROW()-ROW($B$2))/16+1),"")</f>
        <v/>
      </c>
    </row>
    <row r="6239" spans="14:14" x14ac:dyDescent="0.3">
      <c r="N6239" t="str" cm="1">
        <f t="array" ref="N6239">IF(MOD(ROW()-ROW($B$2),16)=0,INDEX($M$2:$M$1000,(ROW()-ROW($B$2))/16+1),"")</f>
        <v/>
      </c>
    </row>
    <row r="6240" spans="14:14" x14ac:dyDescent="0.3">
      <c r="N6240" t="str" cm="1">
        <f t="array" ref="N6240">IF(MOD(ROW()-ROW($B$2),16)=0,INDEX($M$2:$M$1000,(ROW()-ROW($B$2))/16+1),"")</f>
        <v/>
      </c>
    </row>
    <row r="6241" spans="14:14" x14ac:dyDescent="0.3">
      <c r="N6241" t="str" cm="1">
        <f t="array" ref="N6241">IF(MOD(ROW()-ROW($B$2),16)=0,INDEX($M$2:$M$1000,(ROW()-ROW($B$2))/16+1),"")</f>
        <v/>
      </c>
    </row>
    <row r="6242" spans="14:14" x14ac:dyDescent="0.3">
      <c r="N6242" t="str" cm="1">
        <f t="array" ref="N6242">IF(MOD(ROW()-ROW($B$2),16)=0,INDEX($M$2:$M$1000,(ROW()-ROW($B$2))/16+1),"")</f>
        <v/>
      </c>
    </row>
    <row r="6243" spans="14:14" x14ac:dyDescent="0.3">
      <c r="N6243" t="str" cm="1">
        <f t="array" ref="N6243">IF(MOD(ROW()-ROW($B$2),16)=0,INDEX($M$2:$M$1000,(ROW()-ROW($B$2))/16+1),"")</f>
        <v/>
      </c>
    </row>
    <row r="6244" spans="14:14" x14ac:dyDescent="0.3">
      <c r="N6244" t="str" cm="1">
        <f t="array" ref="N6244">IF(MOD(ROW()-ROW($B$2),16)=0,INDEX($M$2:$M$1000,(ROW()-ROW($B$2))/16+1),"")</f>
        <v/>
      </c>
    </row>
    <row r="6245" spans="14:14" x14ac:dyDescent="0.3">
      <c r="N6245" t="str" cm="1">
        <f t="array" ref="N6245">IF(MOD(ROW()-ROW($B$2),16)=0,INDEX($M$2:$M$1000,(ROW()-ROW($B$2))/16+1),"")</f>
        <v/>
      </c>
    </row>
    <row r="6246" spans="14:14" x14ac:dyDescent="0.3">
      <c r="N6246" t="str" cm="1">
        <f t="array" ref="N6246">IF(MOD(ROW()-ROW($B$2),16)=0,INDEX($M$2:$M$1000,(ROW()-ROW($B$2))/16+1),"")</f>
        <v/>
      </c>
    </row>
    <row r="6247" spans="14:14" x14ac:dyDescent="0.3">
      <c r="N6247" t="str" cm="1">
        <f t="array" ref="N6247">IF(MOD(ROW()-ROW($B$2),16)=0,INDEX($M$2:$M$1000,(ROW()-ROW($B$2))/16+1),"")</f>
        <v/>
      </c>
    </row>
    <row r="6248" spans="14:14" x14ac:dyDescent="0.3">
      <c r="N6248" t="str" cm="1">
        <f t="array" ref="N6248">IF(MOD(ROW()-ROW($B$2),16)=0,INDEX($M$2:$M$1000,(ROW()-ROW($B$2))/16+1),"")</f>
        <v/>
      </c>
    </row>
    <row r="6249" spans="14:14" x14ac:dyDescent="0.3">
      <c r="N6249" t="str" cm="1">
        <f t="array" ref="N6249">IF(MOD(ROW()-ROW($B$2),16)=0,INDEX($M$2:$M$1000,(ROW()-ROW($B$2))/16+1),"")</f>
        <v/>
      </c>
    </row>
    <row r="6250" spans="14:14" x14ac:dyDescent="0.3">
      <c r="N6250" t="str" cm="1">
        <f t="array" ref="N6250">IF(MOD(ROW()-ROW($B$2),16)=0,INDEX($M$2:$M$1000,(ROW()-ROW($B$2))/16+1),"")</f>
        <v/>
      </c>
    </row>
    <row r="6251" spans="14:14" x14ac:dyDescent="0.3">
      <c r="N6251" t="str" cm="1">
        <f t="array" ref="N6251">IF(MOD(ROW()-ROW($B$2),16)=0,INDEX($M$2:$M$1000,(ROW()-ROW($B$2))/16+1),"")</f>
        <v/>
      </c>
    </row>
    <row r="6252" spans="14:14" x14ac:dyDescent="0.3">
      <c r="N6252" t="str" cm="1">
        <f t="array" ref="N6252">IF(MOD(ROW()-ROW($B$2),16)=0,INDEX($M$2:$M$1000,(ROW()-ROW($B$2))/16+1),"")</f>
        <v/>
      </c>
    </row>
    <row r="6253" spans="14:14" x14ac:dyDescent="0.3">
      <c r="N6253" t="str" cm="1">
        <f t="array" ref="N6253">IF(MOD(ROW()-ROW($B$2),16)=0,INDEX($M$2:$M$1000,(ROW()-ROW($B$2))/16+1),"")</f>
        <v/>
      </c>
    </row>
    <row r="6254" spans="14:14" x14ac:dyDescent="0.3">
      <c r="N6254" t="str" cm="1">
        <f t="array" ref="N6254">IF(MOD(ROW()-ROW($B$2),16)=0,INDEX($M$2:$M$1000,(ROW()-ROW($B$2))/16+1),"")</f>
        <v/>
      </c>
    </row>
    <row r="6255" spans="14:14" x14ac:dyDescent="0.3">
      <c r="N6255" t="str" cm="1">
        <f t="array" ref="N6255">IF(MOD(ROW()-ROW($B$2),16)=0,INDEX($M$2:$M$1000,(ROW()-ROW($B$2))/16+1),"")</f>
        <v/>
      </c>
    </row>
    <row r="6256" spans="14:14" x14ac:dyDescent="0.3">
      <c r="N6256" t="str" cm="1">
        <f t="array" ref="N6256">IF(MOD(ROW()-ROW($B$2),16)=0,INDEX($M$2:$M$1000,(ROW()-ROW($B$2))/16+1),"")</f>
        <v/>
      </c>
    </row>
    <row r="6257" spans="14:14" x14ac:dyDescent="0.3">
      <c r="N6257" t="str" cm="1">
        <f t="array" ref="N6257">IF(MOD(ROW()-ROW($B$2),16)=0,INDEX($M$2:$M$1000,(ROW()-ROW($B$2))/16+1),"")</f>
        <v/>
      </c>
    </row>
    <row r="6258" spans="14:14" x14ac:dyDescent="0.3">
      <c r="N6258" t="str" cm="1">
        <f t="array" ref="N6258">IF(MOD(ROW()-ROW($B$2),16)=0,INDEX($M$2:$M$1000,(ROW()-ROW($B$2))/16+1),"")</f>
        <v/>
      </c>
    </row>
    <row r="6259" spans="14:14" x14ac:dyDescent="0.3">
      <c r="N6259" t="str" cm="1">
        <f t="array" ref="N6259">IF(MOD(ROW()-ROW($B$2),16)=0,INDEX($M$2:$M$1000,(ROW()-ROW($B$2))/16+1),"")</f>
        <v/>
      </c>
    </row>
    <row r="6260" spans="14:14" x14ac:dyDescent="0.3">
      <c r="N6260" t="str" cm="1">
        <f t="array" ref="N6260">IF(MOD(ROW()-ROW($B$2),16)=0,INDEX($M$2:$M$1000,(ROW()-ROW($B$2))/16+1),"")</f>
        <v/>
      </c>
    </row>
    <row r="6261" spans="14:14" x14ac:dyDescent="0.3">
      <c r="N6261" t="str" cm="1">
        <f t="array" ref="N6261">IF(MOD(ROW()-ROW($B$2),16)=0,INDEX($M$2:$M$1000,(ROW()-ROW($B$2))/16+1),"")</f>
        <v/>
      </c>
    </row>
    <row r="6262" spans="14:14" x14ac:dyDescent="0.3">
      <c r="N6262" t="str" cm="1">
        <f t="array" ref="N6262">IF(MOD(ROW()-ROW($B$2),16)=0,INDEX($M$2:$M$1000,(ROW()-ROW($B$2))/16+1),"")</f>
        <v/>
      </c>
    </row>
    <row r="6263" spans="14:14" x14ac:dyDescent="0.3">
      <c r="N6263" t="str" cm="1">
        <f t="array" ref="N6263">IF(MOD(ROW()-ROW($B$2),16)=0,INDEX($M$2:$M$1000,(ROW()-ROW($B$2))/16+1),"")</f>
        <v/>
      </c>
    </row>
    <row r="6264" spans="14:14" x14ac:dyDescent="0.3">
      <c r="N6264" t="str" cm="1">
        <f t="array" ref="N6264">IF(MOD(ROW()-ROW($B$2),16)=0,INDEX($M$2:$M$1000,(ROW()-ROW($B$2))/16+1),"")</f>
        <v/>
      </c>
    </row>
    <row r="6265" spans="14:14" x14ac:dyDescent="0.3">
      <c r="N6265" t="str" cm="1">
        <f t="array" ref="N6265">IF(MOD(ROW()-ROW($B$2),16)=0,INDEX($M$2:$M$1000,(ROW()-ROW($B$2))/16+1),"")</f>
        <v/>
      </c>
    </row>
    <row r="6266" spans="14:14" x14ac:dyDescent="0.3">
      <c r="N6266" t="str" cm="1">
        <f t="array" ref="N6266">IF(MOD(ROW()-ROW($B$2),16)=0,INDEX($M$2:$M$1000,(ROW()-ROW($B$2))/16+1),"")</f>
        <v/>
      </c>
    </row>
    <row r="6267" spans="14:14" x14ac:dyDescent="0.3">
      <c r="N6267" t="str" cm="1">
        <f t="array" ref="N6267">IF(MOD(ROW()-ROW($B$2),16)=0,INDEX($M$2:$M$1000,(ROW()-ROW($B$2))/16+1),"")</f>
        <v/>
      </c>
    </row>
    <row r="6268" spans="14:14" x14ac:dyDescent="0.3">
      <c r="N6268" t="str" cm="1">
        <f t="array" ref="N6268">IF(MOD(ROW()-ROW($B$2),16)=0,INDEX($M$2:$M$1000,(ROW()-ROW($B$2))/16+1),"")</f>
        <v/>
      </c>
    </row>
    <row r="6269" spans="14:14" x14ac:dyDescent="0.3">
      <c r="N6269" t="str" cm="1">
        <f t="array" ref="N6269">IF(MOD(ROW()-ROW($B$2),16)=0,INDEX($M$2:$M$1000,(ROW()-ROW($B$2))/16+1),"")</f>
        <v/>
      </c>
    </row>
    <row r="6270" spans="14:14" x14ac:dyDescent="0.3">
      <c r="N6270" t="str" cm="1">
        <f t="array" ref="N6270">IF(MOD(ROW()-ROW($B$2),16)=0,INDEX($M$2:$M$1000,(ROW()-ROW($B$2))/16+1),"")</f>
        <v/>
      </c>
    </row>
    <row r="6271" spans="14:14" x14ac:dyDescent="0.3">
      <c r="N6271" t="str" cm="1">
        <f t="array" ref="N6271">IF(MOD(ROW()-ROW($B$2),16)=0,INDEX($M$2:$M$1000,(ROW()-ROW($B$2))/16+1),"")</f>
        <v/>
      </c>
    </row>
    <row r="6272" spans="14:14" x14ac:dyDescent="0.3">
      <c r="N6272" t="str" cm="1">
        <f t="array" ref="N6272">IF(MOD(ROW()-ROW($B$2),16)=0,INDEX($M$2:$M$1000,(ROW()-ROW($B$2))/16+1),"")</f>
        <v/>
      </c>
    </row>
    <row r="6273" spans="14:14" x14ac:dyDescent="0.3">
      <c r="N6273" t="str" cm="1">
        <f t="array" ref="N6273">IF(MOD(ROW()-ROW($B$2),16)=0,INDEX($M$2:$M$1000,(ROW()-ROW($B$2))/16+1),"")</f>
        <v/>
      </c>
    </row>
    <row r="6274" spans="14:14" x14ac:dyDescent="0.3">
      <c r="N6274" t="str" cm="1">
        <f t="array" ref="N6274">IF(MOD(ROW()-ROW($B$2),16)=0,INDEX($M$2:$M$1000,(ROW()-ROW($B$2))/16+1),"")</f>
        <v/>
      </c>
    </row>
    <row r="6275" spans="14:14" x14ac:dyDescent="0.3">
      <c r="N6275" t="str" cm="1">
        <f t="array" ref="N6275">IF(MOD(ROW()-ROW($B$2),16)=0,INDEX($M$2:$M$1000,(ROW()-ROW($B$2))/16+1),"")</f>
        <v/>
      </c>
    </row>
    <row r="6276" spans="14:14" x14ac:dyDescent="0.3">
      <c r="N6276" t="str" cm="1">
        <f t="array" ref="N6276">IF(MOD(ROW()-ROW($B$2),16)=0,INDEX($M$2:$M$1000,(ROW()-ROW($B$2))/16+1),"")</f>
        <v/>
      </c>
    </row>
    <row r="6277" spans="14:14" x14ac:dyDescent="0.3">
      <c r="N6277" t="str" cm="1">
        <f t="array" ref="N6277">IF(MOD(ROW()-ROW($B$2),16)=0,INDEX($M$2:$M$1000,(ROW()-ROW($B$2))/16+1),"")</f>
        <v/>
      </c>
    </row>
    <row r="6278" spans="14:14" x14ac:dyDescent="0.3">
      <c r="N6278" t="str" cm="1">
        <f t="array" ref="N6278">IF(MOD(ROW()-ROW($B$2),16)=0,INDEX($M$2:$M$1000,(ROW()-ROW($B$2))/16+1),"")</f>
        <v/>
      </c>
    </row>
    <row r="6279" spans="14:14" x14ac:dyDescent="0.3">
      <c r="N6279" t="str" cm="1">
        <f t="array" ref="N6279">IF(MOD(ROW()-ROW($B$2),16)=0,INDEX($M$2:$M$1000,(ROW()-ROW($B$2))/16+1),"")</f>
        <v/>
      </c>
    </row>
    <row r="6280" spans="14:14" x14ac:dyDescent="0.3">
      <c r="N6280" t="str" cm="1">
        <f t="array" ref="N6280">IF(MOD(ROW()-ROW($B$2),16)=0,INDEX($M$2:$M$1000,(ROW()-ROW($B$2))/16+1),"")</f>
        <v/>
      </c>
    </row>
    <row r="6281" spans="14:14" x14ac:dyDescent="0.3">
      <c r="N6281" t="str" cm="1">
        <f t="array" ref="N6281">IF(MOD(ROW()-ROW($B$2),16)=0,INDEX($M$2:$M$1000,(ROW()-ROW($B$2))/16+1),"")</f>
        <v/>
      </c>
    </row>
    <row r="6282" spans="14:14" x14ac:dyDescent="0.3">
      <c r="N6282" t="str" cm="1">
        <f t="array" ref="N6282">IF(MOD(ROW()-ROW($B$2),16)=0,INDEX($M$2:$M$1000,(ROW()-ROW($B$2))/16+1),"")</f>
        <v/>
      </c>
    </row>
    <row r="6283" spans="14:14" x14ac:dyDescent="0.3">
      <c r="N6283" t="str" cm="1">
        <f t="array" ref="N6283">IF(MOD(ROW()-ROW($B$2),16)=0,INDEX($M$2:$M$1000,(ROW()-ROW($B$2))/16+1),"")</f>
        <v/>
      </c>
    </row>
    <row r="6284" spans="14:14" x14ac:dyDescent="0.3">
      <c r="N6284" t="str" cm="1">
        <f t="array" ref="N6284">IF(MOD(ROW()-ROW($B$2),16)=0,INDEX($M$2:$M$1000,(ROW()-ROW($B$2))/16+1),"")</f>
        <v/>
      </c>
    </row>
    <row r="6285" spans="14:14" x14ac:dyDescent="0.3">
      <c r="N6285" t="str" cm="1">
        <f t="array" ref="N6285">IF(MOD(ROW()-ROW($B$2),16)=0,INDEX($M$2:$M$1000,(ROW()-ROW($B$2))/16+1),"")</f>
        <v/>
      </c>
    </row>
    <row r="6286" spans="14:14" x14ac:dyDescent="0.3">
      <c r="N6286" t="str" cm="1">
        <f t="array" ref="N6286">IF(MOD(ROW()-ROW($B$2),16)=0,INDEX($M$2:$M$1000,(ROW()-ROW($B$2))/16+1),"")</f>
        <v/>
      </c>
    </row>
    <row r="6287" spans="14:14" x14ac:dyDescent="0.3">
      <c r="N6287" t="str" cm="1">
        <f t="array" ref="N6287">IF(MOD(ROW()-ROW($B$2),16)=0,INDEX($M$2:$M$1000,(ROW()-ROW($B$2))/16+1),"")</f>
        <v/>
      </c>
    </row>
    <row r="6288" spans="14:14" x14ac:dyDescent="0.3">
      <c r="N6288" t="str" cm="1">
        <f t="array" ref="N6288">IF(MOD(ROW()-ROW($B$2),16)=0,INDEX($M$2:$M$1000,(ROW()-ROW($B$2))/16+1),"")</f>
        <v/>
      </c>
    </row>
    <row r="6289" spans="14:14" x14ac:dyDescent="0.3">
      <c r="N6289" t="str" cm="1">
        <f t="array" ref="N6289">IF(MOD(ROW()-ROW($B$2),16)=0,INDEX($M$2:$M$1000,(ROW()-ROW($B$2))/16+1),"")</f>
        <v/>
      </c>
    </row>
    <row r="6290" spans="14:14" x14ac:dyDescent="0.3">
      <c r="N6290" t="str" cm="1">
        <f t="array" ref="N6290">IF(MOD(ROW()-ROW($B$2),16)=0,INDEX($M$2:$M$1000,(ROW()-ROW($B$2))/16+1),"")</f>
        <v/>
      </c>
    </row>
    <row r="6291" spans="14:14" x14ac:dyDescent="0.3">
      <c r="N6291" t="str" cm="1">
        <f t="array" ref="N6291">IF(MOD(ROW()-ROW($B$2),16)=0,INDEX($M$2:$M$1000,(ROW()-ROW($B$2))/16+1),"")</f>
        <v/>
      </c>
    </row>
    <row r="6292" spans="14:14" x14ac:dyDescent="0.3">
      <c r="N6292" t="str" cm="1">
        <f t="array" ref="N6292">IF(MOD(ROW()-ROW($B$2),16)=0,INDEX($M$2:$M$1000,(ROW()-ROW($B$2))/16+1),"")</f>
        <v/>
      </c>
    </row>
    <row r="6293" spans="14:14" x14ac:dyDescent="0.3">
      <c r="N6293" t="str" cm="1">
        <f t="array" ref="N6293">IF(MOD(ROW()-ROW($B$2),16)=0,INDEX($M$2:$M$1000,(ROW()-ROW($B$2))/16+1),"")</f>
        <v/>
      </c>
    </row>
    <row r="6294" spans="14:14" x14ac:dyDescent="0.3">
      <c r="N6294" t="str" cm="1">
        <f t="array" ref="N6294">IF(MOD(ROW()-ROW($B$2),16)=0,INDEX($M$2:$M$1000,(ROW()-ROW($B$2))/16+1),"")</f>
        <v/>
      </c>
    </row>
    <row r="6295" spans="14:14" x14ac:dyDescent="0.3">
      <c r="N6295" t="str" cm="1">
        <f t="array" ref="N6295">IF(MOD(ROW()-ROW($B$2),16)=0,INDEX($M$2:$M$1000,(ROW()-ROW($B$2))/16+1),"")</f>
        <v/>
      </c>
    </row>
    <row r="6296" spans="14:14" x14ac:dyDescent="0.3">
      <c r="N6296" t="str" cm="1">
        <f t="array" ref="N6296">IF(MOD(ROW()-ROW($B$2),16)=0,INDEX($M$2:$M$1000,(ROW()-ROW($B$2))/16+1),"")</f>
        <v/>
      </c>
    </row>
    <row r="6297" spans="14:14" x14ac:dyDescent="0.3">
      <c r="N6297" t="str" cm="1">
        <f t="array" ref="N6297">IF(MOD(ROW()-ROW($B$2),16)=0,INDEX($M$2:$M$1000,(ROW()-ROW($B$2))/16+1),"")</f>
        <v/>
      </c>
    </row>
    <row r="6298" spans="14:14" x14ac:dyDescent="0.3">
      <c r="N6298" t="str" cm="1">
        <f t="array" ref="N6298">IF(MOD(ROW()-ROW($B$2),16)=0,INDEX($M$2:$M$1000,(ROW()-ROW($B$2))/16+1),"")</f>
        <v/>
      </c>
    </row>
    <row r="6299" spans="14:14" x14ac:dyDescent="0.3">
      <c r="N6299" t="str" cm="1">
        <f t="array" ref="N6299">IF(MOD(ROW()-ROW($B$2),16)=0,INDEX($M$2:$M$1000,(ROW()-ROW($B$2))/16+1),"")</f>
        <v/>
      </c>
    </row>
    <row r="6300" spans="14:14" x14ac:dyDescent="0.3">
      <c r="N6300" t="str" cm="1">
        <f t="array" ref="N6300">IF(MOD(ROW()-ROW($B$2),16)=0,INDEX($M$2:$M$1000,(ROW()-ROW($B$2))/16+1),"")</f>
        <v/>
      </c>
    </row>
    <row r="6301" spans="14:14" x14ac:dyDescent="0.3">
      <c r="N6301" t="str" cm="1">
        <f t="array" ref="N6301">IF(MOD(ROW()-ROW($B$2),16)=0,INDEX($M$2:$M$1000,(ROW()-ROW($B$2))/16+1),"")</f>
        <v/>
      </c>
    </row>
    <row r="6302" spans="14:14" x14ac:dyDescent="0.3">
      <c r="N6302" t="str" cm="1">
        <f t="array" ref="N6302">IF(MOD(ROW()-ROW($B$2),16)=0,INDEX($M$2:$M$1000,(ROW()-ROW($B$2))/16+1),"")</f>
        <v/>
      </c>
    </row>
    <row r="6303" spans="14:14" x14ac:dyDescent="0.3">
      <c r="N6303" t="str" cm="1">
        <f t="array" ref="N6303">IF(MOD(ROW()-ROW($B$2),16)=0,INDEX($M$2:$M$1000,(ROW()-ROW($B$2))/16+1),"")</f>
        <v/>
      </c>
    </row>
    <row r="6304" spans="14:14" x14ac:dyDescent="0.3">
      <c r="N6304" t="str" cm="1">
        <f t="array" ref="N6304">IF(MOD(ROW()-ROW($B$2),16)=0,INDEX($M$2:$M$1000,(ROW()-ROW($B$2))/16+1),"")</f>
        <v/>
      </c>
    </row>
    <row r="6305" spans="14:14" x14ac:dyDescent="0.3">
      <c r="N6305" t="str" cm="1">
        <f t="array" ref="N6305">IF(MOD(ROW()-ROW($B$2),16)=0,INDEX($M$2:$M$1000,(ROW()-ROW($B$2))/16+1),"")</f>
        <v/>
      </c>
    </row>
    <row r="6306" spans="14:14" x14ac:dyDescent="0.3">
      <c r="N6306" t="str" cm="1">
        <f t="array" ref="N6306">IF(MOD(ROW()-ROW($B$2),16)=0,INDEX($M$2:$M$1000,(ROW()-ROW($B$2))/16+1),"")</f>
        <v/>
      </c>
    </row>
    <row r="6307" spans="14:14" x14ac:dyDescent="0.3">
      <c r="N6307" t="str" cm="1">
        <f t="array" ref="N6307">IF(MOD(ROW()-ROW($B$2),16)=0,INDEX($M$2:$M$1000,(ROW()-ROW($B$2))/16+1),"")</f>
        <v/>
      </c>
    </row>
    <row r="6308" spans="14:14" x14ac:dyDescent="0.3">
      <c r="N6308" t="str" cm="1">
        <f t="array" ref="N6308">IF(MOD(ROW()-ROW($B$2),16)=0,INDEX($M$2:$M$1000,(ROW()-ROW($B$2))/16+1),"")</f>
        <v/>
      </c>
    </row>
    <row r="6309" spans="14:14" x14ac:dyDescent="0.3">
      <c r="N6309" t="str" cm="1">
        <f t="array" ref="N6309">IF(MOD(ROW()-ROW($B$2),16)=0,INDEX($M$2:$M$1000,(ROW()-ROW($B$2))/16+1),"")</f>
        <v/>
      </c>
    </row>
    <row r="6310" spans="14:14" x14ac:dyDescent="0.3">
      <c r="N6310" t="str" cm="1">
        <f t="array" ref="N6310">IF(MOD(ROW()-ROW($B$2),16)=0,INDEX($M$2:$M$1000,(ROW()-ROW($B$2))/16+1),"")</f>
        <v/>
      </c>
    </row>
    <row r="6311" spans="14:14" x14ac:dyDescent="0.3">
      <c r="N6311" t="str" cm="1">
        <f t="array" ref="N6311">IF(MOD(ROW()-ROW($B$2),16)=0,INDEX($M$2:$M$1000,(ROW()-ROW($B$2))/16+1),"")</f>
        <v/>
      </c>
    </row>
    <row r="6312" spans="14:14" x14ac:dyDescent="0.3">
      <c r="N6312" t="str" cm="1">
        <f t="array" ref="N6312">IF(MOD(ROW()-ROW($B$2),16)=0,INDEX($M$2:$M$1000,(ROW()-ROW($B$2))/16+1),"")</f>
        <v/>
      </c>
    </row>
    <row r="6313" spans="14:14" x14ac:dyDescent="0.3">
      <c r="N6313" t="str" cm="1">
        <f t="array" ref="N6313">IF(MOD(ROW()-ROW($B$2),16)=0,INDEX($M$2:$M$1000,(ROW()-ROW($B$2))/16+1),"")</f>
        <v/>
      </c>
    </row>
    <row r="6314" spans="14:14" x14ac:dyDescent="0.3">
      <c r="N6314" t="str" cm="1">
        <f t="array" ref="N6314">IF(MOD(ROW()-ROW($B$2),16)=0,INDEX($M$2:$M$1000,(ROW()-ROW($B$2))/16+1),"")</f>
        <v/>
      </c>
    </row>
    <row r="6315" spans="14:14" x14ac:dyDescent="0.3">
      <c r="N6315" t="str" cm="1">
        <f t="array" ref="N6315">IF(MOD(ROW()-ROW($B$2),16)=0,INDEX($M$2:$M$1000,(ROW()-ROW($B$2))/16+1),"")</f>
        <v/>
      </c>
    </row>
    <row r="6316" spans="14:14" x14ac:dyDescent="0.3">
      <c r="N6316" t="str" cm="1">
        <f t="array" ref="N6316">IF(MOD(ROW()-ROW($B$2),16)=0,INDEX($M$2:$M$1000,(ROW()-ROW($B$2))/16+1),"")</f>
        <v/>
      </c>
    </row>
    <row r="6317" spans="14:14" x14ac:dyDescent="0.3">
      <c r="N6317" t="str" cm="1">
        <f t="array" ref="N6317">IF(MOD(ROW()-ROW($B$2),16)=0,INDEX($M$2:$M$1000,(ROW()-ROW($B$2))/16+1),"")</f>
        <v/>
      </c>
    </row>
    <row r="6318" spans="14:14" x14ac:dyDescent="0.3">
      <c r="N6318" t="str" cm="1">
        <f t="array" ref="N6318">IF(MOD(ROW()-ROW($B$2),16)=0,INDEX($M$2:$M$1000,(ROW()-ROW($B$2))/16+1),"")</f>
        <v/>
      </c>
    </row>
    <row r="6319" spans="14:14" x14ac:dyDescent="0.3">
      <c r="N6319" t="str" cm="1">
        <f t="array" ref="N6319">IF(MOD(ROW()-ROW($B$2),16)=0,INDEX($M$2:$M$1000,(ROW()-ROW($B$2))/16+1),"")</f>
        <v/>
      </c>
    </row>
    <row r="6320" spans="14:14" x14ac:dyDescent="0.3">
      <c r="N6320" t="str" cm="1">
        <f t="array" ref="N6320">IF(MOD(ROW()-ROW($B$2),16)=0,INDEX($M$2:$M$1000,(ROW()-ROW($B$2))/16+1),"")</f>
        <v/>
      </c>
    </row>
    <row r="6321" spans="14:14" x14ac:dyDescent="0.3">
      <c r="N6321" t="str" cm="1">
        <f t="array" ref="N6321">IF(MOD(ROW()-ROW($B$2),16)=0,INDEX($M$2:$M$1000,(ROW()-ROW($B$2))/16+1),"")</f>
        <v/>
      </c>
    </row>
    <row r="6322" spans="14:14" x14ac:dyDescent="0.3">
      <c r="N6322" t="str" cm="1">
        <f t="array" ref="N6322">IF(MOD(ROW()-ROW($B$2),16)=0,INDEX($M$2:$M$1000,(ROW()-ROW($B$2))/16+1),"")</f>
        <v/>
      </c>
    </row>
    <row r="6323" spans="14:14" x14ac:dyDescent="0.3">
      <c r="N6323" t="str" cm="1">
        <f t="array" ref="N6323">IF(MOD(ROW()-ROW($B$2),16)=0,INDEX($M$2:$M$1000,(ROW()-ROW($B$2))/16+1),"")</f>
        <v/>
      </c>
    </row>
    <row r="6324" spans="14:14" x14ac:dyDescent="0.3">
      <c r="N6324" t="str" cm="1">
        <f t="array" ref="N6324">IF(MOD(ROW()-ROW($B$2),16)=0,INDEX($M$2:$M$1000,(ROW()-ROW($B$2))/16+1),"")</f>
        <v/>
      </c>
    </row>
    <row r="6325" spans="14:14" x14ac:dyDescent="0.3">
      <c r="N6325" t="str" cm="1">
        <f t="array" ref="N6325">IF(MOD(ROW()-ROW($B$2),16)=0,INDEX($M$2:$M$1000,(ROW()-ROW($B$2))/16+1),"")</f>
        <v/>
      </c>
    </row>
    <row r="6326" spans="14:14" x14ac:dyDescent="0.3">
      <c r="N6326" t="str" cm="1">
        <f t="array" ref="N6326">IF(MOD(ROW()-ROW($B$2),16)=0,INDEX($M$2:$M$1000,(ROW()-ROW($B$2))/16+1),"")</f>
        <v/>
      </c>
    </row>
    <row r="6327" spans="14:14" x14ac:dyDescent="0.3">
      <c r="N6327" t="str" cm="1">
        <f t="array" ref="N6327">IF(MOD(ROW()-ROW($B$2),16)=0,INDEX($M$2:$M$1000,(ROW()-ROW($B$2))/16+1),"")</f>
        <v/>
      </c>
    </row>
    <row r="6328" spans="14:14" x14ac:dyDescent="0.3">
      <c r="N6328" t="str" cm="1">
        <f t="array" ref="N6328">IF(MOD(ROW()-ROW($B$2),16)=0,INDEX($M$2:$M$1000,(ROW()-ROW($B$2))/16+1),"")</f>
        <v/>
      </c>
    </row>
    <row r="6329" spans="14:14" x14ac:dyDescent="0.3">
      <c r="N6329" t="str" cm="1">
        <f t="array" ref="N6329">IF(MOD(ROW()-ROW($B$2),16)=0,INDEX($M$2:$M$1000,(ROW()-ROW($B$2))/16+1),"")</f>
        <v/>
      </c>
    </row>
    <row r="6330" spans="14:14" x14ac:dyDescent="0.3">
      <c r="N6330" t="str" cm="1">
        <f t="array" ref="N6330">IF(MOD(ROW()-ROW($B$2),16)=0,INDEX($M$2:$M$1000,(ROW()-ROW($B$2))/16+1),"")</f>
        <v/>
      </c>
    </row>
    <row r="6331" spans="14:14" x14ac:dyDescent="0.3">
      <c r="N6331" t="str" cm="1">
        <f t="array" ref="N6331">IF(MOD(ROW()-ROW($B$2),16)=0,INDEX($M$2:$M$1000,(ROW()-ROW($B$2))/16+1),"")</f>
        <v/>
      </c>
    </row>
    <row r="6332" spans="14:14" x14ac:dyDescent="0.3">
      <c r="N6332" t="str" cm="1">
        <f t="array" ref="N6332">IF(MOD(ROW()-ROW($B$2),16)=0,INDEX($M$2:$M$1000,(ROW()-ROW($B$2))/16+1),"")</f>
        <v/>
      </c>
    </row>
    <row r="6333" spans="14:14" x14ac:dyDescent="0.3">
      <c r="N6333" t="str" cm="1">
        <f t="array" ref="N6333">IF(MOD(ROW()-ROW($B$2),16)=0,INDEX($M$2:$M$1000,(ROW()-ROW($B$2))/16+1),"")</f>
        <v/>
      </c>
    </row>
    <row r="6334" spans="14:14" x14ac:dyDescent="0.3">
      <c r="N6334" t="str" cm="1">
        <f t="array" ref="N6334">IF(MOD(ROW()-ROW($B$2),16)=0,INDEX($M$2:$M$1000,(ROW()-ROW($B$2))/16+1),"")</f>
        <v/>
      </c>
    </row>
    <row r="6335" spans="14:14" x14ac:dyDescent="0.3">
      <c r="N6335" t="str" cm="1">
        <f t="array" ref="N6335">IF(MOD(ROW()-ROW($B$2),16)=0,INDEX($M$2:$M$1000,(ROW()-ROW($B$2))/16+1),"")</f>
        <v/>
      </c>
    </row>
    <row r="6336" spans="14:14" x14ac:dyDescent="0.3">
      <c r="N6336" t="str" cm="1">
        <f t="array" ref="N6336">IF(MOD(ROW()-ROW($B$2),16)=0,INDEX($M$2:$M$1000,(ROW()-ROW($B$2))/16+1),"")</f>
        <v/>
      </c>
    </row>
    <row r="6337" spans="14:14" x14ac:dyDescent="0.3">
      <c r="N6337" t="str" cm="1">
        <f t="array" ref="N6337">IF(MOD(ROW()-ROW($B$2),16)=0,INDEX($M$2:$M$1000,(ROW()-ROW($B$2))/16+1),"")</f>
        <v/>
      </c>
    </row>
    <row r="6338" spans="14:14" x14ac:dyDescent="0.3">
      <c r="N6338" t="str" cm="1">
        <f t="array" ref="N6338">IF(MOD(ROW()-ROW($B$2),16)=0,INDEX($M$2:$M$1000,(ROW()-ROW($B$2))/16+1),"")</f>
        <v/>
      </c>
    </row>
    <row r="6339" spans="14:14" x14ac:dyDescent="0.3">
      <c r="N6339" t="str" cm="1">
        <f t="array" ref="N6339">IF(MOD(ROW()-ROW($B$2),16)=0,INDEX($M$2:$M$1000,(ROW()-ROW($B$2))/16+1),"")</f>
        <v/>
      </c>
    </row>
    <row r="6340" spans="14:14" x14ac:dyDescent="0.3">
      <c r="N6340" t="str" cm="1">
        <f t="array" ref="N6340">IF(MOD(ROW()-ROW($B$2),16)=0,INDEX($M$2:$M$1000,(ROW()-ROW($B$2))/16+1),"")</f>
        <v/>
      </c>
    </row>
    <row r="6341" spans="14:14" x14ac:dyDescent="0.3">
      <c r="N6341" t="str" cm="1">
        <f t="array" ref="N6341">IF(MOD(ROW()-ROW($B$2),16)=0,INDEX($M$2:$M$1000,(ROW()-ROW($B$2))/16+1),"")</f>
        <v/>
      </c>
    </row>
    <row r="6342" spans="14:14" x14ac:dyDescent="0.3">
      <c r="N6342" t="str" cm="1">
        <f t="array" ref="N6342">IF(MOD(ROW()-ROW($B$2),16)=0,INDEX($M$2:$M$1000,(ROW()-ROW($B$2))/16+1),"")</f>
        <v/>
      </c>
    </row>
    <row r="6343" spans="14:14" x14ac:dyDescent="0.3">
      <c r="N6343" t="str" cm="1">
        <f t="array" ref="N6343">IF(MOD(ROW()-ROW($B$2),16)=0,INDEX($M$2:$M$1000,(ROW()-ROW($B$2))/16+1),"")</f>
        <v/>
      </c>
    </row>
    <row r="6344" spans="14:14" x14ac:dyDescent="0.3">
      <c r="N6344" t="str" cm="1">
        <f t="array" ref="N6344">IF(MOD(ROW()-ROW($B$2),16)=0,INDEX($M$2:$M$1000,(ROW()-ROW($B$2))/16+1),"")</f>
        <v/>
      </c>
    </row>
    <row r="6345" spans="14:14" x14ac:dyDescent="0.3">
      <c r="N6345" t="str" cm="1">
        <f t="array" ref="N6345">IF(MOD(ROW()-ROW($B$2),16)=0,INDEX($M$2:$M$1000,(ROW()-ROW($B$2))/16+1),"")</f>
        <v/>
      </c>
    </row>
    <row r="6346" spans="14:14" x14ac:dyDescent="0.3">
      <c r="N6346" t="str" cm="1">
        <f t="array" ref="N6346">IF(MOD(ROW()-ROW($B$2),16)=0,INDEX($M$2:$M$1000,(ROW()-ROW($B$2))/16+1),"")</f>
        <v/>
      </c>
    </row>
    <row r="6347" spans="14:14" x14ac:dyDescent="0.3">
      <c r="N6347" t="str" cm="1">
        <f t="array" ref="N6347">IF(MOD(ROW()-ROW($B$2),16)=0,INDEX($M$2:$M$1000,(ROW()-ROW($B$2))/16+1),"")</f>
        <v/>
      </c>
    </row>
    <row r="6348" spans="14:14" x14ac:dyDescent="0.3">
      <c r="N6348" t="str" cm="1">
        <f t="array" ref="N6348">IF(MOD(ROW()-ROW($B$2),16)=0,INDEX($M$2:$M$1000,(ROW()-ROW($B$2))/16+1),"")</f>
        <v/>
      </c>
    </row>
    <row r="6349" spans="14:14" x14ac:dyDescent="0.3">
      <c r="N6349" t="str" cm="1">
        <f t="array" ref="N6349">IF(MOD(ROW()-ROW($B$2),16)=0,INDEX($M$2:$M$1000,(ROW()-ROW($B$2))/16+1),"")</f>
        <v/>
      </c>
    </row>
    <row r="6350" spans="14:14" x14ac:dyDescent="0.3">
      <c r="N6350" t="str" cm="1">
        <f t="array" ref="N6350">IF(MOD(ROW()-ROW($B$2),16)=0,INDEX($M$2:$M$1000,(ROW()-ROW($B$2))/16+1),"")</f>
        <v/>
      </c>
    </row>
    <row r="6351" spans="14:14" x14ac:dyDescent="0.3">
      <c r="N6351" t="str" cm="1">
        <f t="array" ref="N6351">IF(MOD(ROW()-ROW($B$2),16)=0,INDEX($M$2:$M$1000,(ROW()-ROW($B$2))/16+1),"")</f>
        <v/>
      </c>
    </row>
    <row r="6352" spans="14:14" x14ac:dyDescent="0.3">
      <c r="N6352" t="str" cm="1">
        <f t="array" ref="N6352">IF(MOD(ROW()-ROW($B$2),16)=0,INDEX($M$2:$M$1000,(ROW()-ROW($B$2))/16+1),"")</f>
        <v/>
      </c>
    </row>
    <row r="6353" spans="14:14" x14ac:dyDescent="0.3">
      <c r="N6353" t="str" cm="1">
        <f t="array" ref="N6353">IF(MOD(ROW()-ROW($B$2),16)=0,INDEX($M$2:$M$1000,(ROW()-ROW($B$2))/16+1),"")</f>
        <v/>
      </c>
    </row>
    <row r="6354" spans="14:14" x14ac:dyDescent="0.3">
      <c r="N6354" t="str" cm="1">
        <f t="array" ref="N6354">IF(MOD(ROW()-ROW($B$2),16)=0,INDEX($M$2:$M$1000,(ROW()-ROW($B$2))/16+1),"")</f>
        <v/>
      </c>
    </row>
    <row r="6355" spans="14:14" x14ac:dyDescent="0.3">
      <c r="N6355" t="str" cm="1">
        <f t="array" ref="N6355">IF(MOD(ROW()-ROW($B$2),16)=0,INDEX($M$2:$M$1000,(ROW()-ROW($B$2))/16+1),"")</f>
        <v/>
      </c>
    </row>
    <row r="6356" spans="14:14" x14ac:dyDescent="0.3">
      <c r="N6356" t="str" cm="1">
        <f t="array" ref="N6356">IF(MOD(ROW()-ROW($B$2),16)=0,INDEX($M$2:$M$1000,(ROW()-ROW($B$2))/16+1),"")</f>
        <v/>
      </c>
    </row>
    <row r="6357" spans="14:14" x14ac:dyDescent="0.3">
      <c r="N6357" t="str" cm="1">
        <f t="array" ref="N6357">IF(MOD(ROW()-ROW($B$2),16)=0,INDEX($M$2:$M$1000,(ROW()-ROW($B$2))/16+1),"")</f>
        <v/>
      </c>
    </row>
    <row r="6358" spans="14:14" x14ac:dyDescent="0.3">
      <c r="N6358" t="str" cm="1">
        <f t="array" ref="N6358">IF(MOD(ROW()-ROW($B$2),16)=0,INDEX($M$2:$M$1000,(ROW()-ROW($B$2))/16+1),"")</f>
        <v/>
      </c>
    </row>
    <row r="6359" spans="14:14" x14ac:dyDescent="0.3">
      <c r="N6359" t="str" cm="1">
        <f t="array" ref="N6359">IF(MOD(ROW()-ROW($B$2),16)=0,INDEX($M$2:$M$1000,(ROW()-ROW($B$2))/16+1),"")</f>
        <v/>
      </c>
    </row>
    <row r="6360" spans="14:14" x14ac:dyDescent="0.3">
      <c r="N6360" t="str" cm="1">
        <f t="array" ref="N6360">IF(MOD(ROW()-ROW($B$2),16)=0,INDEX($M$2:$M$1000,(ROW()-ROW($B$2))/16+1),"")</f>
        <v/>
      </c>
    </row>
    <row r="6361" spans="14:14" x14ac:dyDescent="0.3">
      <c r="N6361" t="str" cm="1">
        <f t="array" ref="N6361">IF(MOD(ROW()-ROW($B$2),16)=0,INDEX($M$2:$M$1000,(ROW()-ROW($B$2))/16+1),"")</f>
        <v/>
      </c>
    </row>
    <row r="6362" spans="14:14" x14ac:dyDescent="0.3">
      <c r="N6362" t="str" cm="1">
        <f t="array" ref="N6362">IF(MOD(ROW()-ROW($B$2),16)=0,INDEX($M$2:$M$1000,(ROW()-ROW($B$2))/16+1),"")</f>
        <v/>
      </c>
    </row>
    <row r="6363" spans="14:14" x14ac:dyDescent="0.3">
      <c r="N6363" t="str" cm="1">
        <f t="array" ref="N6363">IF(MOD(ROW()-ROW($B$2),16)=0,INDEX($M$2:$M$1000,(ROW()-ROW($B$2))/16+1),"")</f>
        <v/>
      </c>
    </row>
    <row r="6364" spans="14:14" x14ac:dyDescent="0.3">
      <c r="N6364" t="str" cm="1">
        <f t="array" ref="N6364">IF(MOD(ROW()-ROW($B$2),16)=0,INDEX($M$2:$M$1000,(ROW()-ROW($B$2))/16+1),"")</f>
        <v/>
      </c>
    </row>
    <row r="6365" spans="14:14" x14ac:dyDescent="0.3">
      <c r="N6365" t="str" cm="1">
        <f t="array" ref="N6365">IF(MOD(ROW()-ROW($B$2),16)=0,INDEX($M$2:$M$1000,(ROW()-ROW($B$2))/16+1),"")</f>
        <v/>
      </c>
    </row>
    <row r="6366" spans="14:14" x14ac:dyDescent="0.3">
      <c r="N6366" t="str" cm="1">
        <f t="array" ref="N6366">IF(MOD(ROW()-ROW($B$2),16)=0,INDEX($M$2:$M$1000,(ROW()-ROW($B$2))/16+1),"")</f>
        <v/>
      </c>
    </row>
    <row r="6367" spans="14:14" x14ac:dyDescent="0.3">
      <c r="N6367" t="str" cm="1">
        <f t="array" ref="N6367">IF(MOD(ROW()-ROW($B$2),16)=0,INDEX($M$2:$M$1000,(ROW()-ROW($B$2))/16+1),"")</f>
        <v/>
      </c>
    </row>
    <row r="6368" spans="14:14" x14ac:dyDescent="0.3">
      <c r="N6368" t="str" cm="1">
        <f t="array" ref="N6368">IF(MOD(ROW()-ROW($B$2),16)=0,INDEX($M$2:$M$1000,(ROW()-ROW($B$2))/16+1),"")</f>
        <v/>
      </c>
    </row>
    <row r="6369" spans="14:14" x14ac:dyDescent="0.3">
      <c r="N6369" t="str" cm="1">
        <f t="array" ref="N6369">IF(MOD(ROW()-ROW($B$2),16)=0,INDEX($M$2:$M$1000,(ROW()-ROW($B$2))/16+1),"")</f>
        <v/>
      </c>
    </row>
    <row r="6370" spans="14:14" x14ac:dyDescent="0.3">
      <c r="N6370" t="str" cm="1">
        <f t="array" ref="N6370">IF(MOD(ROW()-ROW($B$2),16)=0,INDEX($M$2:$M$1000,(ROW()-ROW($B$2))/16+1),"")</f>
        <v/>
      </c>
    </row>
    <row r="6371" spans="14:14" x14ac:dyDescent="0.3">
      <c r="N6371" t="str" cm="1">
        <f t="array" ref="N6371">IF(MOD(ROW()-ROW($B$2),16)=0,INDEX($M$2:$M$1000,(ROW()-ROW($B$2))/16+1),"")</f>
        <v/>
      </c>
    </row>
    <row r="6372" spans="14:14" x14ac:dyDescent="0.3">
      <c r="N6372" t="str" cm="1">
        <f t="array" ref="N6372">IF(MOD(ROW()-ROW($B$2),16)=0,INDEX($M$2:$M$1000,(ROW()-ROW($B$2))/16+1),"")</f>
        <v/>
      </c>
    </row>
    <row r="6373" spans="14:14" x14ac:dyDescent="0.3">
      <c r="N6373" t="str" cm="1">
        <f t="array" ref="N6373">IF(MOD(ROW()-ROW($B$2),16)=0,INDEX($M$2:$M$1000,(ROW()-ROW($B$2))/16+1),"")</f>
        <v/>
      </c>
    </row>
    <row r="6374" spans="14:14" x14ac:dyDescent="0.3">
      <c r="N6374" t="str" cm="1">
        <f t="array" ref="N6374">IF(MOD(ROW()-ROW($B$2),16)=0,INDEX($M$2:$M$1000,(ROW()-ROW($B$2))/16+1),"")</f>
        <v/>
      </c>
    </row>
    <row r="6375" spans="14:14" x14ac:dyDescent="0.3">
      <c r="N6375" t="str" cm="1">
        <f t="array" ref="N6375">IF(MOD(ROW()-ROW($B$2),16)=0,INDEX($M$2:$M$1000,(ROW()-ROW($B$2))/16+1),"")</f>
        <v/>
      </c>
    </row>
    <row r="6376" spans="14:14" x14ac:dyDescent="0.3">
      <c r="N6376" t="str" cm="1">
        <f t="array" ref="N6376">IF(MOD(ROW()-ROW($B$2),16)=0,INDEX($M$2:$M$1000,(ROW()-ROW($B$2))/16+1),"")</f>
        <v/>
      </c>
    </row>
    <row r="6377" spans="14:14" x14ac:dyDescent="0.3">
      <c r="N6377" t="str" cm="1">
        <f t="array" ref="N6377">IF(MOD(ROW()-ROW($B$2),16)=0,INDEX($M$2:$M$1000,(ROW()-ROW($B$2))/16+1),"")</f>
        <v/>
      </c>
    </row>
    <row r="6378" spans="14:14" x14ac:dyDescent="0.3">
      <c r="N6378" t="str" cm="1">
        <f t="array" ref="N6378">IF(MOD(ROW()-ROW($B$2),16)=0,INDEX($M$2:$M$1000,(ROW()-ROW($B$2))/16+1),"")</f>
        <v/>
      </c>
    </row>
    <row r="6379" spans="14:14" x14ac:dyDescent="0.3">
      <c r="N6379" t="str" cm="1">
        <f t="array" ref="N6379">IF(MOD(ROW()-ROW($B$2),16)=0,INDEX($M$2:$M$1000,(ROW()-ROW($B$2))/16+1),"")</f>
        <v/>
      </c>
    </row>
    <row r="6380" spans="14:14" x14ac:dyDescent="0.3">
      <c r="N6380" t="str" cm="1">
        <f t="array" ref="N6380">IF(MOD(ROW()-ROW($B$2),16)=0,INDEX($M$2:$M$1000,(ROW()-ROW($B$2))/16+1),"")</f>
        <v/>
      </c>
    </row>
    <row r="6381" spans="14:14" x14ac:dyDescent="0.3">
      <c r="N6381" t="str" cm="1">
        <f t="array" ref="N6381">IF(MOD(ROW()-ROW($B$2),16)=0,INDEX($M$2:$M$1000,(ROW()-ROW($B$2))/16+1),"")</f>
        <v/>
      </c>
    </row>
    <row r="6382" spans="14:14" x14ac:dyDescent="0.3">
      <c r="N6382" t="str" cm="1">
        <f t="array" ref="N6382">IF(MOD(ROW()-ROW($B$2),16)=0,INDEX($M$2:$M$1000,(ROW()-ROW($B$2))/16+1),"")</f>
        <v/>
      </c>
    </row>
    <row r="6383" spans="14:14" x14ac:dyDescent="0.3">
      <c r="N6383" t="str" cm="1">
        <f t="array" ref="N6383">IF(MOD(ROW()-ROW($B$2),16)=0,INDEX($M$2:$M$1000,(ROW()-ROW($B$2))/16+1),"")</f>
        <v/>
      </c>
    </row>
    <row r="6384" spans="14:14" x14ac:dyDescent="0.3">
      <c r="N6384" t="str" cm="1">
        <f t="array" ref="N6384">IF(MOD(ROW()-ROW($B$2),16)=0,INDEX($M$2:$M$1000,(ROW()-ROW($B$2))/16+1),"")</f>
        <v/>
      </c>
    </row>
    <row r="6385" spans="14:14" x14ac:dyDescent="0.3">
      <c r="N6385" t="str" cm="1">
        <f t="array" ref="N6385">IF(MOD(ROW()-ROW($B$2),16)=0,INDEX($M$2:$M$1000,(ROW()-ROW($B$2))/16+1),"")</f>
        <v/>
      </c>
    </row>
    <row r="6386" spans="14:14" x14ac:dyDescent="0.3">
      <c r="N6386" t="str" cm="1">
        <f t="array" ref="N6386">IF(MOD(ROW()-ROW($B$2),16)=0,INDEX($M$2:$M$1000,(ROW()-ROW($B$2))/16+1),"")</f>
        <v/>
      </c>
    </row>
    <row r="6387" spans="14:14" x14ac:dyDescent="0.3">
      <c r="N6387" t="str" cm="1">
        <f t="array" ref="N6387">IF(MOD(ROW()-ROW($B$2),16)=0,INDEX($M$2:$M$1000,(ROW()-ROW($B$2))/16+1),"")</f>
        <v/>
      </c>
    </row>
    <row r="6388" spans="14:14" x14ac:dyDescent="0.3">
      <c r="N6388" t="str" cm="1">
        <f t="array" ref="N6388">IF(MOD(ROW()-ROW($B$2),16)=0,INDEX($M$2:$M$1000,(ROW()-ROW($B$2))/16+1),"")</f>
        <v/>
      </c>
    </row>
    <row r="6389" spans="14:14" x14ac:dyDescent="0.3">
      <c r="N6389" t="str" cm="1">
        <f t="array" ref="N6389">IF(MOD(ROW()-ROW($B$2),16)=0,INDEX($M$2:$M$1000,(ROW()-ROW($B$2))/16+1),"")</f>
        <v/>
      </c>
    </row>
    <row r="6390" spans="14:14" x14ac:dyDescent="0.3">
      <c r="N6390" t="str" cm="1">
        <f t="array" ref="N6390">IF(MOD(ROW()-ROW($B$2),16)=0,INDEX($M$2:$M$1000,(ROW()-ROW($B$2))/16+1),"")</f>
        <v/>
      </c>
    </row>
    <row r="6391" spans="14:14" x14ac:dyDescent="0.3">
      <c r="N6391" t="str" cm="1">
        <f t="array" ref="N6391">IF(MOD(ROW()-ROW($B$2),16)=0,INDEX($M$2:$M$1000,(ROW()-ROW($B$2))/16+1),"")</f>
        <v/>
      </c>
    </row>
    <row r="6392" spans="14:14" x14ac:dyDescent="0.3">
      <c r="N6392" t="str" cm="1">
        <f t="array" ref="N6392">IF(MOD(ROW()-ROW($B$2),16)=0,INDEX($M$2:$M$1000,(ROW()-ROW($B$2))/16+1),"")</f>
        <v/>
      </c>
    </row>
    <row r="6393" spans="14:14" x14ac:dyDescent="0.3">
      <c r="N6393" t="str" cm="1">
        <f t="array" ref="N6393">IF(MOD(ROW()-ROW($B$2),16)=0,INDEX($M$2:$M$1000,(ROW()-ROW($B$2))/16+1),"")</f>
        <v/>
      </c>
    </row>
    <row r="6394" spans="14:14" x14ac:dyDescent="0.3">
      <c r="N6394" t="str" cm="1">
        <f t="array" ref="N6394">IF(MOD(ROW()-ROW($B$2),16)=0,INDEX($M$2:$M$1000,(ROW()-ROW($B$2))/16+1),"")</f>
        <v/>
      </c>
    </row>
    <row r="6395" spans="14:14" x14ac:dyDescent="0.3">
      <c r="N6395" t="str" cm="1">
        <f t="array" ref="N6395">IF(MOD(ROW()-ROW($B$2),16)=0,INDEX($M$2:$M$1000,(ROW()-ROW($B$2))/16+1),"")</f>
        <v/>
      </c>
    </row>
    <row r="6396" spans="14:14" x14ac:dyDescent="0.3">
      <c r="N6396" t="str" cm="1">
        <f t="array" ref="N6396">IF(MOD(ROW()-ROW($B$2),16)=0,INDEX($M$2:$M$1000,(ROW()-ROW($B$2))/16+1),"")</f>
        <v/>
      </c>
    </row>
    <row r="6397" spans="14:14" x14ac:dyDescent="0.3">
      <c r="N6397" t="str" cm="1">
        <f t="array" ref="N6397">IF(MOD(ROW()-ROW($B$2),16)=0,INDEX($M$2:$M$1000,(ROW()-ROW($B$2))/16+1),"")</f>
        <v/>
      </c>
    </row>
    <row r="6398" spans="14:14" x14ac:dyDescent="0.3">
      <c r="N6398" t="str" cm="1">
        <f t="array" ref="N6398">IF(MOD(ROW()-ROW($B$2),16)=0,INDEX($M$2:$M$1000,(ROW()-ROW($B$2))/16+1),"")</f>
        <v/>
      </c>
    </row>
    <row r="6399" spans="14:14" x14ac:dyDescent="0.3">
      <c r="N6399" t="str" cm="1">
        <f t="array" ref="N6399">IF(MOD(ROW()-ROW($B$2),16)=0,INDEX($M$2:$M$1000,(ROW()-ROW($B$2))/16+1),"")</f>
        <v/>
      </c>
    </row>
    <row r="6400" spans="14:14" x14ac:dyDescent="0.3">
      <c r="N6400" t="str" cm="1">
        <f t="array" ref="N6400">IF(MOD(ROW()-ROW($B$2),16)=0,INDEX($M$2:$M$1000,(ROW()-ROW($B$2))/16+1),"")</f>
        <v/>
      </c>
    </row>
    <row r="6401" spans="14:14" x14ac:dyDescent="0.3">
      <c r="N6401" t="str" cm="1">
        <f t="array" ref="N6401">IF(MOD(ROW()-ROW($B$2),16)=0,INDEX($M$2:$M$1000,(ROW()-ROW($B$2))/16+1),"")</f>
        <v/>
      </c>
    </row>
    <row r="6402" spans="14:14" x14ac:dyDescent="0.3">
      <c r="N6402" t="str" cm="1">
        <f t="array" ref="N6402">IF(MOD(ROW()-ROW($B$2),16)=0,INDEX($M$2:$M$1000,(ROW()-ROW($B$2))/16+1),"")</f>
        <v/>
      </c>
    </row>
    <row r="6403" spans="14:14" x14ac:dyDescent="0.3">
      <c r="N6403" t="str" cm="1">
        <f t="array" ref="N6403">IF(MOD(ROW()-ROW($B$2),16)=0,INDEX($M$2:$M$1000,(ROW()-ROW($B$2))/16+1),"")</f>
        <v/>
      </c>
    </row>
    <row r="6404" spans="14:14" x14ac:dyDescent="0.3">
      <c r="N6404" t="str" cm="1">
        <f t="array" ref="N6404">IF(MOD(ROW()-ROW($B$2),16)=0,INDEX($M$2:$M$1000,(ROW()-ROW($B$2))/16+1),"")</f>
        <v/>
      </c>
    </row>
    <row r="6405" spans="14:14" x14ac:dyDescent="0.3">
      <c r="N6405" t="str" cm="1">
        <f t="array" ref="N6405">IF(MOD(ROW()-ROW($B$2),16)=0,INDEX($M$2:$M$1000,(ROW()-ROW($B$2))/16+1),"")</f>
        <v/>
      </c>
    </row>
    <row r="6406" spans="14:14" x14ac:dyDescent="0.3">
      <c r="N6406" t="str" cm="1">
        <f t="array" ref="N6406">IF(MOD(ROW()-ROW($B$2),16)=0,INDEX($M$2:$M$1000,(ROW()-ROW($B$2))/16+1),"")</f>
        <v/>
      </c>
    </row>
    <row r="6407" spans="14:14" x14ac:dyDescent="0.3">
      <c r="N6407" t="str" cm="1">
        <f t="array" ref="N6407">IF(MOD(ROW()-ROW($B$2),16)=0,INDEX($M$2:$M$1000,(ROW()-ROW($B$2))/16+1),"")</f>
        <v/>
      </c>
    </row>
    <row r="6408" spans="14:14" x14ac:dyDescent="0.3">
      <c r="N6408" t="str" cm="1">
        <f t="array" ref="N6408">IF(MOD(ROW()-ROW($B$2),16)=0,INDEX($M$2:$M$1000,(ROW()-ROW($B$2))/16+1),"")</f>
        <v/>
      </c>
    </row>
    <row r="6409" spans="14:14" x14ac:dyDescent="0.3">
      <c r="N6409" t="str" cm="1">
        <f t="array" ref="N6409">IF(MOD(ROW()-ROW($B$2),16)=0,INDEX($M$2:$M$1000,(ROW()-ROW($B$2))/16+1),"")</f>
        <v/>
      </c>
    </row>
    <row r="6410" spans="14:14" x14ac:dyDescent="0.3">
      <c r="N6410" t="str" cm="1">
        <f t="array" ref="N6410">IF(MOD(ROW()-ROW($B$2),16)=0,INDEX($M$2:$M$1000,(ROW()-ROW($B$2))/16+1),"")</f>
        <v/>
      </c>
    </row>
    <row r="6411" spans="14:14" x14ac:dyDescent="0.3">
      <c r="N6411" t="str" cm="1">
        <f t="array" ref="N6411">IF(MOD(ROW()-ROW($B$2),16)=0,INDEX($M$2:$M$1000,(ROW()-ROW($B$2))/16+1),"")</f>
        <v/>
      </c>
    </row>
    <row r="6412" spans="14:14" x14ac:dyDescent="0.3">
      <c r="N6412" t="str" cm="1">
        <f t="array" ref="N6412">IF(MOD(ROW()-ROW($B$2),16)=0,INDEX($M$2:$M$1000,(ROW()-ROW($B$2))/16+1),"")</f>
        <v/>
      </c>
    </row>
    <row r="6413" spans="14:14" x14ac:dyDescent="0.3">
      <c r="N6413" t="str" cm="1">
        <f t="array" ref="N6413">IF(MOD(ROW()-ROW($B$2),16)=0,INDEX($M$2:$M$1000,(ROW()-ROW($B$2))/16+1),"")</f>
        <v/>
      </c>
    </row>
    <row r="6414" spans="14:14" x14ac:dyDescent="0.3">
      <c r="N6414" t="str" cm="1">
        <f t="array" ref="N6414">IF(MOD(ROW()-ROW($B$2),16)=0,INDEX($M$2:$M$1000,(ROW()-ROW($B$2))/16+1),"")</f>
        <v/>
      </c>
    </row>
    <row r="6415" spans="14:14" x14ac:dyDescent="0.3">
      <c r="N6415" t="str" cm="1">
        <f t="array" ref="N6415">IF(MOD(ROW()-ROW($B$2),16)=0,INDEX($M$2:$M$1000,(ROW()-ROW($B$2))/16+1),"")</f>
        <v/>
      </c>
    </row>
    <row r="6416" spans="14:14" x14ac:dyDescent="0.3">
      <c r="N6416" t="str" cm="1">
        <f t="array" ref="N6416">IF(MOD(ROW()-ROW($B$2),16)=0,INDEX($M$2:$M$1000,(ROW()-ROW($B$2))/16+1),"")</f>
        <v/>
      </c>
    </row>
    <row r="6417" spans="14:14" x14ac:dyDescent="0.3">
      <c r="N6417" t="str" cm="1">
        <f t="array" ref="N6417">IF(MOD(ROW()-ROW($B$2),16)=0,INDEX($M$2:$M$1000,(ROW()-ROW($B$2))/16+1),"")</f>
        <v/>
      </c>
    </row>
    <row r="6418" spans="14:14" x14ac:dyDescent="0.3">
      <c r="N6418" t="str" cm="1">
        <f t="array" ref="N6418">IF(MOD(ROW()-ROW($B$2),16)=0,INDEX($M$2:$M$1000,(ROW()-ROW($B$2))/16+1),"")</f>
        <v/>
      </c>
    </row>
    <row r="6419" spans="14:14" x14ac:dyDescent="0.3">
      <c r="N6419" t="str" cm="1">
        <f t="array" ref="N6419">IF(MOD(ROW()-ROW($B$2),16)=0,INDEX($M$2:$M$1000,(ROW()-ROW($B$2))/16+1),"")</f>
        <v/>
      </c>
    </row>
    <row r="6420" spans="14:14" x14ac:dyDescent="0.3">
      <c r="N6420" t="str" cm="1">
        <f t="array" ref="N6420">IF(MOD(ROW()-ROW($B$2),16)=0,INDEX($M$2:$M$1000,(ROW()-ROW($B$2))/16+1),"")</f>
        <v/>
      </c>
    </row>
    <row r="6421" spans="14:14" x14ac:dyDescent="0.3">
      <c r="N6421" t="str" cm="1">
        <f t="array" ref="N6421">IF(MOD(ROW()-ROW($B$2),16)=0,INDEX($M$2:$M$1000,(ROW()-ROW($B$2))/16+1),"")</f>
        <v/>
      </c>
    </row>
    <row r="6422" spans="14:14" x14ac:dyDescent="0.3">
      <c r="N6422" t="str" cm="1">
        <f t="array" ref="N6422">IF(MOD(ROW()-ROW($B$2),16)=0,INDEX($M$2:$M$1000,(ROW()-ROW($B$2))/16+1),"")</f>
        <v/>
      </c>
    </row>
    <row r="6423" spans="14:14" x14ac:dyDescent="0.3">
      <c r="N6423" t="str" cm="1">
        <f t="array" ref="N6423">IF(MOD(ROW()-ROW($B$2),16)=0,INDEX($M$2:$M$1000,(ROW()-ROW($B$2))/16+1),"")</f>
        <v/>
      </c>
    </row>
    <row r="6424" spans="14:14" x14ac:dyDescent="0.3">
      <c r="N6424" t="str" cm="1">
        <f t="array" ref="N6424">IF(MOD(ROW()-ROW($B$2),16)=0,INDEX($M$2:$M$1000,(ROW()-ROW($B$2))/16+1),"")</f>
        <v/>
      </c>
    </row>
    <row r="6425" spans="14:14" x14ac:dyDescent="0.3">
      <c r="N6425" t="str" cm="1">
        <f t="array" ref="N6425">IF(MOD(ROW()-ROW($B$2),16)=0,INDEX($M$2:$M$1000,(ROW()-ROW($B$2))/16+1),"")</f>
        <v/>
      </c>
    </row>
    <row r="6426" spans="14:14" x14ac:dyDescent="0.3">
      <c r="N6426" t="str" cm="1">
        <f t="array" ref="N6426">IF(MOD(ROW()-ROW($B$2),16)=0,INDEX($M$2:$M$1000,(ROW()-ROW($B$2))/16+1),"")</f>
        <v/>
      </c>
    </row>
    <row r="6427" spans="14:14" x14ac:dyDescent="0.3">
      <c r="N6427" t="str" cm="1">
        <f t="array" ref="N6427">IF(MOD(ROW()-ROW($B$2),16)=0,INDEX($M$2:$M$1000,(ROW()-ROW($B$2))/16+1),"")</f>
        <v/>
      </c>
    </row>
    <row r="6428" spans="14:14" x14ac:dyDescent="0.3">
      <c r="N6428" t="str" cm="1">
        <f t="array" ref="N6428">IF(MOD(ROW()-ROW($B$2),16)=0,INDEX($M$2:$M$1000,(ROW()-ROW($B$2))/16+1),"")</f>
        <v/>
      </c>
    </row>
    <row r="6429" spans="14:14" x14ac:dyDescent="0.3">
      <c r="N6429" t="str" cm="1">
        <f t="array" ref="N6429">IF(MOD(ROW()-ROW($B$2),16)=0,INDEX($M$2:$M$1000,(ROW()-ROW($B$2))/16+1),"")</f>
        <v/>
      </c>
    </row>
    <row r="6430" spans="14:14" x14ac:dyDescent="0.3">
      <c r="N6430" t="str" cm="1">
        <f t="array" ref="N6430">IF(MOD(ROW()-ROW($B$2),16)=0,INDEX($M$2:$M$1000,(ROW()-ROW($B$2))/16+1),"")</f>
        <v/>
      </c>
    </row>
    <row r="6431" spans="14:14" x14ac:dyDescent="0.3">
      <c r="N6431" t="str" cm="1">
        <f t="array" ref="N6431">IF(MOD(ROW()-ROW($B$2),16)=0,INDEX($M$2:$M$1000,(ROW()-ROW($B$2))/16+1),"")</f>
        <v/>
      </c>
    </row>
    <row r="6432" spans="14:14" x14ac:dyDescent="0.3">
      <c r="N6432" t="str" cm="1">
        <f t="array" ref="N6432">IF(MOD(ROW()-ROW($B$2),16)=0,INDEX($M$2:$M$1000,(ROW()-ROW($B$2))/16+1),"")</f>
        <v/>
      </c>
    </row>
    <row r="6433" spans="14:14" x14ac:dyDescent="0.3">
      <c r="N6433" t="str" cm="1">
        <f t="array" ref="N6433">IF(MOD(ROW()-ROW($B$2),16)=0,INDEX($M$2:$M$1000,(ROW()-ROW($B$2))/16+1),"")</f>
        <v/>
      </c>
    </row>
    <row r="6434" spans="14:14" x14ac:dyDescent="0.3">
      <c r="N6434" t="str" cm="1">
        <f t="array" ref="N6434">IF(MOD(ROW()-ROW($B$2),16)=0,INDEX($M$2:$M$1000,(ROW()-ROW($B$2))/16+1),"")</f>
        <v/>
      </c>
    </row>
    <row r="6435" spans="14:14" x14ac:dyDescent="0.3">
      <c r="N6435" t="str" cm="1">
        <f t="array" ref="N6435">IF(MOD(ROW()-ROW($B$2),16)=0,INDEX($M$2:$M$1000,(ROW()-ROW($B$2))/16+1),"")</f>
        <v/>
      </c>
    </row>
    <row r="6436" spans="14:14" x14ac:dyDescent="0.3">
      <c r="N6436" t="str" cm="1">
        <f t="array" ref="N6436">IF(MOD(ROW()-ROW($B$2),16)=0,INDEX($M$2:$M$1000,(ROW()-ROW($B$2))/16+1),"")</f>
        <v/>
      </c>
    </row>
    <row r="6437" spans="14:14" x14ac:dyDescent="0.3">
      <c r="N6437" t="str" cm="1">
        <f t="array" ref="N6437">IF(MOD(ROW()-ROW($B$2),16)=0,INDEX($M$2:$M$1000,(ROW()-ROW($B$2))/16+1),"")</f>
        <v/>
      </c>
    </row>
    <row r="6438" spans="14:14" x14ac:dyDescent="0.3">
      <c r="N6438" t="str" cm="1">
        <f t="array" ref="N6438">IF(MOD(ROW()-ROW($B$2),16)=0,INDEX($M$2:$M$1000,(ROW()-ROW($B$2))/16+1),"")</f>
        <v/>
      </c>
    </row>
    <row r="6439" spans="14:14" x14ac:dyDescent="0.3">
      <c r="N6439" t="str" cm="1">
        <f t="array" ref="N6439">IF(MOD(ROW()-ROW($B$2),16)=0,INDEX($M$2:$M$1000,(ROW()-ROW($B$2))/16+1),"")</f>
        <v/>
      </c>
    </row>
    <row r="6440" spans="14:14" x14ac:dyDescent="0.3">
      <c r="N6440" t="str" cm="1">
        <f t="array" ref="N6440">IF(MOD(ROW()-ROW($B$2),16)=0,INDEX($M$2:$M$1000,(ROW()-ROW($B$2))/16+1),"")</f>
        <v/>
      </c>
    </row>
    <row r="6441" spans="14:14" x14ac:dyDescent="0.3">
      <c r="N6441" t="str" cm="1">
        <f t="array" ref="N6441">IF(MOD(ROW()-ROW($B$2),16)=0,INDEX($M$2:$M$1000,(ROW()-ROW($B$2))/16+1),"")</f>
        <v/>
      </c>
    </row>
    <row r="6442" spans="14:14" x14ac:dyDescent="0.3">
      <c r="N6442" t="str" cm="1">
        <f t="array" ref="N6442">IF(MOD(ROW()-ROW($B$2),16)=0,INDEX($M$2:$M$1000,(ROW()-ROW($B$2))/16+1),"")</f>
        <v/>
      </c>
    </row>
    <row r="6443" spans="14:14" x14ac:dyDescent="0.3">
      <c r="N6443" t="str" cm="1">
        <f t="array" ref="N6443">IF(MOD(ROW()-ROW($B$2),16)=0,INDEX($M$2:$M$1000,(ROW()-ROW($B$2))/16+1),"")</f>
        <v/>
      </c>
    </row>
    <row r="6444" spans="14:14" x14ac:dyDescent="0.3">
      <c r="N6444" t="str" cm="1">
        <f t="array" ref="N6444">IF(MOD(ROW()-ROW($B$2),16)=0,INDEX($M$2:$M$1000,(ROW()-ROW($B$2))/16+1),"")</f>
        <v/>
      </c>
    </row>
    <row r="6445" spans="14:14" x14ac:dyDescent="0.3">
      <c r="N6445" t="str" cm="1">
        <f t="array" ref="N6445">IF(MOD(ROW()-ROW($B$2),16)=0,INDEX($M$2:$M$1000,(ROW()-ROW($B$2))/16+1),"")</f>
        <v/>
      </c>
    </row>
    <row r="6446" spans="14:14" x14ac:dyDescent="0.3">
      <c r="N6446" t="str" cm="1">
        <f t="array" ref="N6446">IF(MOD(ROW()-ROW($B$2),16)=0,INDEX($M$2:$M$1000,(ROW()-ROW($B$2))/16+1),"")</f>
        <v/>
      </c>
    </row>
    <row r="6447" spans="14:14" x14ac:dyDescent="0.3">
      <c r="N6447" t="str" cm="1">
        <f t="array" ref="N6447">IF(MOD(ROW()-ROW($B$2),16)=0,INDEX($M$2:$M$1000,(ROW()-ROW($B$2))/16+1),"")</f>
        <v/>
      </c>
    </row>
    <row r="6448" spans="14:14" x14ac:dyDescent="0.3">
      <c r="N6448" t="str" cm="1">
        <f t="array" ref="N6448">IF(MOD(ROW()-ROW($B$2),16)=0,INDEX($M$2:$M$1000,(ROW()-ROW($B$2))/16+1),"")</f>
        <v/>
      </c>
    </row>
    <row r="6449" spans="14:14" x14ac:dyDescent="0.3">
      <c r="N6449" t="str" cm="1">
        <f t="array" ref="N6449">IF(MOD(ROW()-ROW($B$2),16)=0,INDEX($M$2:$M$1000,(ROW()-ROW($B$2))/16+1),"")</f>
        <v/>
      </c>
    </row>
    <row r="6450" spans="14:14" x14ac:dyDescent="0.3">
      <c r="N6450" t="str" cm="1">
        <f t="array" ref="N6450">IF(MOD(ROW()-ROW($B$2),16)=0,INDEX($M$2:$M$1000,(ROW()-ROW($B$2))/16+1),"")</f>
        <v/>
      </c>
    </row>
    <row r="6451" spans="14:14" x14ac:dyDescent="0.3">
      <c r="N6451" t="str" cm="1">
        <f t="array" ref="N6451">IF(MOD(ROW()-ROW($B$2),16)=0,INDEX($M$2:$M$1000,(ROW()-ROW($B$2))/16+1),"")</f>
        <v/>
      </c>
    </row>
    <row r="6452" spans="14:14" x14ac:dyDescent="0.3">
      <c r="N6452" t="str" cm="1">
        <f t="array" ref="N6452">IF(MOD(ROW()-ROW($B$2),16)=0,INDEX($M$2:$M$1000,(ROW()-ROW($B$2))/16+1),"")</f>
        <v/>
      </c>
    </row>
    <row r="6453" spans="14:14" x14ac:dyDescent="0.3">
      <c r="N6453" t="str" cm="1">
        <f t="array" ref="N6453">IF(MOD(ROW()-ROW($B$2),16)=0,INDEX($M$2:$M$1000,(ROW()-ROW($B$2))/16+1),"")</f>
        <v/>
      </c>
    </row>
    <row r="6454" spans="14:14" x14ac:dyDescent="0.3">
      <c r="N6454" t="str" cm="1">
        <f t="array" ref="N6454">IF(MOD(ROW()-ROW($B$2),16)=0,INDEX($M$2:$M$1000,(ROW()-ROW($B$2))/16+1),"")</f>
        <v/>
      </c>
    </row>
    <row r="6455" spans="14:14" x14ac:dyDescent="0.3">
      <c r="N6455" t="str" cm="1">
        <f t="array" ref="N6455">IF(MOD(ROW()-ROW($B$2),16)=0,INDEX($M$2:$M$1000,(ROW()-ROW($B$2))/16+1),"")</f>
        <v/>
      </c>
    </row>
    <row r="6456" spans="14:14" x14ac:dyDescent="0.3">
      <c r="N6456" t="str" cm="1">
        <f t="array" ref="N6456">IF(MOD(ROW()-ROW($B$2),16)=0,INDEX($M$2:$M$1000,(ROW()-ROW($B$2))/16+1),"")</f>
        <v/>
      </c>
    </row>
    <row r="6457" spans="14:14" x14ac:dyDescent="0.3">
      <c r="N6457" t="str" cm="1">
        <f t="array" ref="N6457">IF(MOD(ROW()-ROW($B$2),16)=0,INDEX($M$2:$M$1000,(ROW()-ROW($B$2))/16+1),"")</f>
        <v/>
      </c>
    </row>
    <row r="6458" spans="14:14" x14ac:dyDescent="0.3">
      <c r="N6458" t="str" cm="1">
        <f t="array" ref="N6458">IF(MOD(ROW()-ROW($B$2),16)=0,INDEX($M$2:$M$1000,(ROW()-ROW($B$2))/16+1),"")</f>
        <v/>
      </c>
    </row>
    <row r="6459" spans="14:14" x14ac:dyDescent="0.3">
      <c r="N6459" t="str" cm="1">
        <f t="array" ref="N6459">IF(MOD(ROW()-ROW($B$2),16)=0,INDEX($M$2:$M$1000,(ROW()-ROW($B$2))/16+1),"")</f>
        <v/>
      </c>
    </row>
    <row r="6460" spans="14:14" x14ac:dyDescent="0.3">
      <c r="N6460" t="str" cm="1">
        <f t="array" ref="N6460">IF(MOD(ROW()-ROW($B$2),16)=0,INDEX($M$2:$M$1000,(ROW()-ROW($B$2))/16+1),"")</f>
        <v/>
      </c>
    </row>
    <row r="6461" spans="14:14" x14ac:dyDescent="0.3">
      <c r="N6461" t="str" cm="1">
        <f t="array" ref="N6461">IF(MOD(ROW()-ROW($B$2),16)=0,INDEX($M$2:$M$1000,(ROW()-ROW($B$2))/16+1),"")</f>
        <v/>
      </c>
    </row>
    <row r="6462" spans="14:14" x14ac:dyDescent="0.3">
      <c r="N6462" t="str" cm="1">
        <f t="array" ref="N6462">IF(MOD(ROW()-ROW($B$2),16)=0,INDEX($M$2:$M$1000,(ROW()-ROW($B$2))/16+1),"")</f>
        <v/>
      </c>
    </row>
    <row r="6463" spans="14:14" x14ac:dyDescent="0.3">
      <c r="N6463" t="str" cm="1">
        <f t="array" ref="N6463">IF(MOD(ROW()-ROW($B$2),16)=0,INDEX($M$2:$M$1000,(ROW()-ROW($B$2))/16+1),"")</f>
        <v/>
      </c>
    </row>
    <row r="6464" spans="14:14" x14ac:dyDescent="0.3">
      <c r="N6464" t="str" cm="1">
        <f t="array" ref="N6464">IF(MOD(ROW()-ROW($B$2),16)=0,INDEX($M$2:$M$1000,(ROW()-ROW($B$2))/16+1),"")</f>
        <v/>
      </c>
    </row>
    <row r="6465" spans="14:14" x14ac:dyDescent="0.3">
      <c r="N6465" t="str" cm="1">
        <f t="array" ref="N6465">IF(MOD(ROW()-ROW($B$2),16)=0,INDEX($M$2:$M$1000,(ROW()-ROW($B$2))/16+1),"")</f>
        <v/>
      </c>
    </row>
    <row r="6466" spans="14:14" x14ac:dyDescent="0.3">
      <c r="N6466" t="str" cm="1">
        <f t="array" ref="N6466">IF(MOD(ROW()-ROW($B$2),16)=0,INDEX($M$2:$M$1000,(ROW()-ROW($B$2))/16+1),"")</f>
        <v/>
      </c>
    </row>
    <row r="6467" spans="14:14" x14ac:dyDescent="0.3">
      <c r="N6467" t="str" cm="1">
        <f t="array" ref="N6467">IF(MOD(ROW()-ROW($B$2),16)=0,INDEX($M$2:$M$1000,(ROW()-ROW($B$2))/16+1),"")</f>
        <v/>
      </c>
    </row>
    <row r="6468" spans="14:14" x14ac:dyDescent="0.3">
      <c r="N6468" t="str" cm="1">
        <f t="array" ref="N6468">IF(MOD(ROW()-ROW($B$2),16)=0,INDEX($M$2:$M$1000,(ROW()-ROW($B$2))/16+1),"")</f>
        <v/>
      </c>
    </row>
    <row r="6469" spans="14:14" x14ac:dyDescent="0.3">
      <c r="N6469" t="str" cm="1">
        <f t="array" ref="N6469">IF(MOD(ROW()-ROW($B$2),16)=0,INDEX($M$2:$M$1000,(ROW()-ROW($B$2))/16+1),"")</f>
        <v/>
      </c>
    </row>
    <row r="6470" spans="14:14" x14ac:dyDescent="0.3">
      <c r="N6470" t="str" cm="1">
        <f t="array" ref="N6470">IF(MOD(ROW()-ROW($B$2),16)=0,INDEX($M$2:$M$1000,(ROW()-ROW($B$2))/16+1),"")</f>
        <v/>
      </c>
    </row>
    <row r="6471" spans="14:14" x14ac:dyDescent="0.3">
      <c r="N6471" t="str" cm="1">
        <f t="array" ref="N6471">IF(MOD(ROW()-ROW($B$2),16)=0,INDEX($M$2:$M$1000,(ROW()-ROW($B$2))/16+1),"")</f>
        <v/>
      </c>
    </row>
    <row r="6472" spans="14:14" x14ac:dyDescent="0.3">
      <c r="N6472" t="str" cm="1">
        <f t="array" ref="N6472">IF(MOD(ROW()-ROW($B$2),16)=0,INDEX($M$2:$M$1000,(ROW()-ROW($B$2))/16+1),"")</f>
        <v/>
      </c>
    </row>
    <row r="6473" spans="14:14" x14ac:dyDescent="0.3">
      <c r="N6473" t="str" cm="1">
        <f t="array" ref="N6473">IF(MOD(ROW()-ROW($B$2),16)=0,INDEX($M$2:$M$1000,(ROW()-ROW($B$2))/16+1),"")</f>
        <v/>
      </c>
    </row>
    <row r="6474" spans="14:14" x14ac:dyDescent="0.3">
      <c r="N6474" t="str" cm="1">
        <f t="array" ref="N6474">IF(MOD(ROW()-ROW($B$2),16)=0,INDEX($M$2:$M$1000,(ROW()-ROW($B$2))/16+1),"")</f>
        <v/>
      </c>
    </row>
    <row r="6475" spans="14:14" x14ac:dyDescent="0.3">
      <c r="N6475" t="str" cm="1">
        <f t="array" ref="N6475">IF(MOD(ROW()-ROW($B$2),16)=0,INDEX($M$2:$M$1000,(ROW()-ROW($B$2))/16+1),"")</f>
        <v/>
      </c>
    </row>
    <row r="6476" spans="14:14" x14ac:dyDescent="0.3">
      <c r="N6476" t="str" cm="1">
        <f t="array" ref="N6476">IF(MOD(ROW()-ROW($B$2),16)=0,INDEX($M$2:$M$1000,(ROW()-ROW($B$2))/16+1),"")</f>
        <v/>
      </c>
    </row>
    <row r="6477" spans="14:14" x14ac:dyDescent="0.3">
      <c r="N6477" t="str" cm="1">
        <f t="array" ref="N6477">IF(MOD(ROW()-ROW($B$2),16)=0,INDEX($M$2:$M$1000,(ROW()-ROW($B$2))/16+1),"")</f>
        <v/>
      </c>
    </row>
    <row r="6478" spans="14:14" x14ac:dyDescent="0.3">
      <c r="N6478" t="str" cm="1">
        <f t="array" ref="N6478">IF(MOD(ROW()-ROW($B$2),16)=0,INDEX($M$2:$M$1000,(ROW()-ROW($B$2))/16+1),"")</f>
        <v/>
      </c>
    </row>
    <row r="6479" spans="14:14" x14ac:dyDescent="0.3">
      <c r="N6479" t="str" cm="1">
        <f t="array" ref="N6479">IF(MOD(ROW()-ROW($B$2),16)=0,INDEX($M$2:$M$1000,(ROW()-ROW($B$2))/16+1),"")</f>
        <v/>
      </c>
    </row>
    <row r="6480" spans="14:14" x14ac:dyDescent="0.3">
      <c r="N6480" t="str" cm="1">
        <f t="array" ref="N6480">IF(MOD(ROW()-ROW($B$2),16)=0,INDEX($M$2:$M$1000,(ROW()-ROW($B$2))/16+1),"")</f>
        <v/>
      </c>
    </row>
    <row r="6481" spans="14:14" x14ac:dyDescent="0.3">
      <c r="N6481" t="str" cm="1">
        <f t="array" ref="N6481">IF(MOD(ROW()-ROW($B$2),16)=0,INDEX($M$2:$M$1000,(ROW()-ROW($B$2))/16+1),"")</f>
        <v/>
      </c>
    </row>
    <row r="6482" spans="14:14" x14ac:dyDescent="0.3">
      <c r="N6482" t="str" cm="1">
        <f t="array" ref="N6482">IF(MOD(ROW()-ROW($B$2),16)=0,INDEX($M$2:$M$1000,(ROW()-ROW($B$2))/16+1),"")</f>
        <v/>
      </c>
    </row>
    <row r="6483" spans="14:14" x14ac:dyDescent="0.3">
      <c r="N6483" t="str" cm="1">
        <f t="array" ref="N6483">IF(MOD(ROW()-ROW($B$2),16)=0,INDEX($M$2:$M$1000,(ROW()-ROW($B$2))/16+1),"")</f>
        <v/>
      </c>
    </row>
    <row r="6484" spans="14:14" x14ac:dyDescent="0.3">
      <c r="N6484" t="str" cm="1">
        <f t="array" ref="N6484">IF(MOD(ROW()-ROW($B$2),16)=0,INDEX($M$2:$M$1000,(ROW()-ROW($B$2))/16+1),"")</f>
        <v/>
      </c>
    </row>
    <row r="6485" spans="14:14" x14ac:dyDescent="0.3">
      <c r="N6485" t="str" cm="1">
        <f t="array" ref="N6485">IF(MOD(ROW()-ROW($B$2),16)=0,INDEX($M$2:$M$1000,(ROW()-ROW($B$2))/16+1),"")</f>
        <v/>
      </c>
    </row>
    <row r="6486" spans="14:14" x14ac:dyDescent="0.3">
      <c r="N6486" t="str" cm="1">
        <f t="array" ref="N6486">IF(MOD(ROW()-ROW($B$2),16)=0,INDEX($M$2:$M$1000,(ROW()-ROW($B$2))/16+1),"")</f>
        <v/>
      </c>
    </row>
    <row r="6487" spans="14:14" x14ac:dyDescent="0.3">
      <c r="N6487" t="str" cm="1">
        <f t="array" ref="N6487">IF(MOD(ROW()-ROW($B$2),16)=0,INDEX($M$2:$M$1000,(ROW()-ROW($B$2))/16+1),"")</f>
        <v/>
      </c>
    </row>
    <row r="6488" spans="14:14" x14ac:dyDescent="0.3">
      <c r="N6488" t="str" cm="1">
        <f t="array" ref="N6488">IF(MOD(ROW()-ROW($B$2),16)=0,INDEX($M$2:$M$1000,(ROW()-ROW($B$2))/16+1),"")</f>
        <v/>
      </c>
    </row>
    <row r="6489" spans="14:14" x14ac:dyDescent="0.3">
      <c r="N6489" t="str" cm="1">
        <f t="array" ref="N6489">IF(MOD(ROW()-ROW($B$2),16)=0,INDEX($M$2:$M$1000,(ROW()-ROW($B$2))/16+1),"")</f>
        <v/>
      </c>
    </row>
    <row r="6490" spans="14:14" x14ac:dyDescent="0.3">
      <c r="N6490" t="str" cm="1">
        <f t="array" ref="N6490">IF(MOD(ROW()-ROW($B$2),16)=0,INDEX($M$2:$M$1000,(ROW()-ROW($B$2))/16+1),"")</f>
        <v/>
      </c>
    </row>
    <row r="6491" spans="14:14" x14ac:dyDescent="0.3">
      <c r="N6491" t="str" cm="1">
        <f t="array" ref="N6491">IF(MOD(ROW()-ROW($B$2),16)=0,INDEX($M$2:$M$1000,(ROW()-ROW($B$2))/16+1),"")</f>
        <v/>
      </c>
    </row>
    <row r="6492" spans="14:14" x14ac:dyDescent="0.3">
      <c r="N6492" t="str" cm="1">
        <f t="array" ref="N6492">IF(MOD(ROW()-ROW($B$2),16)=0,INDEX($M$2:$M$1000,(ROW()-ROW($B$2))/16+1),"")</f>
        <v/>
      </c>
    </row>
    <row r="6493" spans="14:14" x14ac:dyDescent="0.3">
      <c r="N6493" t="str" cm="1">
        <f t="array" ref="N6493">IF(MOD(ROW()-ROW($B$2),16)=0,INDEX($M$2:$M$1000,(ROW()-ROW($B$2))/16+1),"")</f>
        <v/>
      </c>
    </row>
    <row r="6494" spans="14:14" x14ac:dyDescent="0.3">
      <c r="N6494" t="str" cm="1">
        <f t="array" ref="N6494">IF(MOD(ROW()-ROW($B$2),16)=0,INDEX($M$2:$M$1000,(ROW()-ROW($B$2))/16+1),"")</f>
        <v/>
      </c>
    </row>
    <row r="6495" spans="14:14" x14ac:dyDescent="0.3">
      <c r="N6495" t="str" cm="1">
        <f t="array" ref="N6495">IF(MOD(ROW()-ROW($B$2),16)=0,INDEX($M$2:$M$1000,(ROW()-ROW($B$2))/16+1),"")</f>
        <v/>
      </c>
    </row>
    <row r="6496" spans="14:14" x14ac:dyDescent="0.3">
      <c r="N6496" t="str" cm="1">
        <f t="array" ref="N6496">IF(MOD(ROW()-ROW($B$2),16)=0,INDEX($M$2:$M$1000,(ROW()-ROW($B$2))/16+1),"")</f>
        <v/>
      </c>
    </row>
    <row r="6497" spans="14:14" x14ac:dyDescent="0.3">
      <c r="N6497" t="str" cm="1">
        <f t="array" ref="N6497">IF(MOD(ROW()-ROW($B$2),16)=0,INDEX($M$2:$M$1000,(ROW()-ROW($B$2))/16+1),"")</f>
        <v/>
      </c>
    </row>
    <row r="6498" spans="14:14" x14ac:dyDescent="0.3">
      <c r="N6498" t="str" cm="1">
        <f t="array" ref="N6498">IF(MOD(ROW()-ROW($B$2),16)=0,INDEX($M$2:$M$1000,(ROW()-ROW($B$2))/16+1),"")</f>
        <v/>
      </c>
    </row>
    <row r="6499" spans="14:14" x14ac:dyDescent="0.3">
      <c r="N6499" t="str" cm="1">
        <f t="array" ref="N6499">IF(MOD(ROW()-ROW($B$2),16)=0,INDEX($M$2:$M$1000,(ROW()-ROW($B$2))/16+1),"")</f>
        <v/>
      </c>
    </row>
    <row r="6500" spans="14:14" x14ac:dyDescent="0.3">
      <c r="N6500" t="str" cm="1">
        <f t="array" ref="N6500">IF(MOD(ROW()-ROW($B$2),16)=0,INDEX($M$2:$M$1000,(ROW()-ROW($B$2))/16+1),"")</f>
        <v/>
      </c>
    </row>
    <row r="6501" spans="14:14" x14ac:dyDescent="0.3">
      <c r="N6501" t="str" cm="1">
        <f t="array" ref="N6501">IF(MOD(ROW()-ROW($B$2),16)=0,INDEX($M$2:$M$1000,(ROW()-ROW($B$2))/16+1),"")</f>
        <v/>
      </c>
    </row>
    <row r="6502" spans="14:14" x14ac:dyDescent="0.3">
      <c r="N6502" t="str" cm="1">
        <f t="array" ref="N6502">IF(MOD(ROW()-ROW($B$2),16)=0,INDEX($M$2:$M$1000,(ROW()-ROW($B$2))/16+1),"")</f>
        <v/>
      </c>
    </row>
    <row r="6503" spans="14:14" x14ac:dyDescent="0.3">
      <c r="N6503" t="str" cm="1">
        <f t="array" ref="N6503">IF(MOD(ROW()-ROW($B$2),16)=0,INDEX($M$2:$M$1000,(ROW()-ROW($B$2))/16+1),"")</f>
        <v/>
      </c>
    </row>
    <row r="6504" spans="14:14" x14ac:dyDescent="0.3">
      <c r="N6504" t="str" cm="1">
        <f t="array" ref="N6504">IF(MOD(ROW()-ROW($B$2),16)=0,INDEX($M$2:$M$1000,(ROW()-ROW($B$2))/16+1),"")</f>
        <v/>
      </c>
    </row>
    <row r="6505" spans="14:14" x14ac:dyDescent="0.3">
      <c r="N6505" t="str" cm="1">
        <f t="array" ref="N6505">IF(MOD(ROW()-ROW($B$2),16)=0,INDEX($M$2:$M$1000,(ROW()-ROW($B$2))/16+1),"")</f>
        <v/>
      </c>
    </row>
    <row r="6506" spans="14:14" x14ac:dyDescent="0.3">
      <c r="N6506" t="str" cm="1">
        <f t="array" ref="N6506">IF(MOD(ROW()-ROW($B$2),16)=0,INDEX($M$2:$M$1000,(ROW()-ROW($B$2))/16+1),"")</f>
        <v/>
      </c>
    </row>
    <row r="6507" spans="14:14" x14ac:dyDescent="0.3">
      <c r="N6507" t="str" cm="1">
        <f t="array" ref="N6507">IF(MOD(ROW()-ROW($B$2),16)=0,INDEX($M$2:$M$1000,(ROW()-ROW($B$2))/16+1),"")</f>
        <v/>
      </c>
    </row>
    <row r="6508" spans="14:14" x14ac:dyDescent="0.3">
      <c r="N6508" t="str" cm="1">
        <f t="array" ref="N6508">IF(MOD(ROW()-ROW($B$2),16)=0,INDEX($M$2:$M$1000,(ROW()-ROW($B$2))/16+1),"")</f>
        <v/>
      </c>
    </row>
    <row r="6509" spans="14:14" x14ac:dyDescent="0.3">
      <c r="N6509" t="str" cm="1">
        <f t="array" ref="N6509">IF(MOD(ROW()-ROW($B$2),16)=0,INDEX($M$2:$M$1000,(ROW()-ROW($B$2))/16+1),"")</f>
        <v/>
      </c>
    </row>
    <row r="6510" spans="14:14" x14ac:dyDescent="0.3">
      <c r="N6510" t="str" cm="1">
        <f t="array" ref="N6510">IF(MOD(ROW()-ROW($B$2),16)=0,INDEX($M$2:$M$1000,(ROW()-ROW($B$2))/16+1),"")</f>
        <v/>
      </c>
    </row>
    <row r="6511" spans="14:14" x14ac:dyDescent="0.3">
      <c r="N6511" t="str" cm="1">
        <f t="array" ref="N6511">IF(MOD(ROW()-ROW($B$2),16)=0,INDEX($M$2:$M$1000,(ROW()-ROW($B$2))/16+1),"")</f>
        <v/>
      </c>
    </row>
    <row r="6512" spans="14:14" x14ac:dyDescent="0.3">
      <c r="N6512" t="str" cm="1">
        <f t="array" ref="N6512">IF(MOD(ROW()-ROW($B$2),16)=0,INDEX($M$2:$M$1000,(ROW()-ROW($B$2))/16+1),"")</f>
        <v/>
      </c>
    </row>
    <row r="6513" spans="14:14" x14ac:dyDescent="0.3">
      <c r="N6513" t="str" cm="1">
        <f t="array" ref="N6513">IF(MOD(ROW()-ROW($B$2),16)=0,INDEX($M$2:$M$1000,(ROW()-ROW($B$2))/16+1),"")</f>
        <v/>
      </c>
    </row>
    <row r="6514" spans="14:14" x14ac:dyDescent="0.3">
      <c r="N6514" t="str" cm="1">
        <f t="array" ref="N6514">IF(MOD(ROW()-ROW($B$2),16)=0,INDEX($M$2:$M$1000,(ROW()-ROW($B$2))/16+1),"")</f>
        <v/>
      </c>
    </row>
    <row r="6515" spans="14:14" x14ac:dyDescent="0.3">
      <c r="N6515" t="str" cm="1">
        <f t="array" ref="N6515">IF(MOD(ROW()-ROW($B$2),16)=0,INDEX($M$2:$M$1000,(ROW()-ROW($B$2))/16+1),"")</f>
        <v/>
      </c>
    </row>
    <row r="6516" spans="14:14" x14ac:dyDescent="0.3">
      <c r="N6516" t="str" cm="1">
        <f t="array" ref="N6516">IF(MOD(ROW()-ROW($B$2),16)=0,INDEX($M$2:$M$1000,(ROW()-ROW($B$2))/16+1),"")</f>
        <v/>
      </c>
    </row>
    <row r="6517" spans="14:14" x14ac:dyDescent="0.3">
      <c r="N6517" t="str" cm="1">
        <f t="array" ref="N6517">IF(MOD(ROW()-ROW($B$2),16)=0,INDEX($M$2:$M$1000,(ROW()-ROW($B$2))/16+1),"")</f>
        <v/>
      </c>
    </row>
    <row r="6518" spans="14:14" x14ac:dyDescent="0.3">
      <c r="N6518" t="str" cm="1">
        <f t="array" ref="N6518">IF(MOD(ROW()-ROW($B$2),16)=0,INDEX($M$2:$M$1000,(ROW()-ROW($B$2))/16+1),"")</f>
        <v/>
      </c>
    </row>
    <row r="6519" spans="14:14" x14ac:dyDescent="0.3">
      <c r="N6519" t="str" cm="1">
        <f t="array" ref="N6519">IF(MOD(ROW()-ROW($B$2),16)=0,INDEX($M$2:$M$1000,(ROW()-ROW($B$2))/16+1),"")</f>
        <v/>
      </c>
    </row>
    <row r="6520" spans="14:14" x14ac:dyDescent="0.3">
      <c r="N6520" t="str" cm="1">
        <f t="array" ref="N6520">IF(MOD(ROW()-ROW($B$2),16)=0,INDEX($M$2:$M$1000,(ROW()-ROW($B$2))/16+1),"")</f>
        <v/>
      </c>
    </row>
    <row r="6521" spans="14:14" x14ac:dyDescent="0.3">
      <c r="N6521" t="str" cm="1">
        <f t="array" ref="N6521">IF(MOD(ROW()-ROW($B$2),16)=0,INDEX($M$2:$M$1000,(ROW()-ROW($B$2))/16+1),"")</f>
        <v/>
      </c>
    </row>
    <row r="6522" spans="14:14" x14ac:dyDescent="0.3">
      <c r="N6522" t="str" cm="1">
        <f t="array" ref="N6522">IF(MOD(ROW()-ROW($B$2),16)=0,INDEX($M$2:$M$1000,(ROW()-ROW($B$2))/16+1),"")</f>
        <v/>
      </c>
    </row>
    <row r="6523" spans="14:14" x14ac:dyDescent="0.3">
      <c r="N6523" t="str" cm="1">
        <f t="array" ref="N6523">IF(MOD(ROW()-ROW($B$2),16)=0,INDEX($M$2:$M$1000,(ROW()-ROW($B$2))/16+1),"")</f>
        <v/>
      </c>
    </row>
    <row r="6524" spans="14:14" x14ac:dyDescent="0.3">
      <c r="N6524" t="str" cm="1">
        <f t="array" ref="N6524">IF(MOD(ROW()-ROW($B$2),16)=0,INDEX($M$2:$M$1000,(ROW()-ROW($B$2))/16+1),"")</f>
        <v/>
      </c>
    </row>
    <row r="6525" spans="14:14" x14ac:dyDescent="0.3">
      <c r="N6525" t="str" cm="1">
        <f t="array" ref="N6525">IF(MOD(ROW()-ROW($B$2),16)=0,INDEX($M$2:$M$1000,(ROW()-ROW($B$2))/16+1),"")</f>
        <v/>
      </c>
    </row>
    <row r="6526" spans="14:14" x14ac:dyDescent="0.3">
      <c r="N6526" t="str" cm="1">
        <f t="array" ref="N6526">IF(MOD(ROW()-ROW($B$2),16)=0,INDEX($M$2:$M$1000,(ROW()-ROW($B$2))/16+1),"")</f>
        <v/>
      </c>
    </row>
    <row r="6527" spans="14:14" x14ac:dyDescent="0.3">
      <c r="N6527" t="str" cm="1">
        <f t="array" ref="N6527">IF(MOD(ROW()-ROW($B$2),16)=0,INDEX($M$2:$M$1000,(ROW()-ROW($B$2))/16+1),"")</f>
        <v/>
      </c>
    </row>
    <row r="6528" spans="14:14" x14ac:dyDescent="0.3">
      <c r="N6528" t="str" cm="1">
        <f t="array" ref="N6528">IF(MOD(ROW()-ROW($B$2),16)=0,INDEX($M$2:$M$1000,(ROW()-ROW($B$2))/16+1),"")</f>
        <v/>
      </c>
    </row>
    <row r="6529" spans="14:14" x14ac:dyDescent="0.3">
      <c r="N6529" t="str" cm="1">
        <f t="array" ref="N6529">IF(MOD(ROW()-ROW($B$2),16)=0,INDEX($M$2:$M$1000,(ROW()-ROW($B$2))/16+1),"")</f>
        <v/>
      </c>
    </row>
    <row r="6530" spans="14:14" x14ac:dyDescent="0.3">
      <c r="N6530" t="str" cm="1">
        <f t="array" ref="N6530">IF(MOD(ROW()-ROW($B$2),16)=0,INDEX($M$2:$M$1000,(ROW()-ROW($B$2))/16+1),"")</f>
        <v/>
      </c>
    </row>
    <row r="6531" spans="14:14" x14ac:dyDescent="0.3">
      <c r="N6531" t="str" cm="1">
        <f t="array" ref="N6531">IF(MOD(ROW()-ROW($B$2),16)=0,INDEX($M$2:$M$1000,(ROW()-ROW($B$2))/16+1),"")</f>
        <v/>
      </c>
    </row>
    <row r="6532" spans="14:14" x14ac:dyDescent="0.3">
      <c r="N6532" t="str" cm="1">
        <f t="array" ref="N6532">IF(MOD(ROW()-ROW($B$2),16)=0,INDEX($M$2:$M$1000,(ROW()-ROW($B$2))/16+1),"")</f>
        <v/>
      </c>
    </row>
    <row r="6533" spans="14:14" x14ac:dyDescent="0.3">
      <c r="N6533" t="str" cm="1">
        <f t="array" ref="N6533">IF(MOD(ROW()-ROW($B$2),16)=0,INDEX($M$2:$M$1000,(ROW()-ROW($B$2))/16+1),"")</f>
        <v/>
      </c>
    </row>
    <row r="6534" spans="14:14" x14ac:dyDescent="0.3">
      <c r="N6534" t="str" cm="1">
        <f t="array" ref="N6534">IF(MOD(ROW()-ROW($B$2),16)=0,INDEX($M$2:$M$1000,(ROW()-ROW($B$2))/16+1),"")</f>
        <v/>
      </c>
    </row>
    <row r="6535" spans="14:14" x14ac:dyDescent="0.3">
      <c r="N6535" t="str" cm="1">
        <f t="array" ref="N6535">IF(MOD(ROW()-ROW($B$2),16)=0,INDEX($M$2:$M$1000,(ROW()-ROW($B$2))/16+1),"")</f>
        <v/>
      </c>
    </row>
    <row r="6536" spans="14:14" x14ac:dyDescent="0.3">
      <c r="N6536" t="str" cm="1">
        <f t="array" ref="N6536">IF(MOD(ROW()-ROW($B$2),16)=0,INDEX($M$2:$M$1000,(ROW()-ROW($B$2))/16+1),"")</f>
        <v/>
      </c>
    </row>
    <row r="6537" spans="14:14" x14ac:dyDescent="0.3">
      <c r="N6537" t="str" cm="1">
        <f t="array" ref="N6537">IF(MOD(ROW()-ROW($B$2),16)=0,INDEX($M$2:$M$1000,(ROW()-ROW($B$2))/16+1),"")</f>
        <v/>
      </c>
    </row>
    <row r="6538" spans="14:14" x14ac:dyDescent="0.3">
      <c r="N6538" t="str" cm="1">
        <f t="array" ref="N6538">IF(MOD(ROW()-ROW($B$2),16)=0,INDEX($M$2:$M$1000,(ROW()-ROW($B$2))/16+1),"")</f>
        <v/>
      </c>
    </row>
    <row r="6539" spans="14:14" x14ac:dyDescent="0.3">
      <c r="N6539" t="str" cm="1">
        <f t="array" ref="N6539">IF(MOD(ROW()-ROW($B$2),16)=0,INDEX($M$2:$M$1000,(ROW()-ROW($B$2))/16+1),"")</f>
        <v/>
      </c>
    </row>
    <row r="6540" spans="14:14" x14ac:dyDescent="0.3">
      <c r="N6540" t="str" cm="1">
        <f t="array" ref="N6540">IF(MOD(ROW()-ROW($B$2),16)=0,INDEX($M$2:$M$1000,(ROW()-ROW($B$2))/16+1),"")</f>
        <v/>
      </c>
    </row>
    <row r="6541" spans="14:14" x14ac:dyDescent="0.3">
      <c r="N6541" t="str" cm="1">
        <f t="array" ref="N6541">IF(MOD(ROW()-ROW($B$2),16)=0,INDEX($M$2:$M$1000,(ROW()-ROW($B$2))/16+1),"")</f>
        <v/>
      </c>
    </row>
    <row r="6542" spans="14:14" x14ac:dyDescent="0.3">
      <c r="N6542" t="str" cm="1">
        <f t="array" ref="N6542">IF(MOD(ROW()-ROW($B$2),16)=0,INDEX($M$2:$M$1000,(ROW()-ROW($B$2))/16+1),"")</f>
        <v/>
      </c>
    </row>
    <row r="6543" spans="14:14" x14ac:dyDescent="0.3">
      <c r="N6543" t="str" cm="1">
        <f t="array" ref="N6543">IF(MOD(ROW()-ROW($B$2),16)=0,INDEX($M$2:$M$1000,(ROW()-ROW($B$2))/16+1),"")</f>
        <v/>
      </c>
    </row>
    <row r="6544" spans="14:14" x14ac:dyDescent="0.3">
      <c r="N6544" t="str" cm="1">
        <f t="array" ref="N6544">IF(MOD(ROW()-ROW($B$2),16)=0,INDEX($M$2:$M$1000,(ROW()-ROW($B$2))/16+1),"")</f>
        <v/>
      </c>
    </row>
    <row r="6545" spans="14:14" x14ac:dyDescent="0.3">
      <c r="N6545" t="str" cm="1">
        <f t="array" ref="N6545">IF(MOD(ROW()-ROW($B$2),16)=0,INDEX($M$2:$M$1000,(ROW()-ROW($B$2))/16+1),"")</f>
        <v/>
      </c>
    </row>
    <row r="6546" spans="14:14" x14ac:dyDescent="0.3">
      <c r="N6546" t="str" cm="1">
        <f t="array" ref="N6546">IF(MOD(ROW()-ROW($B$2),16)=0,INDEX($M$2:$M$1000,(ROW()-ROW($B$2))/16+1),"")</f>
        <v/>
      </c>
    </row>
    <row r="6547" spans="14:14" x14ac:dyDescent="0.3">
      <c r="N6547" t="str" cm="1">
        <f t="array" ref="N6547">IF(MOD(ROW()-ROW($B$2),16)=0,INDEX($M$2:$M$1000,(ROW()-ROW($B$2))/16+1),"")</f>
        <v/>
      </c>
    </row>
    <row r="6548" spans="14:14" x14ac:dyDescent="0.3">
      <c r="N6548" t="str" cm="1">
        <f t="array" ref="N6548">IF(MOD(ROW()-ROW($B$2),16)=0,INDEX($M$2:$M$1000,(ROW()-ROW($B$2))/16+1),"")</f>
        <v/>
      </c>
    </row>
    <row r="6549" spans="14:14" x14ac:dyDescent="0.3">
      <c r="N6549" t="str" cm="1">
        <f t="array" ref="N6549">IF(MOD(ROW()-ROW($B$2),16)=0,INDEX($M$2:$M$1000,(ROW()-ROW($B$2))/16+1),"")</f>
        <v/>
      </c>
    </row>
    <row r="6550" spans="14:14" x14ac:dyDescent="0.3">
      <c r="N6550" t="str" cm="1">
        <f t="array" ref="N6550">IF(MOD(ROW()-ROW($B$2),16)=0,INDEX($M$2:$M$1000,(ROW()-ROW($B$2))/16+1),"")</f>
        <v/>
      </c>
    </row>
    <row r="6551" spans="14:14" x14ac:dyDescent="0.3">
      <c r="N6551" t="str" cm="1">
        <f t="array" ref="N6551">IF(MOD(ROW()-ROW($B$2),16)=0,INDEX($M$2:$M$1000,(ROW()-ROW($B$2))/16+1),"")</f>
        <v/>
      </c>
    </row>
    <row r="6552" spans="14:14" x14ac:dyDescent="0.3">
      <c r="N6552" t="str" cm="1">
        <f t="array" ref="N6552">IF(MOD(ROW()-ROW($B$2),16)=0,INDEX($M$2:$M$1000,(ROW()-ROW($B$2))/16+1),"")</f>
        <v/>
      </c>
    </row>
    <row r="6553" spans="14:14" x14ac:dyDescent="0.3">
      <c r="N6553" t="str" cm="1">
        <f t="array" ref="N6553">IF(MOD(ROW()-ROW($B$2),16)=0,INDEX($M$2:$M$1000,(ROW()-ROW($B$2))/16+1),"")</f>
        <v/>
      </c>
    </row>
    <row r="6554" spans="14:14" x14ac:dyDescent="0.3">
      <c r="N6554" t="str" cm="1">
        <f t="array" ref="N6554">IF(MOD(ROW()-ROW($B$2),16)=0,INDEX($M$2:$M$1000,(ROW()-ROW($B$2))/16+1),"")</f>
        <v/>
      </c>
    </row>
    <row r="6555" spans="14:14" x14ac:dyDescent="0.3">
      <c r="N6555" t="str" cm="1">
        <f t="array" ref="N6555">IF(MOD(ROW()-ROW($B$2),16)=0,INDEX($M$2:$M$1000,(ROW()-ROW($B$2))/16+1),"")</f>
        <v/>
      </c>
    </row>
    <row r="6556" spans="14:14" x14ac:dyDescent="0.3">
      <c r="N6556" t="str" cm="1">
        <f t="array" ref="N6556">IF(MOD(ROW()-ROW($B$2),16)=0,INDEX($M$2:$M$1000,(ROW()-ROW($B$2))/16+1),"")</f>
        <v/>
      </c>
    </row>
    <row r="6557" spans="14:14" x14ac:dyDescent="0.3">
      <c r="N6557" t="str" cm="1">
        <f t="array" ref="N6557">IF(MOD(ROW()-ROW($B$2),16)=0,INDEX($M$2:$M$1000,(ROW()-ROW($B$2))/16+1),"")</f>
        <v/>
      </c>
    </row>
    <row r="6558" spans="14:14" x14ac:dyDescent="0.3">
      <c r="N6558" t="str" cm="1">
        <f t="array" ref="N6558">IF(MOD(ROW()-ROW($B$2),16)=0,INDEX($M$2:$M$1000,(ROW()-ROW($B$2))/16+1),"")</f>
        <v/>
      </c>
    </row>
    <row r="6559" spans="14:14" x14ac:dyDescent="0.3">
      <c r="N6559" t="str" cm="1">
        <f t="array" ref="N6559">IF(MOD(ROW()-ROW($B$2),16)=0,INDEX($M$2:$M$1000,(ROW()-ROW($B$2))/16+1),"")</f>
        <v/>
      </c>
    </row>
    <row r="6560" spans="14:14" x14ac:dyDescent="0.3">
      <c r="N6560" t="str" cm="1">
        <f t="array" ref="N6560">IF(MOD(ROW()-ROW($B$2),16)=0,INDEX($M$2:$M$1000,(ROW()-ROW($B$2))/16+1),"")</f>
        <v/>
      </c>
    </row>
    <row r="6561" spans="14:14" x14ac:dyDescent="0.3">
      <c r="N6561" t="str" cm="1">
        <f t="array" ref="N6561">IF(MOD(ROW()-ROW($B$2),16)=0,INDEX($M$2:$M$1000,(ROW()-ROW($B$2))/16+1),"")</f>
        <v/>
      </c>
    </row>
    <row r="6562" spans="14:14" x14ac:dyDescent="0.3">
      <c r="N6562" t="str" cm="1">
        <f t="array" ref="N6562">IF(MOD(ROW()-ROW($B$2),16)=0,INDEX($M$2:$M$1000,(ROW()-ROW($B$2))/16+1),"")</f>
        <v/>
      </c>
    </row>
    <row r="6563" spans="14:14" x14ac:dyDescent="0.3">
      <c r="N6563" t="str" cm="1">
        <f t="array" ref="N6563">IF(MOD(ROW()-ROW($B$2),16)=0,INDEX($M$2:$M$1000,(ROW()-ROW($B$2))/16+1),"")</f>
        <v/>
      </c>
    </row>
    <row r="6564" spans="14:14" x14ac:dyDescent="0.3">
      <c r="N6564" t="str" cm="1">
        <f t="array" ref="N6564">IF(MOD(ROW()-ROW($B$2),16)=0,INDEX($M$2:$M$1000,(ROW()-ROW($B$2))/16+1),"")</f>
        <v/>
      </c>
    </row>
    <row r="6565" spans="14:14" x14ac:dyDescent="0.3">
      <c r="N6565" t="str" cm="1">
        <f t="array" ref="N6565">IF(MOD(ROW()-ROW($B$2),16)=0,INDEX($M$2:$M$1000,(ROW()-ROW($B$2))/16+1),"")</f>
        <v/>
      </c>
    </row>
    <row r="6566" spans="14:14" x14ac:dyDescent="0.3">
      <c r="N6566" t="str" cm="1">
        <f t="array" ref="N6566">IF(MOD(ROW()-ROW($B$2),16)=0,INDEX($M$2:$M$1000,(ROW()-ROW($B$2))/16+1),"")</f>
        <v/>
      </c>
    </row>
    <row r="6567" spans="14:14" x14ac:dyDescent="0.3">
      <c r="N6567" t="str" cm="1">
        <f t="array" ref="N6567">IF(MOD(ROW()-ROW($B$2),16)=0,INDEX($M$2:$M$1000,(ROW()-ROW($B$2))/16+1),"")</f>
        <v/>
      </c>
    </row>
    <row r="6568" spans="14:14" x14ac:dyDescent="0.3">
      <c r="N6568" t="str" cm="1">
        <f t="array" ref="N6568">IF(MOD(ROW()-ROW($B$2),16)=0,INDEX($M$2:$M$1000,(ROW()-ROW($B$2))/16+1),"")</f>
        <v/>
      </c>
    </row>
    <row r="6569" spans="14:14" x14ac:dyDescent="0.3">
      <c r="N6569" t="str" cm="1">
        <f t="array" ref="N6569">IF(MOD(ROW()-ROW($B$2),16)=0,INDEX($M$2:$M$1000,(ROW()-ROW($B$2))/16+1),"")</f>
        <v/>
      </c>
    </row>
    <row r="6570" spans="14:14" x14ac:dyDescent="0.3">
      <c r="N6570" t="str" cm="1">
        <f t="array" ref="N6570">IF(MOD(ROW()-ROW($B$2),16)=0,INDEX($M$2:$M$1000,(ROW()-ROW($B$2))/16+1),"")</f>
        <v/>
      </c>
    </row>
    <row r="6571" spans="14:14" x14ac:dyDescent="0.3">
      <c r="N6571" t="str" cm="1">
        <f t="array" ref="N6571">IF(MOD(ROW()-ROW($B$2),16)=0,INDEX($M$2:$M$1000,(ROW()-ROW($B$2))/16+1),"")</f>
        <v/>
      </c>
    </row>
    <row r="6572" spans="14:14" x14ac:dyDescent="0.3">
      <c r="N6572" t="str" cm="1">
        <f t="array" ref="N6572">IF(MOD(ROW()-ROW($B$2),16)=0,INDEX($M$2:$M$1000,(ROW()-ROW($B$2))/16+1),"")</f>
        <v/>
      </c>
    </row>
    <row r="6573" spans="14:14" x14ac:dyDescent="0.3">
      <c r="N6573" t="str" cm="1">
        <f t="array" ref="N6573">IF(MOD(ROW()-ROW($B$2),16)=0,INDEX($M$2:$M$1000,(ROW()-ROW($B$2))/16+1),"")</f>
        <v/>
      </c>
    </row>
    <row r="6574" spans="14:14" x14ac:dyDescent="0.3">
      <c r="N6574" t="str" cm="1">
        <f t="array" ref="N6574">IF(MOD(ROW()-ROW($B$2),16)=0,INDEX($M$2:$M$1000,(ROW()-ROW($B$2))/16+1),"")</f>
        <v/>
      </c>
    </row>
    <row r="6575" spans="14:14" x14ac:dyDescent="0.3">
      <c r="N6575" t="str" cm="1">
        <f t="array" ref="N6575">IF(MOD(ROW()-ROW($B$2),16)=0,INDEX($M$2:$M$1000,(ROW()-ROW($B$2))/16+1),"")</f>
        <v/>
      </c>
    </row>
    <row r="6576" spans="14:14" x14ac:dyDescent="0.3">
      <c r="N6576" t="str" cm="1">
        <f t="array" ref="N6576">IF(MOD(ROW()-ROW($B$2),16)=0,INDEX($M$2:$M$1000,(ROW()-ROW($B$2))/16+1),"")</f>
        <v/>
      </c>
    </row>
    <row r="6577" spans="14:14" x14ac:dyDescent="0.3">
      <c r="N6577" t="str" cm="1">
        <f t="array" ref="N6577">IF(MOD(ROW()-ROW($B$2),16)=0,INDEX($M$2:$M$1000,(ROW()-ROW($B$2))/16+1),"")</f>
        <v/>
      </c>
    </row>
    <row r="6578" spans="14:14" x14ac:dyDescent="0.3">
      <c r="N6578" t="str" cm="1">
        <f t="array" ref="N6578">IF(MOD(ROW()-ROW($B$2),16)=0,INDEX($M$2:$M$1000,(ROW()-ROW($B$2))/16+1),"")</f>
        <v/>
      </c>
    </row>
    <row r="6579" spans="14:14" x14ac:dyDescent="0.3">
      <c r="N6579" t="str" cm="1">
        <f t="array" ref="N6579">IF(MOD(ROW()-ROW($B$2),16)=0,INDEX($M$2:$M$1000,(ROW()-ROW($B$2))/16+1),"")</f>
        <v/>
      </c>
    </row>
    <row r="6580" spans="14:14" x14ac:dyDescent="0.3">
      <c r="N6580" t="str" cm="1">
        <f t="array" ref="N6580">IF(MOD(ROW()-ROW($B$2),16)=0,INDEX($M$2:$M$1000,(ROW()-ROW($B$2))/16+1),"")</f>
        <v/>
      </c>
    </row>
    <row r="6581" spans="14:14" x14ac:dyDescent="0.3">
      <c r="N6581" t="str" cm="1">
        <f t="array" ref="N6581">IF(MOD(ROW()-ROW($B$2),16)=0,INDEX($M$2:$M$1000,(ROW()-ROW($B$2))/16+1),"")</f>
        <v/>
      </c>
    </row>
    <row r="6582" spans="14:14" x14ac:dyDescent="0.3">
      <c r="N6582" t="str" cm="1">
        <f t="array" ref="N6582">IF(MOD(ROW()-ROW($B$2),16)=0,INDEX($M$2:$M$1000,(ROW()-ROW($B$2))/16+1),"")</f>
        <v/>
      </c>
    </row>
    <row r="6583" spans="14:14" x14ac:dyDescent="0.3">
      <c r="N6583" t="str" cm="1">
        <f t="array" ref="N6583">IF(MOD(ROW()-ROW($B$2),16)=0,INDEX($M$2:$M$1000,(ROW()-ROW($B$2))/16+1),"")</f>
        <v/>
      </c>
    </row>
    <row r="6584" spans="14:14" x14ac:dyDescent="0.3">
      <c r="N6584" t="str" cm="1">
        <f t="array" ref="N6584">IF(MOD(ROW()-ROW($B$2),16)=0,INDEX($M$2:$M$1000,(ROW()-ROW($B$2))/16+1),"")</f>
        <v/>
      </c>
    </row>
    <row r="6585" spans="14:14" x14ac:dyDescent="0.3">
      <c r="N6585" t="str" cm="1">
        <f t="array" ref="N6585">IF(MOD(ROW()-ROW($B$2),16)=0,INDEX($M$2:$M$1000,(ROW()-ROW($B$2))/16+1),"")</f>
        <v/>
      </c>
    </row>
    <row r="6586" spans="14:14" x14ac:dyDescent="0.3">
      <c r="N6586" t="str" cm="1">
        <f t="array" ref="N6586">IF(MOD(ROW()-ROW($B$2),16)=0,INDEX($M$2:$M$1000,(ROW()-ROW($B$2))/16+1),"")</f>
        <v/>
      </c>
    </row>
    <row r="6587" spans="14:14" x14ac:dyDescent="0.3">
      <c r="N6587" t="str" cm="1">
        <f t="array" ref="N6587">IF(MOD(ROW()-ROW($B$2),16)=0,INDEX($M$2:$M$1000,(ROW()-ROW($B$2))/16+1),"")</f>
        <v/>
      </c>
    </row>
    <row r="6588" spans="14:14" x14ac:dyDescent="0.3">
      <c r="N6588" t="str" cm="1">
        <f t="array" ref="N6588">IF(MOD(ROW()-ROW($B$2),16)=0,INDEX($M$2:$M$1000,(ROW()-ROW($B$2))/16+1),"")</f>
        <v/>
      </c>
    </row>
    <row r="6589" spans="14:14" x14ac:dyDescent="0.3">
      <c r="N6589" t="str" cm="1">
        <f t="array" ref="N6589">IF(MOD(ROW()-ROW($B$2),16)=0,INDEX($M$2:$M$1000,(ROW()-ROW($B$2))/16+1),"")</f>
        <v/>
      </c>
    </row>
    <row r="6590" spans="14:14" x14ac:dyDescent="0.3">
      <c r="N6590" t="str" cm="1">
        <f t="array" ref="N6590">IF(MOD(ROW()-ROW($B$2),16)=0,INDEX($M$2:$M$1000,(ROW()-ROW($B$2))/16+1),"")</f>
        <v/>
      </c>
    </row>
    <row r="6591" spans="14:14" x14ac:dyDescent="0.3">
      <c r="N6591" t="str" cm="1">
        <f t="array" ref="N6591">IF(MOD(ROW()-ROW($B$2),16)=0,INDEX($M$2:$M$1000,(ROW()-ROW($B$2))/16+1),"")</f>
        <v/>
      </c>
    </row>
    <row r="6592" spans="14:14" x14ac:dyDescent="0.3">
      <c r="N6592" t="str" cm="1">
        <f t="array" ref="N6592">IF(MOD(ROW()-ROW($B$2),16)=0,INDEX($M$2:$M$1000,(ROW()-ROW($B$2))/16+1),"")</f>
        <v/>
      </c>
    </row>
    <row r="6593" spans="14:14" x14ac:dyDescent="0.3">
      <c r="N6593" t="str" cm="1">
        <f t="array" ref="N6593">IF(MOD(ROW()-ROW($B$2),16)=0,INDEX($M$2:$M$1000,(ROW()-ROW($B$2))/16+1),"")</f>
        <v/>
      </c>
    </row>
    <row r="6594" spans="14:14" x14ac:dyDescent="0.3">
      <c r="N6594" t="str" cm="1">
        <f t="array" ref="N6594">IF(MOD(ROW()-ROW($B$2),16)=0,INDEX($M$2:$M$1000,(ROW()-ROW($B$2))/16+1),"")</f>
        <v/>
      </c>
    </row>
    <row r="6595" spans="14:14" x14ac:dyDescent="0.3">
      <c r="N6595" t="str" cm="1">
        <f t="array" ref="N6595">IF(MOD(ROW()-ROW($B$2),16)=0,INDEX($M$2:$M$1000,(ROW()-ROW($B$2))/16+1),"")</f>
        <v/>
      </c>
    </row>
    <row r="6596" spans="14:14" x14ac:dyDescent="0.3">
      <c r="N6596" t="str" cm="1">
        <f t="array" ref="N6596">IF(MOD(ROW()-ROW($B$2),16)=0,INDEX($M$2:$M$1000,(ROW()-ROW($B$2))/16+1),"")</f>
        <v/>
      </c>
    </row>
    <row r="6597" spans="14:14" x14ac:dyDescent="0.3">
      <c r="N6597" t="str" cm="1">
        <f t="array" ref="N6597">IF(MOD(ROW()-ROW($B$2),16)=0,INDEX($M$2:$M$1000,(ROW()-ROW($B$2))/16+1),"")</f>
        <v/>
      </c>
    </row>
    <row r="6598" spans="14:14" x14ac:dyDescent="0.3">
      <c r="N6598" t="str" cm="1">
        <f t="array" ref="N6598">IF(MOD(ROW()-ROW($B$2),16)=0,INDEX($M$2:$M$1000,(ROW()-ROW($B$2))/16+1),"")</f>
        <v/>
      </c>
    </row>
    <row r="6599" spans="14:14" x14ac:dyDescent="0.3">
      <c r="N6599" t="str" cm="1">
        <f t="array" ref="N6599">IF(MOD(ROW()-ROW($B$2),16)=0,INDEX($M$2:$M$1000,(ROW()-ROW($B$2))/16+1),"")</f>
        <v/>
      </c>
    </row>
    <row r="6600" spans="14:14" x14ac:dyDescent="0.3">
      <c r="N6600" t="str" cm="1">
        <f t="array" ref="N6600">IF(MOD(ROW()-ROW($B$2),16)=0,INDEX($M$2:$M$1000,(ROW()-ROW($B$2))/16+1),"")</f>
        <v/>
      </c>
    </row>
    <row r="6601" spans="14:14" x14ac:dyDescent="0.3">
      <c r="N6601" t="str" cm="1">
        <f t="array" ref="N6601">IF(MOD(ROW()-ROW($B$2),16)=0,INDEX($M$2:$M$1000,(ROW()-ROW($B$2))/16+1),"")</f>
        <v/>
      </c>
    </row>
    <row r="6602" spans="14:14" x14ac:dyDescent="0.3">
      <c r="N6602" t="str" cm="1">
        <f t="array" ref="N6602">IF(MOD(ROW()-ROW($B$2),16)=0,INDEX($M$2:$M$1000,(ROW()-ROW($B$2))/16+1),"")</f>
        <v/>
      </c>
    </row>
    <row r="6603" spans="14:14" x14ac:dyDescent="0.3">
      <c r="N6603" t="str" cm="1">
        <f t="array" ref="N6603">IF(MOD(ROW()-ROW($B$2),16)=0,INDEX($M$2:$M$1000,(ROW()-ROW($B$2))/16+1),"")</f>
        <v/>
      </c>
    </row>
    <row r="6604" spans="14:14" x14ac:dyDescent="0.3">
      <c r="N6604" t="str" cm="1">
        <f t="array" ref="N6604">IF(MOD(ROW()-ROW($B$2),16)=0,INDEX($M$2:$M$1000,(ROW()-ROW($B$2))/16+1),"")</f>
        <v/>
      </c>
    </row>
    <row r="6605" spans="14:14" x14ac:dyDescent="0.3">
      <c r="N6605" t="str" cm="1">
        <f t="array" ref="N6605">IF(MOD(ROW()-ROW($B$2),16)=0,INDEX($M$2:$M$1000,(ROW()-ROW($B$2))/16+1),"")</f>
        <v/>
      </c>
    </row>
    <row r="6606" spans="14:14" x14ac:dyDescent="0.3">
      <c r="N6606" t="str" cm="1">
        <f t="array" ref="N6606">IF(MOD(ROW()-ROW($B$2),16)=0,INDEX($M$2:$M$1000,(ROW()-ROW($B$2))/16+1),"")</f>
        <v/>
      </c>
    </row>
    <row r="6607" spans="14:14" x14ac:dyDescent="0.3">
      <c r="N6607" t="str" cm="1">
        <f t="array" ref="N6607">IF(MOD(ROW()-ROW($B$2),16)=0,INDEX($M$2:$M$1000,(ROW()-ROW($B$2))/16+1),"")</f>
        <v/>
      </c>
    </row>
    <row r="6608" spans="14:14" x14ac:dyDescent="0.3">
      <c r="N6608" t="str" cm="1">
        <f t="array" ref="N6608">IF(MOD(ROW()-ROW($B$2),16)=0,INDEX($M$2:$M$1000,(ROW()-ROW($B$2))/16+1),"")</f>
        <v/>
      </c>
    </row>
    <row r="6609" spans="14:14" x14ac:dyDescent="0.3">
      <c r="N6609" t="str" cm="1">
        <f t="array" ref="N6609">IF(MOD(ROW()-ROW($B$2),16)=0,INDEX($M$2:$M$1000,(ROW()-ROW($B$2))/16+1),"")</f>
        <v/>
      </c>
    </row>
    <row r="6610" spans="14:14" x14ac:dyDescent="0.3">
      <c r="N6610" t="str" cm="1">
        <f t="array" ref="N6610">IF(MOD(ROW()-ROW($B$2),16)=0,INDEX($M$2:$M$1000,(ROW()-ROW($B$2))/16+1),"")</f>
        <v/>
      </c>
    </row>
    <row r="6611" spans="14:14" x14ac:dyDescent="0.3">
      <c r="N6611" t="str" cm="1">
        <f t="array" ref="N6611">IF(MOD(ROW()-ROW($B$2),16)=0,INDEX($M$2:$M$1000,(ROW()-ROW($B$2))/16+1),"")</f>
        <v/>
      </c>
    </row>
    <row r="6612" spans="14:14" x14ac:dyDescent="0.3">
      <c r="N6612" t="str" cm="1">
        <f t="array" ref="N6612">IF(MOD(ROW()-ROW($B$2),16)=0,INDEX($M$2:$M$1000,(ROW()-ROW($B$2))/16+1),"")</f>
        <v/>
      </c>
    </row>
    <row r="6613" spans="14:14" x14ac:dyDescent="0.3">
      <c r="N6613" t="str" cm="1">
        <f t="array" ref="N6613">IF(MOD(ROW()-ROW($B$2),16)=0,INDEX($M$2:$M$1000,(ROW()-ROW($B$2))/16+1),"")</f>
        <v/>
      </c>
    </row>
    <row r="6614" spans="14:14" x14ac:dyDescent="0.3">
      <c r="N6614" t="str" cm="1">
        <f t="array" ref="N6614">IF(MOD(ROW()-ROW($B$2),16)=0,INDEX($M$2:$M$1000,(ROW()-ROW($B$2))/16+1),"")</f>
        <v/>
      </c>
    </row>
    <row r="6615" spans="14:14" x14ac:dyDescent="0.3">
      <c r="N6615" t="str" cm="1">
        <f t="array" ref="N6615">IF(MOD(ROW()-ROW($B$2),16)=0,INDEX($M$2:$M$1000,(ROW()-ROW($B$2))/16+1),"")</f>
        <v/>
      </c>
    </row>
    <row r="6616" spans="14:14" x14ac:dyDescent="0.3">
      <c r="N6616" t="str" cm="1">
        <f t="array" ref="N6616">IF(MOD(ROW()-ROW($B$2),16)=0,INDEX($M$2:$M$1000,(ROW()-ROW($B$2))/16+1),"")</f>
        <v/>
      </c>
    </row>
    <row r="6617" spans="14:14" x14ac:dyDescent="0.3">
      <c r="N6617" t="str" cm="1">
        <f t="array" ref="N6617">IF(MOD(ROW()-ROW($B$2),16)=0,INDEX($M$2:$M$1000,(ROW()-ROW($B$2))/16+1),"")</f>
        <v/>
      </c>
    </row>
    <row r="6618" spans="14:14" x14ac:dyDescent="0.3">
      <c r="N6618" t="str" cm="1">
        <f t="array" ref="N6618">IF(MOD(ROW()-ROW($B$2),16)=0,INDEX($M$2:$M$1000,(ROW()-ROW($B$2))/16+1),"")</f>
        <v/>
      </c>
    </row>
    <row r="6619" spans="14:14" x14ac:dyDescent="0.3">
      <c r="N6619" t="str" cm="1">
        <f t="array" ref="N6619">IF(MOD(ROW()-ROW($B$2),16)=0,INDEX($M$2:$M$1000,(ROW()-ROW($B$2))/16+1),"")</f>
        <v/>
      </c>
    </row>
    <row r="6620" spans="14:14" x14ac:dyDescent="0.3">
      <c r="N6620" t="str" cm="1">
        <f t="array" ref="N6620">IF(MOD(ROW()-ROW($B$2),16)=0,INDEX($M$2:$M$1000,(ROW()-ROW($B$2))/16+1),"")</f>
        <v/>
      </c>
    </row>
    <row r="6621" spans="14:14" x14ac:dyDescent="0.3">
      <c r="N6621" t="str" cm="1">
        <f t="array" ref="N6621">IF(MOD(ROW()-ROW($B$2),16)=0,INDEX($M$2:$M$1000,(ROW()-ROW($B$2))/16+1),"")</f>
        <v/>
      </c>
    </row>
    <row r="6622" spans="14:14" x14ac:dyDescent="0.3">
      <c r="N6622" t="str" cm="1">
        <f t="array" ref="N6622">IF(MOD(ROW()-ROW($B$2),16)=0,INDEX($M$2:$M$1000,(ROW()-ROW($B$2))/16+1),"")</f>
        <v/>
      </c>
    </row>
    <row r="6623" spans="14:14" x14ac:dyDescent="0.3">
      <c r="N6623" t="str" cm="1">
        <f t="array" ref="N6623">IF(MOD(ROW()-ROW($B$2),16)=0,INDEX($M$2:$M$1000,(ROW()-ROW($B$2))/16+1),"")</f>
        <v/>
      </c>
    </row>
    <row r="6624" spans="14:14" x14ac:dyDescent="0.3">
      <c r="N6624" t="str" cm="1">
        <f t="array" ref="N6624">IF(MOD(ROW()-ROW($B$2),16)=0,INDEX($M$2:$M$1000,(ROW()-ROW($B$2))/16+1),"")</f>
        <v/>
      </c>
    </row>
    <row r="6625" spans="14:14" x14ac:dyDescent="0.3">
      <c r="N6625" t="str" cm="1">
        <f t="array" ref="N6625">IF(MOD(ROW()-ROW($B$2),16)=0,INDEX($M$2:$M$1000,(ROW()-ROW($B$2))/16+1),"")</f>
        <v/>
      </c>
    </row>
    <row r="6626" spans="14:14" x14ac:dyDescent="0.3">
      <c r="N6626" t="str" cm="1">
        <f t="array" ref="N6626">IF(MOD(ROW()-ROW($B$2),16)=0,INDEX($M$2:$M$1000,(ROW()-ROW($B$2))/16+1),"")</f>
        <v/>
      </c>
    </row>
    <row r="6627" spans="14:14" x14ac:dyDescent="0.3">
      <c r="N6627" t="str" cm="1">
        <f t="array" ref="N6627">IF(MOD(ROW()-ROW($B$2),16)=0,INDEX($M$2:$M$1000,(ROW()-ROW($B$2))/16+1),"")</f>
        <v/>
      </c>
    </row>
    <row r="6628" spans="14:14" x14ac:dyDescent="0.3">
      <c r="N6628" t="str" cm="1">
        <f t="array" ref="N6628">IF(MOD(ROW()-ROW($B$2),16)=0,INDEX($M$2:$M$1000,(ROW()-ROW($B$2))/16+1),"")</f>
        <v/>
      </c>
    </row>
    <row r="6629" spans="14:14" x14ac:dyDescent="0.3">
      <c r="N6629" t="str" cm="1">
        <f t="array" ref="N6629">IF(MOD(ROW()-ROW($B$2),16)=0,INDEX($M$2:$M$1000,(ROW()-ROW($B$2))/16+1),"")</f>
        <v/>
      </c>
    </row>
    <row r="6630" spans="14:14" x14ac:dyDescent="0.3">
      <c r="N6630" t="str" cm="1">
        <f t="array" ref="N6630">IF(MOD(ROW()-ROW($B$2),16)=0,INDEX($M$2:$M$1000,(ROW()-ROW($B$2))/16+1),"")</f>
        <v/>
      </c>
    </row>
    <row r="6631" spans="14:14" x14ac:dyDescent="0.3">
      <c r="N6631" t="str" cm="1">
        <f t="array" ref="N6631">IF(MOD(ROW()-ROW($B$2),16)=0,INDEX($M$2:$M$1000,(ROW()-ROW($B$2))/16+1),"")</f>
        <v/>
      </c>
    </row>
    <row r="6632" spans="14:14" x14ac:dyDescent="0.3">
      <c r="N6632" t="str" cm="1">
        <f t="array" ref="N6632">IF(MOD(ROW()-ROW($B$2),16)=0,INDEX($M$2:$M$1000,(ROW()-ROW($B$2))/16+1),"")</f>
        <v/>
      </c>
    </row>
    <row r="6633" spans="14:14" x14ac:dyDescent="0.3">
      <c r="N6633" t="str" cm="1">
        <f t="array" ref="N6633">IF(MOD(ROW()-ROW($B$2),16)=0,INDEX($M$2:$M$1000,(ROW()-ROW($B$2))/16+1),"")</f>
        <v/>
      </c>
    </row>
    <row r="6634" spans="14:14" x14ac:dyDescent="0.3">
      <c r="N6634" t="str" cm="1">
        <f t="array" ref="N6634">IF(MOD(ROW()-ROW($B$2),16)=0,INDEX($M$2:$M$1000,(ROW()-ROW($B$2))/16+1),"")</f>
        <v/>
      </c>
    </row>
    <row r="6635" spans="14:14" x14ac:dyDescent="0.3">
      <c r="N6635" t="str" cm="1">
        <f t="array" ref="N6635">IF(MOD(ROW()-ROW($B$2),16)=0,INDEX($M$2:$M$1000,(ROW()-ROW($B$2))/16+1),"")</f>
        <v/>
      </c>
    </row>
    <row r="6636" spans="14:14" x14ac:dyDescent="0.3">
      <c r="N6636" t="str" cm="1">
        <f t="array" ref="N6636">IF(MOD(ROW()-ROW($B$2),16)=0,INDEX($M$2:$M$1000,(ROW()-ROW($B$2))/16+1),"")</f>
        <v/>
      </c>
    </row>
    <row r="6637" spans="14:14" x14ac:dyDescent="0.3">
      <c r="N6637" t="str" cm="1">
        <f t="array" ref="N6637">IF(MOD(ROW()-ROW($B$2),16)=0,INDEX($M$2:$M$1000,(ROW()-ROW($B$2))/16+1),"")</f>
        <v/>
      </c>
    </row>
    <row r="6638" spans="14:14" x14ac:dyDescent="0.3">
      <c r="N6638" t="str" cm="1">
        <f t="array" ref="N6638">IF(MOD(ROW()-ROW($B$2),16)=0,INDEX($M$2:$M$1000,(ROW()-ROW($B$2))/16+1),"")</f>
        <v/>
      </c>
    </row>
    <row r="6639" spans="14:14" x14ac:dyDescent="0.3">
      <c r="N6639" t="str" cm="1">
        <f t="array" ref="N6639">IF(MOD(ROW()-ROW($B$2),16)=0,INDEX($M$2:$M$1000,(ROW()-ROW($B$2))/16+1),"")</f>
        <v/>
      </c>
    </row>
    <row r="6640" spans="14:14" x14ac:dyDescent="0.3">
      <c r="N6640" t="str" cm="1">
        <f t="array" ref="N6640">IF(MOD(ROW()-ROW($B$2),16)=0,INDEX($M$2:$M$1000,(ROW()-ROW($B$2))/16+1),"")</f>
        <v/>
      </c>
    </row>
    <row r="6641" spans="14:14" x14ac:dyDescent="0.3">
      <c r="N6641" t="str" cm="1">
        <f t="array" ref="N6641">IF(MOD(ROW()-ROW($B$2),16)=0,INDEX($M$2:$M$1000,(ROW()-ROW($B$2))/16+1),"")</f>
        <v/>
      </c>
    </row>
    <row r="6642" spans="14:14" x14ac:dyDescent="0.3">
      <c r="N6642" t="str" cm="1">
        <f t="array" ref="N6642">IF(MOD(ROW()-ROW($B$2),16)=0,INDEX($M$2:$M$1000,(ROW()-ROW($B$2))/16+1),"")</f>
        <v/>
      </c>
    </row>
    <row r="6643" spans="14:14" x14ac:dyDescent="0.3">
      <c r="N6643" t="str" cm="1">
        <f t="array" ref="N6643">IF(MOD(ROW()-ROW($B$2),16)=0,INDEX($M$2:$M$1000,(ROW()-ROW($B$2))/16+1),"")</f>
        <v/>
      </c>
    </row>
    <row r="6644" spans="14:14" x14ac:dyDescent="0.3">
      <c r="N6644" t="str" cm="1">
        <f t="array" ref="N6644">IF(MOD(ROW()-ROW($B$2),16)=0,INDEX($M$2:$M$1000,(ROW()-ROW($B$2))/16+1),"")</f>
        <v/>
      </c>
    </row>
    <row r="6645" spans="14:14" x14ac:dyDescent="0.3">
      <c r="N6645" t="str" cm="1">
        <f t="array" ref="N6645">IF(MOD(ROW()-ROW($B$2),16)=0,INDEX($M$2:$M$1000,(ROW()-ROW($B$2))/16+1),"")</f>
        <v/>
      </c>
    </row>
    <row r="6646" spans="14:14" x14ac:dyDescent="0.3">
      <c r="N6646" t="str" cm="1">
        <f t="array" ref="N6646">IF(MOD(ROW()-ROW($B$2),16)=0,INDEX($M$2:$M$1000,(ROW()-ROW($B$2))/16+1),"")</f>
        <v/>
      </c>
    </row>
    <row r="6647" spans="14:14" x14ac:dyDescent="0.3">
      <c r="N6647" t="str" cm="1">
        <f t="array" ref="N6647">IF(MOD(ROW()-ROW($B$2),16)=0,INDEX($M$2:$M$1000,(ROW()-ROW($B$2))/16+1),"")</f>
        <v/>
      </c>
    </row>
    <row r="6648" spans="14:14" x14ac:dyDescent="0.3">
      <c r="N6648" t="str" cm="1">
        <f t="array" ref="N6648">IF(MOD(ROW()-ROW($B$2),16)=0,INDEX($M$2:$M$1000,(ROW()-ROW($B$2))/16+1),"")</f>
        <v/>
      </c>
    </row>
    <row r="6649" spans="14:14" x14ac:dyDescent="0.3">
      <c r="N6649" t="str" cm="1">
        <f t="array" ref="N6649">IF(MOD(ROW()-ROW($B$2),16)=0,INDEX($M$2:$M$1000,(ROW()-ROW($B$2))/16+1),"")</f>
        <v/>
      </c>
    </row>
    <row r="6650" spans="14:14" x14ac:dyDescent="0.3">
      <c r="N6650" t="str" cm="1">
        <f t="array" ref="N6650">IF(MOD(ROW()-ROW($B$2),16)=0,INDEX($M$2:$M$1000,(ROW()-ROW($B$2))/16+1),"")</f>
        <v/>
      </c>
    </row>
    <row r="6651" spans="14:14" x14ac:dyDescent="0.3">
      <c r="N6651" t="str" cm="1">
        <f t="array" ref="N6651">IF(MOD(ROW()-ROW($B$2),16)=0,INDEX($M$2:$M$1000,(ROW()-ROW($B$2))/16+1),"")</f>
        <v/>
      </c>
    </row>
    <row r="6652" spans="14:14" x14ac:dyDescent="0.3">
      <c r="N6652" t="str" cm="1">
        <f t="array" ref="N6652">IF(MOD(ROW()-ROW($B$2),16)=0,INDEX($M$2:$M$1000,(ROW()-ROW($B$2))/16+1),"")</f>
        <v/>
      </c>
    </row>
    <row r="6653" spans="14:14" x14ac:dyDescent="0.3">
      <c r="N6653" t="str" cm="1">
        <f t="array" ref="N6653">IF(MOD(ROW()-ROW($B$2),16)=0,INDEX($M$2:$M$1000,(ROW()-ROW($B$2))/16+1),"")</f>
        <v/>
      </c>
    </row>
    <row r="6654" spans="14:14" x14ac:dyDescent="0.3">
      <c r="N6654" t="str" cm="1">
        <f t="array" ref="N6654">IF(MOD(ROW()-ROW($B$2),16)=0,INDEX($M$2:$M$1000,(ROW()-ROW($B$2))/16+1),"")</f>
        <v/>
      </c>
    </row>
    <row r="6655" spans="14:14" x14ac:dyDescent="0.3">
      <c r="N6655" t="str" cm="1">
        <f t="array" ref="N6655">IF(MOD(ROW()-ROW($B$2),16)=0,INDEX($M$2:$M$1000,(ROW()-ROW($B$2))/16+1),"")</f>
        <v/>
      </c>
    </row>
    <row r="6656" spans="14:14" x14ac:dyDescent="0.3">
      <c r="N6656" t="str" cm="1">
        <f t="array" ref="N6656">IF(MOD(ROW()-ROW($B$2),16)=0,INDEX($M$2:$M$1000,(ROW()-ROW($B$2))/16+1),"")</f>
        <v/>
      </c>
    </row>
    <row r="6657" spans="14:14" x14ac:dyDescent="0.3">
      <c r="N6657" t="str" cm="1">
        <f t="array" ref="N6657">IF(MOD(ROW()-ROW($B$2),16)=0,INDEX($M$2:$M$1000,(ROW()-ROW($B$2))/16+1),"")</f>
        <v/>
      </c>
    </row>
    <row r="6658" spans="14:14" x14ac:dyDescent="0.3">
      <c r="N6658" t="str" cm="1">
        <f t="array" ref="N6658">IF(MOD(ROW()-ROW($B$2),16)=0,INDEX($M$2:$M$1000,(ROW()-ROW($B$2))/16+1),"")</f>
        <v/>
      </c>
    </row>
    <row r="6659" spans="14:14" x14ac:dyDescent="0.3">
      <c r="N6659" t="str" cm="1">
        <f t="array" ref="N6659">IF(MOD(ROW()-ROW($B$2),16)=0,INDEX($M$2:$M$1000,(ROW()-ROW($B$2))/16+1),"")</f>
        <v/>
      </c>
    </row>
    <row r="6660" spans="14:14" x14ac:dyDescent="0.3">
      <c r="N6660" t="str" cm="1">
        <f t="array" ref="N6660">IF(MOD(ROW()-ROW($B$2),16)=0,INDEX($M$2:$M$1000,(ROW()-ROW($B$2))/16+1),"")</f>
        <v/>
      </c>
    </row>
    <row r="6661" spans="14:14" x14ac:dyDescent="0.3">
      <c r="N6661" t="str" cm="1">
        <f t="array" ref="N6661">IF(MOD(ROW()-ROW($B$2),16)=0,INDEX($M$2:$M$1000,(ROW()-ROW($B$2))/16+1),"")</f>
        <v/>
      </c>
    </row>
    <row r="6662" spans="14:14" x14ac:dyDescent="0.3">
      <c r="N6662" t="str" cm="1">
        <f t="array" ref="N6662">IF(MOD(ROW()-ROW($B$2),16)=0,INDEX($M$2:$M$1000,(ROW()-ROW($B$2))/16+1),"")</f>
        <v/>
      </c>
    </row>
    <row r="6663" spans="14:14" x14ac:dyDescent="0.3">
      <c r="N6663" t="str" cm="1">
        <f t="array" ref="N6663">IF(MOD(ROW()-ROW($B$2),16)=0,INDEX($M$2:$M$1000,(ROW()-ROW($B$2))/16+1),"")</f>
        <v/>
      </c>
    </row>
    <row r="6664" spans="14:14" x14ac:dyDescent="0.3">
      <c r="N6664" t="str" cm="1">
        <f t="array" ref="N6664">IF(MOD(ROW()-ROW($B$2),16)=0,INDEX($M$2:$M$1000,(ROW()-ROW($B$2))/16+1),"")</f>
        <v/>
      </c>
    </row>
    <row r="6665" spans="14:14" x14ac:dyDescent="0.3">
      <c r="N6665" t="str" cm="1">
        <f t="array" ref="N6665">IF(MOD(ROW()-ROW($B$2),16)=0,INDEX($M$2:$M$1000,(ROW()-ROW($B$2))/16+1),"")</f>
        <v/>
      </c>
    </row>
    <row r="6666" spans="14:14" x14ac:dyDescent="0.3">
      <c r="N6666" t="str" cm="1">
        <f t="array" ref="N6666">IF(MOD(ROW()-ROW($B$2),16)=0,INDEX($M$2:$M$1000,(ROW()-ROW($B$2))/16+1),"")</f>
        <v/>
      </c>
    </row>
    <row r="6667" spans="14:14" x14ac:dyDescent="0.3">
      <c r="N6667" t="str" cm="1">
        <f t="array" ref="N6667">IF(MOD(ROW()-ROW($B$2),16)=0,INDEX($M$2:$M$1000,(ROW()-ROW($B$2))/16+1),"")</f>
        <v/>
      </c>
    </row>
    <row r="6668" spans="14:14" x14ac:dyDescent="0.3">
      <c r="N6668" t="str" cm="1">
        <f t="array" ref="N6668">IF(MOD(ROW()-ROW($B$2),16)=0,INDEX($M$2:$M$1000,(ROW()-ROW($B$2))/16+1),"")</f>
        <v/>
      </c>
    </row>
    <row r="6669" spans="14:14" x14ac:dyDescent="0.3">
      <c r="N6669" t="str" cm="1">
        <f t="array" ref="N6669">IF(MOD(ROW()-ROW($B$2),16)=0,INDEX($M$2:$M$1000,(ROW()-ROW($B$2))/16+1),"")</f>
        <v/>
      </c>
    </row>
    <row r="6670" spans="14:14" x14ac:dyDescent="0.3">
      <c r="N6670" t="str" cm="1">
        <f t="array" ref="N6670">IF(MOD(ROW()-ROW($B$2),16)=0,INDEX($M$2:$M$1000,(ROW()-ROW($B$2))/16+1),"")</f>
        <v/>
      </c>
    </row>
    <row r="6671" spans="14:14" x14ac:dyDescent="0.3">
      <c r="N6671" t="str" cm="1">
        <f t="array" ref="N6671">IF(MOD(ROW()-ROW($B$2),16)=0,INDEX($M$2:$M$1000,(ROW()-ROW($B$2))/16+1),"")</f>
        <v/>
      </c>
    </row>
    <row r="6672" spans="14:14" x14ac:dyDescent="0.3">
      <c r="N6672" t="str" cm="1">
        <f t="array" ref="N6672">IF(MOD(ROW()-ROW($B$2),16)=0,INDEX($M$2:$M$1000,(ROW()-ROW($B$2))/16+1),"")</f>
        <v/>
      </c>
    </row>
    <row r="6673" spans="14:14" x14ac:dyDescent="0.3">
      <c r="N6673" t="str" cm="1">
        <f t="array" ref="N6673">IF(MOD(ROW()-ROW($B$2),16)=0,INDEX($M$2:$M$1000,(ROW()-ROW($B$2))/16+1),"")</f>
        <v/>
      </c>
    </row>
    <row r="6674" spans="14:14" x14ac:dyDescent="0.3">
      <c r="N6674" t="str" cm="1">
        <f t="array" ref="N6674">IF(MOD(ROW()-ROW($B$2),16)=0,INDEX($M$2:$M$1000,(ROW()-ROW($B$2))/16+1),"")</f>
        <v/>
      </c>
    </row>
    <row r="6675" spans="14:14" x14ac:dyDescent="0.3">
      <c r="N6675" t="str" cm="1">
        <f t="array" ref="N6675">IF(MOD(ROW()-ROW($B$2),16)=0,INDEX($M$2:$M$1000,(ROW()-ROW($B$2))/16+1),"")</f>
        <v/>
      </c>
    </row>
    <row r="6676" spans="14:14" x14ac:dyDescent="0.3">
      <c r="N6676" t="str" cm="1">
        <f t="array" ref="N6676">IF(MOD(ROW()-ROW($B$2),16)=0,INDEX($M$2:$M$1000,(ROW()-ROW($B$2))/16+1),"")</f>
        <v/>
      </c>
    </row>
    <row r="6677" spans="14:14" x14ac:dyDescent="0.3">
      <c r="N6677" t="str" cm="1">
        <f t="array" ref="N6677">IF(MOD(ROW()-ROW($B$2),16)=0,INDEX($M$2:$M$1000,(ROW()-ROW($B$2))/16+1),"")</f>
        <v/>
      </c>
    </row>
    <row r="6678" spans="14:14" x14ac:dyDescent="0.3">
      <c r="N6678" t="str" cm="1">
        <f t="array" ref="N6678">IF(MOD(ROW()-ROW($B$2),16)=0,INDEX($M$2:$M$1000,(ROW()-ROW($B$2))/16+1),"")</f>
        <v/>
      </c>
    </row>
    <row r="6679" spans="14:14" x14ac:dyDescent="0.3">
      <c r="N6679" t="str" cm="1">
        <f t="array" ref="N6679">IF(MOD(ROW()-ROW($B$2),16)=0,INDEX($M$2:$M$1000,(ROW()-ROW($B$2))/16+1),"")</f>
        <v/>
      </c>
    </row>
    <row r="6680" spans="14:14" x14ac:dyDescent="0.3">
      <c r="N6680" t="str" cm="1">
        <f t="array" ref="N6680">IF(MOD(ROW()-ROW($B$2),16)=0,INDEX($M$2:$M$1000,(ROW()-ROW($B$2))/16+1),"")</f>
        <v/>
      </c>
    </row>
    <row r="6681" spans="14:14" x14ac:dyDescent="0.3">
      <c r="N6681" t="str" cm="1">
        <f t="array" ref="N6681">IF(MOD(ROW()-ROW($B$2),16)=0,INDEX($M$2:$M$1000,(ROW()-ROW($B$2))/16+1),"")</f>
        <v/>
      </c>
    </row>
    <row r="6682" spans="14:14" x14ac:dyDescent="0.3">
      <c r="N6682" t="str" cm="1">
        <f t="array" ref="N6682">IF(MOD(ROW()-ROW($B$2),16)=0,INDEX($M$2:$M$1000,(ROW()-ROW($B$2))/16+1),"")</f>
        <v/>
      </c>
    </row>
    <row r="6683" spans="14:14" x14ac:dyDescent="0.3">
      <c r="N6683" t="str" cm="1">
        <f t="array" ref="N6683">IF(MOD(ROW()-ROW($B$2),16)=0,INDEX($M$2:$M$1000,(ROW()-ROW($B$2))/16+1),"")</f>
        <v/>
      </c>
    </row>
    <row r="6684" spans="14:14" x14ac:dyDescent="0.3">
      <c r="N6684" t="str" cm="1">
        <f t="array" ref="N6684">IF(MOD(ROW()-ROW($B$2),16)=0,INDEX($M$2:$M$1000,(ROW()-ROW($B$2))/16+1),"")</f>
        <v/>
      </c>
    </row>
    <row r="6685" spans="14:14" x14ac:dyDescent="0.3">
      <c r="N6685" t="str" cm="1">
        <f t="array" ref="N6685">IF(MOD(ROW()-ROW($B$2),16)=0,INDEX($M$2:$M$1000,(ROW()-ROW($B$2))/16+1),"")</f>
        <v/>
      </c>
    </row>
    <row r="6686" spans="14:14" x14ac:dyDescent="0.3">
      <c r="N6686" t="str" cm="1">
        <f t="array" ref="N6686">IF(MOD(ROW()-ROW($B$2),16)=0,INDEX($M$2:$M$1000,(ROW()-ROW($B$2))/16+1),"")</f>
        <v/>
      </c>
    </row>
    <row r="6687" spans="14:14" x14ac:dyDescent="0.3">
      <c r="N6687" t="str" cm="1">
        <f t="array" ref="N6687">IF(MOD(ROW()-ROW($B$2),16)=0,INDEX($M$2:$M$1000,(ROW()-ROW($B$2))/16+1),"")</f>
        <v/>
      </c>
    </row>
    <row r="6688" spans="14:14" x14ac:dyDescent="0.3">
      <c r="N6688" t="str" cm="1">
        <f t="array" ref="N6688">IF(MOD(ROW()-ROW($B$2),16)=0,INDEX($M$2:$M$1000,(ROW()-ROW($B$2))/16+1),"")</f>
        <v/>
      </c>
    </row>
    <row r="6689" spans="14:14" x14ac:dyDescent="0.3">
      <c r="N6689" t="str" cm="1">
        <f t="array" ref="N6689">IF(MOD(ROW()-ROW($B$2),16)=0,INDEX($M$2:$M$1000,(ROW()-ROW($B$2))/16+1),"")</f>
        <v/>
      </c>
    </row>
    <row r="6690" spans="14:14" x14ac:dyDescent="0.3">
      <c r="N6690" t="str" cm="1">
        <f t="array" ref="N6690">IF(MOD(ROW()-ROW($B$2),16)=0,INDEX($M$2:$M$1000,(ROW()-ROW($B$2))/16+1),"")</f>
        <v/>
      </c>
    </row>
    <row r="6691" spans="14:14" x14ac:dyDescent="0.3">
      <c r="N6691" t="str" cm="1">
        <f t="array" ref="N6691">IF(MOD(ROW()-ROW($B$2),16)=0,INDEX($M$2:$M$1000,(ROW()-ROW($B$2))/16+1),"")</f>
        <v/>
      </c>
    </row>
    <row r="6692" spans="14:14" x14ac:dyDescent="0.3">
      <c r="N6692" t="str" cm="1">
        <f t="array" ref="N6692">IF(MOD(ROW()-ROW($B$2),16)=0,INDEX($M$2:$M$1000,(ROW()-ROW($B$2))/16+1),"")</f>
        <v/>
      </c>
    </row>
    <row r="6693" spans="14:14" x14ac:dyDescent="0.3">
      <c r="N6693" t="str" cm="1">
        <f t="array" ref="N6693">IF(MOD(ROW()-ROW($B$2),16)=0,INDEX($M$2:$M$1000,(ROW()-ROW($B$2))/16+1),"")</f>
        <v/>
      </c>
    </row>
    <row r="6694" spans="14:14" x14ac:dyDescent="0.3">
      <c r="N6694" t="str" cm="1">
        <f t="array" ref="N6694">IF(MOD(ROW()-ROW($B$2),16)=0,INDEX($M$2:$M$1000,(ROW()-ROW($B$2))/16+1),"")</f>
        <v/>
      </c>
    </row>
    <row r="6695" spans="14:14" x14ac:dyDescent="0.3">
      <c r="N6695" t="str" cm="1">
        <f t="array" ref="N6695">IF(MOD(ROW()-ROW($B$2),16)=0,INDEX($M$2:$M$1000,(ROW()-ROW($B$2))/16+1),"")</f>
        <v/>
      </c>
    </row>
    <row r="6696" spans="14:14" x14ac:dyDescent="0.3">
      <c r="N6696" t="str" cm="1">
        <f t="array" ref="N6696">IF(MOD(ROW()-ROW($B$2),16)=0,INDEX($M$2:$M$1000,(ROW()-ROW($B$2))/16+1),"")</f>
        <v/>
      </c>
    </row>
    <row r="6697" spans="14:14" x14ac:dyDescent="0.3">
      <c r="N6697" t="str" cm="1">
        <f t="array" ref="N6697">IF(MOD(ROW()-ROW($B$2),16)=0,INDEX($M$2:$M$1000,(ROW()-ROW($B$2))/16+1),"")</f>
        <v/>
      </c>
    </row>
    <row r="6698" spans="14:14" x14ac:dyDescent="0.3">
      <c r="N6698" t="str" cm="1">
        <f t="array" ref="N6698">IF(MOD(ROW()-ROW($B$2),16)=0,INDEX($M$2:$M$1000,(ROW()-ROW($B$2))/16+1),"")</f>
        <v/>
      </c>
    </row>
    <row r="6699" spans="14:14" x14ac:dyDescent="0.3">
      <c r="N6699" t="str" cm="1">
        <f t="array" ref="N6699">IF(MOD(ROW()-ROW($B$2),16)=0,INDEX($M$2:$M$1000,(ROW()-ROW($B$2))/16+1),"")</f>
        <v/>
      </c>
    </row>
    <row r="6700" spans="14:14" x14ac:dyDescent="0.3">
      <c r="N6700" t="str" cm="1">
        <f t="array" ref="N6700">IF(MOD(ROW()-ROW($B$2),16)=0,INDEX($M$2:$M$1000,(ROW()-ROW($B$2))/16+1),"")</f>
        <v/>
      </c>
    </row>
    <row r="6701" spans="14:14" x14ac:dyDescent="0.3">
      <c r="N6701" t="str" cm="1">
        <f t="array" ref="N6701">IF(MOD(ROW()-ROW($B$2),16)=0,INDEX($M$2:$M$1000,(ROW()-ROW($B$2))/16+1),"")</f>
        <v/>
      </c>
    </row>
    <row r="6702" spans="14:14" x14ac:dyDescent="0.3">
      <c r="N6702" t="str" cm="1">
        <f t="array" ref="N6702">IF(MOD(ROW()-ROW($B$2),16)=0,INDEX($M$2:$M$1000,(ROW()-ROW($B$2))/16+1),"")</f>
        <v/>
      </c>
    </row>
    <row r="6703" spans="14:14" x14ac:dyDescent="0.3">
      <c r="N6703" t="str" cm="1">
        <f t="array" ref="N6703">IF(MOD(ROW()-ROW($B$2),16)=0,INDEX($M$2:$M$1000,(ROW()-ROW($B$2))/16+1),"")</f>
        <v/>
      </c>
    </row>
    <row r="6704" spans="14:14" x14ac:dyDescent="0.3">
      <c r="N6704" t="str" cm="1">
        <f t="array" ref="N6704">IF(MOD(ROW()-ROW($B$2),16)=0,INDEX($M$2:$M$1000,(ROW()-ROW($B$2))/16+1),"")</f>
        <v/>
      </c>
    </row>
    <row r="6705" spans="14:14" x14ac:dyDescent="0.3">
      <c r="N6705" t="str" cm="1">
        <f t="array" ref="N6705">IF(MOD(ROW()-ROW($B$2),16)=0,INDEX($M$2:$M$1000,(ROW()-ROW($B$2))/16+1),"")</f>
        <v/>
      </c>
    </row>
    <row r="6706" spans="14:14" x14ac:dyDescent="0.3">
      <c r="N6706" t="str" cm="1">
        <f t="array" ref="N6706">IF(MOD(ROW()-ROW($B$2),16)=0,INDEX($M$2:$M$1000,(ROW()-ROW($B$2))/16+1),"")</f>
        <v/>
      </c>
    </row>
    <row r="6707" spans="14:14" x14ac:dyDescent="0.3">
      <c r="N6707" t="str" cm="1">
        <f t="array" ref="N6707">IF(MOD(ROW()-ROW($B$2),16)=0,INDEX($M$2:$M$1000,(ROW()-ROW($B$2))/16+1),"")</f>
        <v/>
      </c>
    </row>
    <row r="6708" spans="14:14" x14ac:dyDescent="0.3">
      <c r="N6708" t="str" cm="1">
        <f t="array" ref="N6708">IF(MOD(ROW()-ROW($B$2),16)=0,INDEX($M$2:$M$1000,(ROW()-ROW($B$2))/16+1),"")</f>
        <v/>
      </c>
    </row>
    <row r="6709" spans="14:14" x14ac:dyDescent="0.3">
      <c r="N6709" t="str" cm="1">
        <f t="array" ref="N6709">IF(MOD(ROW()-ROW($B$2),16)=0,INDEX($M$2:$M$1000,(ROW()-ROW($B$2))/16+1),"")</f>
        <v/>
      </c>
    </row>
    <row r="6710" spans="14:14" x14ac:dyDescent="0.3">
      <c r="N6710" t="str" cm="1">
        <f t="array" ref="N6710">IF(MOD(ROW()-ROW($B$2),16)=0,INDEX($M$2:$M$1000,(ROW()-ROW($B$2))/16+1),"")</f>
        <v/>
      </c>
    </row>
    <row r="6711" spans="14:14" x14ac:dyDescent="0.3">
      <c r="N6711" t="str" cm="1">
        <f t="array" ref="N6711">IF(MOD(ROW()-ROW($B$2),16)=0,INDEX($M$2:$M$1000,(ROW()-ROW($B$2))/16+1),"")</f>
        <v/>
      </c>
    </row>
    <row r="6712" spans="14:14" x14ac:dyDescent="0.3">
      <c r="N6712" t="str" cm="1">
        <f t="array" ref="N6712">IF(MOD(ROW()-ROW($B$2),16)=0,INDEX($M$2:$M$1000,(ROW()-ROW($B$2))/16+1),"")</f>
        <v/>
      </c>
    </row>
    <row r="6713" spans="14:14" x14ac:dyDescent="0.3">
      <c r="N6713" t="str" cm="1">
        <f t="array" ref="N6713">IF(MOD(ROW()-ROW($B$2),16)=0,INDEX($M$2:$M$1000,(ROW()-ROW($B$2))/16+1),"")</f>
        <v/>
      </c>
    </row>
    <row r="6714" spans="14:14" x14ac:dyDescent="0.3">
      <c r="N6714" t="str" cm="1">
        <f t="array" ref="N6714">IF(MOD(ROW()-ROW($B$2),16)=0,INDEX($M$2:$M$1000,(ROW()-ROW($B$2))/16+1),"")</f>
        <v/>
      </c>
    </row>
    <row r="6715" spans="14:14" x14ac:dyDescent="0.3">
      <c r="N6715" t="str" cm="1">
        <f t="array" ref="N6715">IF(MOD(ROW()-ROW($B$2),16)=0,INDEX($M$2:$M$1000,(ROW()-ROW($B$2))/16+1),"")</f>
        <v/>
      </c>
    </row>
    <row r="6716" spans="14:14" x14ac:dyDescent="0.3">
      <c r="N6716" t="str" cm="1">
        <f t="array" ref="N6716">IF(MOD(ROW()-ROW($B$2),16)=0,INDEX($M$2:$M$1000,(ROW()-ROW($B$2))/16+1),"")</f>
        <v/>
      </c>
    </row>
    <row r="6717" spans="14:14" x14ac:dyDescent="0.3">
      <c r="N6717" t="str" cm="1">
        <f t="array" ref="N6717">IF(MOD(ROW()-ROW($B$2),16)=0,INDEX($M$2:$M$1000,(ROW()-ROW($B$2))/16+1),"")</f>
        <v/>
      </c>
    </row>
    <row r="6718" spans="14:14" x14ac:dyDescent="0.3">
      <c r="N6718" t="str" cm="1">
        <f t="array" ref="N6718">IF(MOD(ROW()-ROW($B$2),16)=0,INDEX($M$2:$M$1000,(ROW()-ROW($B$2))/16+1),"")</f>
        <v/>
      </c>
    </row>
    <row r="6719" spans="14:14" x14ac:dyDescent="0.3">
      <c r="N6719" t="str" cm="1">
        <f t="array" ref="N6719">IF(MOD(ROW()-ROW($B$2),16)=0,INDEX($M$2:$M$1000,(ROW()-ROW($B$2))/16+1),"")</f>
        <v/>
      </c>
    </row>
    <row r="6720" spans="14:14" x14ac:dyDescent="0.3">
      <c r="N6720" t="str" cm="1">
        <f t="array" ref="N6720">IF(MOD(ROW()-ROW($B$2),16)=0,INDEX($M$2:$M$1000,(ROW()-ROW($B$2))/16+1),"")</f>
        <v/>
      </c>
    </row>
    <row r="6721" spans="14:14" x14ac:dyDescent="0.3">
      <c r="N6721" t="str" cm="1">
        <f t="array" ref="N6721">IF(MOD(ROW()-ROW($B$2),16)=0,INDEX($M$2:$M$1000,(ROW()-ROW($B$2))/16+1),"")</f>
        <v/>
      </c>
    </row>
    <row r="6722" spans="14:14" x14ac:dyDescent="0.3">
      <c r="N6722" t="str" cm="1">
        <f t="array" ref="N6722">IF(MOD(ROW()-ROW($B$2),16)=0,INDEX($M$2:$M$1000,(ROW()-ROW($B$2))/16+1),"")</f>
        <v/>
      </c>
    </row>
    <row r="6723" spans="14:14" x14ac:dyDescent="0.3">
      <c r="N6723" t="str" cm="1">
        <f t="array" ref="N6723">IF(MOD(ROW()-ROW($B$2),16)=0,INDEX($M$2:$M$1000,(ROW()-ROW($B$2))/16+1),"")</f>
        <v/>
      </c>
    </row>
    <row r="6724" spans="14:14" x14ac:dyDescent="0.3">
      <c r="N6724" t="str" cm="1">
        <f t="array" ref="N6724">IF(MOD(ROW()-ROW($B$2),16)=0,INDEX($M$2:$M$1000,(ROW()-ROW($B$2))/16+1),"")</f>
        <v/>
      </c>
    </row>
    <row r="6725" spans="14:14" x14ac:dyDescent="0.3">
      <c r="N6725" t="str" cm="1">
        <f t="array" ref="N6725">IF(MOD(ROW()-ROW($B$2),16)=0,INDEX($M$2:$M$1000,(ROW()-ROW($B$2))/16+1),"")</f>
        <v/>
      </c>
    </row>
    <row r="6726" spans="14:14" x14ac:dyDescent="0.3">
      <c r="N6726" t="str" cm="1">
        <f t="array" ref="N6726">IF(MOD(ROW()-ROW($B$2),16)=0,INDEX($M$2:$M$1000,(ROW()-ROW($B$2))/16+1),"")</f>
        <v/>
      </c>
    </row>
    <row r="6727" spans="14:14" x14ac:dyDescent="0.3">
      <c r="N6727" t="str" cm="1">
        <f t="array" ref="N6727">IF(MOD(ROW()-ROW($B$2),16)=0,INDEX($M$2:$M$1000,(ROW()-ROW($B$2))/16+1),"")</f>
        <v/>
      </c>
    </row>
    <row r="6728" spans="14:14" x14ac:dyDescent="0.3">
      <c r="N6728" t="str" cm="1">
        <f t="array" ref="N6728">IF(MOD(ROW()-ROW($B$2),16)=0,INDEX($M$2:$M$1000,(ROW()-ROW($B$2))/16+1),"")</f>
        <v/>
      </c>
    </row>
    <row r="6729" spans="14:14" x14ac:dyDescent="0.3">
      <c r="N6729" t="str" cm="1">
        <f t="array" ref="N6729">IF(MOD(ROW()-ROW($B$2),16)=0,INDEX($M$2:$M$1000,(ROW()-ROW($B$2))/16+1),"")</f>
        <v/>
      </c>
    </row>
    <row r="6730" spans="14:14" x14ac:dyDescent="0.3">
      <c r="N6730" t="str" cm="1">
        <f t="array" ref="N6730">IF(MOD(ROW()-ROW($B$2),16)=0,INDEX($M$2:$M$1000,(ROW()-ROW($B$2))/16+1),"")</f>
        <v/>
      </c>
    </row>
    <row r="6731" spans="14:14" x14ac:dyDescent="0.3">
      <c r="N6731" t="str" cm="1">
        <f t="array" ref="N6731">IF(MOD(ROW()-ROW($B$2),16)=0,INDEX($M$2:$M$1000,(ROW()-ROW($B$2))/16+1),"")</f>
        <v/>
      </c>
    </row>
    <row r="6732" spans="14:14" x14ac:dyDescent="0.3">
      <c r="N6732" t="str" cm="1">
        <f t="array" ref="N6732">IF(MOD(ROW()-ROW($B$2),16)=0,INDEX($M$2:$M$1000,(ROW()-ROW($B$2))/16+1),"")</f>
        <v/>
      </c>
    </row>
    <row r="6733" spans="14:14" x14ac:dyDescent="0.3">
      <c r="N6733" t="str" cm="1">
        <f t="array" ref="N6733">IF(MOD(ROW()-ROW($B$2),16)=0,INDEX($M$2:$M$1000,(ROW()-ROW($B$2))/16+1),"")</f>
        <v/>
      </c>
    </row>
    <row r="6734" spans="14:14" x14ac:dyDescent="0.3">
      <c r="N6734" t="str" cm="1">
        <f t="array" ref="N6734">IF(MOD(ROW()-ROW($B$2),16)=0,INDEX($M$2:$M$1000,(ROW()-ROW($B$2))/16+1),"")</f>
        <v/>
      </c>
    </row>
    <row r="6735" spans="14:14" x14ac:dyDescent="0.3">
      <c r="N6735" t="str" cm="1">
        <f t="array" ref="N6735">IF(MOD(ROW()-ROW($B$2),16)=0,INDEX($M$2:$M$1000,(ROW()-ROW($B$2))/16+1),"")</f>
        <v/>
      </c>
    </row>
    <row r="6736" spans="14:14" x14ac:dyDescent="0.3">
      <c r="N6736" t="str" cm="1">
        <f t="array" ref="N6736">IF(MOD(ROW()-ROW($B$2),16)=0,INDEX($M$2:$M$1000,(ROW()-ROW($B$2))/16+1),"")</f>
        <v/>
      </c>
    </row>
    <row r="6737" spans="14:14" x14ac:dyDescent="0.3">
      <c r="N6737" t="str" cm="1">
        <f t="array" ref="N6737">IF(MOD(ROW()-ROW($B$2),16)=0,INDEX($M$2:$M$1000,(ROW()-ROW($B$2))/16+1),"")</f>
        <v/>
      </c>
    </row>
    <row r="6738" spans="14:14" x14ac:dyDescent="0.3">
      <c r="N6738" t="str" cm="1">
        <f t="array" ref="N6738">IF(MOD(ROW()-ROW($B$2),16)=0,INDEX($M$2:$M$1000,(ROW()-ROW($B$2))/16+1),"")</f>
        <v/>
      </c>
    </row>
    <row r="6739" spans="14:14" x14ac:dyDescent="0.3">
      <c r="N6739" t="str" cm="1">
        <f t="array" ref="N6739">IF(MOD(ROW()-ROW($B$2),16)=0,INDEX($M$2:$M$1000,(ROW()-ROW($B$2))/16+1),"")</f>
        <v/>
      </c>
    </row>
    <row r="6740" spans="14:14" x14ac:dyDescent="0.3">
      <c r="N6740" t="str" cm="1">
        <f t="array" ref="N6740">IF(MOD(ROW()-ROW($B$2),16)=0,INDEX($M$2:$M$1000,(ROW()-ROW($B$2))/16+1),"")</f>
        <v/>
      </c>
    </row>
    <row r="6741" spans="14:14" x14ac:dyDescent="0.3">
      <c r="N6741" t="str" cm="1">
        <f t="array" ref="N6741">IF(MOD(ROW()-ROW($B$2),16)=0,INDEX($M$2:$M$1000,(ROW()-ROW($B$2))/16+1),"")</f>
        <v/>
      </c>
    </row>
    <row r="6742" spans="14:14" x14ac:dyDescent="0.3">
      <c r="N6742" t="str" cm="1">
        <f t="array" ref="N6742">IF(MOD(ROW()-ROW($B$2),16)=0,INDEX($M$2:$M$1000,(ROW()-ROW($B$2))/16+1),"")</f>
        <v/>
      </c>
    </row>
    <row r="6743" spans="14:14" x14ac:dyDescent="0.3">
      <c r="N6743" t="str" cm="1">
        <f t="array" ref="N6743">IF(MOD(ROW()-ROW($B$2),16)=0,INDEX($M$2:$M$1000,(ROW()-ROW($B$2))/16+1),"")</f>
        <v/>
      </c>
    </row>
    <row r="6744" spans="14:14" x14ac:dyDescent="0.3">
      <c r="N6744" t="str" cm="1">
        <f t="array" ref="N6744">IF(MOD(ROW()-ROW($B$2),16)=0,INDEX($M$2:$M$1000,(ROW()-ROW($B$2))/16+1),"")</f>
        <v/>
      </c>
    </row>
    <row r="6745" spans="14:14" x14ac:dyDescent="0.3">
      <c r="N6745" t="str" cm="1">
        <f t="array" ref="N6745">IF(MOD(ROW()-ROW($B$2),16)=0,INDEX($M$2:$M$1000,(ROW()-ROW($B$2))/16+1),"")</f>
        <v/>
      </c>
    </row>
    <row r="6746" spans="14:14" x14ac:dyDescent="0.3">
      <c r="N6746" t="str" cm="1">
        <f t="array" ref="N6746">IF(MOD(ROW()-ROW($B$2),16)=0,INDEX($M$2:$M$1000,(ROW()-ROW($B$2))/16+1),"")</f>
        <v/>
      </c>
    </row>
    <row r="6747" spans="14:14" x14ac:dyDescent="0.3">
      <c r="N6747" t="str" cm="1">
        <f t="array" ref="N6747">IF(MOD(ROW()-ROW($B$2),16)=0,INDEX($M$2:$M$1000,(ROW()-ROW($B$2))/16+1),"")</f>
        <v/>
      </c>
    </row>
    <row r="6748" spans="14:14" x14ac:dyDescent="0.3">
      <c r="N6748" t="str" cm="1">
        <f t="array" ref="N6748">IF(MOD(ROW()-ROW($B$2),16)=0,INDEX($M$2:$M$1000,(ROW()-ROW($B$2))/16+1),"")</f>
        <v/>
      </c>
    </row>
    <row r="6749" spans="14:14" x14ac:dyDescent="0.3">
      <c r="N6749" t="str" cm="1">
        <f t="array" ref="N6749">IF(MOD(ROW()-ROW($B$2),16)=0,INDEX($M$2:$M$1000,(ROW()-ROW($B$2))/16+1),"")</f>
        <v/>
      </c>
    </row>
    <row r="6750" spans="14:14" x14ac:dyDescent="0.3">
      <c r="N6750" t="str" cm="1">
        <f t="array" ref="N6750">IF(MOD(ROW()-ROW($B$2),16)=0,INDEX($M$2:$M$1000,(ROW()-ROW($B$2))/16+1),"")</f>
        <v/>
      </c>
    </row>
    <row r="6751" spans="14:14" x14ac:dyDescent="0.3">
      <c r="N6751" t="str" cm="1">
        <f t="array" ref="N6751">IF(MOD(ROW()-ROW($B$2),16)=0,INDEX($M$2:$M$1000,(ROW()-ROW($B$2))/16+1),"")</f>
        <v/>
      </c>
    </row>
    <row r="6752" spans="14:14" x14ac:dyDescent="0.3">
      <c r="N6752" t="str" cm="1">
        <f t="array" ref="N6752">IF(MOD(ROW()-ROW($B$2),16)=0,INDEX($M$2:$M$1000,(ROW()-ROW($B$2))/16+1),"")</f>
        <v/>
      </c>
    </row>
    <row r="6753" spans="14:14" x14ac:dyDescent="0.3">
      <c r="N6753" t="str" cm="1">
        <f t="array" ref="N6753">IF(MOD(ROW()-ROW($B$2),16)=0,INDEX($M$2:$M$1000,(ROW()-ROW($B$2))/16+1),"")</f>
        <v/>
      </c>
    </row>
    <row r="6754" spans="14:14" x14ac:dyDescent="0.3">
      <c r="N6754" t="str" cm="1">
        <f t="array" ref="N6754">IF(MOD(ROW()-ROW($B$2),16)=0,INDEX($M$2:$M$1000,(ROW()-ROW($B$2))/16+1),"")</f>
        <v/>
      </c>
    </row>
    <row r="6755" spans="14:14" x14ac:dyDescent="0.3">
      <c r="N6755" t="str" cm="1">
        <f t="array" ref="N6755">IF(MOD(ROW()-ROW($B$2),16)=0,INDEX($M$2:$M$1000,(ROW()-ROW($B$2))/16+1),"")</f>
        <v/>
      </c>
    </row>
    <row r="6756" spans="14:14" x14ac:dyDescent="0.3">
      <c r="N6756" t="str" cm="1">
        <f t="array" ref="N6756">IF(MOD(ROW()-ROW($B$2),16)=0,INDEX($M$2:$M$1000,(ROW()-ROW($B$2))/16+1),"")</f>
        <v/>
      </c>
    </row>
    <row r="6757" spans="14:14" x14ac:dyDescent="0.3">
      <c r="N6757" t="str" cm="1">
        <f t="array" ref="N6757">IF(MOD(ROW()-ROW($B$2),16)=0,INDEX($M$2:$M$1000,(ROW()-ROW($B$2))/16+1),"")</f>
        <v/>
      </c>
    </row>
    <row r="6758" spans="14:14" x14ac:dyDescent="0.3">
      <c r="N6758" t="str" cm="1">
        <f t="array" ref="N6758">IF(MOD(ROW()-ROW($B$2),16)=0,INDEX($M$2:$M$1000,(ROW()-ROW($B$2))/16+1),"")</f>
        <v/>
      </c>
    </row>
    <row r="6759" spans="14:14" x14ac:dyDescent="0.3">
      <c r="N6759" t="str" cm="1">
        <f t="array" ref="N6759">IF(MOD(ROW()-ROW($B$2),16)=0,INDEX($M$2:$M$1000,(ROW()-ROW($B$2))/16+1),"")</f>
        <v/>
      </c>
    </row>
    <row r="6760" spans="14:14" x14ac:dyDescent="0.3">
      <c r="N6760" t="str" cm="1">
        <f t="array" ref="N6760">IF(MOD(ROW()-ROW($B$2),16)=0,INDEX($M$2:$M$1000,(ROW()-ROW($B$2))/16+1),"")</f>
        <v/>
      </c>
    </row>
    <row r="6761" spans="14:14" x14ac:dyDescent="0.3">
      <c r="N6761" t="str" cm="1">
        <f t="array" ref="N6761">IF(MOD(ROW()-ROW($B$2),16)=0,INDEX($M$2:$M$1000,(ROW()-ROW($B$2))/16+1),"")</f>
        <v/>
      </c>
    </row>
    <row r="6762" spans="14:14" x14ac:dyDescent="0.3">
      <c r="N6762" t="str" cm="1">
        <f t="array" ref="N6762">IF(MOD(ROW()-ROW($B$2),16)=0,INDEX($M$2:$M$1000,(ROW()-ROW($B$2))/16+1),"")</f>
        <v/>
      </c>
    </row>
    <row r="6763" spans="14:14" x14ac:dyDescent="0.3">
      <c r="N6763" t="str" cm="1">
        <f t="array" ref="N6763">IF(MOD(ROW()-ROW($B$2),16)=0,INDEX($M$2:$M$1000,(ROW()-ROW($B$2))/16+1),"")</f>
        <v/>
      </c>
    </row>
    <row r="6764" spans="14:14" x14ac:dyDescent="0.3">
      <c r="N6764" t="str" cm="1">
        <f t="array" ref="N6764">IF(MOD(ROW()-ROW($B$2),16)=0,INDEX($M$2:$M$1000,(ROW()-ROW($B$2))/16+1),"")</f>
        <v/>
      </c>
    </row>
    <row r="6765" spans="14:14" x14ac:dyDescent="0.3">
      <c r="N6765" t="str" cm="1">
        <f t="array" ref="N6765">IF(MOD(ROW()-ROW($B$2),16)=0,INDEX($M$2:$M$1000,(ROW()-ROW($B$2))/16+1),"")</f>
        <v/>
      </c>
    </row>
    <row r="6766" spans="14:14" x14ac:dyDescent="0.3">
      <c r="N6766" t="str" cm="1">
        <f t="array" ref="N6766">IF(MOD(ROW()-ROW($B$2),16)=0,INDEX($M$2:$M$1000,(ROW()-ROW($B$2))/16+1),"")</f>
        <v/>
      </c>
    </row>
    <row r="6767" spans="14:14" x14ac:dyDescent="0.3">
      <c r="N6767" t="str" cm="1">
        <f t="array" ref="N6767">IF(MOD(ROW()-ROW($B$2),16)=0,INDEX($M$2:$M$1000,(ROW()-ROW($B$2))/16+1),"")</f>
        <v/>
      </c>
    </row>
    <row r="6768" spans="14:14" x14ac:dyDescent="0.3">
      <c r="N6768" t="str" cm="1">
        <f t="array" ref="N6768">IF(MOD(ROW()-ROW($B$2),16)=0,INDEX($M$2:$M$1000,(ROW()-ROW($B$2))/16+1),"")</f>
        <v/>
      </c>
    </row>
    <row r="6769" spans="14:14" x14ac:dyDescent="0.3">
      <c r="N6769" t="str" cm="1">
        <f t="array" ref="N6769">IF(MOD(ROW()-ROW($B$2),16)=0,INDEX($M$2:$M$1000,(ROW()-ROW($B$2))/16+1),"")</f>
        <v/>
      </c>
    </row>
    <row r="6770" spans="14:14" x14ac:dyDescent="0.3">
      <c r="N6770" t="str" cm="1">
        <f t="array" ref="N6770">IF(MOD(ROW()-ROW($B$2),16)=0,INDEX($M$2:$M$1000,(ROW()-ROW($B$2))/16+1),"")</f>
        <v/>
      </c>
    </row>
    <row r="6771" spans="14:14" x14ac:dyDescent="0.3">
      <c r="N6771" t="str" cm="1">
        <f t="array" ref="N6771">IF(MOD(ROW()-ROW($B$2),16)=0,INDEX($M$2:$M$1000,(ROW()-ROW($B$2))/16+1),"")</f>
        <v/>
      </c>
    </row>
    <row r="6772" spans="14:14" x14ac:dyDescent="0.3">
      <c r="N6772" t="str" cm="1">
        <f t="array" ref="N6772">IF(MOD(ROW()-ROW($B$2),16)=0,INDEX($M$2:$M$1000,(ROW()-ROW($B$2))/16+1),"")</f>
        <v/>
      </c>
    </row>
    <row r="6773" spans="14:14" x14ac:dyDescent="0.3">
      <c r="N6773" t="str" cm="1">
        <f t="array" ref="N6773">IF(MOD(ROW()-ROW($B$2),16)=0,INDEX($M$2:$M$1000,(ROW()-ROW($B$2))/16+1),"")</f>
        <v/>
      </c>
    </row>
    <row r="6774" spans="14:14" x14ac:dyDescent="0.3">
      <c r="N6774" t="str" cm="1">
        <f t="array" ref="N6774">IF(MOD(ROW()-ROW($B$2),16)=0,INDEX($M$2:$M$1000,(ROW()-ROW($B$2))/16+1),"")</f>
        <v/>
      </c>
    </row>
    <row r="6775" spans="14:14" x14ac:dyDescent="0.3">
      <c r="N6775" t="str" cm="1">
        <f t="array" ref="N6775">IF(MOD(ROW()-ROW($B$2),16)=0,INDEX($M$2:$M$1000,(ROW()-ROW($B$2))/16+1),"")</f>
        <v/>
      </c>
    </row>
    <row r="6776" spans="14:14" x14ac:dyDescent="0.3">
      <c r="N6776" t="str" cm="1">
        <f t="array" ref="N6776">IF(MOD(ROW()-ROW($B$2),16)=0,INDEX($M$2:$M$1000,(ROW()-ROW($B$2))/16+1),"")</f>
        <v/>
      </c>
    </row>
    <row r="6777" spans="14:14" x14ac:dyDescent="0.3">
      <c r="N6777" t="str" cm="1">
        <f t="array" ref="N6777">IF(MOD(ROW()-ROW($B$2),16)=0,INDEX($M$2:$M$1000,(ROW()-ROW($B$2))/16+1),"")</f>
        <v/>
      </c>
    </row>
    <row r="6778" spans="14:14" x14ac:dyDescent="0.3">
      <c r="N6778" t="str" cm="1">
        <f t="array" ref="N6778">IF(MOD(ROW()-ROW($B$2),16)=0,INDEX($M$2:$M$1000,(ROW()-ROW($B$2))/16+1),"")</f>
        <v/>
      </c>
    </row>
    <row r="6779" spans="14:14" x14ac:dyDescent="0.3">
      <c r="N6779" t="str" cm="1">
        <f t="array" ref="N6779">IF(MOD(ROW()-ROW($B$2),16)=0,INDEX($M$2:$M$1000,(ROW()-ROW($B$2))/16+1),"")</f>
        <v/>
      </c>
    </row>
    <row r="6780" spans="14:14" x14ac:dyDescent="0.3">
      <c r="N6780" t="str" cm="1">
        <f t="array" ref="N6780">IF(MOD(ROW()-ROW($B$2),16)=0,INDEX($M$2:$M$1000,(ROW()-ROW($B$2))/16+1),"")</f>
        <v/>
      </c>
    </row>
    <row r="6781" spans="14:14" x14ac:dyDescent="0.3">
      <c r="N6781" t="str" cm="1">
        <f t="array" ref="N6781">IF(MOD(ROW()-ROW($B$2),16)=0,INDEX($M$2:$M$1000,(ROW()-ROW($B$2))/16+1),"")</f>
        <v/>
      </c>
    </row>
    <row r="6782" spans="14:14" x14ac:dyDescent="0.3">
      <c r="N6782" t="str" cm="1">
        <f t="array" ref="N6782">IF(MOD(ROW()-ROW($B$2),16)=0,INDEX($M$2:$M$1000,(ROW()-ROW($B$2))/16+1),"")</f>
        <v/>
      </c>
    </row>
    <row r="6783" spans="14:14" x14ac:dyDescent="0.3">
      <c r="N6783" t="str" cm="1">
        <f t="array" ref="N6783">IF(MOD(ROW()-ROW($B$2),16)=0,INDEX($M$2:$M$1000,(ROW()-ROW($B$2))/16+1),"")</f>
        <v/>
      </c>
    </row>
    <row r="6784" spans="14:14" x14ac:dyDescent="0.3">
      <c r="N6784" t="str" cm="1">
        <f t="array" ref="N6784">IF(MOD(ROW()-ROW($B$2),16)=0,INDEX($M$2:$M$1000,(ROW()-ROW($B$2))/16+1),"")</f>
        <v/>
      </c>
    </row>
    <row r="6785" spans="14:14" x14ac:dyDescent="0.3">
      <c r="N6785" t="str" cm="1">
        <f t="array" ref="N6785">IF(MOD(ROW()-ROW($B$2),16)=0,INDEX($M$2:$M$1000,(ROW()-ROW($B$2))/16+1),"")</f>
        <v/>
      </c>
    </row>
    <row r="6786" spans="14:14" x14ac:dyDescent="0.3">
      <c r="N6786" t="str" cm="1">
        <f t="array" ref="N6786">IF(MOD(ROW()-ROW($B$2),16)=0,INDEX($M$2:$M$1000,(ROW()-ROW($B$2))/16+1),"")</f>
        <v/>
      </c>
    </row>
    <row r="6787" spans="14:14" x14ac:dyDescent="0.3">
      <c r="N6787" t="str" cm="1">
        <f t="array" ref="N6787">IF(MOD(ROW()-ROW($B$2),16)=0,INDEX($M$2:$M$1000,(ROW()-ROW($B$2))/16+1),"")</f>
        <v/>
      </c>
    </row>
    <row r="6788" spans="14:14" x14ac:dyDescent="0.3">
      <c r="N6788" t="str" cm="1">
        <f t="array" ref="N6788">IF(MOD(ROW()-ROW($B$2),16)=0,INDEX($M$2:$M$1000,(ROW()-ROW($B$2))/16+1),"")</f>
        <v/>
      </c>
    </row>
    <row r="6789" spans="14:14" x14ac:dyDescent="0.3">
      <c r="N6789" t="str" cm="1">
        <f t="array" ref="N6789">IF(MOD(ROW()-ROW($B$2),16)=0,INDEX($M$2:$M$1000,(ROW()-ROW($B$2))/16+1),"")</f>
        <v/>
      </c>
    </row>
    <row r="6790" spans="14:14" x14ac:dyDescent="0.3">
      <c r="N6790" t="str" cm="1">
        <f t="array" ref="N6790">IF(MOD(ROW()-ROW($B$2),16)=0,INDEX($M$2:$M$1000,(ROW()-ROW($B$2))/16+1),"")</f>
        <v/>
      </c>
    </row>
    <row r="6791" spans="14:14" x14ac:dyDescent="0.3">
      <c r="N6791" t="str" cm="1">
        <f t="array" ref="N6791">IF(MOD(ROW()-ROW($B$2),16)=0,INDEX($M$2:$M$1000,(ROW()-ROW($B$2))/16+1),"")</f>
        <v/>
      </c>
    </row>
    <row r="6792" spans="14:14" x14ac:dyDescent="0.3">
      <c r="N6792" t="str" cm="1">
        <f t="array" ref="N6792">IF(MOD(ROW()-ROW($B$2),16)=0,INDEX($M$2:$M$1000,(ROW()-ROW($B$2))/16+1),"")</f>
        <v/>
      </c>
    </row>
    <row r="6793" spans="14:14" x14ac:dyDescent="0.3">
      <c r="N6793" t="str" cm="1">
        <f t="array" ref="N6793">IF(MOD(ROW()-ROW($B$2),16)=0,INDEX($M$2:$M$1000,(ROW()-ROW($B$2))/16+1),"")</f>
        <v/>
      </c>
    </row>
    <row r="6794" spans="14:14" x14ac:dyDescent="0.3">
      <c r="N6794" t="str" cm="1">
        <f t="array" ref="N6794">IF(MOD(ROW()-ROW($B$2),16)=0,INDEX($M$2:$M$1000,(ROW()-ROW($B$2))/16+1),"")</f>
        <v/>
      </c>
    </row>
    <row r="6795" spans="14:14" x14ac:dyDescent="0.3">
      <c r="N6795" t="str" cm="1">
        <f t="array" ref="N6795">IF(MOD(ROW()-ROW($B$2),16)=0,INDEX($M$2:$M$1000,(ROW()-ROW($B$2))/16+1),"")</f>
        <v/>
      </c>
    </row>
    <row r="6796" spans="14:14" x14ac:dyDescent="0.3">
      <c r="N6796" t="str" cm="1">
        <f t="array" ref="N6796">IF(MOD(ROW()-ROW($B$2),16)=0,INDEX($M$2:$M$1000,(ROW()-ROW($B$2))/16+1),"")</f>
        <v/>
      </c>
    </row>
    <row r="6797" spans="14:14" x14ac:dyDescent="0.3">
      <c r="N6797" t="str" cm="1">
        <f t="array" ref="N6797">IF(MOD(ROW()-ROW($B$2),16)=0,INDEX($M$2:$M$1000,(ROW()-ROW($B$2))/16+1),"")</f>
        <v/>
      </c>
    </row>
    <row r="6798" spans="14:14" x14ac:dyDescent="0.3">
      <c r="N6798" t="str" cm="1">
        <f t="array" ref="N6798">IF(MOD(ROW()-ROW($B$2),16)=0,INDEX($M$2:$M$1000,(ROW()-ROW($B$2))/16+1),"")</f>
        <v/>
      </c>
    </row>
    <row r="6799" spans="14:14" x14ac:dyDescent="0.3">
      <c r="N6799" t="str" cm="1">
        <f t="array" ref="N6799">IF(MOD(ROW()-ROW($B$2),16)=0,INDEX($M$2:$M$1000,(ROW()-ROW($B$2))/16+1),"")</f>
        <v/>
      </c>
    </row>
    <row r="6800" spans="14:14" x14ac:dyDescent="0.3">
      <c r="N6800" t="str" cm="1">
        <f t="array" ref="N6800">IF(MOD(ROW()-ROW($B$2),16)=0,INDEX($M$2:$M$1000,(ROW()-ROW($B$2))/16+1),"")</f>
        <v/>
      </c>
    </row>
    <row r="6801" spans="14:14" x14ac:dyDescent="0.3">
      <c r="N6801" t="str" cm="1">
        <f t="array" ref="N6801">IF(MOD(ROW()-ROW($B$2),16)=0,INDEX($M$2:$M$1000,(ROW()-ROW($B$2))/16+1),"")</f>
        <v/>
      </c>
    </row>
    <row r="6802" spans="14:14" x14ac:dyDescent="0.3">
      <c r="N6802" t="str" cm="1">
        <f t="array" ref="N6802">IF(MOD(ROW()-ROW($B$2),16)=0,INDEX($M$2:$M$1000,(ROW()-ROW($B$2))/16+1),"")</f>
        <v/>
      </c>
    </row>
    <row r="6803" spans="14:14" x14ac:dyDescent="0.3">
      <c r="N6803" t="str" cm="1">
        <f t="array" ref="N6803">IF(MOD(ROW()-ROW($B$2),16)=0,INDEX($M$2:$M$1000,(ROW()-ROW($B$2))/16+1),"")</f>
        <v/>
      </c>
    </row>
    <row r="6804" spans="14:14" x14ac:dyDescent="0.3">
      <c r="N6804" t="str" cm="1">
        <f t="array" ref="N6804">IF(MOD(ROW()-ROW($B$2),16)=0,INDEX($M$2:$M$1000,(ROW()-ROW($B$2))/16+1),"")</f>
        <v/>
      </c>
    </row>
    <row r="6805" spans="14:14" x14ac:dyDescent="0.3">
      <c r="N6805" t="str" cm="1">
        <f t="array" ref="N6805">IF(MOD(ROW()-ROW($B$2),16)=0,INDEX($M$2:$M$1000,(ROW()-ROW($B$2))/16+1),"")</f>
        <v/>
      </c>
    </row>
    <row r="6806" spans="14:14" x14ac:dyDescent="0.3">
      <c r="N6806" t="str" cm="1">
        <f t="array" ref="N6806">IF(MOD(ROW()-ROW($B$2),16)=0,INDEX($M$2:$M$1000,(ROW()-ROW($B$2))/16+1),"")</f>
        <v/>
      </c>
    </row>
    <row r="6807" spans="14:14" x14ac:dyDescent="0.3">
      <c r="N6807" t="str" cm="1">
        <f t="array" ref="N6807">IF(MOD(ROW()-ROW($B$2),16)=0,INDEX($M$2:$M$1000,(ROW()-ROW($B$2))/16+1),"")</f>
        <v/>
      </c>
    </row>
    <row r="6808" spans="14:14" x14ac:dyDescent="0.3">
      <c r="N6808" t="str" cm="1">
        <f t="array" ref="N6808">IF(MOD(ROW()-ROW($B$2),16)=0,INDEX($M$2:$M$1000,(ROW()-ROW($B$2))/16+1),"")</f>
        <v/>
      </c>
    </row>
    <row r="6809" spans="14:14" x14ac:dyDescent="0.3">
      <c r="N6809" t="str" cm="1">
        <f t="array" ref="N6809">IF(MOD(ROW()-ROW($B$2),16)=0,INDEX($M$2:$M$1000,(ROW()-ROW($B$2))/16+1),"")</f>
        <v/>
      </c>
    </row>
    <row r="6810" spans="14:14" x14ac:dyDescent="0.3">
      <c r="N6810" t="str" cm="1">
        <f t="array" ref="N6810">IF(MOD(ROW()-ROW($B$2),16)=0,INDEX($M$2:$M$1000,(ROW()-ROW($B$2))/16+1),"")</f>
        <v/>
      </c>
    </row>
    <row r="6811" spans="14:14" x14ac:dyDescent="0.3">
      <c r="N6811" t="str" cm="1">
        <f t="array" ref="N6811">IF(MOD(ROW()-ROW($B$2),16)=0,INDEX($M$2:$M$1000,(ROW()-ROW($B$2))/16+1),"")</f>
        <v/>
      </c>
    </row>
    <row r="6812" spans="14:14" x14ac:dyDescent="0.3">
      <c r="N6812" t="str" cm="1">
        <f t="array" ref="N6812">IF(MOD(ROW()-ROW($B$2),16)=0,INDEX($M$2:$M$1000,(ROW()-ROW($B$2))/16+1),"")</f>
        <v/>
      </c>
    </row>
    <row r="6813" spans="14:14" x14ac:dyDescent="0.3">
      <c r="N6813" t="str" cm="1">
        <f t="array" ref="N6813">IF(MOD(ROW()-ROW($B$2),16)=0,INDEX($M$2:$M$1000,(ROW()-ROW($B$2))/16+1),"")</f>
        <v/>
      </c>
    </row>
    <row r="6814" spans="14:14" x14ac:dyDescent="0.3">
      <c r="N6814" t="str" cm="1">
        <f t="array" ref="N6814">IF(MOD(ROW()-ROW($B$2),16)=0,INDEX($M$2:$M$1000,(ROW()-ROW($B$2))/16+1),"")</f>
        <v/>
      </c>
    </row>
    <row r="6815" spans="14:14" x14ac:dyDescent="0.3">
      <c r="N6815" t="str" cm="1">
        <f t="array" ref="N6815">IF(MOD(ROW()-ROW($B$2),16)=0,INDEX($M$2:$M$1000,(ROW()-ROW($B$2))/16+1),"")</f>
        <v/>
      </c>
    </row>
    <row r="6816" spans="14:14" x14ac:dyDescent="0.3">
      <c r="N6816" t="str" cm="1">
        <f t="array" ref="N6816">IF(MOD(ROW()-ROW($B$2),16)=0,INDEX($M$2:$M$1000,(ROW()-ROW($B$2))/16+1),"")</f>
        <v/>
      </c>
    </row>
    <row r="6817" spans="14:14" x14ac:dyDescent="0.3">
      <c r="N6817" t="str" cm="1">
        <f t="array" ref="N6817">IF(MOD(ROW()-ROW($B$2),16)=0,INDEX($M$2:$M$1000,(ROW()-ROW($B$2))/16+1),"")</f>
        <v/>
      </c>
    </row>
    <row r="6818" spans="14:14" x14ac:dyDescent="0.3">
      <c r="N6818" t="str" cm="1">
        <f t="array" ref="N6818">IF(MOD(ROW()-ROW($B$2),16)=0,INDEX($M$2:$M$1000,(ROW()-ROW($B$2))/16+1),"")</f>
        <v/>
      </c>
    </row>
    <row r="6819" spans="14:14" x14ac:dyDescent="0.3">
      <c r="N6819" t="str" cm="1">
        <f t="array" ref="N6819">IF(MOD(ROW()-ROW($B$2),16)=0,INDEX($M$2:$M$1000,(ROW()-ROW($B$2))/16+1),"")</f>
        <v/>
      </c>
    </row>
    <row r="6820" spans="14:14" x14ac:dyDescent="0.3">
      <c r="N6820" t="str" cm="1">
        <f t="array" ref="N6820">IF(MOD(ROW()-ROW($B$2),16)=0,INDEX($M$2:$M$1000,(ROW()-ROW($B$2))/16+1),"")</f>
        <v/>
      </c>
    </row>
    <row r="6821" spans="14:14" x14ac:dyDescent="0.3">
      <c r="N6821" t="str" cm="1">
        <f t="array" ref="N6821">IF(MOD(ROW()-ROW($B$2),16)=0,INDEX($M$2:$M$1000,(ROW()-ROW($B$2))/16+1),"")</f>
        <v/>
      </c>
    </row>
    <row r="6822" spans="14:14" x14ac:dyDescent="0.3">
      <c r="N6822" t="str" cm="1">
        <f t="array" ref="N6822">IF(MOD(ROW()-ROW($B$2),16)=0,INDEX($M$2:$M$1000,(ROW()-ROW($B$2))/16+1),"")</f>
        <v/>
      </c>
    </row>
    <row r="6823" spans="14:14" x14ac:dyDescent="0.3">
      <c r="N6823" t="str" cm="1">
        <f t="array" ref="N6823">IF(MOD(ROW()-ROW($B$2),16)=0,INDEX($M$2:$M$1000,(ROW()-ROW($B$2))/16+1),"")</f>
        <v/>
      </c>
    </row>
    <row r="6824" spans="14:14" x14ac:dyDescent="0.3">
      <c r="N6824" t="str" cm="1">
        <f t="array" ref="N6824">IF(MOD(ROW()-ROW($B$2),16)=0,INDEX($M$2:$M$1000,(ROW()-ROW($B$2))/16+1),"")</f>
        <v/>
      </c>
    </row>
    <row r="6825" spans="14:14" x14ac:dyDescent="0.3">
      <c r="N6825" t="str" cm="1">
        <f t="array" ref="N6825">IF(MOD(ROW()-ROW($B$2),16)=0,INDEX($M$2:$M$1000,(ROW()-ROW($B$2))/16+1),"")</f>
        <v/>
      </c>
    </row>
    <row r="6826" spans="14:14" x14ac:dyDescent="0.3">
      <c r="N6826" t="str" cm="1">
        <f t="array" ref="N6826">IF(MOD(ROW()-ROW($B$2),16)=0,INDEX($M$2:$M$1000,(ROW()-ROW($B$2))/16+1),"")</f>
        <v/>
      </c>
    </row>
    <row r="6827" spans="14:14" x14ac:dyDescent="0.3">
      <c r="N6827" t="str" cm="1">
        <f t="array" ref="N6827">IF(MOD(ROW()-ROW($B$2),16)=0,INDEX($M$2:$M$1000,(ROW()-ROW($B$2))/16+1),"")</f>
        <v/>
      </c>
    </row>
    <row r="6828" spans="14:14" x14ac:dyDescent="0.3">
      <c r="N6828" t="str" cm="1">
        <f t="array" ref="N6828">IF(MOD(ROW()-ROW($B$2),16)=0,INDEX($M$2:$M$1000,(ROW()-ROW($B$2))/16+1),"")</f>
        <v/>
      </c>
    </row>
    <row r="6829" spans="14:14" x14ac:dyDescent="0.3">
      <c r="N6829" t="str" cm="1">
        <f t="array" ref="N6829">IF(MOD(ROW()-ROW($B$2),16)=0,INDEX($M$2:$M$1000,(ROW()-ROW($B$2))/16+1),"")</f>
        <v/>
      </c>
    </row>
    <row r="6830" spans="14:14" x14ac:dyDescent="0.3">
      <c r="N6830" t="str" cm="1">
        <f t="array" ref="N6830">IF(MOD(ROW()-ROW($B$2),16)=0,INDEX($M$2:$M$1000,(ROW()-ROW($B$2))/16+1),"")</f>
        <v/>
      </c>
    </row>
    <row r="6831" spans="14:14" x14ac:dyDescent="0.3">
      <c r="N6831" t="str" cm="1">
        <f t="array" ref="N6831">IF(MOD(ROW()-ROW($B$2),16)=0,INDEX($M$2:$M$1000,(ROW()-ROW($B$2))/16+1),"")</f>
        <v/>
      </c>
    </row>
    <row r="6832" spans="14:14" x14ac:dyDescent="0.3">
      <c r="N6832" t="str" cm="1">
        <f t="array" ref="N6832">IF(MOD(ROW()-ROW($B$2),16)=0,INDEX($M$2:$M$1000,(ROW()-ROW($B$2))/16+1),"")</f>
        <v/>
      </c>
    </row>
    <row r="6833" spans="14:14" x14ac:dyDescent="0.3">
      <c r="N6833" t="str" cm="1">
        <f t="array" ref="N6833">IF(MOD(ROW()-ROW($B$2),16)=0,INDEX($M$2:$M$1000,(ROW()-ROW($B$2))/16+1),"")</f>
        <v/>
      </c>
    </row>
    <row r="6834" spans="14:14" x14ac:dyDescent="0.3">
      <c r="N6834" t="str" cm="1">
        <f t="array" ref="N6834">IF(MOD(ROW()-ROW($B$2),16)=0,INDEX($M$2:$M$1000,(ROW()-ROW($B$2))/16+1),"")</f>
        <v/>
      </c>
    </row>
    <row r="6835" spans="14:14" x14ac:dyDescent="0.3">
      <c r="N6835" t="str" cm="1">
        <f t="array" ref="N6835">IF(MOD(ROW()-ROW($B$2),16)=0,INDEX($M$2:$M$1000,(ROW()-ROW($B$2))/16+1),"")</f>
        <v/>
      </c>
    </row>
    <row r="6836" spans="14:14" x14ac:dyDescent="0.3">
      <c r="N6836" t="str" cm="1">
        <f t="array" ref="N6836">IF(MOD(ROW()-ROW($B$2),16)=0,INDEX($M$2:$M$1000,(ROW()-ROW($B$2))/16+1),"")</f>
        <v/>
      </c>
    </row>
    <row r="6837" spans="14:14" x14ac:dyDescent="0.3">
      <c r="N6837" t="str" cm="1">
        <f t="array" ref="N6837">IF(MOD(ROW()-ROW($B$2),16)=0,INDEX($M$2:$M$1000,(ROW()-ROW($B$2))/16+1),"")</f>
        <v/>
      </c>
    </row>
    <row r="6838" spans="14:14" x14ac:dyDescent="0.3">
      <c r="N6838" t="str" cm="1">
        <f t="array" ref="N6838">IF(MOD(ROW()-ROW($B$2),16)=0,INDEX($M$2:$M$1000,(ROW()-ROW($B$2))/16+1),"")</f>
        <v/>
      </c>
    </row>
    <row r="6839" spans="14:14" x14ac:dyDescent="0.3">
      <c r="N6839" t="str" cm="1">
        <f t="array" ref="N6839">IF(MOD(ROW()-ROW($B$2),16)=0,INDEX($M$2:$M$1000,(ROW()-ROW($B$2))/16+1),"")</f>
        <v/>
      </c>
    </row>
    <row r="6840" spans="14:14" x14ac:dyDescent="0.3">
      <c r="N6840" t="str" cm="1">
        <f t="array" ref="N6840">IF(MOD(ROW()-ROW($B$2),16)=0,INDEX($M$2:$M$1000,(ROW()-ROW($B$2))/16+1),"")</f>
        <v/>
      </c>
    </row>
    <row r="6841" spans="14:14" x14ac:dyDescent="0.3">
      <c r="N6841" t="str" cm="1">
        <f t="array" ref="N6841">IF(MOD(ROW()-ROW($B$2),16)=0,INDEX($M$2:$M$1000,(ROW()-ROW($B$2))/16+1),"")</f>
        <v/>
      </c>
    </row>
    <row r="6842" spans="14:14" x14ac:dyDescent="0.3">
      <c r="N6842" t="str" cm="1">
        <f t="array" ref="N6842">IF(MOD(ROW()-ROW($B$2),16)=0,INDEX($M$2:$M$1000,(ROW()-ROW($B$2))/16+1),"")</f>
        <v/>
      </c>
    </row>
    <row r="6843" spans="14:14" x14ac:dyDescent="0.3">
      <c r="N6843" t="str" cm="1">
        <f t="array" ref="N6843">IF(MOD(ROW()-ROW($B$2),16)=0,INDEX($M$2:$M$1000,(ROW()-ROW($B$2))/16+1),"")</f>
        <v/>
      </c>
    </row>
    <row r="6844" spans="14:14" x14ac:dyDescent="0.3">
      <c r="N6844" t="str" cm="1">
        <f t="array" ref="N6844">IF(MOD(ROW()-ROW($B$2),16)=0,INDEX($M$2:$M$1000,(ROW()-ROW($B$2))/16+1),"")</f>
        <v/>
      </c>
    </row>
    <row r="6845" spans="14:14" x14ac:dyDescent="0.3">
      <c r="N6845" t="str" cm="1">
        <f t="array" ref="N6845">IF(MOD(ROW()-ROW($B$2),16)=0,INDEX($M$2:$M$1000,(ROW()-ROW($B$2))/16+1),"")</f>
        <v/>
      </c>
    </row>
    <row r="6846" spans="14:14" x14ac:dyDescent="0.3">
      <c r="N6846" t="str" cm="1">
        <f t="array" ref="N6846">IF(MOD(ROW()-ROW($B$2),16)=0,INDEX($M$2:$M$1000,(ROW()-ROW($B$2))/16+1),"")</f>
        <v/>
      </c>
    </row>
    <row r="6847" spans="14:14" x14ac:dyDescent="0.3">
      <c r="N6847" t="str" cm="1">
        <f t="array" ref="N6847">IF(MOD(ROW()-ROW($B$2),16)=0,INDEX($M$2:$M$1000,(ROW()-ROW($B$2))/16+1),"")</f>
        <v/>
      </c>
    </row>
    <row r="6848" spans="14:14" x14ac:dyDescent="0.3">
      <c r="N6848" t="str" cm="1">
        <f t="array" ref="N6848">IF(MOD(ROW()-ROW($B$2),16)=0,INDEX($M$2:$M$1000,(ROW()-ROW($B$2))/16+1),"")</f>
        <v/>
      </c>
    </row>
    <row r="6849" spans="14:14" x14ac:dyDescent="0.3">
      <c r="N6849" t="str" cm="1">
        <f t="array" ref="N6849">IF(MOD(ROW()-ROW($B$2),16)=0,INDEX($M$2:$M$1000,(ROW()-ROW($B$2))/16+1),"")</f>
        <v/>
      </c>
    </row>
    <row r="6850" spans="14:14" x14ac:dyDescent="0.3">
      <c r="N6850" t="str" cm="1">
        <f t="array" ref="N6850">IF(MOD(ROW()-ROW($B$2),16)=0,INDEX($M$2:$M$1000,(ROW()-ROW($B$2))/16+1),"")</f>
        <v/>
      </c>
    </row>
    <row r="6851" spans="14:14" x14ac:dyDescent="0.3">
      <c r="N6851" t="str" cm="1">
        <f t="array" ref="N6851">IF(MOD(ROW()-ROW($B$2),16)=0,INDEX($M$2:$M$1000,(ROW()-ROW($B$2))/16+1),"")</f>
        <v/>
      </c>
    </row>
    <row r="6852" spans="14:14" x14ac:dyDescent="0.3">
      <c r="N6852" t="str" cm="1">
        <f t="array" ref="N6852">IF(MOD(ROW()-ROW($B$2),16)=0,INDEX($M$2:$M$1000,(ROW()-ROW($B$2))/16+1),"")</f>
        <v/>
      </c>
    </row>
    <row r="6853" spans="14:14" x14ac:dyDescent="0.3">
      <c r="N6853" t="str" cm="1">
        <f t="array" ref="N6853">IF(MOD(ROW()-ROW($B$2),16)=0,INDEX($M$2:$M$1000,(ROW()-ROW($B$2))/16+1),"")</f>
        <v/>
      </c>
    </row>
    <row r="6854" spans="14:14" x14ac:dyDescent="0.3">
      <c r="N6854" t="str" cm="1">
        <f t="array" ref="N6854">IF(MOD(ROW()-ROW($B$2),16)=0,INDEX($M$2:$M$1000,(ROW()-ROW($B$2))/16+1),"")</f>
        <v/>
      </c>
    </row>
    <row r="6855" spans="14:14" x14ac:dyDescent="0.3">
      <c r="N6855" t="str" cm="1">
        <f t="array" ref="N6855">IF(MOD(ROW()-ROW($B$2),16)=0,INDEX($M$2:$M$1000,(ROW()-ROW($B$2))/16+1),"")</f>
        <v/>
      </c>
    </row>
    <row r="6856" spans="14:14" x14ac:dyDescent="0.3">
      <c r="N6856" t="str" cm="1">
        <f t="array" ref="N6856">IF(MOD(ROW()-ROW($B$2),16)=0,INDEX($M$2:$M$1000,(ROW()-ROW($B$2))/16+1),"")</f>
        <v/>
      </c>
    </row>
    <row r="6857" spans="14:14" x14ac:dyDescent="0.3">
      <c r="N6857" t="str" cm="1">
        <f t="array" ref="N6857">IF(MOD(ROW()-ROW($B$2),16)=0,INDEX($M$2:$M$1000,(ROW()-ROW($B$2))/16+1),"")</f>
        <v/>
      </c>
    </row>
    <row r="6858" spans="14:14" x14ac:dyDescent="0.3">
      <c r="N6858" t="str" cm="1">
        <f t="array" ref="N6858">IF(MOD(ROW()-ROW($B$2),16)=0,INDEX($M$2:$M$1000,(ROW()-ROW($B$2))/16+1),"")</f>
        <v/>
      </c>
    </row>
    <row r="6859" spans="14:14" x14ac:dyDescent="0.3">
      <c r="N6859" t="str" cm="1">
        <f t="array" ref="N6859">IF(MOD(ROW()-ROW($B$2),16)=0,INDEX($M$2:$M$1000,(ROW()-ROW($B$2))/16+1),"")</f>
        <v/>
      </c>
    </row>
    <row r="6860" spans="14:14" x14ac:dyDescent="0.3">
      <c r="N6860" t="str" cm="1">
        <f t="array" ref="N6860">IF(MOD(ROW()-ROW($B$2),16)=0,INDEX($M$2:$M$1000,(ROW()-ROW($B$2))/16+1),"")</f>
        <v/>
      </c>
    </row>
    <row r="6861" spans="14:14" x14ac:dyDescent="0.3">
      <c r="N6861" t="str" cm="1">
        <f t="array" ref="N6861">IF(MOD(ROW()-ROW($B$2),16)=0,INDEX($M$2:$M$1000,(ROW()-ROW($B$2))/16+1),"")</f>
        <v/>
      </c>
    </row>
    <row r="6862" spans="14:14" x14ac:dyDescent="0.3">
      <c r="N6862" t="str" cm="1">
        <f t="array" ref="N6862">IF(MOD(ROW()-ROW($B$2),16)=0,INDEX($M$2:$M$1000,(ROW()-ROW($B$2))/16+1),"")</f>
        <v/>
      </c>
    </row>
    <row r="6863" spans="14:14" x14ac:dyDescent="0.3">
      <c r="N6863" t="str" cm="1">
        <f t="array" ref="N6863">IF(MOD(ROW()-ROW($B$2),16)=0,INDEX($M$2:$M$1000,(ROW()-ROW($B$2))/16+1),"")</f>
        <v/>
      </c>
    </row>
    <row r="6864" spans="14:14" x14ac:dyDescent="0.3">
      <c r="N6864" t="str" cm="1">
        <f t="array" ref="N6864">IF(MOD(ROW()-ROW($B$2),16)=0,INDEX($M$2:$M$1000,(ROW()-ROW($B$2))/16+1),"")</f>
        <v/>
      </c>
    </row>
    <row r="6865" spans="14:14" x14ac:dyDescent="0.3">
      <c r="N6865" t="str" cm="1">
        <f t="array" ref="N6865">IF(MOD(ROW()-ROW($B$2),16)=0,INDEX($M$2:$M$1000,(ROW()-ROW($B$2))/16+1),"")</f>
        <v/>
      </c>
    </row>
    <row r="6866" spans="14:14" x14ac:dyDescent="0.3">
      <c r="N6866" t="str" cm="1">
        <f t="array" ref="N6866">IF(MOD(ROW()-ROW($B$2),16)=0,INDEX($M$2:$M$1000,(ROW()-ROW($B$2))/16+1),"")</f>
        <v/>
      </c>
    </row>
    <row r="6867" spans="14:14" x14ac:dyDescent="0.3">
      <c r="N6867" t="str" cm="1">
        <f t="array" ref="N6867">IF(MOD(ROW()-ROW($B$2),16)=0,INDEX($M$2:$M$1000,(ROW()-ROW($B$2))/16+1),"")</f>
        <v/>
      </c>
    </row>
    <row r="6868" spans="14:14" x14ac:dyDescent="0.3">
      <c r="N6868" t="str" cm="1">
        <f t="array" ref="N6868">IF(MOD(ROW()-ROW($B$2),16)=0,INDEX($M$2:$M$1000,(ROW()-ROW($B$2))/16+1),"")</f>
        <v/>
      </c>
    </row>
    <row r="6869" spans="14:14" x14ac:dyDescent="0.3">
      <c r="N6869" t="str" cm="1">
        <f t="array" ref="N6869">IF(MOD(ROW()-ROW($B$2),16)=0,INDEX($M$2:$M$1000,(ROW()-ROW($B$2))/16+1),"")</f>
        <v/>
      </c>
    </row>
    <row r="6870" spans="14:14" x14ac:dyDescent="0.3">
      <c r="N6870" t="str" cm="1">
        <f t="array" ref="N6870">IF(MOD(ROW()-ROW($B$2),16)=0,INDEX($M$2:$M$1000,(ROW()-ROW($B$2))/16+1),"")</f>
        <v/>
      </c>
    </row>
    <row r="6871" spans="14:14" x14ac:dyDescent="0.3">
      <c r="N6871" t="str" cm="1">
        <f t="array" ref="N6871">IF(MOD(ROW()-ROW($B$2),16)=0,INDEX($M$2:$M$1000,(ROW()-ROW($B$2))/16+1),"")</f>
        <v/>
      </c>
    </row>
    <row r="6872" spans="14:14" x14ac:dyDescent="0.3">
      <c r="N6872" t="str" cm="1">
        <f t="array" ref="N6872">IF(MOD(ROW()-ROW($B$2),16)=0,INDEX($M$2:$M$1000,(ROW()-ROW($B$2))/16+1),"")</f>
        <v/>
      </c>
    </row>
    <row r="6873" spans="14:14" x14ac:dyDescent="0.3">
      <c r="N6873" t="str" cm="1">
        <f t="array" ref="N6873">IF(MOD(ROW()-ROW($B$2),16)=0,INDEX($M$2:$M$1000,(ROW()-ROW($B$2))/16+1),"")</f>
        <v/>
      </c>
    </row>
    <row r="6874" spans="14:14" x14ac:dyDescent="0.3">
      <c r="N6874" t="str" cm="1">
        <f t="array" ref="N6874">IF(MOD(ROW()-ROW($B$2),16)=0,INDEX($M$2:$M$1000,(ROW()-ROW($B$2))/16+1),"")</f>
        <v/>
      </c>
    </row>
    <row r="6875" spans="14:14" x14ac:dyDescent="0.3">
      <c r="N6875" t="str" cm="1">
        <f t="array" ref="N6875">IF(MOD(ROW()-ROW($B$2),16)=0,INDEX($M$2:$M$1000,(ROW()-ROW($B$2))/16+1),"")</f>
        <v/>
      </c>
    </row>
    <row r="6876" spans="14:14" x14ac:dyDescent="0.3">
      <c r="N6876" t="str" cm="1">
        <f t="array" ref="N6876">IF(MOD(ROW()-ROW($B$2),16)=0,INDEX($M$2:$M$1000,(ROW()-ROW($B$2))/16+1),"")</f>
        <v/>
      </c>
    </row>
    <row r="6877" spans="14:14" x14ac:dyDescent="0.3">
      <c r="N6877" t="str" cm="1">
        <f t="array" ref="N6877">IF(MOD(ROW()-ROW($B$2),16)=0,INDEX($M$2:$M$1000,(ROW()-ROW($B$2))/16+1),"")</f>
        <v/>
      </c>
    </row>
    <row r="6878" spans="14:14" x14ac:dyDescent="0.3">
      <c r="N6878" t="str" cm="1">
        <f t="array" ref="N6878">IF(MOD(ROW()-ROW($B$2),16)=0,INDEX($M$2:$M$1000,(ROW()-ROW($B$2))/16+1),"")</f>
        <v/>
      </c>
    </row>
    <row r="6879" spans="14:14" x14ac:dyDescent="0.3">
      <c r="N6879" t="str" cm="1">
        <f t="array" ref="N6879">IF(MOD(ROW()-ROW($B$2),16)=0,INDEX($M$2:$M$1000,(ROW()-ROW($B$2))/16+1),"")</f>
        <v/>
      </c>
    </row>
    <row r="6880" spans="14:14" x14ac:dyDescent="0.3">
      <c r="N6880" t="str" cm="1">
        <f t="array" ref="N6880">IF(MOD(ROW()-ROW($B$2),16)=0,INDEX($M$2:$M$1000,(ROW()-ROW($B$2))/16+1),"")</f>
        <v/>
      </c>
    </row>
    <row r="6881" spans="14:14" x14ac:dyDescent="0.3">
      <c r="N6881" t="str" cm="1">
        <f t="array" ref="N6881">IF(MOD(ROW()-ROW($B$2),16)=0,INDEX($M$2:$M$1000,(ROW()-ROW($B$2))/16+1),"")</f>
        <v/>
      </c>
    </row>
    <row r="6882" spans="14:14" x14ac:dyDescent="0.3">
      <c r="N6882" t="str" cm="1">
        <f t="array" ref="N6882">IF(MOD(ROW()-ROW($B$2),16)=0,INDEX($M$2:$M$1000,(ROW()-ROW($B$2))/16+1),"")</f>
        <v/>
      </c>
    </row>
    <row r="6883" spans="14:14" x14ac:dyDescent="0.3">
      <c r="N6883" t="str" cm="1">
        <f t="array" ref="N6883">IF(MOD(ROW()-ROW($B$2),16)=0,INDEX($M$2:$M$1000,(ROW()-ROW($B$2))/16+1),"")</f>
        <v/>
      </c>
    </row>
    <row r="6884" spans="14:14" x14ac:dyDescent="0.3">
      <c r="N6884" t="str" cm="1">
        <f t="array" ref="N6884">IF(MOD(ROW()-ROW($B$2),16)=0,INDEX($M$2:$M$1000,(ROW()-ROW($B$2))/16+1),"")</f>
        <v/>
      </c>
    </row>
    <row r="6885" spans="14:14" x14ac:dyDescent="0.3">
      <c r="N6885" t="str" cm="1">
        <f t="array" ref="N6885">IF(MOD(ROW()-ROW($B$2),16)=0,INDEX($M$2:$M$1000,(ROW()-ROW($B$2))/16+1),"")</f>
        <v/>
      </c>
    </row>
    <row r="6886" spans="14:14" x14ac:dyDescent="0.3">
      <c r="N6886" t="str" cm="1">
        <f t="array" ref="N6886">IF(MOD(ROW()-ROW($B$2),16)=0,INDEX($M$2:$M$1000,(ROW()-ROW($B$2))/16+1),"")</f>
        <v/>
      </c>
    </row>
    <row r="6887" spans="14:14" x14ac:dyDescent="0.3">
      <c r="N6887" t="str" cm="1">
        <f t="array" ref="N6887">IF(MOD(ROW()-ROW($B$2),16)=0,INDEX($M$2:$M$1000,(ROW()-ROW($B$2))/16+1),"")</f>
        <v/>
      </c>
    </row>
    <row r="6888" spans="14:14" x14ac:dyDescent="0.3">
      <c r="N6888" t="str" cm="1">
        <f t="array" ref="N6888">IF(MOD(ROW()-ROW($B$2),16)=0,INDEX($M$2:$M$1000,(ROW()-ROW($B$2))/16+1),"")</f>
        <v/>
      </c>
    </row>
    <row r="6889" spans="14:14" x14ac:dyDescent="0.3">
      <c r="N6889" t="str" cm="1">
        <f t="array" ref="N6889">IF(MOD(ROW()-ROW($B$2),16)=0,INDEX($M$2:$M$1000,(ROW()-ROW($B$2))/16+1),"")</f>
        <v/>
      </c>
    </row>
    <row r="6890" spans="14:14" x14ac:dyDescent="0.3">
      <c r="N6890" t="str" cm="1">
        <f t="array" ref="N6890">IF(MOD(ROW()-ROW($B$2),16)=0,INDEX($M$2:$M$1000,(ROW()-ROW($B$2))/16+1),"")</f>
        <v/>
      </c>
    </row>
    <row r="6891" spans="14:14" x14ac:dyDescent="0.3">
      <c r="N6891" t="str" cm="1">
        <f t="array" ref="N6891">IF(MOD(ROW()-ROW($B$2),16)=0,INDEX($M$2:$M$1000,(ROW()-ROW($B$2))/16+1),"")</f>
        <v/>
      </c>
    </row>
    <row r="6892" spans="14:14" x14ac:dyDescent="0.3">
      <c r="N6892" t="str" cm="1">
        <f t="array" ref="N6892">IF(MOD(ROW()-ROW($B$2),16)=0,INDEX($M$2:$M$1000,(ROW()-ROW($B$2))/16+1),"")</f>
        <v/>
      </c>
    </row>
    <row r="6893" spans="14:14" x14ac:dyDescent="0.3">
      <c r="N6893" t="str" cm="1">
        <f t="array" ref="N6893">IF(MOD(ROW()-ROW($B$2),16)=0,INDEX($M$2:$M$1000,(ROW()-ROW($B$2))/16+1),"")</f>
        <v/>
      </c>
    </row>
    <row r="6894" spans="14:14" x14ac:dyDescent="0.3">
      <c r="N6894" t="str" cm="1">
        <f t="array" ref="N6894">IF(MOD(ROW()-ROW($B$2),16)=0,INDEX($M$2:$M$1000,(ROW()-ROW($B$2))/16+1),"")</f>
        <v/>
      </c>
    </row>
    <row r="6895" spans="14:14" x14ac:dyDescent="0.3">
      <c r="N6895" t="str" cm="1">
        <f t="array" ref="N6895">IF(MOD(ROW()-ROW($B$2),16)=0,INDEX($M$2:$M$1000,(ROW()-ROW($B$2))/16+1),"")</f>
        <v/>
      </c>
    </row>
    <row r="6896" spans="14:14" x14ac:dyDescent="0.3">
      <c r="N6896" t="str" cm="1">
        <f t="array" ref="N6896">IF(MOD(ROW()-ROW($B$2),16)=0,INDEX($M$2:$M$1000,(ROW()-ROW($B$2))/16+1),"")</f>
        <v/>
      </c>
    </row>
    <row r="6897" spans="14:14" x14ac:dyDescent="0.3">
      <c r="N6897" t="str" cm="1">
        <f t="array" ref="N6897">IF(MOD(ROW()-ROW($B$2),16)=0,INDEX($M$2:$M$1000,(ROW()-ROW($B$2))/16+1),"")</f>
        <v/>
      </c>
    </row>
    <row r="6898" spans="14:14" x14ac:dyDescent="0.3">
      <c r="N6898" t="str" cm="1">
        <f t="array" ref="N6898">IF(MOD(ROW()-ROW($B$2),16)=0,INDEX($M$2:$M$1000,(ROW()-ROW($B$2))/16+1),"")</f>
        <v/>
      </c>
    </row>
    <row r="6899" spans="14:14" x14ac:dyDescent="0.3">
      <c r="N6899" t="str" cm="1">
        <f t="array" ref="N6899">IF(MOD(ROW()-ROW($B$2),16)=0,INDEX($M$2:$M$1000,(ROW()-ROW($B$2))/16+1),"")</f>
        <v/>
      </c>
    </row>
    <row r="6900" spans="14:14" x14ac:dyDescent="0.3">
      <c r="N6900" t="str" cm="1">
        <f t="array" ref="N6900">IF(MOD(ROW()-ROW($B$2),16)=0,INDEX($M$2:$M$1000,(ROW()-ROW($B$2))/16+1),"")</f>
        <v/>
      </c>
    </row>
    <row r="6901" spans="14:14" x14ac:dyDescent="0.3">
      <c r="N6901" t="str" cm="1">
        <f t="array" ref="N6901">IF(MOD(ROW()-ROW($B$2),16)=0,INDEX($M$2:$M$1000,(ROW()-ROW($B$2))/16+1),"")</f>
        <v/>
      </c>
    </row>
    <row r="6902" spans="14:14" x14ac:dyDescent="0.3">
      <c r="N6902" t="str" cm="1">
        <f t="array" ref="N6902">IF(MOD(ROW()-ROW($B$2),16)=0,INDEX($M$2:$M$1000,(ROW()-ROW($B$2))/16+1),"")</f>
        <v/>
      </c>
    </row>
    <row r="6903" spans="14:14" x14ac:dyDescent="0.3">
      <c r="N6903" t="str" cm="1">
        <f t="array" ref="N6903">IF(MOD(ROW()-ROW($B$2),16)=0,INDEX($M$2:$M$1000,(ROW()-ROW($B$2))/16+1),"")</f>
        <v/>
      </c>
    </row>
    <row r="6904" spans="14:14" x14ac:dyDescent="0.3">
      <c r="N6904" t="str" cm="1">
        <f t="array" ref="N6904">IF(MOD(ROW()-ROW($B$2),16)=0,INDEX($M$2:$M$1000,(ROW()-ROW($B$2))/16+1),"")</f>
        <v/>
      </c>
    </row>
    <row r="6905" spans="14:14" x14ac:dyDescent="0.3">
      <c r="N6905" t="str" cm="1">
        <f t="array" ref="N6905">IF(MOD(ROW()-ROW($B$2),16)=0,INDEX($M$2:$M$1000,(ROW()-ROW($B$2))/16+1),"")</f>
        <v/>
      </c>
    </row>
    <row r="6906" spans="14:14" x14ac:dyDescent="0.3">
      <c r="N6906" t="str" cm="1">
        <f t="array" ref="N6906">IF(MOD(ROW()-ROW($B$2),16)=0,INDEX($M$2:$M$1000,(ROW()-ROW($B$2))/16+1),"")</f>
        <v/>
      </c>
    </row>
    <row r="6907" spans="14:14" x14ac:dyDescent="0.3">
      <c r="N6907" t="str" cm="1">
        <f t="array" ref="N6907">IF(MOD(ROW()-ROW($B$2),16)=0,INDEX($M$2:$M$1000,(ROW()-ROW($B$2))/16+1),"")</f>
        <v/>
      </c>
    </row>
    <row r="6908" spans="14:14" x14ac:dyDescent="0.3">
      <c r="N6908" t="str" cm="1">
        <f t="array" ref="N6908">IF(MOD(ROW()-ROW($B$2),16)=0,INDEX($M$2:$M$1000,(ROW()-ROW($B$2))/16+1),"")</f>
        <v/>
      </c>
    </row>
    <row r="6909" spans="14:14" x14ac:dyDescent="0.3">
      <c r="N6909" t="str" cm="1">
        <f t="array" ref="N6909">IF(MOD(ROW()-ROW($B$2),16)=0,INDEX($M$2:$M$1000,(ROW()-ROW($B$2))/16+1),"")</f>
        <v/>
      </c>
    </row>
    <row r="6910" spans="14:14" x14ac:dyDescent="0.3">
      <c r="N6910" t="str" cm="1">
        <f t="array" ref="N6910">IF(MOD(ROW()-ROW($B$2),16)=0,INDEX($M$2:$M$1000,(ROW()-ROW($B$2))/16+1),"")</f>
        <v/>
      </c>
    </row>
    <row r="6911" spans="14:14" x14ac:dyDescent="0.3">
      <c r="N6911" t="str" cm="1">
        <f t="array" ref="N6911">IF(MOD(ROW()-ROW($B$2),16)=0,INDEX($M$2:$M$1000,(ROW()-ROW($B$2))/16+1),"")</f>
        <v/>
      </c>
    </row>
    <row r="6912" spans="14:14" x14ac:dyDescent="0.3">
      <c r="N6912" t="str" cm="1">
        <f t="array" ref="N6912">IF(MOD(ROW()-ROW($B$2),16)=0,INDEX($M$2:$M$1000,(ROW()-ROW($B$2))/16+1),"")</f>
        <v/>
      </c>
    </row>
    <row r="6913" spans="14:14" x14ac:dyDescent="0.3">
      <c r="N6913" t="str" cm="1">
        <f t="array" ref="N6913">IF(MOD(ROW()-ROW($B$2),16)=0,INDEX($M$2:$M$1000,(ROW()-ROW($B$2))/16+1),"")</f>
        <v/>
      </c>
    </row>
    <row r="6914" spans="14:14" x14ac:dyDescent="0.3">
      <c r="N6914" t="str" cm="1">
        <f t="array" ref="N6914">IF(MOD(ROW()-ROW($B$2),16)=0,INDEX($M$2:$M$1000,(ROW()-ROW($B$2))/16+1),"")</f>
        <v/>
      </c>
    </row>
    <row r="6915" spans="14:14" x14ac:dyDescent="0.3">
      <c r="N6915" t="str" cm="1">
        <f t="array" ref="N6915">IF(MOD(ROW()-ROW($B$2),16)=0,INDEX($M$2:$M$1000,(ROW()-ROW($B$2))/16+1),"")</f>
        <v/>
      </c>
    </row>
    <row r="6916" spans="14:14" x14ac:dyDescent="0.3">
      <c r="N6916" t="str" cm="1">
        <f t="array" ref="N6916">IF(MOD(ROW()-ROW($B$2),16)=0,INDEX($M$2:$M$1000,(ROW()-ROW($B$2))/16+1),"")</f>
        <v/>
      </c>
    </row>
    <row r="6917" spans="14:14" x14ac:dyDescent="0.3">
      <c r="N6917" t="str" cm="1">
        <f t="array" ref="N6917">IF(MOD(ROW()-ROW($B$2),16)=0,INDEX($M$2:$M$1000,(ROW()-ROW($B$2))/16+1),"")</f>
        <v/>
      </c>
    </row>
    <row r="6918" spans="14:14" x14ac:dyDescent="0.3">
      <c r="N6918" t="str" cm="1">
        <f t="array" ref="N6918">IF(MOD(ROW()-ROW($B$2),16)=0,INDEX($M$2:$M$1000,(ROW()-ROW($B$2))/16+1),"")</f>
        <v/>
      </c>
    </row>
    <row r="6919" spans="14:14" x14ac:dyDescent="0.3">
      <c r="N6919" t="str" cm="1">
        <f t="array" ref="N6919">IF(MOD(ROW()-ROW($B$2),16)=0,INDEX($M$2:$M$1000,(ROW()-ROW($B$2))/16+1),"")</f>
        <v/>
      </c>
    </row>
    <row r="6920" spans="14:14" x14ac:dyDescent="0.3">
      <c r="N6920" t="str" cm="1">
        <f t="array" ref="N6920">IF(MOD(ROW()-ROW($B$2),16)=0,INDEX($M$2:$M$1000,(ROW()-ROW($B$2))/16+1),"")</f>
        <v/>
      </c>
    </row>
    <row r="6921" spans="14:14" x14ac:dyDescent="0.3">
      <c r="N6921" t="str" cm="1">
        <f t="array" ref="N6921">IF(MOD(ROW()-ROW($B$2),16)=0,INDEX($M$2:$M$1000,(ROW()-ROW($B$2))/16+1),"")</f>
        <v/>
      </c>
    </row>
    <row r="6922" spans="14:14" x14ac:dyDescent="0.3">
      <c r="N6922" t="str" cm="1">
        <f t="array" ref="N6922">IF(MOD(ROW()-ROW($B$2),16)=0,INDEX($M$2:$M$1000,(ROW()-ROW($B$2))/16+1),"")</f>
        <v/>
      </c>
    </row>
    <row r="6923" spans="14:14" x14ac:dyDescent="0.3">
      <c r="N6923" t="str" cm="1">
        <f t="array" ref="N6923">IF(MOD(ROW()-ROW($B$2),16)=0,INDEX($M$2:$M$1000,(ROW()-ROW($B$2))/16+1),"")</f>
        <v/>
      </c>
    </row>
    <row r="6924" spans="14:14" x14ac:dyDescent="0.3">
      <c r="N6924" t="str" cm="1">
        <f t="array" ref="N6924">IF(MOD(ROW()-ROW($B$2),16)=0,INDEX($M$2:$M$1000,(ROW()-ROW($B$2))/16+1),"")</f>
        <v/>
      </c>
    </row>
    <row r="6925" spans="14:14" x14ac:dyDescent="0.3">
      <c r="N6925" t="str" cm="1">
        <f t="array" ref="N6925">IF(MOD(ROW()-ROW($B$2),16)=0,INDEX($M$2:$M$1000,(ROW()-ROW($B$2))/16+1),"")</f>
        <v/>
      </c>
    </row>
    <row r="6926" spans="14:14" x14ac:dyDescent="0.3">
      <c r="N6926" t="str" cm="1">
        <f t="array" ref="N6926">IF(MOD(ROW()-ROW($B$2),16)=0,INDEX($M$2:$M$1000,(ROW()-ROW($B$2))/16+1),"")</f>
        <v/>
      </c>
    </row>
    <row r="6927" spans="14:14" x14ac:dyDescent="0.3">
      <c r="N6927" t="str" cm="1">
        <f t="array" ref="N6927">IF(MOD(ROW()-ROW($B$2),16)=0,INDEX($M$2:$M$1000,(ROW()-ROW($B$2))/16+1),"")</f>
        <v/>
      </c>
    </row>
    <row r="6928" spans="14:14" x14ac:dyDescent="0.3">
      <c r="N6928" t="str" cm="1">
        <f t="array" ref="N6928">IF(MOD(ROW()-ROW($B$2),16)=0,INDEX($M$2:$M$1000,(ROW()-ROW($B$2))/16+1),"")</f>
        <v/>
      </c>
    </row>
    <row r="6929" spans="14:14" x14ac:dyDescent="0.3">
      <c r="N6929" t="str" cm="1">
        <f t="array" ref="N6929">IF(MOD(ROW()-ROW($B$2),16)=0,INDEX($M$2:$M$1000,(ROW()-ROW($B$2))/16+1),"")</f>
        <v/>
      </c>
    </row>
    <row r="6930" spans="14:14" x14ac:dyDescent="0.3">
      <c r="N6930" t="str" cm="1">
        <f t="array" ref="N6930">IF(MOD(ROW()-ROW($B$2),16)=0,INDEX($M$2:$M$1000,(ROW()-ROW($B$2))/16+1),"")</f>
        <v/>
      </c>
    </row>
    <row r="6931" spans="14:14" x14ac:dyDescent="0.3">
      <c r="N6931" t="str" cm="1">
        <f t="array" ref="N6931">IF(MOD(ROW()-ROW($B$2),16)=0,INDEX($M$2:$M$1000,(ROW()-ROW($B$2))/16+1),"")</f>
        <v/>
      </c>
    </row>
    <row r="6932" spans="14:14" x14ac:dyDescent="0.3">
      <c r="N6932" t="str" cm="1">
        <f t="array" ref="N6932">IF(MOD(ROW()-ROW($B$2),16)=0,INDEX($M$2:$M$1000,(ROW()-ROW($B$2))/16+1),"")</f>
        <v/>
      </c>
    </row>
    <row r="6933" spans="14:14" x14ac:dyDescent="0.3">
      <c r="N6933" t="str" cm="1">
        <f t="array" ref="N6933">IF(MOD(ROW()-ROW($B$2),16)=0,INDEX($M$2:$M$1000,(ROW()-ROW($B$2))/16+1),"")</f>
        <v/>
      </c>
    </row>
    <row r="6934" spans="14:14" x14ac:dyDescent="0.3">
      <c r="N6934" t="str" cm="1">
        <f t="array" ref="N6934">IF(MOD(ROW()-ROW($B$2),16)=0,INDEX($M$2:$M$1000,(ROW()-ROW($B$2))/16+1),"")</f>
        <v/>
      </c>
    </row>
    <row r="6935" spans="14:14" x14ac:dyDescent="0.3">
      <c r="N6935" t="str" cm="1">
        <f t="array" ref="N6935">IF(MOD(ROW()-ROW($B$2),16)=0,INDEX($M$2:$M$1000,(ROW()-ROW($B$2))/16+1),"")</f>
        <v/>
      </c>
    </row>
    <row r="6936" spans="14:14" x14ac:dyDescent="0.3">
      <c r="N6936" t="str" cm="1">
        <f t="array" ref="N6936">IF(MOD(ROW()-ROW($B$2),16)=0,INDEX($M$2:$M$1000,(ROW()-ROW($B$2))/16+1),"")</f>
        <v/>
      </c>
    </row>
    <row r="6937" spans="14:14" x14ac:dyDescent="0.3">
      <c r="N6937" t="str" cm="1">
        <f t="array" ref="N6937">IF(MOD(ROW()-ROW($B$2),16)=0,INDEX($M$2:$M$1000,(ROW()-ROW($B$2))/16+1),"")</f>
        <v/>
      </c>
    </row>
    <row r="6938" spans="14:14" x14ac:dyDescent="0.3">
      <c r="N6938" t="str" cm="1">
        <f t="array" ref="N6938">IF(MOD(ROW()-ROW($B$2),16)=0,INDEX($M$2:$M$1000,(ROW()-ROW($B$2))/16+1),"")</f>
        <v/>
      </c>
    </row>
    <row r="6939" spans="14:14" x14ac:dyDescent="0.3">
      <c r="N6939" t="str" cm="1">
        <f t="array" ref="N6939">IF(MOD(ROW()-ROW($B$2),16)=0,INDEX($M$2:$M$1000,(ROW()-ROW($B$2))/16+1),"")</f>
        <v/>
      </c>
    </row>
    <row r="6940" spans="14:14" x14ac:dyDescent="0.3">
      <c r="N6940" t="str" cm="1">
        <f t="array" ref="N6940">IF(MOD(ROW()-ROW($B$2),16)=0,INDEX($M$2:$M$1000,(ROW()-ROW($B$2))/16+1),"")</f>
        <v/>
      </c>
    </row>
    <row r="6941" spans="14:14" x14ac:dyDescent="0.3">
      <c r="N6941" t="str" cm="1">
        <f t="array" ref="N6941">IF(MOD(ROW()-ROW($B$2),16)=0,INDEX($M$2:$M$1000,(ROW()-ROW($B$2))/16+1),"")</f>
        <v/>
      </c>
    </row>
    <row r="6942" spans="14:14" x14ac:dyDescent="0.3">
      <c r="N6942" t="str" cm="1">
        <f t="array" ref="N6942">IF(MOD(ROW()-ROW($B$2),16)=0,INDEX($M$2:$M$1000,(ROW()-ROW($B$2))/16+1),"")</f>
        <v/>
      </c>
    </row>
    <row r="6943" spans="14:14" x14ac:dyDescent="0.3">
      <c r="N6943" t="str" cm="1">
        <f t="array" ref="N6943">IF(MOD(ROW()-ROW($B$2),16)=0,INDEX($M$2:$M$1000,(ROW()-ROW($B$2))/16+1),"")</f>
        <v/>
      </c>
    </row>
    <row r="6944" spans="14:14" x14ac:dyDescent="0.3">
      <c r="N6944" t="str" cm="1">
        <f t="array" ref="N6944">IF(MOD(ROW()-ROW($B$2),16)=0,INDEX($M$2:$M$1000,(ROW()-ROW($B$2))/16+1),"")</f>
        <v/>
      </c>
    </row>
    <row r="6945" spans="14:14" x14ac:dyDescent="0.3">
      <c r="N6945" t="str" cm="1">
        <f t="array" ref="N6945">IF(MOD(ROW()-ROW($B$2),16)=0,INDEX($M$2:$M$1000,(ROW()-ROW($B$2))/16+1),"")</f>
        <v/>
      </c>
    </row>
    <row r="6946" spans="14:14" x14ac:dyDescent="0.3">
      <c r="N6946" t="str" cm="1">
        <f t="array" ref="N6946">IF(MOD(ROW()-ROW($B$2),16)=0,INDEX($M$2:$M$1000,(ROW()-ROW($B$2))/16+1),"")</f>
        <v/>
      </c>
    </row>
    <row r="6947" spans="14:14" x14ac:dyDescent="0.3">
      <c r="N6947" t="str" cm="1">
        <f t="array" ref="N6947">IF(MOD(ROW()-ROW($B$2),16)=0,INDEX($M$2:$M$1000,(ROW()-ROW($B$2))/16+1),"")</f>
        <v/>
      </c>
    </row>
    <row r="6948" spans="14:14" x14ac:dyDescent="0.3">
      <c r="N6948" t="str" cm="1">
        <f t="array" ref="N6948">IF(MOD(ROW()-ROW($B$2),16)=0,INDEX($M$2:$M$1000,(ROW()-ROW($B$2))/16+1),"")</f>
        <v/>
      </c>
    </row>
    <row r="6949" spans="14:14" x14ac:dyDescent="0.3">
      <c r="N6949" t="str" cm="1">
        <f t="array" ref="N6949">IF(MOD(ROW()-ROW($B$2),16)=0,INDEX($M$2:$M$1000,(ROW()-ROW($B$2))/16+1),"")</f>
        <v/>
      </c>
    </row>
    <row r="6950" spans="14:14" x14ac:dyDescent="0.3">
      <c r="N6950" t="str" cm="1">
        <f t="array" ref="N6950">IF(MOD(ROW()-ROW($B$2),16)=0,INDEX($M$2:$M$1000,(ROW()-ROW($B$2))/16+1),"")</f>
        <v/>
      </c>
    </row>
    <row r="6951" spans="14:14" x14ac:dyDescent="0.3">
      <c r="N6951" t="str" cm="1">
        <f t="array" ref="N6951">IF(MOD(ROW()-ROW($B$2),16)=0,INDEX($M$2:$M$1000,(ROW()-ROW($B$2))/16+1),"")</f>
        <v/>
      </c>
    </row>
    <row r="6952" spans="14:14" x14ac:dyDescent="0.3">
      <c r="N6952" t="str" cm="1">
        <f t="array" ref="N6952">IF(MOD(ROW()-ROW($B$2),16)=0,INDEX($M$2:$M$1000,(ROW()-ROW($B$2))/16+1),"")</f>
        <v/>
      </c>
    </row>
    <row r="6953" spans="14:14" x14ac:dyDescent="0.3">
      <c r="N6953" t="str" cm="1">
        <f t="array" ref="N6953">IF(MOD(ROW()-ROW($B$2),16)=0,INDEX($M$2:$M$1000,(ROW()-ROW($B$2))/16+1),"")</f>
        <v/>
      </c>
    </row>
    <row r="6954" spans="14:14" x14ac:dyDescent="0.3">
      <c r="N6954" t="str" cm="1">
        <f t="array" ref="N6954">IF(MOD(ROW()-ROW($B$2),16)=0,INDEX($M$2:$M$1000,(ROW()-ROW($B$2))/16+1),"")</f>
        <v/>
      </c>
    </row>
    <row r="6955" spans="14:14" x14ac:dyDescent="0.3">
      <c r="N6955" t="str" cm="1">
        <f t="array" ref="N6955">IF(MOD(ROW()-ROW($B$2),16)=0,INDEX($M$2:$M$1000,(ROW()-ROW($B$2))/16+1),"")</f>
        <v/>
      </c>
    </row>
    <row r="6956" spans="14:14" x14ac:dyDescent="0.3">
      <c r="N6956" t="str" cm="1">
        <f t="array" ref="N6956">IF(MOD(ROW()-ROW($B$2),16)=0,INDEX($M$2:$M$1000,(ROW()-ROW($B$2))/16+1),"")</f>
        <v/>
      </c>
    </row>
    <row r="6957" spans="14:14" x14ac:dyDescent="0.3">
      <c r="N6957" t="str" cm="1">
        <f t="array" ref="N6957">IF(MOD(ROW()-ROW($B$2),16)=0,INDEX($M$2:$M$1000,(ROW()-ROW($B$2))/16+1),"")</f>
        <v/>
      </c>
    </row>
    <row r="6958" spans="14:14" x14ac:dyDescent="0.3">
      <c r="N6958" t="str" cm="1">
        <f t="array" ref="N6958">IF(MOD(ROW()-ROW($B$2),16)=0,INDEX($M$2:$M$1000,(ROW()-ROW($B$2))/16+1),"")</f>
        <v/>
      </c>
    </row>
    <row r="6959" spans="14:14" x14ac:dyDescent="0.3">
      <c r="N6959" t="str" cm="1">
        <f t="array" ref="N6959">IF(MOD(ROW()-ROW($B$2),16)=0,INDEX($M$2:$M$1000,(ROW()-ROW($B$2))/16+1),"")</f>
        <v/>
      </c>
    </row>
    <row r="6960" spans="14:14" x14ac:dyDescent="0.3">
      <c r="N6960" t="str" cm="1">
        <f t="array" ref="N6960">IF(MOD(ROW()-ROW($B$2),16)=0,INDEX($M$2:$M$1000,(ROW()-ROW($B$2))/16+1),"")</f>
        <v/>
      </c>
    </row>
    <row r="6961" spans="14:14" x14ac:dyDescent="0.3">
      <c r="N6961" t="str" cm="1">
        <f t="array" ref="N6961">IF(MOD(ROW()-ROW($B$2),16)=0,INDEX($M$2:$M$1000,(ROW()-ROW($B$2))/16+1),"")</f>
        <v/>
      </c>
    </row>
    <row r="6962" spans="14:14" x14ac:dyDescent="0.3">
      <c r="N6962" t="str" cm="1">
        <f t="array" ref="N6962">IF(MOD(ROW()-ROW($B$2),16)=0,INDEX($M$2:$M$1000,(ROW()-ROW($B$2))/16+1),"")</f>
        <v/>
      </c>
    </row>
    <row r="6963" spans="14:14" x14ac:dyDescent="0.3">
      <c r="N6963" t="str" cm="1">
        <f t="array" ref="N6963">IF(MOD(ROW()-ROW($B$2),16)=0,INDEX($M$2:$M$1000,(ROW()-ROW($B$2))/16+1),"")</f>
        <v/>
      </c>
    </row>
    <row r="6964" spans="14:14" x14ac:dyDescent="0.3">
      <c r="N6964" t="str" cm="1">
        <f t="array" ref="N6964">IF(MOD(ROW()-ROW($B$2),16)=0,INDEX($M$2:$M$1000,(ROW()-ROW($B$2))/16+1),"")</f>
        <v/>
      </c>
    </row>
    <row r="6965" spans="14:14" x14ac:dyDescent="0.3">
      <c r="N6965" t="str" cm="1">
        <f t="array" ref="N6965">IF(MOD(ROW()-ROW($B$2),16)=0,INDEX($M$2:$M$1000,(ROW()-ROW($B$2))/16+1),"")</f>
        <v/>
      </c>
    </row>
    <row r="6966" spans="14:14" x14ac:dyDescent="0.3">
      <c r="N6966" t="str" cm="1">
        <f t="array" ref="N6966">IF(MOD(ROW()-ROW($B$2),16)=0,INDEX($M$2:$M$1000,(ROW()-ROW($B$2))/16+1),"")</f>
        <v/>
      </c>
    </row>
    <row r="6967" spans="14:14" x14ac:dyDescent="0.3">
      <c r="N6967" t="str" cm="1">
        <f t="array" ref="N6967">IF(MOD(ROW()-ROW($B$2),16)=0,INDEX($M$2:$M$1000,(ROW()-ROW($B$2))/16+1),"")</f>
        <v/>
      </c>
    </row>
    <row r="6968" spans="14:14" x14ac:dyDescent="0.3">
      <c r="N6968" t="str" cm="1">
        <f t="array" ref="N6968">IF(MOD(ROW()-ROW($B$2),16)=0,INDEX($M$2:$M$1000,(ROW()-ROW($B$2))/16+1),"")</f>
        <v/>
      </c>
    </row>
    <row r="6969" spans="14:14" x14ac:dyDescent="0.3">
      <c r="N6969" t="str" cm="1">
        <f t="array" ref="N6969">IF(MOD(ROW()-ROW($B$2),16)=0,INDEX($M$2:$M$1000,(ROW()-ROW($B$2))/16+1),"")</f>
        <v/>
      </c>
    </row>
    <row r="6970" spans="14:14" x14ac:dyDescent="0.3">
      <c r="N6970" t="str" cm="1">
        <f t="array" ref="N6970">IF(MOD(ROW()-ROW($B$2),16)=0,INDEX($M$2:$M$1000,(ROW()-ROW($B$2))/16+1),"")</f>
        <v/>
      </c>
    </row>
    <row r="6971" spans="14:14" x14ac:dyDescent="0.3">
      <c r="N6971" t="str" cm="1">
        <f t="array" ref="N6971">IF(MOD(ROW()-ROW($B$2),16)=0,INDEX($M$2:$M$1000,(ROW()-ROW($B$2))/16+1),"")</f>
        <v/>
      </c>
    </row>
    <row r="6972" spans="14:14" x14ac:dyDescent="0.3">
      <c r="N6972" t="str" cm="1">
        <f t="array" ref="N6972">IF(MOD(ROW()-ROW($B$2),16)=0,INDEX($M$2:$M$1000,(ROW()-ROW($B$2))/16+1),"")</f>
        <v/>
      </c>
    </row>
    <row r="6973" spans="14:14" x14ac:dyDescent="0.3">
      <c r="N6973" t="str" cm="1">
        <f t="array" ref="N6973">IF(MOD(ROW()-ROW($B$2),16)=0,INDEX($M$2:$M$1000,(ROW()-ROW($B$2))/16+1),"")</f>
        <v/>
      </c>
    </row>
    <row r="6974" spans="14:14" x14ac:dyDescent="0.3">
      <c r="N6974" t="str" cm="1">
        <f t="array" ref="N6974">IF(MOD(ROW()-ROW($B$2),16)=0,INDEX($M$2:$M$1000,(ROW()-ROW($B$2))/16+1),"")</f>
        <v/>
      </c>
    </row>
    <row r="6975" spans="14:14" x14ac:dyDescent="0.3">
      <c r="N6975" t="str" cm="1">
        <f t="array" ref="N6975">IF(MOD(ROW()-ROW($B$2),16)=0,INDEX($M$2:$M$1000,(ROW()-ROW($B$2))/16+1),"")</f>
        <v/>
      </c>
    </row>
    <row r="6976" spans="14:14" x14ac:dyDescent="0.3">
      <c r="N6976" t="str" cm="1">
        <f t="array" ref="N6976">IF(MOD(ROW()-ROW($B$2),16)=0,INDEX($M$2:$M$1000,(ROW()-ROW($B$2))/16+1),"")</f>
        <v/>
      </c>
    </row>
    <row r="6977" spans="14:14" x14ac:dyDescent="0.3">
      <c r="N6977" t="str" cm="1">
        <f t="array" ref="N6977">IF(MOD(ROW()-ROW($B$2),16)=0,INDEX($M$2:$M$1000,(ROW()-ROW($B$2))/16+1),"")</f>
        <v/>
      </c>
    </row>
    <row r="6978" spans="14:14" x14ac:dyDescent="0.3">
      <c r="N6978" t="str" cm="1">
        <f t="array" ref="N6978">IF(MOD(ROW()-ROW($B$2),16)=0,INDEX($M$2:$M$1000,(ROW()-ROW($B$2))/16+1),"")</f>
        <v/>
      </c>
    </row>
    <row r="6979" spans="14:14" x14ac:dyDescent="0.3">
      <c r="N6979" t="str" cm="1">
        <f t="array" ref="N6979">IF(MOD(ROW()-ROW($B$2),16)=0,INDEX($M$2:$M$1000,(ROW()-ROW($B$2))/16+1),"")</f>
        <v/>
      </c>
    </row>
    <row r="6980" spans="14:14" x14ac:dyDescent="0.3">
      <c r="N6980" t="str" cm="1">
        <f t="array" ref="N6980">IF(MOD(ROW()-ROW($B$2),16)=0,INDEX($M$2:$M$1000,(ROW()-ROW($B$2))/16+1),"")</f>
        <v/>
      </c>
    </row>
    <row r="6981" spans="14:14" x14ac:dyDescent="0.3">
      <c r="N6981" t="str" cm="1">
        <f t="array" ref="N6981">IF(MOD(ROW()-ROW($B$2),16)=0,INDEX($M$2:$M$1000,(ROW()-ROW($B$2))/16+1),"")</f>
        <v/>
      </c>
    </row>
    <row r="6982" spans="14:14" x14ac:dyDescent="0.3">
      <c r="N6982" t="str" cm="1">
        <f t="array" ref="N6982">IF(MOD(ROW()-ROW($B$2),16)=0,INDEX($M$2:$M$1000,(ROW()-ROW($B$2))/16+1),"")</f>
        <v/>
      </c>
    </row>
    <row r="6983" spans="14:14" x14ac:dyDescent="0.3">
      <c r="N6983" t="str" cm="1">
        <f t="array" ref="N6983">IF(MOD(ROW()-ROW($B$2),16)=0,INDEX($M$2:$M$1000,(ROW()-ROW($B$2))/16+1),"")</f>
        <v/>
      </c>
    </row>
    <row r="6984" spans="14:14" x14ac:dyDescent="0.3">
      <c r="N6984" t="str" cm="1">
        <f t="array" ref="N6984">IF(MOD(ROW()-ROW($B$2),16)=0,INDEX($M$2:$M$1000,(ROW()-ROW($B$2))/16+1),"")</f>
        <v/>
      </c>
    </row>
    <row r="6985" spans="14:14" x14ac:dyDescent="0.3">
      <c r="N6985" t="str" cm="1">
        <f t="array" ref="N6985">IF(MOD(ROW()-ROW($B$2),16)=0,INDEX($M$2:$M$1000,(ROW()-ROW($B$2))/16+1),"")</f>
        <v/>
      </c>
    </row>
    <row r="6986" spans="14:14" x14ac:dyDescent="0.3">
      <c r="N6986" t="str" cm="1">
        <f t="array" ref="N6986">IF(MOD(ROW()-ROW($B$2),16)=0,INDEX($M$2:$M$1000,(ROW()-ROW($B$2))/16+1),"")</f>
        <v/>
      </c>
    </row>
    <row r="6987" spans="14:14" x14ac:dyDescent="0.3">
      <c r="N6987" t="str" cm="1">
        <f t="array" ref="N6987">IF(MOD(ROW()-ROW($B$2),16)=0,INDEX($M$2:$M$1000,(ROW()-ROW($B$2))/16+1),"")</f>
        <v/>
      </c>
    </row>
    <row r="6988" spans="14:14" x14ac:dyDescent="0.3">
      <c r="N6988" t="str" cm="1">
        <f t="array" ref="N6988">IF(MOD(ROW()-ROW($B$2),16)=0,INDEX($M$2:$M$1000,(ROW()-ROW($B$2))/16+1),"")</f>
        <v/>
      </c>
    </row>
    <row r="6989" spans="14:14" x14ac:dyDescent="0.3">
      <c r="N6989" t="str" cm="1">
        <f t="array" ref="N6989">IF(MOD(ROW()-ROW($B$2),16)=0,INDEX($M$2:$M$1000,(ROW()-ROW($B$2))/16+1),"")</f>
        <v/>
      </c>
    </row>
    <row r="6990" spans="14:14" x14ac:dyDescent="0.3">
      <c r="N6990" t="str" cm="1">
        <f t="array" ref="N6990">IF(MOD(ROW()-ROW($B$2),16)=0,INDEX($M$2:$M$1000,(ROW()-ROW($B$2))/16+1),"")</f>
        <v/>
      </c>
    </row>
    <row r="6991" spans="14:14" x14ac:dyDescent="0.3">
      <c r="N6991" t="str" cm="1">
        <f t="array" ref="N6991">IF(MOD(ROW()-ROW($B$2),16)=0,INDEX($M$2:$M$1000,(ROW()-ROW($B$2))/16+1),"")</f>
        <v/>
      </c>
    </row>
    <row r="6992" spans="14:14" x14ac:dyDescent="0.3">
      <c r="N6992" t="str" cm="1">
        <f t="array" ref="N6992">IF(MOD(ROW()-ROW($B$2),16)=0,INDEX($M$2:$M$1000,(ROW()-ROW($B$2))/16+1),"")</f>
        <v/>
      </c>
    </row>
    <row r="6993" spans="14:14" x14ac:dyDescent="0.3">
      <c r="N6993" t="str" cm="1">
        <f t="array" ref="N6993">IF(MOD(ROW()-ROW($B$2),16)=0,INDEX($M$2:$M$1000,(ROW()-ROW($B$2))/16+1),"")</f>
        <v/>
      </c>
    </row>
    <row r="6994" spans="14:14" x14ac:dyDescent="0.3">
      <c r="N6994" t="str" cm="1">
        <f t="array" ref="N6994">IF(MOD(ROW()-ROW($B$2),16)=0,INDEX($M$2:$M$1000,(ROW()-ROW($B$2))/16+1),"")</f>
        <v/>
      </c>
    </row>
    <row r="6995" spans="14:14" x14ac:dyDescent="0.3">
      <c r="N6995" t="str" cm="1">
        <f t="array" ref="N6995">IF(MOD(ROW()-ROW($B$2),16)=0,INDEX($M$2:$M$1000,(ROW()-ROW($B$2))/16+1),"")</f>
        <v/>
      </c>
    </row>
    <row r="6996" spans="14:14" x14ac:dyDescent="0.3">
      <c r="N6996" t="str" cm="1">
        <f t="array" ref="N6996">IF(MOD(ROW()-ROW($B$2),16)=0,INDEX($M$2:$M$1000,(ROW()-ROW($B$2))/16+1),"")</f>
        <v/>
      </c>
    </row>
    <row r="6997" spans="14:14" x14ac:dyDescent="0.3">
      <c r="N6997" t="str" cm="1">
        <f t="array" ref="N6997">IF(MOD(ROW()-ROW($B$2),16)=0,INDEX($M$2:$M$1000,(ROW()-ROW($B$2))/16+1),"")</f>
        <v/>
      </c>
    </row>
    <row r="6998" spans="14:14" x14ac:dyDescent="0.3">
      <c r="N6998" t="str" cm="1">
        <f t="array" ref="N6998">IF(MOD(ROW()-ROW($B$2),16)=0,INDEX($M$2:$M$1000,(ROW()-ROW($B$2))/16+1),"")</f>
        <v/>
      </c>
    </row>
    <row r="6999" spans="14:14" x14ac:dyDescent="0.3">
      <c r="N6999" t="str" cm="1">
        <f t="array" ref="N6999">IF(MOD(ROW()-ROW($B$2),16)=0,INDEX($M$2:$M$1000,(ROW()-ROW($B$2))/16+1),"")</f>
        <v/>
      </c>
    </row>
    <row r="7000" spans="14:14" x14ac:dyDescent="0.3">
      <c r="N7000" t="str" cm="1">
        <f t="array" ref="N7000">IF(MOD(ROW()-ROW($B$2),16)=0,INDEX($M$2:$M$1000,(ROW()-ROW($B$2))/16+1),"")</f>
        <v/>
      </c>
    </row>
    <row r="7001" spans="14:14" x14ac:dyDescent="0.3">
      <c r="N7001" t="str" cm="1">
        <f t="array" ref="N7001">IF(MOD(ROW()-ROW($B$2),16)=0,INDEX($M$2:$M$1000,(ROW()-ROW($B$2))/16+1),"")</f>
        <v/>
      </c>
    </row>
    <row r="7002" spans="14:14" x14ac:dyDescent="0.3">
      <c r="N7002" t="str" cm="1">
        <f t="array" ref="N7002">IF(MOD(ROW()-ROW($B$2),16)=0,INDEX($M$2:$M$1000,(ROW()-ROW($B$2))/16+1),"")</f>
        <v/>
      </c>
    </row>
    <row r="7003" spans="14:14" x14ac:dyDescent="0.3">
      <c r="N7003" t="str" cm="1">
        <f t="array" ref="N7003">IF(MOD(ROW()-ROW($B$2),16)=0,INDEX($M$2:$M$1000,(ROW()-ROW($B$2))/16+1),"")</f>
        <v/>
      </c>
    </row>
    <row r="7004" spans="14:14" x14ac:dyDescent="0.3">
      <c r="N7004" t="str" cm="1">
        <f t="array" ref="N7004">IF(MOD(ROW()-ROW($B$2),16)=0,INDEX($M$2:$M$1000,(ROW()-ROW($B$2))/16+1),"")</f>
        <v/>
      </c>
    </row>
    <row r="7005" spans="14:14" x14ac:dyDescent="0.3">
      <c r="N7005" t="str" cm="1">
        <f t="array" ref="N7005">IF(MOD(ROW()-ROW($B$2),16)=0,INDEX($M$2:$M$1000,(ROW()-ROW($B$2))/16+1),"")</f>
        <v/>
      </c>
    </row>
    <row r="7006" spans="14:14" x14ac:dyDescent="0.3">
      <c r="N7006" t="str" cm="1">
        <f t="array" ref="N7006">IF(MOD(ROW()-ROW($B$2),16)=0,INDEX($M$2:$M$1000,(ROW()-ROW($B$2))/16+1),"")</f>
        <v/>
      </c>
    </row>
    <row r="7007" spans="14:14" x14ac:dyDescent="0.3">
      <c r="N7007" t="str" cm="1">
        <f t="array" ref="N7007">IF(MOD(ROW()-ROW($B$2),16)=0,INDEX($M$2:$M$1000,(ROW()-ROW($B$2))/16+1),"")</f>
        <v/>
      </c>
    </row>
    <row r="7008" spans="14:14" x14ac:dyDescent="0.3">
      <c r="N7008" t="str" cm="1">
        <f t="array" ref="N7008">IF(MOD(ROW()-ROW($B$2),16)=0,INDEX($M$2:$M$1000,(ROW()-ROW($B$2))/16+1),"")</f>
        <v/>
      </c>
    </row>
    <row r="7009" spans="14:14" x14ac:dyDescent="0.3">
      <c r="N7009" t="str" cm="1">
        <f t="array" ref="N7009">IF(MOD(ROW()-ROW($B$2),16)=0,INDEX($M$2:$M$1000,(ROW()-ROW($B$2))/16+1),"")</f>
        <v/>
      </c>
    </row>
    <row r="7010" spans="14:14" x14ac:dyDescent="0.3">
      <c r="N7010" t="str" cm="1">
        <f t="array" ref="N7010">IF(MOD(ROW()-ROW($B$2),16)=0,INDEX($M$2:$M$1000,(ROW()-ROW($B$2))/16+1),"")</f>
        <v/>
      </c>
    </row>
    <row r="7011" spans="14:14" x14ac:dyDescent="0.3">
      <c r="N7011" t="str" cm="1">
        <f t="array" ref="N7011">IF(MOD(ROW()-ROW($B$2),16)=0,INDEX($M$2:$M$1000,(ROW()-ROW($B$2))/16+1),"")</f>
        <v/>
      </c>
    </row>
    <row r="7012" spans="14:14" x14ac:dyDescent="0.3">
      <c r="N7012" t="str" cm="1">
        <f t="array" ref="N7012">IF(MOD(ROW()-ROW($B$2),16)=0,INDEX($M$2:$M$1000,(ROW()-ROW($B$2))/16+1),"")</f>
        <v/>
      </c>
    </row>
    <row r="7013" spans="14:14" x14ac:dyDescent="0.3">
      <c r="N7013" t="str" cm="1">
        <f t="array" ref="N7013">IF(MOD(ROW()-ROW($B$2),16)=0,INDEX($M$2:$M$1000,(ROW()-ROW($B$2))/16+1),"")</f>
        <v/>
      </c>
    </row>
    <row r="7014" spans="14:14" x14ac:dyDescent="0.3">
      <c r="N7014" t="str" cm="1">
        <f t="array" ref="N7014">IF(MOD(ROW()-ROW($B$2),16)=0,INDEX($M$2:$M$1000,(ROW()-ROW($B$2))/16+1),"")</f>
        <v/>
      </c>
    </row>
    <row r="7015" spans="14:14" x14ac:dyDescent="0.3">
      <c r="N7015" t="str" cm="1">
        <f t="array" ref="N7015">IF(MOD(ROW()-ROW($B$2),16)=0,INDEX($M$2:$M$1000,(ROW()-ROW($B$2))/16+1),"")</f>
        <v/>
      </c>
    </row>
    <row r="7016" spans="14:14" x14ac:dyDescent="0.3">
      <c r="N7016" t="str" cm="1">
        <f t="array" ref="N7016">IF(MOD(ROW()-ROW($B$2),16)=0,INDEX($M$2:$M$1000,(ROW()-ROW($B$2))/16+1),"")</f>
        <v/>
      </c>
    </row>
    <row r="7017" spans="14:14" x14ac:dyDescent="0.3">
      <c r="N7017" t="str" cm="1">
        <f t="array" ref="N7017">IF(MOD(ROW()-ROW($B$2),16)=0,INDEX($M$2:$M$1000,(ROW()-ROW($B$2))/16+1),"")</f>
        <v/>
      </c>
    </row>
    <row r="7018" spans="14:14" x14ac:dyDescent="0.3">
      <c r="N7018" t="str" cm="1">
        <f t="array" ref="N7018">IF(MOD(ROW()-ROW($B$2),16)=0,INDEX($M$2:$M$1000,(ROW()-ROW($B$2))/16+1),"")</f>
        <v/>
      </c>
    </row>
    <row r="7019" spans="14:14" x14ac:dyDescent="0.3">
      <c r="N7019" t="str" cm="1">
        <f t="array" ref="N7019">IF(MOD(ROW()-ROW($B$2),16)=0,INDEX($M$2:$M$1000,(ROW()-ROW($B$2))/16+1),"")</f>
        <v/>
      </c>
    </row>
    <row r="7020" spans="14:14" x14ac:dyDescent="0.3">
      <c r="N7020" t="str" cm="1">
        <f t="array" ref="N7020">IF(MOD(ROW()-ROW($B$2),16)=0,INDEX($M$2:$M$1000,(ROW()-ROW($B$2))/16+1),"")</f>
        <v/>
      </c>
    </row>
    <row r="7021" spans="14:14" x14ac:dyDescent="0.3">
      <c r="N7021" t="str" cm="1">
        <f t="array" ref="N7021">IF(MOD(ROW()-ROW($B$2),16)=0,INDEX($M$2:$M$1000,(ROW()-ROW($B$2))/16+1),"")</f>
        <v/>
      </c>
    </row>
    <row r="7022" spans="14:14" x14ac:dyDescent="0.3">
      <c r="N7022" t="str" cm="1">
        <f t="array" ref="N7022">IF(MOD(ROW()-ROW($B$2),16)=0,INDEX($M$2:$M$1000,(ROW()-ROW($B$2))/16+1),"")</f>
        <v/>
      </c>
    </row>
    <row r="7023" spans="14:14" x14ac:dyDescent="0.3">
      <c r="N7023" t="str" cm="1">
        <f t="array" ref="N7023">IF(MOD(ROW()-ROW($B$2),16)=0,INDEX($M$2:$M$1000,(ROW()-ROW($B$2))/16+1),"")</f>
        <v/>
      </c>
    </row>
    <row r="7024" spans="14:14" x14ac:dyDescent="0.3">
      <c r="N7024" t="str" cm="1">
        <f t="array" ref="N7024">IF(MOD(ROW()-ROW($B$2),16)=0,INDEX($M$2:$M$1000,(ROW()-ROW($B$2))/16+1),"")</f>
        <v/>
      </c>
    </row>
    <row r="7025" spans="14:14" x14ac:dyDescent="0.3">
      <c r="N7025" t="str" cm="1">
        <f t="array" ref="N7025">IF(MOD(ROW()-ROW($B$2),16)=0,INDEX($M$2:$M$1000,(ROW()-ROW($B$2))/16+1),"")</f>
        <v/>
      </c>
    </row>
    <row r="7026" spans="14:14" x14ac:dyDescent="0.3">
      <c r="N7026" t="str" cm="1">
        <f t="array" ref="N7026">IF(MOD(ROW()-ROW($B$2),16)=0,INDEX($M$2:$M$1000,(ROW()-ROW($B$2))/16+1),"")</f>
        <v/>
      </c>
    </row>
    <row r="7027" spans="14:14" x14ac:dyDescent="0.3">
      <c r="N7027" t="str" cm="1">
        <f t="array" ref="N7027">IF(MOD(ROW()-ROW($B$2),16)=0,INDEX($M$2:$M$1000,(ROW()-ROW($B$2))/16+1),"")</f>
        <v/>
      </c>
    </row>
    <row r="7028" spans="14:14" x14ac:dyDescent="0.3">
      <c r="N7028" t="str" cm="1">
        <f t="array" ref="N7028">IF(MOD(ROW()-ROW($B$2),16)=0,INDEX($M$2:$M$1000,(ROW()-ROW($B$2))/16+1),"")</f>
        <v/>
      </c>
    </row>
    <row r="7029" spans="14:14" x14ac:dyDescent="0.3">
      <c r="N7029" t="str" cm="1">
        <f t="array" ref="N7029">IF(MOD(ROW()-ROW($B$2),16)=0,INDEX($M$2:$M$1000,(ROW()-ROW($B$2))/16+1),"")</f>
        <v/>
      </c>
    </row>
    <row r="7030" spans="14:14" x14ac:dyDescent="0.3">
      <c r="N7030" t="str" cm="1">
        <f t="array" ref="N7030">IF(MOD(ROW()-ROW($B$2),16)=0,INDEX($M$2:$M$1000,(ROW()-ROW($B$2))/16+1),"")</f>
        <v/>
      </c>
    </row>
    <row r="7031" spans="14:14" x14ac:dyDescent="0.3">
      <c r="N7031" t="str" cm="1">
        <f t="array" ref="N7031">IF(MOD(ROW()-ROW($B$2),16)=0,INDEX($M$2:$M$1000,(ROW()-ROW($B$2))/16+1),"")</f>
        <v/>
      </c>
    </row>
    <row r="7032" spans="14:14" x14ac:dyDescent="0.3">
      <c r="N7032" t="str" cm="1">
        <f t="array" ref="N7032">IF(MOD(ROW()-ROW($B$2),16)=0,INDEX($M$2:$M$1000,(ROW()-ROW($B$2))/16+1),"")</f>
        <v/>
      </c>
    </row>
    <row r="7033" spans="14:14" x14ac:dyDescent="0.3">
      <c r="N7033" t="str" cm="1">
        <f t="array" ref="N7033">IF(MOD(ROW()-ROW($B$2),16)=0,INDEX($M$2:$M$1000,(ROW()-ROW($B$2))/16+1),"")</f>
        <v/>
      </c>
    </row>
    <row r="7034" spans="14:14" x14ac:dyDescent="0.3">
      <c r="N7034" t="str" cm="1">
        <f t="array" ref="N7034">IF(MOD(ROW()-ROW($B$2),16)=0,INDEX($M$2:$M$1000,(ROW()-ROW($B$2))/16+1),"")</f>
        <v/>
      </c>
    </row>
    <row r="7035" spans="14:14" x14ac:dyDescent="0.3">
      <c r="N7035" t="str" cm="1">
        <f t="array" ref="N7035">IF(MOD(ROW()-ROW($B$2),16)=0,INDEX($M$2:$M$1000,(ROW()-ROW($B$2))/16+1),"")</f>
        <v/>
      </c>
    </row>
    <row r="7036" spans="14:14" x14ac:dyDescent="0.3">
      <c r="N7036" t="str" cm="1">
        <f t="array" ref="N7036">IF(MOD(ROW()-ROW($B$2),16)=0,INDEX($M$2:$M$1000,(ROW()-ROW($B$2))/16+1),"")</f>
        <v/>
      </c>
    </row>
    <row r="7037" spans="14:14" x14ac:dyDescent="0.3">
      <c r="N7037" t="str" cm="1">
        <f t="array" ref="N7037">IF(MOD(ROW()-ROW($B$2),16)=0,INDEX($M$2:$M$1000,(ROW()-ROW($B$2))/16+1),"")</f>
        <v/>
      </c>
    </row>
    <row r="7038" spans="14:14" x14ac:dyDescent="0.3">
      <c r="N7038" t="str" cm="1">
        <f t="array" ref="N7038">IF(MOD(ROW()-ROW($B$2),16)=0,INDEX($M$2:$M$1000,(ROW()-ROW($B$2))/16+1),"")</f>
        <v/>
      </c>
    </row>
    <row r="7039" spans="14:14" x14ac:dyDescent="0.3">
      <c r="N7039" t="str" cm="1">
        <f t="array" ref="N7039">IF(MOD(ROW()-ROW($B$2),16)=0,INDEX($M$2:$M$1000,(ROW()-ROW($B$2))/16+1),"")</f>
        <v/>
      </c>
    </row>
    <row r="7040" spans="14:14" x14ac:dyDescent="0.3">
      <c r="N7040" t="str" cm="1">
        <f t="array" ref="N7040">IF(MOD(ROW()-ROW($B$2),16)=0,INDEX($M$2:$M$1000,(ROW()-ROW($B$2))/16+1),"")</f>
        <v/>
      </c>
    </row>
    <row r="7041" spans="14:14" x14ac:dyDescent="0.3">
      <c r="N7041" t="str" cm="1">
        <f t="array" ref="N7041">IF(MOD(ROW()-ROW($B$2),16)=0,INDEX($M$2:$M$1000,(ROW()-ROW($B$2))/16+1),"")</f>
        <v/>
      </c>
    </row>
    <row r="7042" spans="14:14" x14ac:dyDescent="0.3">
      <c r="N7042" t="str" cm="1">
        <f t="array" ref="N7042">IF(MOD(ROW()-ROW($B$2),16)=0,INDEX($M$2:$M$1000,(ROW()-ROW($B$2))/16+1),"")</f>
        <v/>
      </c>
    </row>
    <row r="7043" spans="14:14" x14ac:dyDescent="0.3">
      <c r="N7043" t="str" cm="1">
        <f t="array" ref="N7043">IF(MOD(ROW()-ROW($B$2),16)=0,INDEX($M$2:$M$1000,(ROW()-ROW($B$2))/16+1),"")</f>
        <v/>
      </c>
    </row>
    <row r="7044" spans="14:14" x14ac:dyDescent="0.3">
      <c r="N7044" t="str" cm="1">
        <f t="array" ref="N7044">IF(MOD(ROW()-ROW($B$2),16)=0,INDEX($M$2:$M$1000,(ROW()-ROW($B$2))/16+1),"")</f>
        <v/>
      </c>
    </row>
    <row r="7045" spans="14:14" x14ac:dyDescent="0.3">
      <c r="N7045" t="str" cm="1">
        <f t="array" ref="N7045">IF(MOD(ROW()-ROW($B$2),16)=0,INDEX($M$2:$M$1000,(ROW()-ROW($B$2))/16+1),"")</f>
        <v/>
      </c>
    </row>
    <row r="7046" spans="14:14" x14ac:dyDescent="0.3">
      <c r="N7046" t="str" cm="1">
        <f t="array" ref="N7046">IF(MOD(ROW()-ROW($B$2),16)=0,INDEX($M$2:$M$1000,(ROW()-ROW($B$2))/16+1),"")</f>
        <v/>
      </c>
    </row>
    <row r="7047" spans="14:14" x14ac:dyDescent="0.3">
      <c r="N7047" t="str" cm="1">
        <f t="array" ref="N7047">IF(MOD(ROW()-ROW($B$2),16)=0,INDEX($M$2:$M$1000,(ROW()-ROW($B$2))/16+1),"")</f>
        <v/>
      </c>
    </row>
    <row r="7048" spans="14:14" x14ac:dyDescent="0.3">
      <c r="N7048" t="str" cm="1">
        <f t="array" ref="N7048">IF(MOD(ROW()-ROW($B$2),16)=0,INDEX($M$2:$M$1000,(ROW()-ROW($B$2))/16+1),"")</f>
        <v/>
      </c>
    </row>
    <row r="7049" spans="14:14" x14ac:dyDescent="0.3">
      <c r="N7049" t="str" cm="1">
        <f t="array" ref="N7049">IF(MOD(ROW()-ROW($B$2),16)=0,INDEX($M$2:$M$1000,(ROW()-ROW($B$2))/16+1),"")</f>
        <v/>
      </c>
    </row>
    <row r="7050" spans="14:14" x14ac:dyDescent="0.3">
      <c r="N7050" t="str" cm="1">
        <f t="array" ref="N7050">IF(MOD(ROW()-ROW($B$2),16)=0,INDEX($M$2:$M$1000,(ROW()-ROW($B$2))/16+1),"")</f>
        <v/>
      </c>
    </row>
    <row r="7051" spans="14:14" x14ac:dyDescent="0.3">
      <c r="N7051" t="str" cm="1">
        <f t="array" ref="N7051">IF(MOD(ROW()-ROW($B$2),16)=0,INDEX($M$2:$M$1000,(ROW()-ROW($B$2))/16+1),"")</f>
        <v/>
      </c>
    </row>
    <row r="7052" spans="14:14" x14ac:dyDescent="0.3">
      <c r="N7052" t="str" cm="1">
        <f t="array" ref="N7052">IF(MOD(ROW()-ROW($B$2),16)=0,INDEX($M$2:$M$1000,(ROW()-ROW($B$2))/16+1),"")</f>
        <v/>
      </c>
    </row>
    <row r="7053" spans="14:14" x14ac:dyDescent="0.3">
      <c r="N7053" t="str" cm="1">
        <f t="array" ref="N7053">IF(MOD(ROW()-ROW($B$2),16)=0,INDEX($M$2:$M$1000,(ROW()-ROW($B$2))/16+1),"")</f>
        <v/>
      </c>
    </row>
    <row r="7054" spans="14:14" x14ac:dyDescent="0.3">
      <c r="N7054" t="str" cm="1">
        <f t="array" ref="N7054">IF(MOD(ROW()-ROW($B$2),16)=0,INDEX($M$2:$M$1000,(ROW()-ROW($B$2))/16+1),"")</f>
        <v/>
      </c>
    </row>
    <row r="7055" spans="14:14" x14ac:dyDescent="0.3">
      <c r="N7055" t="str" cm="1">
        <f t="array" ref="N7055">IF(MOD(ROW()-ROW($B$2),16)=0,INDEX($M$2:$M$1000,(ROW()-ROW($B$2))/16+1),"")</f>
        <v/>
      </c>
    </row>
    <row r="7056" spans="14:14" x14ac:dyDescent="0.3">
      <c r="N7056" t="str" cm="1">
        <f t="array" ref="N7056">IF(MOD(ROW()-ROW($B$2),16)=0,INDEX($M$2:$M$1000,(ROW()-ROW($B$2))/16+1),"")</f>
        <v/>
      </c>
    </row>
    <row r="7057" spans="14:14" x14ac:dyDescent="0.3">
      <c r="N7057" t="str" cm="1">
        <f t="array" ref="N7057">IF(MOD(ROW()-ROW($B$2),16)=0,INDEX($M$2:$M$1000,(ROW()-ROW($B$2))/16+1),"")</f>
        <v/>
      </c>
    </row>
    <row r="7058" spans="14:14" x14ac:dyDescent="0.3">
      <c r="N7058" t="str" cm="1">
        <f t="array" ref="N7058">IF(MOD(ROW()-ROW($B$2),16)=0,INDEX($M$2:$M$1000,(ROW()-ROW($B$2))/16+1),"")</f>
        <v/>
      </c>
    </row>
    <row r="7059" spans="14:14" x14ac:dyDescent="0.3">
      <c r="N7059" t="str" cm="1">
        <f t="array" ref="N7059">IF(MOD(ROW()-ROW($B$2),16)=0,INDEX($M$2:$M$1000,(ROW()-ROW($B$2))/16+1),"")</f>
        <v/>
      </c>
    </row>
    <row r="7060" spans="14:14" x14ac:dyDescent="0.3">
      <c r="N7060" t="str" cm="1">
        <f t="array" ref="N7060">IF(MOD(ROW()-ROW($B$2),16)=0,INDEX($M$2:$M$1000,(ROW()-ROW($B$2))/16+1),"")</f>
        <v/>
      </c>
    </row>
    <row r="7061" spans="14:14" x14ac:dyDescent="0.3">
      <c r="N7061" t="str" cm="1">
        <f t="array" ref="N7061">IF(MOD(ROW()-ROW($B$2),16)=0,INDEX($M$2:$M$1000,(ROW()-ROW($B$2))/16+1),"")</f>
        <v/>
      </c>
    </row>
    <row r="7062" spans="14:14" x14ac:dyDescent="0.3">
      <c r="N7062" t="str" cm="1">
        <f t="array" ref="N7062">IF(MOD(ROW()-ROW($B$2),16)=0,INDEX($M$2:$M$1000,(ROW()-ROW($B$2))/16+1),"")</f>
        <v/>
      </c>
    </row>
    <row r="7063" spans="14:14" x14ac:dyDescent="0.3">
      <c r="N7063" t="str" cm="1">
        <f t="array" ref="N7063">IF(MOD(ROW()-ROW($B$2),16)=0,INDEX($M$2:$M$1000,(ROW()-ROW($B$2))/16+1),"")</f>
        <v/>
      </c>
    </row>
    <row r="7064" spans="14:14" x14ac:dyDescent="0.3">
      <c r="N7064" t="str" cm="1">
        <f t="array" ref="N7064">IF(MOD(ROW()-ROW($B$2),16)=0,INDEX($M$2:$M$1000,(ROW()-ROW($B$2))/16+1),"")</f>
        <v/>
      </c>
    </row>
    <row r="7065" spans="14:14" x14ac:dyDescent="0.3">
      <c r="N7065" t="str" cm="1">
        <f t="array" ref="N7065">IF(MOD(ROW()-ROW($B$2),16)=0,INDEX($M$2:$M$1000,(ROW()-ROW($B$2))/16+1),"")</f>
        <v/>
      </c>
    </row>
    <row r="7066" spans="14:14" x14ac:dyDescent="0.3">
      <c r="N7066" t="str" cm="1">
        <f t="array" ref="N7066">IF(MOD(ROW()-ROW($B$2),16)=0,INDEX($M$2:$M$1000,(ROW()-ROW($B$2))/16+1),"")</f>
        <v/>
      </c>
    </row>
    <row r="7067" spans="14:14" x14ac:dyDescent="0.3">
      <c r="N7067" t="str" cm="1">
        <f t="array" ref="N7067">IF(MOD(ROW()-ROW($B$2),16)=0,INDEX($M$2:$M$1000,(ROW()-ROW($B$2))/16+1),"")</f>
        <v/>
      </c>
    </row>
    <row r="7068" spans="14:14" x14ac:dyDescent="0.3">
      <c r="N7068" t="str" cm="1">
        <f t="array" ref="N7068">IF(MOD(ROW()-ROW($B$2),16)=0,INDEX($M$2:$M$1000,(ROW()-ROW($B$2))/16+1),"")</f>
        <v/>
      </c>
    </row>
    <row r="7069" spans="14:14" x14ac:dyDescent="0.3">
      <c r="N7069" t="str" cm="1">
        <f t="array" ref="N7069">IF(MOD(ROW()-ROW($B$2),16)=0,INDEX($M$2:$M$1000,(ROW()-ROW($B$2))/16+1),"")</f>
        <v/>
      </c>
    </row>
    <row r="7070" spans="14:14" x14ac:dyDescent="0.3">
      <c r="N7070" t="str" cm="1">
        <f t="array" ref="N7070">IF(MOD(ROW()-ROW($B$2),16)=0,INDEX($M$2:$M$1000,(ROW()-ROW($B$2))/16+1),"")</f>
        <v/>
      </c>
    </row>
    <row r="7071" spans="14:14" x14ac:dyDescent="0.3">
      <c r="N7071" t="str" cm="1">
        <f t="array" ref="N7071">IF(MOD(ROW()-ROW($B$2),16)=0,INDEX($M$2:$M$1000,(ROW()-ROW($B$2))/16+1),"")</f>
        <v/>
      </c>
    </row>
    <row r="7072" spans="14:14" x14ac:dyDescent="0.3">
      <c r="N7072" t="str" cm="1">
        <f t="array" ref="N7072">IF(MOD(ROW()-ROW($B$2),16)=0,INDEX($M$2:$M$1000,(ROW()-ROW($B$2))/16+1),"")</f>
        <v/>
      </c>
    </row>
    <row r="7073" spans="14:14" x14ac:dyDescent="0.3">
      <c r="N7073" t="str" cm="1">
        <f t="array" ref="N7073">IF(MOD(ROW()-ROW($B$2),16)=0,INDEX($M$2:$M$1000,(ROW()-ROW($B$2))/16+1),"")</f>
        <v/>
      </c>
    </row>
    <row r="7074" spans="14:14" x14ac:dyDescent="0.3">
      <c r="N7074" t="str" cm="1">
        <f t="array" ref="N7074">IF(MOD(ROW()-ROW($B$2),16)=0,INDEX($M$2:$M$1000,(ROW()-ROW($B$2))/16+1),"")</f>
        <v/>
      </c>
    </row>
    <row r="7075" spans="14:14" x14ac:dyDescent="0.3">
      <c r="N7075" t="str" cm="1">
        <f t="array" ref="N7075">IF(MOD(ROW()-ROW($B$2),16)=0,INDEX($M$2:$M$1000,(ROW()-ROW($B$2))/16+1),"")</f>
        <v/>
      </c>
    </row>
    <row r="7076" spans="14:14" x14ac:dyDescent="0.3">
      <c r="N7076" t="str" cm="1">
        <f t="array" ref="N7076">IF(MOD(ROW()-ROW($B$2),16)=0,INDEX($M$2:$M$1000,(ROW()-ROW($B$2))/16+1),"")</f>
        <v/>
      </c>
    </row>
    <row r="7077" spans="14:14" x14ac:dyDescent="0.3">
      <c r="N7077" t="str" cm="1">
        <f t="array" ref="N7077">IF(MOD(ROW()-ROW($B$2),16)=0,INDEX($M$2:$M$1000,(ROW()-ROW($B$2))/16+1),"")</f>
        <v/>
      </c>
    </row>
    <row r="7078" spans="14:14" x14ac:dyDescent="0.3">
      <c r="N7078" t="str" cm="1">
        <f t="array" ref="N7078">IF(MOD(ROW()-ROW($B$2),16)=0,INDEX($M$2:$M$1000,(ROW()-ROW($B$2))/16+1),"")</f>
        <v/>
      </c>
    </row>
    <row r="7079" spans="14:14" x14ac:dyDescent="0.3">
      <c r="N7079" t="str" cm="1">
        <f t="array" ref="N7079">IF(MOD(ROW()-ROW($B$2),16)=0,INDEX($M$2:$M$1000,(ROW()-ROW($B$2))/16+1),"")</f>
        <v/>
      </c>
    </row>
    <row r="7080" spans="14:14" x14ac:dyDescent="0.3">
      <c r="N7080" t="str" cm="1">
        <f t="array" ref="N7080">IF(MOD(ROW()-ROW($B$2),16)=0,INDEX($M$2:$M$1000,(ROW()-ROW($B$2))/16+1),"")</f>
        <v/>
      </c>
    </row>
    <row r="7081" spans="14:14" x14ac:dyDescent="0.3">
      <c r="N7081" t="str" cm="1">
        <f t="array" ref="N7081">IF(MOD(ROW()-ROW($B$2),16)=0,INDEX($M$2:$M$1000,(ROW()-ROW($B$2))/16+1),"")</f>
        <v/>
      </c>
    </row>
    <row r="7082" spans="14:14" x14ac:dyDescent="0.3">
      <c r="N7082" t="str" cm="1">
        <f t="array" ref="N7082">IF(MOD(ROW()-ROW($B$2),16)=0,INDEX($M$2:$M$1000,(ROW()-ROW($B$2))/16+1),"")</f>
        <v/>
      </c>
    </row>
    <row r="7083" spans="14:14" x14ac:dyDescent="0.3">
      <c r="N7083" t="str" cm="1">
        <f t="array" ref="N7083">IF(MOD(ROW()-ROW($B$2),16)=0,INDEX($M$2:$M$1000,(ROW()-ROW($B$2))/16+1),"")</f>
        <v/>
      </c>
    </row>
    <row r="7084" spans="14:14" x14ac:dyDescent="0.3">
      <c r="N7084" t="str" cm="1">
        <f t="array" ref="N7084">IF(MOD(ROW()-ROW($B$2),16)=0,INDEX($M$2:$M$1000,(ROW()-ROW($B$2))/16+1),"")</f>
        <v/>
      </c>
    </row>
    <row r="7085" spans="14:14" x14ac:dyDescent="0.3">
      <c r="N7085" t="str" cm="1">
        <f t="array" ref="N7085">IF(MOD(ROW()-ROW($B$2),16)=0,INDEX($M$2:$M$1000,(ROW()-ROW($B$2))/16+1),"")</f>
        <v/>
      </c>
    </row>
    <row r="7086" spans="14:14" x14ac:dyDescent="0.3">
      <c r="N7086" t="str" cm="1">
        <f t="array" ref="N7086">IF(MOD(ROW()-ROW($B$2),16)=0,INDEX($M$2:$M$1000,(ROW()-ROW($B$2))/16+1),"")</f>
        <v/>
      </c>
    </row>
    <row r="7087" spans="14:14" x14ac:dyDescent="0.3">
      <c r="N7087" t="str" cm="1">
        <f t="array" ref="N7087">IF(MOD(ROW()-ROW($B$2),16)=0,INDEX($M$2:$M$1000,(ROW()-ROW($B$2))/16+1),"")</f>
        <v/>
      </c>
    </row>
    <row r="7088" spans="14:14" x14ac:dyDescent="0.3">
      <c r="N7088" t="str" cm="1">
        <f t="array" ref="N7088">IF(MOD(ROW()-ROW($B$2),16)=0,INDEX($M$2:$M$1000,(ROW()-ROW($B$2))/16+1),"")</f>
        <v/>
      </c>
    </row>
    <row r="7089" spans="14:14" x14ac:dyDescent="0.3">
      <c r="N7089" t="str" cm="1">
        <f t="array" ref="N7089">IF(MOD(ROW()-ROW($B$2),16)=0,INDEX($M$2:$M$1000,(ROW()-ROW($B$2))/16+1),"")</f>
        <v/>
      </c>
    </row>
    <row r="7090" spans="14:14" x14ac:dyDescent="0.3">
      <c r="N7090" t="str" cm="1">
        <f t="array" ref="N7090">IF(MOD(ROW()-ROW($B$2),16)=0,INDEX($M$2:$M$1000,(ROW()-ROW($B$2))/16+1),"")</f>
        <v/>
      </c>
    </row>
    <row r="7091" spans="14:14" x14ac:dyDescent="0.3">
      <c r="N7091" t="str" cm="1">
        <f t="array" ref="N7091">IF(MOD(ROW()-ROW($B$2),16)=0,INDEX($M$2:$M$1000,(ROW()-ROW($B$2))/16+1),"")</f>
        <v/>
      </c>
    </row>
    <row r="7092" spans="14:14" x14ac:dyDescent="0.3">
      <c r="N7092" t="str" cm="1">
        <f t="array" ref="N7092">IF(MOD(ROW()-ROW($B$2),16)=0,INDEX($M$2:$M$1000,(ROW()-ROW($B$2))/16+1),"")</f>
        <v/>
      </c>
    </row>
    <row r="7093" spans="14:14" x14ac:dyDescent="0.3">
      <c r="N7093" t="str" cm="1">
        <f t="array" ref="N7093">IF(MOD(ROW()-ROW($B$2),16)=0,INDEX($M$2:$M$1000,(ROW()-ROW($B$2))/16+1),"")</f>
        <v/>
      </c>
    </row>
    <row r="7094" spans="14:14" x14ac:dyDescent="0.3">
      <c r="N7094" t="str" cm="1">
        <f t="array" ref="N7094">IF(MOD(ROW()-ROW($B$2),16)=0,INDEX($M$2:$M$1000,(ROW()-ROW($B$2))/16+1),"")</f>
        <v/>
      </c>
    </row>
    <row r="7095" spans="14:14" x14ac:dyDescent="0.3">
      <c r="N7095" t="str" cm="1">
        <f t="array" ref="N7095">IF(MOD(ROW()-ROW($B$2),16)=0,INDEX($M$2:$M$1000,(ROW()-ROW($B$2))/16+1),"")</f>
        <v/>
      </c>
    </row>
    <row r="7096" spans="14:14" x14ac:dyDescent="0.3">
      <c r="N7096" t="str" cm="1">
        <f t="array" ref="N7096">IF(MOD(ROW()-ROW($B$2),16)=0,INDEX($M$2:$M$1000,(ROW()-ROW($B$2))/16+1),"")</f>
        <v/>
      </c>
    </row>
    <row r="7097" spans="14:14" x14ac:dyDescent="0.3">
      <c r="N7097" t="str" cm="1">
        <f t="array" ref="N7097">IF(MOD(ROW()-ROW($B$2),16)=0,INDEX($M$2:$M$1000,(ROW()-ROW($B$2))/16+1),"")</f>
        <v/>
      </c>
    </row>
    <row r="7098" spans="14:14" x14ac:dyDescent="0.3">
      <c r="N7098" t="str" cm="1">
        <f t="array" ref="N7098">IF(MOD(ROW()-ROW($B$2),16)=0,INDEX($M$2:$M$1000,(ROW()-ROW($B$2))/16+1),"")</f>
        <v/>
      </c>
    </row>
    <row r="7099" spans="14:14" x14ac:dyDescent="0.3">
      <c r="N7099" t="str" cm="1">
        <f t="array" ref="N7099">IF(MOD(ROW()-ROW($B$2),16)=0,INDEX($M$2:$M$1000,(ROW()-ROW($B$2))/16+1),"")</f>
        <v/>
      </c>
    </row>
    <row r="7100" spans="14:14" x14ac:dyDescent="0.3">
      <c r="N7100" t="str" cm="1">
        <f t="array" ref="N7100">IF(MOD(ROW()-ROW($B$2),16)=0,INDEX($M$2:$M$1000,(ROW()-ROW($B$2))/16+1),"")</f>
        <v/>
      </c>
    </row>
    <row r="7101" spans="14:14" x14ac:dyDescent="0.3">
      <c r="N7101" t="str" cm="1">
        <f t="array" ref="N7101">IF(MOD(ROW()-ROW($B$2),16)=0,INDEX($M$2:$M$1000,(ROW()-ROW($B$2))/16+1),"")</f>
        <v/>
      </c>
    </row>
    <row r="7102" spans="14:14" x14ac:dyDescent="0.3">
      <c r="N7102" t="str" cm="1">
        <f t="array" ref="N7102">IF(MOD(ROW()-ROW($B$2),16)=0,INDEX($M$2:$M$1000,(ROW()-ROW($B$2))/16+1),"")</f>
        <v/>
      </c>
    </row>
    <row r="7103" spans="14:14" x14ac:dyDescent="0.3">
      <c r="N7103" t="str" cm="1">
        <f t="array" ref="N7103">IF(MOD(ROW()-ROW($B$2),16)=0,INDEX($M$2:$M$1000,(ROW()-ROW($B$2))/16+1),"")</f>
        <v/>
      </c>
    </row>
    <row r="7104" spans="14:14" x14ac:dyDescent="0.3">
      <c r="N7104" t="str" cm="1">
        <f t="array" ref="N7104">IF(MOD(ROW()-ROW($B$2),16)=0,INDEX($M$2:$M$1000,(ROW()-ROW($B$2))/16+1),"")</f>
        <v/>
      </c>
    </row>
    <row r="7105" spans="14:14" x14ac:dyDescent="0.3">
      <c r="N7105" t="str" cm="1">
        <f t="array" ref="N7105">IF(MOD(ROW()-ROW($B$2),16)=0,INDEX($M$2:$M$1000,(ROW()-ROW($B$2))/16+1),"")</f>
        <v/>
      </c>
    </row>
    <row r="7106" spans="14:14" x14ac:dyDescent="0.3">
      <c r="N7106" t="str" cm="1">
        <f t="array" ref="N7106">IF(MOD(ROW()-ROW($B$2),16)=0,INDEX($M$2:$M$1000,(ROW()-ROW($B$2))/16+1),"")</f>
        <v/>
      </c>
    </row>
    <row r="7107" spans="14:14" x14ac:dyDescent="0.3">
      <c r="N7107" t="str" cm="1">
        <f t="array" ref="N7107">IF(MOD(ROW()-ROW($B$2),16)=0,INDEX($M$2:$M$1000,(ROW()-ROW($B$2))/16+1),"")</f>
        <v/>
      </c>
    </row>
    <row r="7108" spans="14:14" x14ac:dyDescent="0.3">
      <c r="N7108" t="str" cm="1">
        <f t="array" ref="N7108">IF(MOD(ROW()-ROW($B$2),16)=0,INDEX($M$2:$M$1000,(ROW()-ROW($B$2))/16+1),"")</f>
        <v/>
      </c>
    </row>
    <row r="7109" spans="14:14" x14ac:dyDescent="0.3">
      <c r="N7109" t="str" cm="1">
        <f t="array" ref="N7109">IF(MOD(ROW()-ROW($B$2),16)=0,INDEX($M$2:$M$1000,(ROW()-ROW($B$2))/16+1),"")</f>
        <v/>
      </c>
    </row>
    <row r="7110" spans="14:14" x14ac:dyDescent="0.3">
      <c r="N7110" t="str" cm="1">
        <f t="array" ref="N7110">IF(MOD(ROW()-ROW($B$2),16)=0,INDEX($M$2:$M$1000,(ROW()-ROW($B$2))/16+1),"")</f>
        <v/>
      </c>
    </row>
    <row r="7111" spans="14:14" x14ac:dyDescent="0.3">
      <c r="N7111" t="str" cm="1">
        <f t="array" ref="N7111">IF(MOD(ROW()-ROW($B$2),16)=0,INDEX($M$2:$M$1000,(ROW()-ROW($B$2))/16+1),"")</f>
        <v/>
      </c>
    </row>
    <row r="7112" spans="14:14" x14ac:dyDescent="0.3">
      <c r="N7112" t="str" cm="1">
        <f t="array" ref="N7112">IF(MOD(ROW()-ROW($B$2),16)=0,INDEX($M$2:$M$1000,(ROW()-ROW($B$2))/16+1),"")</f>
        <v/>
      </c>
    </row>
    <row r="7113" spans="14:14" x14ac:dyDescent="0.3">
      <c r="N7113" t="str" cm="1">
        <f t="array" ref="N7113">IF(MOD(ROW()-ROW($B$2),16)=0,INDEX($M$2:$M$1000,(ROW()-ROW($B$2))/16+1),"")</f>
        <v/>
      </c>
    </row>
    <row r="7114" spans="14:14" x14ac:dyDescent="0.3">
      <c r="N7114" t="str" cm="1">
        <f t="array" ref="N7114">IF(MOD(ROW()-ROW($B$2),16)=0,INDEX($M$2:$M$1000,(ROW()-ROW($B$2))/16+1),"")</f>
        <v/>
      </c>
    </row>
    <row r="7115" spans="14:14" x14ac:dyDescent="0.3">
      <c r="N7115" t="str" cm="1">
        <f t="array" ref="N7115">IF(MOD(ROW()-ROW($B$2),16)=0,INDEX($M$2:$M$1000,(ROW()-ROW($B$2))/16+1),"")</f>
        <v/>
      </c>
    </row>
    <row r="7116" spans="14:14" x14ac:dyDescent="0.3">
      <c r="N7116" t="str" cm="1">
        <f t="array" ref="N7116">IF(MOD(ROW()-ROW($B$2),16)=0,INDEX($M$2:$M$1000,(ROW()-ROW($B$2))/16+1),"")</f>
        <v/>
      </c>
    </row>
    <row r="7117" spans="14:14" x14ac:dyDescent="0.3">
      <c r="N7117" t="str" cm="1">
        <f t="array" ref="N7117">IF(MOD(ROW()-ROW($B$2),16)=0,INDEX($M$2:$M$1000,(ROW()-ROW($B$2))/16+1),"")</f>
        <v/>
      </c>
    </row>
    <row r="7118" spans="14:14" x14ac:dyDescent="0.3">
      <c r="N7118" t="str" cm="1">
        <f t="array" ref="N7118">IF(MOD(ROW()-ROW($B$2),16)=0,INDEX($M$2:$M$1000,(ROW()-ROW($B$2))/16+1),"")</f>
        <v/>
      </c>
    </row>
    <row r="7119" spans="14:14" x14ac:dyDescent="0.3">
      <c r="N7119" t="str" cm="1">
        <f t="array" ref="N7119">IF(MOD(ROW()-ROW($B$2),16)=0,INDEX($M$2:$M$1000,(ROW()-ROW($B$2))/16+1),"")</f>
        <v/>
      </c>
    </row>
    <row r="7120" spans="14:14" x14ac:dyDescent="0.3">
      <c r="N7120" t="str" cm="1">
        <f t="array" ref="N7120">IF(MOD(ROW()-ROW($B$2),16)=0,INDEX($M$2:$M$1000,(ROW()-ROW($B$2))/16+1),"")</f>
        <v/>
      </c>
    </row>
    <row r="7121" spans="14:14" x14ac:dyDescent="0.3">
      <c r="N7121" t="str" cm="1">
        <f t="array" ref="N7121">IF(MOD(ROW()-ROW($B$2),16)=0,INDEX($M$2:$M$1000,(ROW()-ROW($B$2))/16+1),"")</f>
        <v/>
      </c>
    </row>
    <row r="7122" spans="14:14" x14ac:dyDescent="0.3">
      <c r="N7122" t="str" cm="1">
        <f t="array" ref="N7122">IF(MOD(ROW()-ROW($B$2),16)=0,INDEX($M$2:$M$1000,(ROW()-ROW($B$2))/16+1),"")</f>
        <v/>
      </c>
    </row>
    <row r="7123" spans="14:14" x14ac:dyDescent="0.3">
      <c r="N7123" t="str" cm="1">
        <f t="array" ref="N7123">IF(MOD(ROW()-ROW($B$2),16)=0,INDEX($M$2:$M$1000,(ROW()-ROW($B$2))/16+1),"")</f>
        <v/>
      </c>
    </row>
    <row r="7124" spans="14:14" x14ac:dyDescent="0.3">
      <c r="N7124" t="str" cm="1">
        <f t="array" ref="N7124">IF(MOD(ROW()-ROW($B$2),16)=0,INDEX($M$2:$M$1000,(ROW()-ROW($B$2))/16+1),"")</f>
        <v/>
      </c>
    </row>
    <row r="7125" spans="14:14" x14ac:dyDescent="0.3">
      <c r="N7125" t="str" cm="1">
        <f t="array" ref="N7125">IF(MOD(ROW()-ROW($B$2),16)=0,INDEX($M$2:$M$1000,(ROW()-ROW($B$2))/16+1),"")</f>
        <v/>
      </c>
    </row>
    <row r="7126" spans="14:14" x14ac:dyDescent="0.3">
      <c r="N7126" t="str" cm="1">
        <f t="array" ref="N7126">IF(MOD(ROW()-ROW($B$2),16)=0,INDEX($M$2:$M$1000,(ROW()-ROW($B$2))/16+1),"")</f>
        <v/>
      </c>
    </row>
    <row r="7127" spans="14:14" x14ac:dyDescent="0.3">
      <c r="N7127" t="str" cm="1">
        <f t="array" ref="N7127">IF(MOD(ROW()-ROW($B$2),16)=0,INDEX($M$2:$M$1000,(ROW()-ROW($B$2))/16+1),"")</f>
        <v/>
      </c>
    </row>
    <row r="7128" spans="14:14" x14ac:dyDescent="0.3">
      <c r="N7128" t="str" cm="1">
        <f t="array" ref="N7128">IF(MOD(ROW()-ROW($B$2),16)=0,INDEX($M$2:$M$1000,(ROW()-ROW($B$2))/16+1),"")</f>
        <v/>
      </c>
    </row>
    <row r="7129" spans="14:14" x14ac:dyDescent="0.3">
      <c r="N7129" t="str" cm="1">
        <f t="array" ref="N7129">IF(MOD(ROW()-ROW($B$2),16)=0,INDEX($M$2:$M$1000,(ROW()-ROW($B$2))/16+1),"")</f>
        <v/>
      </c>
    </row>
    <row r="7130" spans="14:14" x14ac:dyDescent="0.3">
      <c r="N7130" t="str" cm="1">
        <f t="array" ref="N7130">IF(MOD(ROW()-ROW($B$2),16)=0,INDEX($M$2:$M$1000,(ROW()-ROW($B$2))/16+1),"")</f>
        <v/>
      </c>
    </row>
    <row r="7131" spans="14:14" x14ac:dyDescent="0.3">
      <c r="N7131" t="str" cm="1">
        <f t="array" ref="N7131">IF(MOD(ROW()-ROW($B$2),16)=0,INDEX($M$2:$M$1000,(ROW()-ROW($B$2))/16+1),"")</f>
        <v/>
      </c>
    </row>
    <row r="7132" spans="14:14" x14ac:dyDescent="0.3">
      <c r="N7132" t="str" cm="1">
        <f t="array" ref="N7132">IF(MOD(ROW()-ROW($B$2),16)=0,INDEX($M$2:$M$1000,(ROW()-ROW($B$2))/16+1),"")</f>
        <v/>
      </c>
    </row>
    <row r="7133" spans="14:14" x14ac:dyDescent="0.3">
      <c r="N7133" t="str" cm="1">
        <f t="array" ref="N7133">IF(MOD(ROW()-ROW($B$2),16)=0,INDEX($M$2:$M$1000,(ROW()-ROW($B$2))/16+1),"")</f>
        <v/>
      </c>
    </row>
    <row r="7134" spans="14:14" x14ac:dyDescent="0.3">
      <c r="N7134" t="str" cm="1">
        <f t="array" ref="N7134">IF(MOD(ROW()-ROW($B$2),16)=0,INDEX($M$2:$M$1000,(ROW()-ROW($B$2))/16+1),"")</f>
        <v/>
      </c>
    </row>
    <row r="7135" spans="14:14" x14ac:dyDescent="0.3">
      <c r="N7135" t="str" cm="1">
        <f t="array" ref="N7135">IF(MOD(ROW()-ROW($B$2),16)=0,INDEX($M$2:$M$1000,(ROW()-ROW($B$2))/16+1),"")</f>
        <v/>
      </c>
    </row>
    <row r="7136" spans="14:14" x14ac:dyDescent="0.3">
      <c r="N7136" t="str" cm="1">
        <f t="array" ref="N7136">IF(MOD(ROW()-ROW($B$2),16)=0,INDEX($M$2:$M$1000,(ROW()-ROW($B$2))/16+1),"")</f>
        <v/>
      </c>
    </row>
    <row r="7137" spans="14:14" x14ac:dyDescent="0.3">
      <c r="N7137" t="str" cm="1">
        <f t="array" ref="N7137">IF(MOD(ROW()-ROW($B$2),16)=0,INDEX($M$2:$M$1000,(ROW()-ROW($B$2))/16+1),"")</f>
        <v/>
      </c>
    </row>
    <row r="7138" spans="14:14" x14ac:dyDescent="0.3">
      <c r="N7138" t="str" cm="1">
        <f t="array" ref="N7138">IF(MOD(ROW()-ROW($B$2),16)=0,INDEX($M$2:$M$1000,(ROW()-ROW($B$2))/16+1),"")</f>
        <v/>
      </c>
    </row>
    <row r="7139" spans="14:14" x14ac:dyDescent="0.3">
      <c r="N7139" t="str" cm="1">
        <f t="array" ref="N7139">IF(MOD(ROW()-ROW($B$2),16)=0,INDEX($M$2:$M$1000,(ROW()-ROW($B$2))/16+1),"")</f>
        <v/>
      </c>
    </row>
    <row r="7140" spans="14:14" x14ac:dyDescent="0.3">
      <c r="N7140" t="str" cm="1">
        <f t="array" ref="N7140">IF(MOD(ROW()-ROW($B$2),16)=0,INDEX($M$2:$M$1000,(ROW()-ROW($B$2))/16+1),"")</f>
        <v/>
      </c>
    </row>
    <row r="7141" spans="14:14" x14ac:dyDescent="0.3">
      <c r="N7141" t="str" cm="1">
        <f t="array" ref="N7141">IF(MOD(ROW()-ROW($B$2),16)=0,INDEX($M$2:$M$1000,(ROW()-ROW($B$2))/16+1),"")</f>
        <v/>
      </c>
    </row>
    <row r="7142" spans="14:14" x14ac:dyDescent="0.3">
      <c r="N7142" t="str" cm="1">
        <f t="array" ref="N7142">IF(MOD(ROW()-ROW($B$2),16)=0,INDEX($M$2:$M$1000,(ROW()-ROW($B$2))/16+1),"")</f>
        <v/>
      </c>
    </row>
    <row r="7143" spans="14:14" x14ac:dyDescent="0.3">
      <c r="N7143" t="str" cm="1">
        <f t="array" ref="N7143">IF(MOD(ROW()-ROW($B$2),16)=0,INDEX($M$2:$M$1000,(ROW()-ROW($B$2))/16+1),"")</f>
        <v/>
      </c>
    </row>
    <row r="7144" spans="14:14" x14ac:dyDescent="0.3">
      <c r="N7144" t="str" cm="1">
        <f t="array" ref="N7144">IF(MOD(ROW()-ROW($B$2),16)=0,INDEX($M$2:$M$1000,(ROW()-ROW($B$2))/16+1),"")</f>
        <v/>
      </c>
    </row>
    <row r="7145" spans="14:14" x14ac:dyDescent="0.3">
      <c r="N7145" t="str" cm="1">
        <f t="array" ref="N7145">IF(MOD(ROW()-ROW($B$2),16)=0,INDEX($M$2:$M$1000,(ROW()-ROW($B$2))/16+1),"")</f>
        <v/>
      </c>
    </row>
    <row r="7146" spans="14:14" x14ac:dyDescent="0.3">
      <c r="N7146" t="str" cm="1">
        <f t="array" ref="N7146">IF(MOD(ROW()-ROW($B$2),16)=0,INDEX($M$2:$M$1000,(ROW()-ROW($B$2))/16+1),"")</f>
        <v/>
      </c>
    </row>
    <row r="7147" spans="14:14" x14ac:dyDescent="0.3">
      <c r="N7147" t="str" cm="1">
        <f t="array" ref="N7147">IF(MOD(ROW()-ROW($B$2),16)=0,INDEX($M$2:$M$1000,(ROW()-ROW($B$2))/16+1),"")</f>
        <v/>
      </c>
    </row>
    <row r="7148" spans="14:14" x14ac:dyDescent="0.3">
      <c r="N7148" t="str" cm="1">
        <f t="array" ref="N7148">IF(MOD(ROW()-ROW($B$2),16)=0,INDEX($M$2:$M$1000,(ROW()-ROW($B$2))/16+1),"")</f>
        <v/>
      </c>
    </row>
    <row r="7149" spans="14:14" x14ac:dyDescent="0.3">
      <c r="N7149" t="str" cm="1">
        <f t="array" ref="N7149">IF(MOD(ROW()-ROW($B$2),16)=0,INDEX($M$2:$M$1000,(ROW()-ROW($B$2))/16+1),"")</f>
        <v/>
      </c>
    </row>
    <row r="7150" spans="14:14" x14ac:dyDescent="0.3">
      <c r="N7150" t="str" cm="1">
        <f t="array" ref="N7150">IF(MOD(ROW()-ROW($B$2),16)=0,INDEX($M$2:$M$1000,(ROW()-ROW($B$2))/16+1),"")</f>
        <v/>
      </c>
    </row>
    <row r="7151" spans="14:14" x14ac:dyDescent="0.3">
      <c r="N7151" t="str" cm="1">
        <f t="array" ref="N7151">IF(MOD(ROW()-ROW($B$2),16)=0,INDEX($M$2:$M$1000,(ROW()-ROW($B$2))/16+1),"")</f>
        <v/>
      </c>
    </row>
    <row r="7152" spans="14:14" x14ac:dyDescent="0.3">
      <c r="N7152" t="str" cm="1">
        <f t="array" ref="N7152">IF(MOD(ROW()-ROW($B$2),16)=0,INDEX($M$2:$M$1000,(ROW()-ROW($B$2))/16+1),"")</f>
        <v/>
      </c>
    </row>
    <row r="7153" spans="14:14" x14ac:dyDescent="0.3">
      <c r="N7153" t="str" cm="1">
        <f t="array" ref="N7153">IF(MOD(ROW()-ROW($B$2),16)=0,INDEX($M$2:$M$1000,(ROW()-ROW($B$2))/16+1),"")</f>
        <v/>
      </c>
    </row>
    <row r="7154" spans="14:14" x14ac:dyDescent="0.3">
      <c r="N7154" t="str" cm="1">
        <f t="array" ref="N7154">IF(MOD(ROW()-ROW($B$2),16)=0,INDEX($M$2:$M$1000,(ROW()-ROW($B$2))/16+1),"")</f>
        <v/>
      </c>
    </row>
    <row r="7155" spans="14:14" x14ac:dyDescent="0.3">
      <c r="N7155" t="str" cm="1">
        <f t="array" ref="N7155">IF(MOD(ROW()-ROW($B$2),16)=0,INDEX($M$2:$M$1000,(ROW()-ROW($B$2))/16+1),"")</f>
        <v/>
      </c>
    </row>
    <row r="7156" spans="14:14" x14ac:dyDescent="0.3">
      <c r="N7156" t="str" cm="1">
        <f t="array" ref="N7156">IF(MOD(ROW()-ROW($B$2),16)=0,INDEX($M$2:$M$1000,(ROW()-ROW($B$2))/16+1),"")</f>
        <v/>
      </c>
    </row>
    <row r="7157" spans="14:14" x14ac:dyDescent="0.3">
      <c r="N7157" t="str" cm="1">
        <f t="array" ref="N7157">IF(MOD(ROW()-ROW($B$2),16)=0,INDEX($M$2:$M$1000,(ROW()-ROW($B$2))/16+1),"")</f>
        <v/>
      </c>
    </row>
    <row r="7158" spans="14:14" x14ac:dyDescent="0.3">
      <c r="N7158" t="str" cm="1">
        <f t="array" ref="N7158">IF(MOD(ROW()-ROW($B$2),16)=0,INDEX($M$2:$M$1000,(ROW()-ROW($B$2))/16+1),"")</f>
        <v/>
      </c>
    </row>
    <row r="7159" spans="14:14" x14ac:dyDescent="0.3">
      <c r="N7159" t="str" cm="1">
        <f t="array" ref="N7159">IF(MOD(ROW()-ROW($B$2),16)=0,INDEX($M$2:$M$1000,(ROW()-ROW($B$2))/16+1),"")</f>
        <v/>
      </c>
    </row>
    <row r="7160" spans="14:14" x14ac:dyDescent="0.3">
      <c r="N7160" t="str" cm="1">
        <f t="array" ref="N7160">IF(MOD(ROW()-ROW($B$2),16)=0,INDEX($M$2:$M$1000,(ROW()-ROW($B$2))/16+1),"")</f>
        <v/>
      </c>
    </row>
    <row r="7161" spans="14:14" x14ac:dyDescent="0.3">
      <c r="N7161" t="str" cm="1">
        <f t="array" ref="N7161">IF(MOD(ROW()-ROW($B$2),16)=0,INDEX($M$2:$M$1000,(ROW()-ROW($B$2))/16+1),"")</f>
        <v/>
      </c>
    </row>
    <row r="7162" spans="14:14" x14ac:dyDescent="0.3">
      <c r="N7162" t="str" cm="1">
        <f t="array" ref="N7162">IF(MOD(ROW()-ROW($B$2),16)=0,INDEX($M$2:$M$1000,(ROW()-ROW($B$2))/16+1),"")</f>
        <v/>
      </c>
    </row>
    <row r="7163" spans="14:14" x14ac:dyDescent="0.3">
      <c r="N7163" t="str" cm="1">
        <f t="array" ref="N7163">IF(MOD(ROW()-ROW($B$2),16)=0,INDEX($M$2:$M$1000,(ROW()-ROW($B$2))/16+1),"")</f>
        <v/>
      </c>
    </row>
    <row r="7164" spans="14:14" x14ac:dyDescent="0.3">
      <c r="N7164" t="str" cm="1">
        <f t="array" ref="N7164">IF(MOD(ROW()-ROW($B$2),16)=0,INDEX($M$2:$M$1000,(ROW()-ROW($B$2))/16+1),"")</f>
        <v/>
      </c>
    </row>
    <row r="7165" spans="14:14" x14ac:dyDescent="0.3">
      <c r="N7165" t="str" cm="1">
        <f t="array" ref="N7165">IF(MOD(ROW()-ROW($B$2),16)=0,INDEX($M$2:$M$1000,(ROW()-ROW($B$2))/16+1),"")</f>
        <v/>
      </c>
    </row>
    <row r="7166" spans="14:14" x14ac:dyDescent="0.3">
      <c r="N7166" t="str" cm="1">
        <f t="array" ref="N7166">IF(MOD(ROW()-ROW($B$2),16)=0,INDEX($M$2:$M$1000,(ROW()-ROW($B$2))/16+1),"")</f>
        <v/>
      </c>
    </row>
    <row r="7167" spans="14:14" x14ac:dyDescent="0.3">
      <c r="N7167" t="str" cm="1">
        <f t="array" ref="N7167">IF(MOD(ROW()-ROW($B$2),16)=0,INDEX($M$2:$M$1000,(ROW()-ROW($B$2))/16+1),"")</f>
        <v/>
      </c>
    </row>
    <row r="7168" spans="14:14" x14ac:dyDescent="0.3">
      <c r="N7168" t="str" cm="1">
        <f t="array" ref="N7168">IF(MOD(ROW()-ROW($B$2),16)=0,INDEX($M$2:$M$1000,(ROW()-ROW($B$2))/16+1),"")</f>
        <v/>
      </c>
    </row>
    <row r="7169" spans="14:14" x14ac:dyDescent="0.3">
      <c r="N7169" t="str" cm="1">
        <f t="array" ref="N7169">IF(MOD(ROW()-ROW($B$2),16)=0,INDEX($M$2:$M$1000,(ROW()-ROW($B$2))/16+1),"")</f>
        <v/>
      </c>
    </row>
    <row r="7170" spans="14:14" x14ac:dyDescent="0.3">
      <c r="N7170" t="str" cm="1">
        <f t="array" ref="N7170">IF(MOD(ROW()-ROW($B$2),16)=0,INDEX($M$2:$M$1000,(ROW()-ROW($B$2))/16+1),"")</f>
        <v/>
      </c>
    </row>
    <row r="7171" spans="14:14" x14ac:dyDescent="0.3">
      <c r="N7171" t="str" cm="1">
        <f t="array" ref="N7171">IF(MOD(ROW()-ROW($B$2),16)=0,INDEX($M$2:$M$1000,(ROW()-ROW($B$2))/16+1),"")</f>
        <v/>
      </c>
    </row>
    <row r="7172" spans="14:14" x14ac:dyDescent="0.3">
      <c r="N7172" t="str" cm="1">
        <f t="array" ref="N7172">IF(MOD(ROW()-ROW($B$2),16)=0,INDEX($M$2:$M$1000,(ROW()-ROW($B$2))/16+1),"")</f>
        <v/>
      </c>
    </row>
    <row r="7173" spans="14:14" x14ac:dyDescent="0.3">
      <c r="N7173" t="str" cm="1">
        <f t="array" ref="N7173">IF(MOD(ROW()-ROW($B$2),16)=0,INDEX($M$2:$M$1000,(ROW()-ROW($B$2))/16+1),"")</f>
        <v/>
      </c>
    </row>
    <row r="7174" spans="14:14" x14ac:dyDescent="0.3">
      <c r="N7174" t="str" cm="1">
        <f t="array" ref="N7174">IF(MOD(ROW()-ROW($B$2),16)=0,INDEX($M$2:$M$1000,(ROW()-ROW($B$2))/16+1),"")</f>
        <v/>
      </c>
    </row>
    <row r="7175" spans="14:14" x14ac:dyDescent="0.3">
      <c r="N7175" t="str" cm="1">
        <f t="array" ref="N7175">IF(MOD(ROW()-ROW($B$2),16)=0,INDEX($M$2:$M$1000,(ROW()-ROW($B$2))/16+1),"")</f>
        <v/>
      </c>
    </row>
    <row r="7176" spans="14:14" x14ac:dyDescent="0.3">
      <c r="N7176" t="str" cm="1">
        <f t="array" ref="N7176">IF(MOD(ROW()-ROW($B$2),16)=0,INDEX($M$2:$M$1000,(ROW()-ROW($B$2))/16+1),"")</f>
        <v/>
      </c>
    </row>
    <row r="7177" spans="14:14" x14ac:dyDescent="0.3">
      <c r="N7177" t="str" cm="1">
        <f t="array" ref="N7177">IF(MOD(ROW()-ROW($B$2),16)=0,INDEX($M$2:$M$1000,(ROW()-ROW($B$2))/16+1),"")</f>
        <v/>
      </c>
    </row>
    <row r="7178" spans="14:14" x14ac:dyDescent="0.3">
      <c r="N7178" t="str" cm="1">
        <f t="array" ref="N7178">IF(MOD(ROW()-ROW($B$2),16)=0,INDEX($M$2:$M$1000,(ROW()-ROW($B$2))/16+1),"")</f>
        <v/>
      </c>
    </row>
    <row r="7179" spans="14:14" x14ac:dyDescent="0.3">
      <c r="N7179" t="str" cm="1">
        <f t="array" ref="N7179">IF(MOD(ROW()-ROW($B$2),16)=0,INDEX($M$2:$M$1000,(ROW()-ROW($B$2))/16+1),"")</f>
        <v/>
      </c>
    </row>
    <row r="7180" spans="14:14" x14ac:dyDescent="0.3">
      <c r="N7180" t="str" cm="1">
        <f t="array" ref="N7180">IF(MOD(ROW()-ROW($B$2),16)=0,INDEX($M$2:$M$1000,(ROW()-ROW($B$2))/16+1),"")</f>
        <v/>
      </c>
    </row>
    <row r="7181" spans="14:14" x14ac:dyDescent="0.3">
      <c r="N7181" t="str" cm="1">
        <f t="array" ref="N7181">IF(MOD(ROW()-ROW($B$2),16)=0,INDEX($M$2:$M$1000,(ROW()-ROW($B$2))/16+1),"")</f>
        <v/>
      </c>
    </row>
    <row r="7182" spans="14:14" x14ac:dyDescent="0.3">
      <c r="N7182" t="str" cm="1">
        <f t="array" ref="N7182">IF(MOD(ROW()-ROW($B$2),16)=0,INDEX($M$2:$M$1000,(ROW()-ROW($B$2))/16+1),"")</f>
        <v/>
      </c>
    </row>
    <row r="7183" spans="14:14" x14ac:dyDescent="0.3">
      <c r="N7183" t="str" cm="1">
        <f t="array" ref="N7183">IF(MOD(ROW()-ROW($B$2),16)=0,INDEX($M$2:$M$1000,(ROW()-ROW($B$2))/16+1),"")</f>
        <v/>
      </c>
    </row>
    <row r="7184" spans="14:14" x14ac:dyDescent="0.3">
      <c r="N7184" t="str" cm="1">
        <f t="array" ref="N7184">IF(MOD(ROW()-ROW($B$2),16)=0,INDEX($M$2:$M$1000,(ROW()-ROW($B$2))/16+1),"")</f>
        <v/>
      </c>
    </row>
    <row r="7185" spans="14:14" x14ac:dyDescent="0.3">
      <c r="N7185" t="str" cm="1">
        <f t="array" ref="N7185">IF(MOD(ROW()-ROW($B$2),16)=0,INDEX($M$2:$M$1000,(ROW()-ROW($B$2))/16+1),"")</f>
        <v/>
      </c>
    </row>
    <row r="7186" spans="14:14" x14ac:dyDescent="0.3">
      <c r="N7186" t="str" cm="1">
        <f t="array" ref="N7186">IF(MOD(ROW()-ROW($B$2),16)=0,INDEX($M$2:$M$1000,(ROW()-ROW($B$2))/16+1),"")</f>
        <v/>
      </c>
    </row>
    <row r="7187" spans="14:14" x14ac:dyDescent="0.3">
      <c r="N7187" t="str" cm="1">
        <f t="array" ref="N7187">IF(MOD(ROW()-ROW($B$2),16)=0,INDEX($M$2:$M$1000,(ROW()-ROW($B$2))/16+1),"")</f>
        <v/>
      </c>
    </row>
    <row r="7188" spans="14:14" x14ac:dyDescent="0.3">
      <c r="N7188" t="str" cm="1">
        <f t="array" ref="N7188">IF(MOD(ROW()-ROW($B$2),16)=0,INDEX($M$2:$M$1000,(ROW()-ROW($B$2))/16+1),"")</f>
        <v/>
      </c>
    </row>
    <row r="7189" spans="14:14" x14ac:dyDescent="0.3">
      <c r="N7189" t="str" cm="1">
        <f t="array" ref="N7189">IF(MOD(ROW()-ROW($B$2),16)=0,INDEX($M$2:$M$1000,(ROW()-ROW($B$2))/16+1),"")</f>
        <v/>
      </c>
    </row>
    <row r="7190" spans="14:14" x14ac:dyDescent="0.3">
      <c r="N7190" t="str" cm="1">
        <f t="array" ref="N7190">IF(MOD(ROW()-ROW($B$2),16)=0,INDEX($M$2:$M$1000,(ROW()-ROW($B$2))/16+1),"")</f>
        <v/>
      </c>
    </row>
    <row r="7191" spans="14:14" x14ac:dyDescent="0.3">
      <c r="N7191" t="str" cm="1">
        <f t="array" ref="N7191">IF(MOD(ROW()-ROW($B$2),16)=0,INDEX($M$2:$M$1000,(ROW()-ROW($B$2))/16+1),"")</f>
        <v/>
      </c>
    </row>
    <row r="7192" spans="14:14" x14ac:dyDescent="0.3">
      <c r="N7192" t="str" cm="1">
        <f t="array" ref="N7192">IF(MOD(ROW()-ROW($B$2),16)=0,INDEX($M$2:$M$1000,(ROW()-ROW($B$2))/16+1),"")</f>
        <v/>
      </c>
    </row>
    <row r="7193" spans="14:14" x14ac:dyDescent="0.3">
      <c r="N7193" t="str" cm="1">
        <f t="array" ref="N7193">IF(MOD(ROW()-ROW($B$2),16)=0,INDEX($M$2:$M$1000,(ROW()-ROW($B$2))/16+1),"")</f>
        <v/>
      </c>
    </row>
    <row r="7194" spans="14:14" x14ac:dyDescent="0.3">
      <c r="N7194" t="str" cm="1">
        <f t="array" ref="N7194">IF(MOD(ROW()-ROW($B$2),16)=0,INDEX($M$2:$M$1000,(ROW()-ROW($B$2))/16+1),"")</f>
        <v/>
      </c>
    </row>
    <row r="7195" spans="14:14" x14ac:dyDescent="0.3">
      <c r="N7195" t="str" cm="1">
        <f t="array" ref="N7195">IF(MOD(ROW()-ROW($B$2),16)=0,INDEX($M$2:$M$1000,(ROW()-ROW($B$2))/16+1),"")</f>
        <v/>
      </c>
    </row>
    <row r="7196" spans="14:14" x14ac:dyDescent="0.3">
      <c r="N7196" t="str" cm="1">
        <f t="array" ref="N7196">IF(MOD(ROW()-ROW($B$2),16)=0,INDEX($M$2:$M$1000,(ROW()-ROW($B$2))/16+1),"")</f>
        <v/>
      </c>
    </row>
    <row r="7197" spans="14:14" x14ac:dyDescent="0.3">
      <c r="N7197" t="str" cm="1">
        <f t="array" ref="N7197">IF(MOD(ROW()-ROW($B$2),16)=0,INDEX($M$2:$M$1000,(ROW()-ROW($B$2))/16+1),"")</f>
        <v/>
      </c>
    </row>
    <row r="7198" spans="14:14" x14ac:dyDescent="0.3">
      <c r="N7198" t="str" cm="1">
        <f t="array" ref="N7198">IF(MOD(ROW()-ROW($B$2),16)=0,INDEX($M$2:$M$1000,(ROW()-ROW($B$2))/16+1),"")</f>
        <v/>
      </c>
    </row>
    <row r="7199" spans="14:14" x14ac:dyDescent="0.3">
      <c r="N7199" t="str" cm="1">
        <f t="array" ref="N7199">IF(MOD(ROW()-ROW($B$2),16)=0,INDEX($M$2:$M$1000,(ROW()-ROW($B$2))/16+1),"")</f>
        <v/>
      </c>
    </row>
    <row r="7200" spans="14:14" x14ac:dyDescent="0.3">
      <c r="N7200" t="str" cm="1">
        <f t="array" ref="N7200">IF(MOD(ROW()-ROW($B$2),16)=0,INDEX($M$2:$M$1000,(ROW()-ROW($B$2))/16+1),"")</f>
        <v/>
      </c>
    </row>
    <row r="7201" spans="14:14" x14ac:dyDescent="0.3">
      <c r="N7201" t="str" cm="1">
        <f t="array" ref="N7201">IF(MOD(ROW()-ROW($B$2),16)=0,INDEX($M$2:$M$1000,(ROW()-ROW($B$2))/16+1),"")</f>
        <v/>
      </c>
    </row>
    <row r="7202" spans="14:14" x14ac:dyDescent="0.3">
      <c r="N7202" t="str" cm="1">
        <f t="array" ref="N7202">IF(MOD(ROW()-ROW($B$2),16)=0,INDEX($M$2:$M$1000,(ROW()-ROW($B$2))/16+1),"")</f>
        <v/>
      </c>
    </row>
    <row r="7203" spans="14:14" x14ac:dyDescent="0.3">
      <c r="N7203" t="str" cm="1">
        <f t="array" ref="N7203">IF(MOD(ROW()-ROW($B$2),16)=0,INDEX($M$2:$M$1000,(ROW()-ROW($B$2))/16+1),"")</f>
        <v/>
      </c>
    </row>
    <row r="7204" spans="14:14" x14ac:dyDescent="0.3">
      <c r="N7204" t="str" cm="1">
        <f t="array" ref="N7204">IF(MOD(ROW()-ROW($B$2),16)=0,INDEX($M$2:$M$1000,(ROW()-ROW($B$2))/16+1),"")</f>
        <v/>
      </c>
    </row>
    <row r="7205" spans="14:14" x14ac:dyDescent="0.3">
      <c r="N7205" t="str" cm="1">
        <f t="array" ref="N7205">IF(MOD(ROW()-ROW($B$2),16)=0,INDEX($M$2:$M$1000,(ROW()-ROW($B$2))/16+1),"")</f>
        <v/>
      </c>
    </row>
    <row r="7206" spans="14:14" x14ac:dyDescent="0.3">
      <c r="N7206" t="str" cm="1">
        <f t="array" ref="N7206">IF(MOD(ROW()-ROW($B$2),16)=0,INDEX($M$2:$M$1000,(ROW()-ROW($B$2))/16+1),"")</f>
        <v/>
      </c>
    </row>
    <row r="7207" spans="14:14" x14ac:dyDescent="0.3">
      <c r="N7207" t="str" cm="1">
        <f t="array" ref="N7207">IF(MOD(ROW()-ROW($B$2),16)=0,INDEX($M$2:$M$1000,(ROW()-ROW($B$2))/16+1),"")</f>
        <v/>
      </c>
    </row>
    <row r="7208" spans="14:14" x14ac:dyDescent="0.3">
      <c r="N7208" t="str" cm="1">
        <f t="array" ref="N7208">IF(MOD(ROW()-ROW($B$2),16)=0,INDEX($M$2:$M$1000,(ROW()-ROW($B$2))/16+1),"")</f>
        <v/>
      </c>
    </row>
    <row r="7209" spans="14:14" x14ac:dyDescent="0.3">
      <c r="N7209" t="str" cm="1">
        <f t="array" ref="N7209">IF(MOD(ROW()-ROW($B$2),16)=0,INDEX($M$2:$M$1000,(ROW()-ROW($B$2))/16+1),"")</f>
        <v/>
      </c>
    </row>
    <row r="7210" spans="14:14" x14ac:dyDescent="0.3">
      <c r="N7210" t="str" cm="1">
        <f t="array" ref="N7210">IF(MOD(ROW()-ROW($B$2),16)=0,INDEX($M$2:$M$1000,(ROW()-ROW($B$2))/16+1),"")</f>
        <v/>
      </c>
    </row>
    <row r="7211" spans="14:14" x14ac:dyDescent="0.3">
      <c r="N7211" t="str" cm="1">
        <f t="array" ref="N7211">IF(MOD(ROW()-ROW($B$2),16)=0,INDEX($M$2:$M$1000,(ROW()-ROW($B$2))/16+1),"")</f>
        <v/>
      </c>
    </row>
    <row r="7212" spans="14:14" x14ac:dyDescent="0.3">
      <c r="N7212" t="str" cm="1">
        <f t="array" ref="N7212">IF(MOD(ROW()-ROW($B$2),16)=0,INDEX($M$2:$M$1000,(ROW()-ROW($B$2))/16+1),"")</f>
        <v/>
      </c>
    </row>
    <row r="7213" spans="14:14" x14ac:dyDescent="0.3">
      <c r="N7213" t="str" cm="1">
        <f t="array" ref="N7213">IF(MOD(ROW()-ROW($B$2),16)=0,INDEX($M$2:$M$1000,(ROW()-ROW($B$2))/16+1),"")</f>
        <v/>
      </c>
    </row>
    <row r="7214" spans="14:14" x14ac:dyDescent="0.3">
      <c r="N7214" t="str" cm="1">
        <f t="array" ref="N7214">IF(MOD(ROW()-ROW($B$2),16)=0,INDEX($M$2:$M$1000,(ROW()-ROW($B$2))/16+1),"")</f>
        <v/>
      </c>
    </row>
    <row r="7215" spans="14:14" x14ac:dyDescent="0.3">
      <c r="N7215" t="str" cm="1">
        <f t="array" ref="N7215">IF(MOD(ROW()-ROW($B$2),16)=0,INDEX($M$2:$M$1000,(ROW()-ROW($B$2))/16+1),"")</f>
        <v/>
      </c>
    </row>
    <row r="7216" spans="14:14" x14ac:dyDescent="0.3">
      <c r="N7216" t="str" cm="1">
        <f t="array" ref="N7216">IF(MOD(ROW()-ROW($B$2),16)=0,INDEX($M$2:$M$1000,(ROW()-ROW($B$2))/16+1),"")</f>
        <v/>
      </c>
    </row>
    <row r="7217" spans="14:14" x14ac:dyDescent="0.3">
      <c r="N7217" t="str" cm="1">
        <f t="array" ref="N7217">IF(MOD(ROW()-ROW($B$2),16)=0,INDEX($M$2:$M$1000,(ROW()-ROW($B$2))/16+1),"")</f>
        <v/>
      </c>
    </row>
    <row r="7218" spans="14:14" x14ac:dyDescent="0.3">
      <c r="N7218" t="str" cm="1">
        <f t="array" ref="N7218">IF(MOD(ROW()-ROW($B$2),16)=0,INDEX($M$2:$M$1000,(ROW()-ROW($B$2))/16+1),"")</f>
        <v/>
      </c>
    </row>
    <row r="7219" spans="14:14" x14ac:dyDescent="0.3">
      <c r="N7219" t="str" cm="1">
        <f t="array" ref="N7219">IF(MOD(ROW()-ROW($B$2),16)=0,INDEX($M$2:$M$1000,(ROW()-ROW($B$2))/16+1),"")</f>
        <v/>
      </c>
    </row>
    <row r="7220" spans="14:14" x14ac:dyDescent="0.3">
      <c r="N7220" t="str" cm="1">
        <f t="array" ref="N7220">IF(MOD(ROW()-ROW($B$2),16)=0,INDEX($M$2:$M$1000,(ROW()-ROW($B$2))/16+1),"")</f>
        <v/>
      </c>
    </row>
    <row r="7221" spans="14:14" x14ac:dyDescent="0.3">
      <c r="N7221" t="str" cm="1">
        <f t="array" ref="N7221">IF(MOD(ROW()-ROW($B$2),16)=0,INDEX($M$2:$M$1000,(ROW()-ROW($B$2))/16+1),"")</f>
        <v/>
      </c>
    </row>
    <row r="7222" spans="14:14" x14ac:dyDescent="0.3">
      <c r="N7222" t="str" cm="1">
        <f t="array" ref="N7222">IF(MOD(ROW()-ROW($B$2),16)=0,INDEX($M$2:$M$1000,(ROW()-ROW($B$2))/16+1),"")</f>
        <v/>
      </c>
    </row>
    <row r="7223" spans="14:14" x14ac:dyDescent="0.3">
      <c r="N7223" t="str" cm="1">
        <f t="array" ref="N7223">IF(MOD(ROW()-ROW($B$2),16)=0,INDEX($M$2:$M$1000,(ROW()-ROW($B$2))/16+1),"")</f>
        <v/>
      </c>
    </row>
    <row r="7224" spans="14:14" x14ac:dyDescent="0.3">
      <c r="N7224" t="str" cm="1">
        <f t="array" ref="N7224">IF(MOD(ROW()-ROW($B$2),16)=0,INDEX($M$2:$M$1000,(ROW()-ROW($B$2))/16+1),"")</f>
        <v/>
      </c>
    </row>
    <row r="7225" spans="14:14" x14ac:dyDescent="0.3">
      <c r="N7225" t="str" cm="1">
        <f t="array" ref="N7225">IF(MOD(ROW()-ROW($B$2),16)=0,INDEX($M$2:$M$1000,(ROW()-ROW($B$2))/16+1),"")</f>
        <v/>
      </c>
    </row>
    <row r="7226" spans="14:14" x14ac:dyDescent="0.3">
      <c r="N7226" t="str" cm="1">
        <f t="array" ref="N7226">IF(MOD(ROW()-ROW($B$2),16)=0,INDEX($M$2:$M$1000,(ROW()-ROW($B$2))/16+1),"")</f>
        <v/>
      </c>
    </row>
    <row r="7227" spans="14:14" x14ac:dyDescent="0.3">
      <c r="N7227" t="str" cm="1">
        <f t="array" ref="N7227">IF(MOD(ROW()-ROW($B$2),16)=0,INDEX($M$2:$M$1000,(ROW()-ROW($B$2))/16+1),"")</f>
        <v/>
      </c>
    </row>
    <row r="7228" spans="14:14" x14ac:dyDescent="0.3">
      <c r="N7228" t="str" cm="1">
        <f t="array" ref="N7228">IF(MOD(ROW()-ROW($B$2),16)=0,INDEX($M$2:$M$1000,(ROW()-ROW($B$2))/16+1),"")</f>
        <v/>
      </c>
    </row>
    <row r="7229" spans="14:14" x14ac:dyDescent="0.3">
      <c r="N7229" t="str" cm="1">
        <f t="array" ref="N7229">IF(MOD(ROW()-ROW($B$2),16)=0,INDEX($M$2:$M$1000,(ROW()-ROW($B$2))/16+1),"")</f>
        <v/>
      </c>
    </row>
    <row r="7230" spans="14:14" x14ac:dyDescent="0.3">
      <c r="N7230" t="str" cm="1">
        <f t="array" ref="N7230">IF(MOD(ROW()-ROW($B$2),16)=0,INDEX($M$2:$M$1000,(ROW()-ROW($B$2))/16+1),"")</f>
        <v/>
      </c>
    </row>
    <row r="7231" spans="14:14" x14ac:dyDescent="0.3">
      <c r="N7231" t="str" cm="1">
        <f t="array" ref="N7231">IF(MOD(ROW()-ROW($B$2),16)=0,INDEX($M$2:$M$1000,(ROW()-ROW($B$2))/16+1),"")</f>
        <v/>
      </c>
    </row>
    <row r="7232" spans="14:14" x14ac:dyDescent="0.3">
      <c r="N7232" t="str" cm="1">
        <f t="array" ref="N7232">IF(MOD(ROW()-ROW($B$2),16)=0,INDEX($M$2:$M$1000,(ROW()-ROW($B$2))/16+1),"")</f>
        <v/>
      </c>
    </row>
    <row r="7233" spans="14:14" x14ac:dyDescent="0.3">
      <c r="N7233" t="str" cm="1">
        <f t="array" ref="N7233">IF(MOD(ROW()-ROW($B$2),16)=0,INDEX($M$2:$M$1000,(ROW()-ROW($B$2))/16+1),"")</f>
        <v/>
      </c>
    </row>
    <row r="7234" spans="14:14" x14ac:dyDescent="0.3">
      <c r="N7234" t="str" cm="1">
        <f t="array" ref="N7234">IF(MOD(ROW()-ROW($B$2),16)=0,INDEX($M$2:$M$1000,(ROW()-ROW($B$2))/16+1),"")</f>
        <v/>
      </c>
    </row>
    <row r="7235" spans="14:14" x14ac:dyDescent="0.3">
      <c r="N7235" t="str" cm="1">
        <f t="array" ref="N7235">IF(MOD(ROW()-ROW($B$2),16)=0,INDEX($M$2:$M$1000,(ROW()-ROW($B$2))/16+1),"")</f>
        <v/>
      </c>
    </row>
    <row r="7236" spans="14:14" x14ac:dyDescent="0.3">
      <c r="N7236" t="str" cm="1">
        <f t="array" ref="N7236">IF(MOD(ROW()-ROW($B$2),16)=0,INDEX($M$2:$M$1000,(ROW()-ROW($B$2))/16+1),"")</f>
        <v/>
      </c>
    </row>
    <row r="7237" spans="14:14" x14ac:dyDescent="0.3">
      <c r="N7237" t="str" cm="1">
        <f t="array" ref="N7237">IF(MOD(ROW()-ROW($B$2),16)=0,INDEX($M$2:$M$1000,(ROW()-ROW($B$2))/16+1),"")</f>
        <v/>
      </c>
    </row>
    <row r="7238" spans="14:14" x14ac:dyDescent="0.3">
      <c r="N7238" t="str" cm="1">
        <f t="array" ref="N7238">IF(MOD(ROW()-ROW($B$2),16)=0,INDEX($M$2:$M$1000,(ROW()-ROW($B$2))/16+1),"")</f>
        <v/>
      </c>
    </row>
    <row r="7239" spans="14:14" x14ac:dyDescent="0.3">
      <c r="N7239" t="str" cm="1">
        <f t="array" ref="N7239">IF(MOD(ROW()-ROW($B$2),16)=0,INDEX($M$2:$M$1000,(ROW()-ROW($B$2))/16+1),"")</f>
        <v/>
      </c>
    </row>
    <row r="7240" spans="14:14" x14ac:dyDescent="0.3">
      <c r="N7240" t="str" cm="1">
        <f t="array" ref="N7240">IF(MOD(ROW()-ROW($B$2),16)=0,INDEX($M$2:$M$1000,(ROW()-ROW($B$2))/16+1),"")</f>
        <v/>
      </c>
    </row>
    <row r="7241" spans="14:14" x14ac:dyDescent="0.3">
      <c r="N7241" t="str" cm="1">
        <f t="array" ref="N7241">IF(MOD(ROW()-ROW($B$2),16)=0,INDEX($M$2:$M$1000,(ROW()-ROW($B$2))/16+1),"")</f>
        <v/>
      </c>
    </row>
    <row r="7242" spans="14:14" x14ac:dyDescent="0.3">
      <c r="N7242" t="str" cm="1">
        <f t="array" ref="N7242">IF(MOD(ROW()-ROW($B$2),16)=0,INDEX($M$2:$M$1000,(ROW()-ROW($B$2))/16+1),"")</f>
        <v/>
      </c>
    </row>
    <row r="7243" spans="14:14" x14ac:dyDescent="0.3">
      <c r="N7243" t="str" cm="1">
        <f t="array" ref="N7243">IF(MOD(ROW()-ROW($B$2),16)=0,INDEX($M$2:$M$1000,(ROW()-ROW($B$2))/16+1),"")</f>
        <v/>
      </c>
    </row>
    <row r="7244" spans="14:14" x14ac:dyDescent="0.3">
      <c r="N7244" t="str" cm="1">
        <f t="array" ref="N7244">IF(MOD(ROW()-ROW($B$2),16)=0,INDEX($M$2:$M$1000,(ROW()-ROW($B$2))/16+1),"")</f>
        <v/>
      </c>
    </row>
    <row r="7245" spans="14:14" x14ac:dyDescent="0.3">
      <c r="N7245" t="str" cm="1">
        <f t="array" ref="N7245">IF(MOD(ROW()-ROW($B$2),16)=0,INDEX($M$2:$M$1000,(ROW()-ROW($B$2))/16+1),"")</f>
        <v/>
      </c>
    </row>
    <row r="7246" spans="14:14" x14ac:dyDescent="0.3">
      <c r="N7246" t="str" cm="1">
        <f t="array" ref="N7246">IF(MOD(ROW()-ROW($B$2),16)=0,INDEX($M$2:$M$1000,(ROW()-ROW($B$2))/16+1),"")</f>
        <v/>
      </c>
    </row>
    <row r="7247" spans="14:14" x14ac:dyDescent="0.3">
      <c r="N7247" t="str" cm="1">
        <f t="array" ref="N7247">IF(MOD(ROW()-ROW($B$2),16)=0,INDEX($M$2:$M$1000,(ROW()-ROW($B$2))/16+1),"")</f>
        <v/>
      </c>
    </row>
    <row r="7248" spans="14:14" x14ac:dyDescent="0.3">
      <c r="N7248" t="str" cm="1">
        <f t="array" ref="N7248">IF(MOD(ROW()-ROW($B$2),16)=0,INDEX($M$2:$M$1000,(ROW()-ROW($B$2))/16+1),"")</f>
        <v/>
      </c>
    </row>
    <row r="7249" spans="14:14" x14ac:dyDescent="0.3">
      <c r="N7249" t="str" cm="1">
        <f t="array" ref="N7249">IF(MOD(ROW()-ROW($B$2),16)=0,INDEX($M$2:$M$1000,(ROW()-ROW($B$2))/16+1),"")</f>
        <v/>
      </c>
    </row>
    <row r="7250" spans="14:14" x14ac:dyDescent="0.3">
      <c r="N7250" t="str" cm="1">
        <f t="array" ref="N7250">IF(MOD(ROW()-ROW($B$2),16)=0,INDEX($M$2:$M$1000,(ROW()-ROW($B$2))/16+1),"")</f>
        <v/>
      </c>
    </row>
    <row r="7251" spans="14:14" x14ac:dyDescent="0.3">
      <c r="N7251" t="str" cm="1">
        <f t="array" ref="N7251">IF(MOD(ROW()-ROW($B$2),16)=0,INDEX($M$2:$M$1000,(ROW()-ROW($B$2))/16+1),"")</f>
        <v/>
      </c>
    </row>
    <row r="7252" spans="14:14" x14ac:dyDescent="0.3">
      <c r="N7252" t="str" cm="1">
        <f t="array" ref="N7252">IF(MOD(ROW()-ROW($B$2),16)=0,INDEX($M$2:$M$1000,(ROW()-ROW($B$2))/16+1),"")</f>
        <v/>
      </c>
    </row>
    <row r="7253" spans="14:14" x14ac:dyDescent="0.3">
      <c r="N7253" t="str" cm="1">
        <f t="array" ref="N7253">IF(MOD(ROW()-ROW($B$2),16)=0,INDEX($M$2:$M$1000,(ROW()-ROW($B$2))/16+1),"")</f>
        <v/>
      </c>
    </row>
    <row r="7254" spans="14:14" x14ac:dyDescent="0.3">
      <c r="N7254" t="str" cm="1">
        <f t="array" ref="N7254">IF(MOD(ROW()-ROW($B$2),16)=0,INDEX($M$2:$M$1000,(ROW()-ROW($B$2))/16+1),"")</f>
        <v/>
      </c>
    </row>
    <row r="7255" spans="14:14" x14ac:dyDescent="0.3">
      <c r="N7255" t="str" cm="1">
        <f t="array" ref="N7255">IF(MOD(ROW()-ROW($B$2),16)=0,INDEX($M$2:$M$1000,(ROW()-ROW($B$2))/16+1),"")</f>
        <v/>
      </c>
    </row>
    <row r="7256" spans="14:14" x14ac:dyDescent="0.3">
      <c r="N7256" t="str" cm="1">
        <f t="array" ref="N7256">IF(MOD(ROW()-ROW($B$2),16)=0,INDEX($M$2:$M$1000,(ROW()-ROW($B$2))/16+1),"")</f>
        <v/>
      </c>
    </row>
    <row r="7257" spans="14:14" x14ac:dyDescent="0.3">
      <c r="N7257" t="str" cm="1">
        <f t="array" ref="N7257">IF(MOD(ROW()-ROW($B$2),16)=0,INDEX($M$2:$M$1000,(ROW()-ROW($B$2))/16+1),"")</f>
        <v/>
      </c>
    </row>
    <row r="7258" spans="14:14" x14ac:dyDescent="0.3">
      <c r="N7258" t="str" cm="1">
        <f t="array" ref="N7258">IF(MOD(ROW()-ROW($B$2),16)=0,INDEX($M$2:$M$1000,(ROW()-ROW($B$2))/16+1),"")</f>
        <v/>
      </c>
    </row>
    <row r="7259" spans="14:14" x14ac:dyDescent="0.3">
      <c r="N7259" t="str" cm="1">
        <f t="array" ref="N7259">IF(MOD(ROW()-ROW($B$2),16)=0,INDEX($M$2:$M$1000,(ROW()-ROW($B$2))/16+1),"")</f>
        <v/>
      </c>
    </row>
    <row r="7260" spans="14:14" x14ac:dyDescent="0.3">
      <c r="N7260" t="str" cm="1">
        <f t="array" ref="N7260">IF(MOD(ROW()-ROW($B$2),16)=0,INDEX($M$2:$M$1000,(ROW()-ROW($B$2))/16+1),"")</f>
        <v/>
      </c>
    </row>
    <row r="7261" spans="14:14" x14ac:dyDescent="0.3">
      <c r="N7261" t="str" cm="1">
        <f t="array" ref="N7261">IF(MOD(ROW()-ROW($B$2),16)=0,INDEX($M$2:$M$1000,(ROW()-ROW($B$2))/16+1),"")</f>
        <v/>
      </c>
    </row>
    <row r="7262" spans="14:14" x14ac:dyDescent="0.3">
      <c r="N7262" t="str" cm="1">
        <f t="array" ref="N7262">IF(MOD(ROW()-ROW($B$2),16)=0,INDEX($M$2:$M$1000,(ROW()-ROW($B$2))/16+1),"")</f>
        <v/>
      </c>
    </row>
    <row r="7263" spans="14:14" x14ac:dyDescent="0.3">
      <c r="N7263" t="str" cm="1">
        <f t="array" ref="N7263">IF(MOD(ROW()-ROW($B$2),16)=0,INDEX($M$2:$M$1000,(ROW()-ROW($B$2))/16+1),"")</f>
        <v/>
      </c>
    </row>
    <row r="7264" spans="14:14" x14ac:dyDescent="0.3">
      <c r="N7264" t="str" cm="1">
        <f t="array" ref="N7264">IF(MOD(ROW()-ROW($B$2),16)=0,INDEX($M$2:$M$1000,(ROW()-ROW($B$2))/16+1),"")</f>
        <v/>
      </c>
    </row>
    <row r="7265" spans="14:14" x14ac:dyDescent="0.3">
      <c r="N7265" t="str" cm="1">
        <f t="array" ref="N7265">IF(MOD(ROW()-ROW($B$2),16)=0,INDEX($M$2:$M$1000,(ROW()-ROW($B$2))/16+1),"")</f>
        <v/>
      </c>
    </row>
    <row r="7266" spans="14:14" x14ac:dyDescent="0.3">
      <c r="N7266" t="str" cm="1">
        <f t="array" ref="N7266">IF(MOD(ROW()-ROW($B$2),16)=0,INDEX($M$2:$M$1000,(ROW()-ROW($B$2))/16+1),"")</f>
        <v/>
      </c>
    </row>
    <row r="7267" spans="14:14" x14ac:dyDescent="0.3">
      <c r="N7267" t="str" cm="1">
        <f t="array" ref="N7267">IF(MOD(ROW()-ROW($B$2),16)=0,INDEX($M$2:$M$1000,(ROW()-ROW($B$2))/16+1),"")</f>
        <v/>
      </c>
    </row>
    <row r="7268" spans="14:14" x14ac:dyDescent="0.3">
      <c r="N7268" t="str" cm="1">
        <f t="array" ref="N7268">IF(MOD(ROW()-ROW($B$2),16)=0,INDEX($M$2:$M$1000,(ROW()-ROW($B$2))/16+1),"")</f>
        <v/>
      </c>
    </row>
    <row r="7269" spans="14:14" x14ac:dyDescent="0.3">
      <c r="N7269" t="str" cm="1">
        <f t="array" ref="N7269">IF(MOD(ROW()-ROW($B$2),16)=0,INDEX($M$2:$M$1000,(ROW()-ROW($B$2))/16+1),"")</f>
        <v/>
      </c>
    </row>
    <row r="7270" spans="14:14" x14ac:dyDescent="0.3">
      <c r="N7270" t="str" cm="1">
        <f t="array" ref="N7270">IF(MOD(ROW()-ROW($B$2),16)=0,INDEX($M$2:$M$1000,(ROW()-ROW($B$2))/16+1),"")</f>
        <v/>
      </c>
    </row>
    <row r="7271" spans="14:14" x14ac:dyDescent="0.3">
      <c r="N7271" t="str" cm="1">
        <f t="array" ref="N7271">IF(MOD(ROW()-ROW($B$2),16)=0,INDEX($M$2:$M$1000,(ROW()-ROW($B$2))/16+1),"")</f>
        <v/>
      </c>
    </row>
    <row r="7272" spans="14:14" x14ac:dyDescent="0.3">
      <c r="N7272" t="str" cm="1">
        <f t="array" ref="N7272">IF(MOD(ROW()-ROW($B$2),16)=0,INDEX($M$2:$M$1000,(ROW()-ROW($B$2))/16+1),"")</f>
        <v/>
      </c>
    </row>
    <row r="7273" spans="14:14" x14ac:dyDescent="0.3">
      <c r="N7273" t="str" cm="1">
        <f t="array" ref="N7273">IF(MOD(ROW()-ROW($B$2),16)=0,INDEX($M$2:$M$1000,(ROW()-ROW($B$2))/16+1),"")</f>
        <v/>
      </c>
    </row>
    <row r="7274" spans="14:14" x14ac:dyDescent="0.3">
      <c r="N7274" t="str" cm="1">
        <f t="array" ref="N7274">IF(MOD(ROW()-ROW($B$2),16)=0,INDEX($M$2:$M$1000,(ROW()-ROW($B$2))/16+1),"")</f>
        <v/>
      </c>
    </row>
    <row r="7275" spans="14:14" x14ac:dyDescent="0.3">
      <c r="N7275" t="str" cm="1">
        <f t="array" ref="N7275">IF(MOD(ROW()-ROW($B$2),16)=0,INDEX($M$2:$M$1000,(ROW()-ROW($B$2))/16+1),"")</f>
        <v/>
      </c>
    </row>
    <row r="7276" spans="14:14" x14ac:dyDescent="0.3">
      <c r="N7276" t="str" cm="1">
        <f t="array" ref="N7276">IF(MOD(ROW()-ROW($B$2),16)=0,INDEX($M$2:$M$1000,(ROW()-ROW($B$2))/16+1),"")</f>
        <v/>
      </c>
    </row>
    <row r="7277" spans="14:14" x14ac:dyDescent="0.3">
      <c r="N7277" t="str" cm="1">
        <f t="array" ref="N7277">IF(MOD(ROW()-ROW($B$2),16)=0,INDEX($M$2:$M$1000,(ROW()-ROW($B$2))/16+1),"")</f>
        <v/>
      </c>
    </row>
    <row r="7278" spans="14:14" x14ac:dyDescent="0.3">
      <c r="N7278" t="str" cm="1">
        <f t="array" ref="N7278">IF(MOD(ROW()-ROW($B$2),16)=0,INDEX($M$2:$M$1000,(ROW()-ROW($B$2))/16+1),"")</f>
        <v/>
      </c>
    </row>
    <row r="7279" spans="14:14" x14ac:dyDescent="0.3">
      <c r="N7279" t="str" cm="1">
        <f t="array" ref="N7279">IF(MOD(ROW()-ROW($B$2),16)=0,INDEX($M$2:$M$1000,(ROW()-ROW($B$2))/16+1),"")</f>
        <v/>
      </c>
    </row>
    <row r="7280" spans="14:14" x14ac:dyDescent="0.3">
      <c r="N7280" t="str" cm="1">
        <f t="array" ref="N7280">IF(MOD(ROW()-ROW($B$2),16)=0,INDEX($M$2:$M$1000,(ROW()-ROW($B$2))/16+1),"")</f>
        <v/>
      </c>
    </row>
    <row r="7281" spans="14:14" x14ac:dyDescent="0.3">
      <c r="N7281" t="str" cm="1">
        <f t="array" ref="N7281">IF(MOD(ROW()-ROW($B$2),16)=0,INDEX($M$2:$M$1000,(ROW()-ROW($B$2))/16+1),"")</f>
        <v/>
      </c>
    </row>
    <row r="7282" spans="14:14" x14ac:dyDescent="0.3">
      <c r="N7282" t="str" cm="1">
        <f t="array" ref="N7282">IF(MOD(ROW()-ROW($B$2),16)=0,INDEX($M$2:$M$1000,(ROW()-ROW($B$2))/16+1),"")</f>
        <v/>
      </c>
    </row>
    <row r="7283" spans="14:14" x14ac:dyDescent="0.3">
      <c r="N7283" t="str" cm="1">
        <f t="array" ref="N7283">IF(MOD(ROW()-ROW($B$2),16)=0,INDEX($M$2:$M$1000,(ROW()-ROW($B$2))/16+1),"")</f>
        <v/>
      </c>
    </row>
    <row r="7284" spans="14:14" x14ac:dyDescent="0.3">
      <c r="N7284" t="str" cm="1">
        <f t="array" ref="N7284">IF(MOD(ROW()-ROW($B$2),16)=0,INDEX($M$2:$M$1000,(ROW()-ROW($B$2))/16+1),"")</f>
        <v/>
      </c>
    </row>
    <row r="7285" spans="14:14" x14ac:dyDescent="0.3">
      <c r="N7285" t="str" cm="1">
        <f t="array" ref="N7285">IF(MOD(ROW()-ROW($B$2),16)=0,INDEX($M$2:$M$1000,(ROW()-ROW($B$2))/16+1),"")</f>
        <v/>
      </c>
    </row>
    <row r="7286" spans="14:14" x14ac:dyDescent="0.3">
      <c r="N7286" t="str" cm="1">
        <f t="array" ref="N7286">IF(MOD(ROW()-ROW($B$2),16)=0,INDEX($M$2:$M$1000,(ROW()-ROW($B$2))/16+1),"")</f>
        <v/>
      </c>
    </row>
    <row r="7287" spans="14:14" x14ac:dyDescent="0.3">
      <c r="N7287" t="str" cm="1">
        <f t="array" ref="N7287">IF(MOD(ROW()-ROW($B$2),16)=0,INDEX($M$2:$M$1000,(ROW()-ROW($B$2))/16+1),"")</f>
        <v/>
      </c>
    </row>
    <row r="7288" spans="14:14" x14ac:dyDescent="0.3">
      <c r="N7288" t="str" cm="1">
        <f t="array" ref="N7288">IF(MOD(ROW()-ROW($B$2),16)=0,INDEX($M$2:$M$1000,(ROW()-ROW($B$2))/16+1),"")</f>
        <v/>
      </c>
    </row>
    <row r="7289" spans="14:14" x14ac:dyDescent="0.3">
      <c r="N7289" t="str" cm="1">
        <f t="array" ref="N7289">IF(MOD(ROW()-ROW($B$2),16)=0,INDEX($M$2:$M$1000,(ROW()-ROW($B$2))/16+1),"")</f>
        <v/>
      </c>
    </row>
    <row r="7290" spans="14:14" x14ac:dyDescent="0.3">
      <c r="N7290" t="str" cm="1">
        <f t="array" ref="N7290">IF(MOD(ROW()-ROW($B$2),16)=0,INDEX($M$2:$M$1000,(ROW()-ROW($B$2))/16+1),"")</f>
        <v/>
      </c>
    </row>
    <row r="7291" spans="14:14" x14ac:dyDescent="0.3">
      <c r="N7291" t="str" cm="1">
        <f t="array" ref="N7291">IF(MOD(ROW()-ROW($B$2),16)=0,INDEX($M$2:$M$1000,(ROW()-ROW($B$2))/16+1),"")</f>
        <v/>
      </c>
    </row>
    <row r="7292" spans="14:14" x14ac:dyDescent="0.3">
      <c r="N7292" t="str" cm="1">
        <f t="array" ref="N7292">IF(MOD(ROW()-ROW($B$2),16)=0,INDEX($M$2:$M$1000,(ROW()-ROW($B$2))/16+1),"")</f>
        <v/>
      </c>
    </row>
    <row r="7293" spans="14:14" x14ac:dyDescent="0.3">
      <c r="N7293" t="str" cm="1">
        <f t="array" ref="N7293">IF(MOD(ROW()-ROW($B$2),16)=0,INDEX($M$2:$M$1000,(ROW()-ROW($B$2))/16+1),"")</f>
        <v/>
      </c>
    </row>
    <row r="7294" spans="14:14" x14ac:dyDescent="0.3">
      <c r="N7294" t="str" cm="1">
        <f t="array" ref="N7294">IF(MOD(ROW()-ROW($B$2),16)=0,INDEX($M$2:$M$1000,(ROW()-ROW($B$2))/16+1),"")</f>
        <v/>
      </c>
    </row>
    <row r="7295" spans="14:14" x14ac:dyDescent="0.3">
      <c r="N7295" t="str" cm="1">
        <f t="array" ref="N7295">IF(MOD(ROW()-ROW($B$2),16)=0,INDEX($M$2:$M$1000,(ROW()-ROW($B$2))/16+1),"")</f>
        <v/>
      </c>
    </row>
    <row r="7296" spans="14:14" x14ac:dyDescent="0.3">
      <c r="N7296" t="str" cm="1">
        <f t="array" ref="N7296">IF(MOD(ROW()-ROW($B$2),16)=0,INDEX($M$2:$M$1000,(ROW()-ROW($B$2))/16+1),"")</f>
        <v/>
      </c>
    </row>
    <row r="7297" spans="14:14" x14ac:dyDescent="0.3">
      <c r="N7297" t="str" cm="1">
        <f t="array" ref="N7297">IF(MOD(ROW()-ROW($B$2),16)=0,INDEX($M$2:$M$1000,(ROW()-ROW($B$2))/16+1),"")</f>
        <v/>
      </c>
    </row>
    <row r="7298" spans="14:14" x14ac:dyDescent="0.3">
      <c r="N7298" t="str" cm="1">
        <f t="array" ref="N7298">IF(MOD(ROW()-ROW($B$2),16)=0,INDEX($M$2:$M$1000,(ROW()-ROW($B$2))/16+1),"")</f>
        <v/>
      </c>
    </row>
    <row r="7299" spans="14:14" x14ac:dyDescent="0.3">
      <c r="N7299" t="str" cm="1">
        <f t="array" ref="N7299">IF(MOD(ROW()-ROW($B$2),16)=0,INDEX($M$2:$M$1000,(ROW()-ROW($B$2))/16+1),"")</f>
        <v/>
      </c>
    </row>
    <row r="7300" spans="14:14" x14ac:dyDescent="0.3">
      <c r="N7300" t="str" cm="1">
        <f t="array" ref="N7300">IF(MOD(ROW()-ROW($B$2),16)=0,INDEX($M$2:$M$1000,(ROW()-ROW($B$2))/16+1),"")</f>
        <v/>
      </c>
    </row>
    <row r="7301" spans="14:14" x14ac:dyDescent="0.3">
      <c r="N7301" t="str" cm="1">
        <f t="array" ref="N7301">IF(MOD(ROW()-ROW($B$2),16)=0,INDEX($M$2:$M$1000,(ROW()-ROW($B$2))/16+1),"")</f>
        <v/>
      </c>
    </row>
    <row r="7302" spans="14:14" x14ac:dyDescent="0.3">
      <c r="N7302" t="str" cm="1">
        <f t="array" ref="N7302">IF(MOD(ROW()-ROW($B$2),16)=0,INDEX($M$2:$M$1000,(ROW()-ROW($B$2))/16+1),"")</f>
        <v/>
      </c>
    </row>
    <row r="7303" spans="14:14" x14ac:dyDescent="0.3">
      <c r="N7303" t="str" cm="1">
        <f t="array" ref="N7303">IF(MOD(ROW()-ROW($B$2),16)=0,INDEX($M$2:$M$1000,(ROW()-ROW($B$2))/16+1),"")</f>
        <v/>
      </c>
    </row>
    <row r="7304" spans="14:14" x14ac:dyDescent="0.3">
      <c r="N7304" t="str" cm="1">
        <f t="array" ref="N7304">IF(MOD(ROW()-ROW($B$2),16)=0,INDEX($M$2:$M$1000,(ROW()-ROW($B$2))/16+1),"")</f>
        <v/>
      </c>
    </row>
    <row r="7305" spans="14:14" x14ac:dyDescent="0.3">
      <c r="N7305" t="str" cm="1">
        <f t="array" ref="N7305">IF(MOD(ROW()-ROW($B$2),16)=0,INDEX($M$2:$M$1000,(ROW()-ROW($B$2))/16+1),"")</f>
        <v/>
      </c>
    </row>
    <row r="7306" spans="14:14" x14ac:dyDescent="0.3">
      <c r="N7306" t="str" cm="1">
        <f t="array" ref="N7306">IF(MOD(ROW()-ROW($B$2),16)=0,INDEX($M$2:$M$1000,(ROW()-ROW($B$2))/16+1),"")</f>
        <v/>
      </c>
    </row>
    <row r="7307" spans="14:14" x14ac:dyDescent="0.3">
      <c r="N7307" t="str" cm="1">
        <f t="array" ref="N7307">IF(MOD(ROW()-ROW($B$2),16)=0,INDEX($M$2:$M$1000,(ROW()-ROW($B$2))/16+1),"")</f>
        <v/>
      </c>
    </row>
    <row r="7308" spans="14:14" x14ac:dyDescent="0.3">
      <c r="N7308" t="str" cm="1">
        <f t="array" ref="N7308">IF(MOD(ROW()-ROW($B$2),16)=0,INDEX($M$2:$M$1000,(ROW()-ROW($B$2))/16+1),"")</f>
        <v/>
      </c>
    </row>
    <row r="7309" spans="14:14" x14ac:dyDescent="0.3">
      <c r="N7309" t="str" cm="1">
        <f t="array" ref="N7309">IF(MOD(ROW()-ROW($B$2),16)=0,INDEX($M$2:$M$1000,(ROW()-ROW($B$2))/16+1),"")</f>
        <v/>
      </c>
    </row>
    <row r="7310" spans="14:14" x14ac:dyDescent="0.3">
      <c r="N7310" t="str" cm="1">
        <f t="array" ref="N7310">IF(MOD(ROW()-ROW($B$2),16)=0,INDEX($M$2:$M$1000,(ROW()-ROW($B$2))/16+1),"")</f>
        <v/>
      </c>
    </row>
    <row r="7311" spans="14:14" x14ac:dyDescent="0.3">
      <c r="N7311" t="str" cm="1">
        <f t="array" ref="N7311">IF(MOD(ROW()-ROW($B$2),16)=0,INDEX($M$2:$M$1000,(ROW()-ROW($B$2))/16+1),"")</f>
        <v/>
      </c>
    </row>
    <row r="7312" spans="14:14" x14ac:dyDescent="0.3">
      <c r="N7312" t="str" cm="1">
        <f t="array" ref="N7312">IF(MOD(ROW()-ROW($B$2),16)=0,INDEX($M$2:$M$1000,(ROW()-ROW($B$2))/16+1),"")</f>
        <v/>
      </c>
    </row>
    <row r="7313" spans="14:14" x14ac:dyDescent="0.3">
      <c r="N7313" t="str" cm="1">
        <f t="array" ref="N7313">IF(MOD(ROW()-ROW($B$2),16)=0,INDEX($M$2:$M$1000,(ROW()-ROW($B$2))/16+1),"")</f>
        <v/>
      </c>
    </row>
    <row r="7314" spans="14:14" x14ac:dyDescent="0.3">
      <c r="N7314" t="str" cm="1">
        <f t="array" ref="N7314">IF(MOD(ROW()-ROW($B$2),16)=0,INDEX($M$2:$M$1000,(ROW()-ROW($B$2))/16+1),"")</f>
        <v/>
      </c>
    </row>
    <row r="7315" spans="14:14" x14ac:dyDescent="0.3">
      <c r="N7315" t="str" cm="1">
        <f t="array" ref="N7315">IF(MOD(ROW()-ROW($B$2),16)=0,INDEX($M$2:$M$1000,(ROW()-ROW($B$2))/16+1),"")</f>
        <v/>
      </c>
    </row>
    <row r="7316" spans="14:14" x14ac:dyDescent="0.3">
      <c r="N7316" t="str" cm="1">
        <f t="array" ref="N7316">IF(MOD(ROW()-ROW($B$2),16)=0,INDEX($M$2:$M$1000,(ROW()-ROW($B$2))/16+1),"")</f>
        <v/>
      </c>
    </row>
    <row r="7317" spans="14:14" x14ac:dyDescent="0.3">
      <c r="N7317" t="str" cm="1">
        <f t="array" ref="N7317">IF(MOD(ROW()-ROW($B$2),16)=0,INDEX($M$2:$M$1000,(ROW()-ROW($B$2))/16+1),"")</f>
        <v/>
      </c>
    </row>
    <row r="7318" spans="14:14" x14ac:dyDescent="0.3">
      <c r="N7318" t="str" cm="1">
        <f t="array" ref="N7318">IF(MOD(ROW()-ROW($B$2),16)=0,INDEX($M$2:$M$1000,(ROW()-ROW($B$2))/16+1),"")</f>
        <v/>
      </c>
    </row>
    <row r="7319" spans="14:14" x14ac:dyDescent="0.3">
      <c r="N7319" t="str" cm="1">
        <f t="array" ref="N7319">IF(MOD(ROW()-ROW($B$2),16)=0,INDEX($M$2:$M$1000,(ROW()-ROW($B$2))/16+1),"")</f>
        <v/>
      </c>
    </row>
    <row r="7320" spans="14:14" x14ac:dyDescent="0.3">
      <c r="N7320" t="str" cm="1">
        <f t="array" ref="N7320">IF(MOD(ROW()-ROW($B$2),16)=0,INDEX($M$2:$M$1000,(ROW()-ROW($B$2))/16+1),"")</f>
        <v/>
      </c>
    </row>
    <row r="7321" spans="14:14" x14ac:dyDescent="0.3">
      <c r="N7321" t="str" cm="1">
        <f t="array" ref="N7321">IF(MOD(ROW()-ROW($B$2),16)=0,INDEX($M$2:$M$1000,(ROW()-ROW($B$2))/16+1),"")</f>
        <v/>
      </c>
    </row>
    <row r="7322" spans="14:14" x14ac:dyDescent="0.3">
      <c r="N7322" t="str" cm="1">
        <f t="array" ref="N7322">IF(MOD(ROW()-ROW($B$2),16)=0,INDEX($M$2:$M$1000,(ROW()-ROW($B$2))/16+1),"")</f>
        <v/>
      </c>
    </row>
    <row r="7323" spans="14:14" x14ac:dyDescent="0.3">
      <c r="N7323" t="str" cm="1">
        <f t="array" ref="N7323">IF(MOD(ROW()-ROW($B$2),16)=0,INDEX($M$2:$M$1000,(ROW()-ROW($B$2))/16+1),"")</f>
        <v/>
      </c>
    </row>
    <row r="7324" spans="14:14" x14ac:dyDescent="0.3">
      <c r="N7324" t="str" cm="1">
        <f t="array" ref="N7324">IF(MOD(ROW()-ROW($B$2),16)=0,INDEX($M$2:$M$1000,(ROW()-ROW($B$2))/16+1),"")</f>
        <v/>
      </c>
    </row>
    <row r="7325" spans="14:14" x14ac:dyDescent="0.3">
      <c r="N7325" t="str" cm="1">
        <f t="array" ref="N7325">IF(MOD(ROW()-ROW($B$2),16)=0,INDEX($M$2:$M$1000,(ROW()-ROW($B$2))/16+1),"")</f>
        <v/>
      </c>
    </row>
    <row r="7326" spans="14:14" x14ac:dyDescent="0.3">
      <c r="N7326" t="str" cm="1">
        <f t="array" ref="N7326">IF(MOD(ROW()-ROW($B$2),16)=0,INDEX($M$2:$M$1000,(ROW()-ROW($B$2))/16+1),"")</f>
        <v/>
      </c>
    </row>
    <row r="7327" spans="14:14" x14ac:dyDescent="0.3">
      <c r="N7327" t="str" cm="1">
        <f t="array" ref="N7327">IF(MOD(ROW()-ROW($B$2),16)=0,INDEX($M$2:$M$1000,(ROW()-ROW($B$2))/16+1),"")</f>
        <v/>
      </c>
    </row>
    <row r="7328" spans="14:14" x14ac:dyDescent="0.3">
      <c r="N7328" t="str" cm="1">
        <f t="array" ref="N7328">IF(MOD(ROW()-ROW($B$2),16)=0,INDEX($M$2:$M$1000,(ROW()-ROW($B$2))/16+1),"")</f>
        <v/>
      </c>
    </row>
    <row r="7329" spans="14:14" x14ac:dyDescent="0.3">
      <c r="N7329" t="str" cm="1">
        <f t="array" ref="N7329">IF(MOD(ROW()-ROW($B$2),16)=0,INDEX($M$2:$M$1000,(ROW()-ROW($B$2))/16+1),"")</f>
        <v/>
      </c>
    </row>
    <row r="7330" spans="14:14" x14ac:dyDescent="0.3">
      <c r="N7330" t="str" cm="1">
        <f t="array" ref="N7330">IF(MOD(ROW()-ROW($B$2),16)=0,INDEX($M$2:$M$1000,(ROW()-ROW($B$2))/16+1),"")</f>
        <v/>
      </c>
    </row>
    <row r="7331" spans="14:14" x14ac:dyDescent="0.3">
      <c r="N7331" t="str" cm="1">
        <f t="array" ref="N7331">IF(MOD(ROW()-ROW($B$2),16)=0,INDEX($M$2:$M$1000,(ROW()-ROW($B$2))/16+1),"")</f>
        <v/>
      </c>
    </row>
    <row r="7332" spans="14:14" x14ac:dyDescent="0.3">
      <c r="N7332" t="str" cm="1">
        <f t="array" ref="N7332">IF(MOD(ROW()-ROW($B$2),16)=0,INDEX($M$2:$M$1000,(ROW()-ROW($B$2))/16+1),"")</f>
        <v/>
      </c>
    </row>
    <row r="7333" spans="14:14" x14ac:dyDescent="0.3">
      <c r="N7333" t="str" cm="1">
        <f t="array" ref="N7333">IF(MOD(ROW()-ROW($B$2),16)=0,INDEX($M$2:$M$1000,(ROW()-ROW($B$2))/16+1),"")</f>
        <v/>
      </c>
    </row>
    <row r="7334" spans="14:14" x14ac:dyDescent="0.3">
      <c r="N7334" t="str" cm="1">
        <f t="array" ref="N7334">IF(MOD(ROW()-ROW($B$2),16)=0,INDEX($M$2:$M$1000,(ROW()-ROW($B$2))/16+1),"")</f>
        <v/>
      </c>
    </row>
    <row r="7335" spans="14:14" x14ac:dyDescent="0.3">
      <c r="N7335" t="str" cm="1">
        <f t="array" ref="N7335">IF(MOD(ROW()-ROW($B$2),16)=0,INDEX($M$2:$M$1000,(ROW()-ROW($B$2))/16+1),"")</f>
        <v/>
      </c>
    </row>
    <row r="7336" spans="14:14" x14ac:dyDescent="0.3">
      <c r="N7336" t="str" cm="1">
        <f t="array" ref="N7336">IF(MOD(ROW()-ROW($B$2),16)=0,INDEX($M$2:$M$1000,(ROW()-ROW($B$2))/16+1),"")</f>
        <v/>
      </c>
    </row>
    <row r="7337" spans="14:14" x14ac:dyDescent="0.3">
      <c r="N7337" t="str" cm="1">
        <f t="array" ref="N7337">IF(MOD(ROW()-ROW($B$2),16)=0,INDEX($M$2:$M$1000,(ROW()-ROW($B$2))/16+1),"")</f>
        <v/>
      </c>
    </row>
    <row r="7338" spans="14:14" x14ac:dyDescent="0.3">
      <c r="N7338" t="str" cm="1">
        <f t="array" ref="N7338">IF(MOD(ROW()-ROW($B$2),16)=0,INDEX($M$2:$M$1000,(ROW()-ROW($B$2))/16+1),"")</f>
        <v/>
      </c>
    </row>
    <row r="7339" spans="14:14" x14ac:dyDescent="0.3">
      <c r="N7339" t="str" cm="1">
        <f t="array" ref="N7339">IF(MOD(ROW()-ROW($B$2),16)=0,INDEX($M$2:$M$1000,(ROW()-ROW($B$2))/16+1),"")</f>
        <v/>
      </c>
    </row>
    <row r="7340" spans="14:14" x14ac:dyDescent="0.3">
      <c r="N7340" t="str" cm="1">
        <f t="array" ref="N7340">IF(MOD(ROW()-ROW($B$2),16)=0,INDEX($M$2:$M$1000,(ROW()-ROW($B$2))/16+1),"")</f>
        <v/>
      </c>
    </row>
    <row r="7341" spans="14:14" x14ac:dyDescent="0.3">
      <c r="N7341" t="str" cm="1">
        <f t="array" ref="N7341">IF(MOD(ROW()-ROW($B$2),16)=0,INDEX($M$2:$M$1000,(ROW()-ROW($B$2))/16+1),"")</f>
        <v/>
      </c>
    </row>
    <row r="7342" spans="14:14" x14ac:dyDescent="0.3">
      <c r="N7342" t="str" cm="1">
        <f t="array" ref="N7342">IF(MOD(ROW()-ROW($B$2),16)=0,INDEX($M$2:$M$1000,(ROW()-ROW($B$2))/16+1),"")</f>
        <v/>
      </c>
    </row>
    <row r="7343" spans="14:14" x14ac:dyDescent="0.3">
      <c r="N7343" t="str" cm="1">
        <f t="array" ref="N7343">IF(MOD(ROW()-ROW($B$2),16)=0,INDEX($M$2:$M$1000,(ROW()-ROW($B$2))/16+1),"")</f>
        <v/>
      </c>
    </row>
    <row r="7344" spans="14:14" x14ac:dyDescent="0.3">
      <c r="N7344" t="str" cm="1">
        <f t="array" ref="N7344">IF(MOD(ROW()-ROW($B$2),16)=0,INDEX($M$2:$M$1000,(ROW()-ROW($B$2))/16+1),"")</f>
        <v/>
      </c>
    </row>
    <row r="7345" spans="14:14" x14ac:dyDescent="0.3">
      <c r="N7345" t="str" cm="1">
        <f t="array" ref="N7345">IF(MOD(ROW()-ROW($B$2),16)=0,INDEX($M$2:$M$1000,(ROW()-ROW($B$2))/16+1),"")</f>
        <v/>
      </c>
    </row>
    <row r="7346" spans="14:14" x14ac:dyDescent="0.3">
      <c r="N7346" t="str" cm="1">
        <f t="array" ref="N7346">IF(MOD(ROW()-ROW($B$2),16)=0,INDEX($M$2:$M$1000,(ROW()-ROW($B$2))/16+1),"")</f>
        <v/>
      </c>
    </row>
    <row r="7347" spans="14:14" x14ac:dyDescent="0.3">
      <c r="N7347" t="str" cm="1">
        <f t="array" ref="N7347">IF(MOD(ROW()-ROW($B$2),16)=0,INDEX($M$2:$M$1000,(ROW()-ROW($B$2))/16+1),"")</f>
        <v/>
      </c>
    </row>
    <row r="7348" spans="14:14" x14ac:dyDescent="0.3">
      <c r="N7348" t="str" cm="1">
        <f t="array" ref="N7348">IF(MOD(ROW()-ROW($B$2),16)=0,INDEX($M$2:$M$1000,(ROW()-ROW($B$2))/16+1),"")</f>
        <v/>
      </c>
    </row>
    <row r="7349" spans="14:14" x14ac:dyDescent="0.3">
      <c r="N7349" t="str" cm="1">
        <f t="array" ref="N7349">IF(MOD(ROW()-ROW($B$2),16)=0,INDEX($M$2:$M$1000,(ROW()-ROW($B$2))/16+1),"")</f>
        <v/>
      </c>
    </row>
    <row r="7350" spans="14:14" x14ac:dyDescent="0.3">
      <c r="N7350" t="str" cm="1">
        <f t="array" ref="N7350">IF(MOD(ROW()-ROW($B$2),16)=0,INDEX($M$2:$M$1000,(ROW()-ROW($B$2))/16+1),"")</f>
        <v/>
      </c>
    </row>
    <row r="7351" spans="14:14" x14ac:dyDescent="0.3">
      <c r="N7351" t="str" cm="1">
        <f t="array" ref="N7351">IF(MOD(ROW()-ROW($B$2),16)=0,INDEX($M$2:$M$1000,(ROW()-ROW($B$2))/16+1),"")</f>
        <v/>
      </c>
    </row>
    <row r="7352" spans="14:14" x14ac:dyDescent="0.3">
      <c r="N7352" t="str" cm="1">
        <f t="array" ref="N7352">IF(MOD(ROW()-ROW($B$2),16)=0,INDEX($M$2:$M$1000,(ROW()-ROW($B$2))/16+1),"")</f>
        <v/>
      </c>
    </row>
    <row r="7353" spans="14:14" x14ac:dyDescent="0.3">
      <c r="N7353" t="str" cm="1">
        <f t="array" ref="N7353">IF(MOD(ROW()-ROW($B$2),16)=0,INDEX($M$2:$M$1000,(ROW()-ROW($B$2))/16+1),"")</f>
        <v/>
      </c>
    </row>
    <row r="7354" spans="14:14" x14ac:dyDescent="0.3">
      <c r="N7354" t="str" cm="1">
        <f t="array" ref="N7354">IF(MOD(ROW()-ROW($B$2),16)=0,INDEX($M$2:$M$1000,(ROW()-ROW($B$2))/16+1),"")</f>
        <v/>
      </c>
    </row>
    <row r="7355" spans="14:14" x14ac:dyDescent="0.3">
      <c r="N7355" t="str" cm="1">
        <f t="array" ref="N7355">IF(MOD(ROW()-ROW($B$2),16)=0,INDEX($M$2:$M$1000,(ROW()-ROW($B$2))/16+1),"")</f>
        <v/>
      </c>
    </row>
    <row r="7356" spans="14:14" x14ac:dyDescent="0.3">
      <c r="N7356" t="str" cm="1">
        <f t="array" ref="N7356">IF(MOD(ROW()-ROW($B$2),16)=0,INDEX($M$2:$M$1000,(ROW()-ROW($B$2))/16+1),"")</f>
        <v/>
      </c>
    </row>
    <row r="7357" spans="14:14" x14ac:dyDescent="0.3">
      <c r="N7357" t="str" cm="1">
        <f t="array" ref="N7357">IF(MOD(ROW()-ROW($B$2),16)=0,INDEX($M$2:$M$1000,(ROW()-ROW($B$2))/16+1),"")</f>
        <v/>
      </c>
    </row>
    <row r="7358" spans="14:14" x14ac:dyDescent="0.3">
      <c r="N7358" t="str" cm="1">
        <f t="array" ref="N7358">IF(MOD(ROW()-ROW($B$2),16)=0,INDEX($M$2:$M$1000,(ROW()-ROW($B$2))/16+1),"")</f>
        <v/>
      </c>
    </row>
    <row r="7359" spans="14:14" x14ac:dyDescent="0.3">
      <c r="N7359" t="str" cm="1">
        <f t="array" ref="N7359">IF(MOD(ROW()-ROW($B$2),16)=0,INDEX($M$2:$M$1000,(ROW()-ROW($B$2))/16+1),"")</f>
        <v/>
      </c>
    </row>
    <row r="7360" spans="14:14" x14ac:dyDescent="0.3">
      <c r="N7360" t="str" cm="1">
        <f t="array" ref="N7360">IF(MOD(ROW()-ROW($B$2),16)=0,INDEX($M$2:$M$1000,(ROW()-ROW($B$2))/16+1),"")</f>
        <v/>
      </c>
    </row>
    <row r="7361" spans="14:14" x14ac:dyDescent="0.3">
      <c r="N7361" t="str" cm="1">
        <f t="array" ref="N7361">IF(MOD(ROW()-ROW($B$2),16)=0,INDEX($M$2:$M$1000,(ROW()-ROW($B$2))/16+1),"")</f>
        <v/>
      </c>
    </row>
    <row r="7362" spans="14:14" x14ac:dyDescent="0.3">
      <c r="N7362" t="str" cm="1">
        <f t="array" ref="N7362">IF(MOD(ROW()-ROW($B$2),16)=0,INDEX($M$2:$M$1000,(ROW()-ROW($B$2))/16+1),"")</f>
        <v/>
      </c>
    </row>
    <row r="7363" spans="14:14" x14ac:dyDescent="0.3">
      <c r="N7363" t="str" cm="1">
        <f t="array" ref="N7363">IF(MOD(ROW()-ROW($B$2),16)=0,INDEX($M$2:$M$1000,(ROW()-ROW($B$2))/16+1),"")</f>
        <v/>
      </c>
    </row>
    <row r="7364" spans="14:14" x14ac:dyDescent="0.3">
      <c r="N7364" t="str" cm="1">
        <f t="array" ref="N7364">IF(MOD(ROW()-ROW($B$2),16)=0,INDEX($M$2:$M$1000,(ROW()-ROW($B$2))/16+1),"")</f>
        <v/>
      </c>
    </row>
    <row r="7365" spans="14:14" x14ac:dyDescent="0.3">
      <c r="N7365" t="str" cm="1">
        <f t="array" ref="N7365">IF(MOD(ROW()-ROW($B$2),16)=0,INDEX($M$2:$M$1000,(ROW()-ROW($B$2))/16+1),"")</f>
        <v/>
      </c>
    </row>
    <row r="7366" spans="14:14" x14ac:dyDescent="0.3">
      <c r="N7366" t="str" cm="1">
        <f t="array" ref="N7366">IF(MOD(ROW()-ROW($B$2),16)=0,INDEX($M$2:$M$1000,(ROW()-ROW($B$2))/16+1),"")</f>
        <v/>
      </c>
    </row>
    <row r="7367" spans="14:14" x14ac:dyDescent="0.3">
      <c r="N7367" t="str" cm="1">
        <f t="array" ref="N7367">IF(MOD(ROW()-ROW($B$2),16)=0,INDEX($M$2:$M$1000,(ROW()-ROW($B$2))/16+1),"")</f>
        <v/>
      </c>
    </row>
    <row r="7368" spans="14:14" x14ac:dyDescent="0.3">
      <c r="N7368" t="str" cm="1">
        <f t="array" ref="N7368">IF(MOD(ROW()-ROW($B$2),16)=0,INDEX($M$2:$M$1000,(ROW()-ROW($B$2))/16+1),"")</f>
        <v/>
      </c>
    </row>
    <row r="7369" spans="14:14" x14ac:dyDescent="0.3">
      <c r="N7369" t="str" cm="1">
        <f t="array" ref="N7369">IF(MOD(ROW()-ROW($B$2),16)=0,INDEX($M$2:$M$1000,(ROW()-ROW($B$2))/16+1),"")</f>
        <v/>
      </c>
    </row>
    <row r="7370" spans="14:14" x14ac:dyDescent="0.3">
      <c r="N7370" t="str" cm="1">
        <f t="array" ref="N7370">IF(MOD(ROW()-ROW($B$2),16)=0,INDEX($M$2:$M$1000,(ROW()-ROW($B$2))/16+1),"")</f>
        <v/>
      </c>
    </row>
    <row r="7371" spans="14:14" x14ac:dyDescent="0.3">
      <c r="N7371" t="str" cm="1">
        <f t="array" ref="N7371">IF(MOD(ROW()-ROW($B$2),16)=0,INDEX($M$2:$M$1000,(ROW()-ROW($B$2))/16+1),"")</f>
        <v/>
      </c>
    </row>
    <row r="7372" spans="14:14" x14ac:dyDescent="0.3">
      <c r="N7372" t="str" cm="1">
        <f t="array" ref="N7372">IF(MOD(ROW()-ROW($B$2),16)=0,INDEX($M$2:$M$1000,(ROW()-ROW($B$2))/16+1),"")</f>
        <v/>
      </c>
    </row>
    <row r="7373" spans="14:14" x14ac:dyDescent="0.3">
      <c r="N7373" t="str" cm="1">
        <f t="array" ref="N7373">IF(MOD(ROW()-ROW($B$2),16)=0,INDEX($M$2:$M$1000,(ROW()-ROW($B$2))/16+1),"")</f>
        <v/>
      </c>
    </row>
    <row r="7374" spans="14:14" x14ac:dyDescent="0.3">
      <c r="N7374" t="str" cm="1">
        <f t="array" ref="N7374">IF(MOD(ROW()-ROW($B$2),16)=0,INDEX($M$2:$M$1000,(ROW()-ROW($B$2))/16+1),"")</f>
        <v/>
      </c>
    </row>
    <row r="7375" spans="14:14" x14ac:dyDescent="0.3">
      <c r="N7375" t="str" cm="1">
        <f t="array" ref="N7375">IF(MOD(ROW()-ROW($B$2),16)=0,INDEX($M$2:$M$1000,(ROW()-ROW($B$2))/16+1),"")</f>
        <v/>
      </c>
    </row>
    <row r="7376" spans="14:14" x14ac:dyDescent="0.3">
      <c r="N7376" t="str" cm="1">
        <f t="array" ref="N7376">IF(MOD(ROW()-ROW($B$2),16)=0,INDEX($M$2:$M$1000,(ROW()-ROW($B$2))/16+1),"")</f>
        <v/>
      </c>
    </row>
    <row r="7377" spans="14:14" x14ac:dyDescent="0.3">
      <c r="N7377" t="str" cm="1">
        <f t="array" ref="N7377">IF(MOD(ROW()-ROW($B$2),16)=0,INDEX($M$2:$M$1000,(ROW()-ROW($B$2))/16+1),"")</f>
        <v/>
      </c>
    </row>
    <row r="7378" spans="14:14" x14ac:dyDescent="0.3">
      <c r="N7378" t="str" cm="1">
        <f t="array" ref="N7378">IF(MOD(ROW()-ROW($B$2),16)=0,INDEX($M$2:$M$1000,(ROW()-ROW($B$2))/16+1),"")</f>
        <v/>
      </c>
    </row>
    <row r="7379" spans="14:14" x14ac:dyDescent="0.3">
      <c r="N7379" t="str" cm="1">
        <f t="array" ref="N7379">IF(MOD(ROW()-ROW($B$2),16)=0,INDEX($M$2:$M$1000,(ROW()-ROW($B$2))/16+1),"")</f>
        <v/>
      </c>
    </row>
    <row r="7380" spans="14:14" x14ac:dyDescent="0.3">
      <c r="N7380" t="str" cm="1">
        <f t="array" ref="N7380">IF(MOD(ROW()-ROW($B$2),16)=0,INDEX($M$2:$M$1000,(ROW()-ROW($B$2))/16+1),"")</f>
        <v/>
      </c>
    </row>
    <row r="7381" spans="14:14" x14ac:dyDescent="0.3">
      <c r="N7381" t="str" cm="1">
        <f t="array" ref="N7381">IF(MOD(ROW()-ROW($B$2),16)=0,INDEX($M$2:$M$1000,(ROW()-ROW($B$2))/16+1),"")</f>
        <v/>
      </c>
    </row>
    <row r="7382" spans="14:14" x14ac:dyDescent="0.3">
      <c r="N7382" t="str" cm="1">
        <f t="array" ref="N7382">IF(MOD(ROW()-ROW($B$2),16)=0,INDEX($M$2:$M$1000,(ROW()-ROW($B$2))/16+1),"")</f>
        <v/>
      </c>
    </row>
    <row r="7383" spans="14:14" x14ac:dyDescent="0.3">
      <c r="N7383" t="str" cm="1">
        <f t="array" ref="N7383">IF(MOD(ROW()-ROW($B$2),16)=0,INDEX($M$2:$M$1000,(ROW()-ROW($B$2))/16+1),"")</f>
        <v/>
      </c>
    </row>
    <row r="7384" spans="14:14" x14ac:dyDescent="0.3">
      <c r="N7384" t="str" cm="1">
        <f t="array" ref="N7384">IF(MOD(ROW()-ROW($B$2),16)=0,INDEX($M$2:$M$1000,(ROW()-ROW($B$2))/16+1),"")</f>
        <v/>
      </c>
    </row>
    <row r="7385" spans="14:14" x14ac:dyDescent="0.3">
      <c r="N7385" t="str" cm="1">
        <f t="array" ref="N7385">IF(MOD(ROW()-ROW($B$2),16)=0,INDEX($M$2:$M$1000,(ROW()-ROW($B$2))/16+1),"")</f>
        <v/>
      </c>
    </row>
    <row r="7386" spans="14:14" x14ac:dyDescent="0.3">
      <c r="N7386" t="str" cm="1">
        <f t="array" ref="N7386">IF(MOD(ROW()-ROW($B$2),16)=0,INDEX($M$2:$M$1000,(ROW()-ROW($B$2))/16+1),"")</f>
        <v/>
      </c>
    </row>
    <row r="7387" spans="14:14" x14ac:dyDescent="0.3">
      <c r="N7387" t="str" cm="1">
        <f t="array" ref="N7387">IF(MOD(ROW()-ROW($B$2),16)=0,INDEX($M$2:$M$1000,(ROW()-ROW($B$2))/16+1),"")</f>
        <v/>
      </c>
    </row>
    <row r="7388" spans="14:14" x14ac:dyDescent="0.3">
      <c r="N7388" t="str" cm="1">
        <f t="array" ref="N7388">IF(MOD(ROW()-ROW($B$2),16)=0,INDEX($M$2:$M$1000,(ROW()-ROW($B$2))/16+1),"")</f>
        <v/>
      </c>
    </row>
    <row r="7389" spans="14:14" x14ac:dyDescent="0.3">
      <c r="N7389" t="str" cm="1">
        <f t="array" ref="N7389">IF(MOD(ROW()-ROW($B$2),16)=0,INDEX($M$2:$M$1000,(ROW()-ROW($B$2))/16+1),"")</f>
        <v/>
      </c>
    </row>
    <row r="7390" spans="14:14" x14ac:dyDescent="0.3">
      <c r="N7390" t="str" cm="1">
        <f t="array" ref="N7390">IF(MOD(ROW()-ROW($B$2),16)=0,INDEX($M$2:$M$1000,(ROW()-ROW($B$2))/16+1),"")</f>
        <v/>
      </c>
    </row>
    <row r="7391" spans="14:14" x14ac:dyDescent="0.3">
      <c r="N7391" t="str" cm="1">
        <f t="array" ref="N7391">IF(MOD(ROW()-ROW($B$2),16)=0,INDEX($M$2:$M$1000,(ROW()-ROW($B$2))/16+1),"")</f>
        <v/>
      </c>
    </row>
    <row r="7392" spans="14:14" x14ac:dyDescent="0.3">
      <c r="N7392" t="str" cm="1">
        <f t="array" ref="N7392">IF(MOD(ROW()-ROW($B$2),16)=0,INDEX($M$2:$M$1000,(ROW()-ROW($B$2))/16+1),"")</f>
        <v/>
      </c>
    </row>
    <row r="7393" spans="14:14" x14ac:dyDescent="0.3">
      <c r="N7393" t="str" cm="1">
        <f t="array" ref="N7393">IF(MOD(ROW()-ROW($B$2),16)=0,INDEX($M$2:$M$1000,(ROW()-ROW($B$2))/16+1),"")</f>
        <v/>
      </c>
    </row>
    <row r="7394" spans="14:14" x14ac:dyDescent="0.3">
      <c r="N7394" t="str" cm="1">
        <f t="array" ref="N7394">IF(MOD(ROW()-ROW($B$2),16)=0,INDEX($M$2:$M$1000,(ROW()-ROW($B$2))/16+1),"")</f>
        <v/>
      </c>
    </row>
    <row r="7395" spans="14:14" x14ac:dyDescent="0.3">
      <c r="N7395" t="str" cm="1">
        <f t="array" ref="N7395">IF(MOD(ROW()-ROW($B$2),16)=0,INDEX($M$2:$M$1000,(ROW()-ROW($B$2))/16+1),"")</f>
        <v/>
      </c>
    </row>
    <row r="7396" spans="14:14" x14ac:dyDescent="0.3">
      <c r="N7396" t="str" cm="1">
        <f t="array" ref="N7396">IF(MOD(ROW()-ROW($B$2),16)=0,INDEX($M$2:$M$1000,(ROW()-ROW($B$2))/16+1),"")</f>
        <v/>
      </c>
    </row>
    <row r="7397" spans="14:14" x14ac:dyDescent="0.3">
      <c r="N7397" t="str" cm="1">
        <f t="array" ref="N7397">IF(MOD(ROW()-ROW($B$2),16)=0,INDEX($M$2:$M$1000,(ROW()-ROW($B$2))/16+1),"")</f>
        <v/>
      </c>
    </row>
    <row r="7398" spans="14:14" x14ac:dyDescent="0.3">
      <c r="N7398" t="str" cm="1">
        <f t="array" ref="N7398">IF(MOD(ROW()-ROW($B$2),16)=0,INDEX($M$2:$M$1000,(ROW()-ROW($B$2))/16+1),"")</f>
        <v/>
      </c>
    </row>
    <row r="7399" spans="14:14" x14ac:dyDescent="0.3">
      <c r="N7399" t="str" cm="1">
        <f t="array" ref="N7399">IF(MOD(ROW()-ROW($B$2),16)=0,INDEX($M$2:$M$1000,(ROW()-ROW($B$2))/16+1),"")</f>
        <v/>
      </c>
    </row>
    <row r="7400" spans="14:14" x14ac:dyDescent="0.3">
      <c r="N7400" t="str" cm="1">
        <f t="array" ref="N7400">IF(MOD(ROW()-ROW($B$2),16)=0,INDEX($M$2:$M$1000,(ROW()-ROW($B$2))/16+1),"")</f>
        <v/>
      </c>
    </row>
    <row r="7401" spans="14:14" x14ac:dyDescent="0.3">
      <c r="N7401" t="str" cm="1">
        <f t="array" ref="N7401">IF(MOD(ROW()-ROW($B$2),16)=0,INDEX($M$2:$M$1000,(ROW()-ROW($B$2))/16+1),"")</f>
        <v/>
      </c>
    </row>
    <row r="7402" spans="14:14" x14ac:dyDescent="0.3">
      <c r="N7402" t="str" cm="1">
        <f t="array" ref="N7402">IF(MOD(ROW()-ROW($B$2),16)=0,INDEX($M$2:$M$1000,(ROW()-ROW($B$2))/16+1),"")</f>
        <v/>
      </c>
    </row>
    <row r="7403" spans="14:14" x14ac:dyDescent="0.3">
      <c r="N7403" t="str" cm="1">
        <f t="array" ref="N7403">IF(MOD(ROW()-ROW($B$2),16)=0,INDEX($M$2:$M$1000,(ROW()-ROW($B$2))/16+1),"")</f>
        <v/>
      </c>
    </row>
    <row r="7404" spans="14:14" x14ac:dyDescent="0.3">
      <c r="N7404" t="str" cm="1">
        <f t="array" ref="N7404">IF(MOD(ROW()-ROW($B$2),16)=0,INDEX($M$2:$M$1000,(ROW()-ROW($B$2))/16+1),"")</f>
        <v/>
      </c>
    </row>
    <row r="7405" spans="14:14" x14ac:dyDescent="0.3">
      <c r="N7405" t="str" cm="1">
        <f t="array" ref="N7405">IF(MOD(ROW()-ROW($B$2),16)=0,INDEX($M$2:$M$1000,(ROW()-ROW($B$2))/16+1),"")</f>
        <v/>
      </c>
    </row>
    <row r="7406" spans="14:14" x14ac:dyDescent="0.3">
      <c r="N7406" t="str" cm="1">
        <f t="array" ref="N7406">IF(MOD(ROW()-ROW($B$2),16)=0,INDEX($M$2:$M$1000,(ROW()-ROW($B$2))/16+1),"")</f>
        <v/>
      </c>
    </row>
    <row r="7407" spans="14:14" x14ac:dyDescent="0.3">
      <c r="N7407" t="str" cm="1">
        <f t="array" ref="N7407">IF(MOD(ROW()-ROW($B$2),16)=0,INDEX($M$2:$M$1000,(ROW()-ROW($B$2))/16+1),"")</f>
        <v/>
      </c>
    </row>
    <row r="7408" spans="14:14" x14ac:dyDescent="0.3">
      <c r="N7408" t="str" cm="1">
        <f t="array" ref="N7408">IF(MOD(ROW()-ROW($B$2),16)=0,INDEX($M$2:$M$1000,(ROW()-ROW($B$2))/16+1),"")</f>
        <v/>
      </c>
    </row>
    <row r="7409" spans="14:14" x14ac:dyDescent="0.3">
      <c r="N7409" t="str" cm="1">
        <f t="array" ref="N7409">IF(MOD(ROW()-ROW($B$2),16)=0,INDEX($M$2:$M$1000,(ROW()-ROW($B$2))/16+1),"")</f>
        <v/>
      </c>
    </row>
    <row r="7410" spans="14:14" x14ac:dyDescent="0.3">
      <c r="N7410" t="str" cm="1">
        <f t="array" ref="N7410">IF(MOD(ROW()-ROW($B$2),16)=0,INDEX($M$2:$M$1000,(ROW()-ROW($B$2))/16+1),"")</f>
        <v/>
      </c>
    </row>
    <row r="7411" spans="14:14" x14ac:dyDescent="0.3">
      <c r="N7411" t="str" cm="1">
        <f t="array" ref="N7411">IF(MOD(ROW()-ROW($B$2),16)=0,INDEX($M$2:$M$1000,(ROW()-ROW($B$2))/16+1),"")</f>
        <v/>
      </c>
    </row>
    <row r="7412" spans="14:14" x14ac:dyDescent="0.3">
      <c r="N7412" t="str" cm="1">
        <f t="array" ref="N7412">IF(MOD(ROW()-ROW($B$2),16)=0,INDEX($M$2:$M$1000,(ROW()-ROW($B$2))/16+1),"")</f>
        <v/>
      </c>
    </row>
    <row r="7413" spans="14:14" x14ac:dyDescent="0.3">
      <c r="N7413" t="str" cm="1">
        <f t="array" ref="N7413">IF(MOD(ROW()-ROW($B$2),16)=0,INDEX($M$2:$M$1000,(ROW()-ROW($B$2))/16+1),"")</f>
        <v/>
      </c>
    </row>
    <row r="7414" spans="14:14" x14ac:dyDescent="0.3">
      <c r="N7414" t="str" cm="1">
        <f t="array" ref="N7414">IF(MOD(ROW()-ROW($B$2),16)=0,INDEX($M$2:$M$1000,(ROW()-ROW($B$2))/16+1),"")</f>
        <v/>
      </c>
    </row>
    <row r="7415" spans="14:14" x14ac:dyDescent="0.3">
      <c r="N7415" t="str" cm="1">
        <f t="array" ref="N7415">IF(MOD(ROW()-ROW($B$2),16)=0,INDEX($M$2:$M$1000,(ROW()-ROW($B$2))/16+1),"")</f>
        <v/>
      </c>
    </row>
    <row r="7416" spans="14:14" x14ac:dyDescent="0.3">
      <c r="N7416" t="str" cm="1">
        <f t="array" ref="N7416">IF(MOD(ROW()-ROW($B$2),16)=0,INDEX($M$2:$M$1000,(ROW()-ROW($B$2))/16+1),"")</f>
        <v/>
      </c>
    </row>
    <row r="7417" spans="14:14" x14ac:dyDescent="0.3">
      <c r="N7417" t="str" cm="1">
        <f t="array" ref="N7417">IF(MOD(ROW()-ROW($B$2),16)=0,INDEX($M$2:$M$1000,(ROW()-ROW($B$2))/16+1),"")</f>
        <v/>
      </c>
    </row>
    <row r="7418" spans="14:14" x14ac:dyDescent="0.3">
      <c r="N7418" t="str" cm="1">
        <f t="array" ref="N7418">IF(MOD(ROW()-ROW($B$2),16)=0,INDEX($M$2:$M$1000,(ROW()-ROW($B$2))/16+1),"")</f>
        <v/>
      </c>
    </row>
    <row r="7419" spans="14:14" x14ac:dyDescent="0.3">
      <c r="N7419" t="str" cm="1">
        <f t="array" ref="N7419">IF(MOD(ROW()-ROW($B$2),16)=0,INDEX($M$2:$M$1000,(ROW()-ROW($B$2))/16+1),"")</f>
        <v/>
      </c>
    </row>
    <row r="7420" spans="14:14" x14ac:dyDescent="0.3">
      <c r="N7420" t="str" cm="1">
        <f t="array" ref="N7420">IF(MOD(ROW()-ROW($B$2),16)=0,INDEX($M$2:$M$1000,(ROW()-ROW($B$2))/16+1),"")</f>
        <v/>
      </c>
    </row>
    <row r="7421" spans="14:14" x14ac:dyDescent="0.3">
      <c r="N7421" t="str" cm="1">
        <f t="array" ref="N7421">IF(MOD(ROW()-ROW($B$2),16)=0,INDEX($M$2:$M$1000,(ROW()-ROW($B$2))/16+1),"")</f>
        <v/>
      </c>
    </row>
    <row r="7422" spans="14:14" x14ac:dyDescent="0.3">
      <c r="N7422" t="str" cm="1">
        <f t="array" ref="N7422">IF(MOD(ROW()-ROW($B$2),16)=0,INDEX($M$2:$M$1000,(ROW()-ROW($B$2))/16+1),"")</f>
        <v/>
      </c>
    </row>
    <row r="7423" spans="14:14" x14ac:dyDescent="0.3">
      <c r="N7423" t="str" cm="1">
        <f t="array" ref="N7423">IF(MOD(ROW()-ROW($B$2),16)=0,INDEX($M$2:$M$1000,(ROW()-ROW($B$2))/16+1),"")</f>
        <v/>
      </c>
    </row>
    <row r="7424" spans="14:14" x14ac:dyDescent="0.3">
      <c r="N7424" t="str" cm="1">
        <f t="array" ref="N7424">IF(MOD(ROW()-ROW($B$2),16)=0,INDEX($M$2:$M$1000,(ROW()-ROW($B$2))/16+1),"")</f>
        <v/>
      </c>
    </row>
    <row r="7425" spans="14:14" x14ac:dyDescent="0.3">
      <c r="N7425" t="str" cm="1">
        <f t="array" ref="N7425">IF(MOD(ROW()-ROW($B$2),16)=0,INDEX($M$2:$M$1000,(ROW()-ROW($B$2))/16+1),"")</f>
        <v/>
      </c>
    </row>
    <row r="7426" spans="14:14" x14ac:dyDescent="0.3">
      <c r="N7426" t="str" cm="1">
        <f t="array" ref="N7426">IF(MOD(ROW()-ROW($B$2),16)=0,INDEX($M$2:$M$1000,(ROW()-ROW($B$2))/16+1),"")</f>
        <v/>
      </c>
    </row>
    <row r="7427" spans="14:14" x14ac:dyDescent="0.3">
      <c r="N7427" t="str" cm="1">
        <f t="array" ref="N7427">IF(MOD(ROW()-ROW($B$2),16)=0,INDEX($M$2:$M$1000,(ROW()-ROW($B$2))/16+1),"")</f>
        <v/>
      </c>
    </row>
    <row r="7428" spans="14:14" x14ac:dyDescent="0.3">
      <c r="N7428" t="str" cm="1">
        <f t="array" ref="N7428">IF(MOD(ROW()-ROW($B$2),16)=0,INDEX($M$2:$M$1000,(ROW()-ROW($B$2))/16+1),"")</f>
        <v/>
      </c>
    </row>
    <row r="7429" spans="14:14" x14ac:dyDescent="0.3">
      <c r="N7429" t="str" cm="1">
        <f t="array" ref="N7429">IF(MOD(ROW()-ROW($B$2),16)=0,INDEX($M$2:$M$1000,(ROW()-ROW($B$2))/16+1),"")</f>
        <v/>
      </c>
    </row>
    <row r="7430" spans="14:14" x14ac:dyDescent="0.3">
      <c r="N7430" t="str" cm="1">
        <f t="array" ref="N7430">IF(MOD(ROW()-ROW($B$2),16)=0,INDEX($M$2:$M$1000,(ROW()-ROW($B$2))/16+1),"")</f>
        <v/>
      </c>
    </row>
    <row r="7431" spans="14:14" x14ac:dyDescent="0.3">
      <c r="N7431" t="str" cm="1">
        <f t="array" ref="N7431">IF(MOD(ROW()-ROW($B$2),16)=0,INDEX($M$2:$M$1000,(ROW()-ROW($B$2))/16+1),"")</f>
        <v/>
      </c>
    </row>
    <row r="7432" spans="14:14" x14ac:dyDescent="0.3">
      <c r="N7432" t="str" cm="1">
        <f t="array" ref="N7432">IF(MOD(ROW()-ROW($B$2),16)=0,INDEX($M$2:$M$1000,(ROW()-ROW($B$2))/16+1),"")</f>
        <v/>
      </c>
    </row>
    <row r="7433" spans="14:14" x14ac:dyDescent="0.3">
      <c r="N7433" t="str" cm="1">
        <f t="array" ref="N7433">IF(MOD(ROW()-ROW($B$2),16)=0,INDEX($M$2:$M$1000,(ROW()-ROW($B$2))/16+1),"")</f>
        <v/>
      </c>
    </row>
    <row r="7434" spans="14:14" x14ac:dyDescent="0.3">
      <c r="N7434" t="str" cm="1">
        <f t="array" ref="N7434">IF(MOD(ROW()-ROW($B$2),16)=0,INDEX($M$2:$M$1000,(ROW()-ROW($B$2))/16+1),"")</f>
        <v/>
      </c>
    </row>
    <row r="7435" spans="14:14" x14ac:dyDescent="0.3">
      <c r="N7435" t="str" cm="1">
        <f t="array" ref="N7435">IF(MOD(ROW()-ROW($B$2),16)=0,INDEX($M$2:$M$1000,(ROW()-ROW($B$2))/16+1),"")</f>
        <v/>
      </c>
    </row>
    <row r="7436" spans="14:14" x14ac:dyDescent="0.3">
      <c r="N7436" t="str" cm="1">
        <f t="array" ref="N7436">IF(MOD(ROW()-ROW($B$2),16)=0,INDEX($M$2:$M$1000,(ROW()-ROW($B$2))/16+1),"")</f>
        <v/>
      </c>
    </row>
    <row r="7437" spans="14:14" x14ac:dyDescent="0.3">
      <c r="N7437" t="str" cm="1">
        <f t="array" ref="N7437">IF(MOD(ROW()-ROW($B$2),16)=0,INDEX($M$2:$M$1000,(ROW()-ROW($B$2))/16+1),"")</f>
        <v/>
      </c>
    </row>
    <row r="7438" spans="14:14" x14ac:dyDescent="0.3">
      <c r="N7438" t="str" cm="1">
        <f t="array" ref="N7438">IF(MOD(ROW()-ROW($B$2),16)=0,INDEX($M$2:$M$1000,(ROW()-ROW($B$2))/16+1),"")</f>
        <v/>
      </c>
    </row>
    <row r="7439" spans="14:14" x14ac:dyDescent="0.3">
      <c r="N7439" t="str" cm="1">
        <f t="array" ref="N7439">IF(MOD(ROW()-ROW($B$2),16)=0,INDEX($M$2:$M$1000,(ROW()-ROW($B$2))/16+1),"")</f>
        <v/>
      </c>
    </row>
    <row r="7440" spans="14:14" x14ac:dyDescent="0.3">
      <c r="N7440" t="str" cm="1">
        <f t="array" ref="N7440">IF(MOD(ROW()-ROW($B$2),16)=0,INDEX($M$2:$M$1000,(ROW()-ROW($B$2))/16+1),"")</f>
        <v/>
      </c>
    </row>
    <row r="7441" spans="14:14" x14ac:dyDescent="0.3">
      <c r="N7441" t="str" cm="1">
        <f t="array" ref="N7441">IF(MOD(ROW()-ROW($B$2),16)=0,INDEX($M$2:$M$1000,(ROW()-ROW($B$2))/16+1),"")</f>
        <v/>
      </c>
    </row>
    <row r="7442" spans="14:14" x14ac:dyDescent="0.3">
      <c r="N7442" t="str" cm="1">
        <f t="array" ref="N7442">IF(MOD(ROW()-ROW($B$2),16)=0,INDEX($M$2:$M$1000,(ROW()-ROW($B$2))/16+1),"")</f>
        <v/>
      </c>
    </row>
    <row r="7443" spans="14:14" x14ac:dyDescent="0.3">
      <c r="N7443" t="str" cm="1">
        <f t="array" ref="N7443">IF(MOD(ROW()-ROW($B$2),16)=0,INDEX($M$2:$M$1000,(ROW()-ROW($B$2))/16+1),"")</f>
        <v/>
      </c>
    </row>
    <row r="7444" spans="14:14" x14ac:dyDescent="0.3">
      <c r="N7444" t="str" cm="1">
        <f t="array" ref="N7444">IF(MOD(ROW()-ROW($B$2),16)=0,INDEX($M$2:$M$1000,(ROW()-ROW($B$2))/16+1),"")</f>
        <v/>
      </c>
    </row>
    <row r="7445" spans="14:14" x14ac:dyDescent="0.3">
      <c r="N7445" t="str" cm="1">
        <f t="array" ref="N7445">IF(MOD(ROW()-ROW($B$2),16)=0,INDEX($M$2:$M$1000,(ROW()-ROW($B$2))/16+1),"")</f>
        <v/>
      </c>
    </row>
    <row r="7446" spans="14:14" x14ac:dyDescent="0.3">
      <c r="N7446" t="str" cm="1">
        <f t="array" ref="N7446">IF(MOD(ROW()-ROW($B$2),16)=0,INDEX($M$2:$M$1000,(ROW()-ROW($B$2))/16+1),"")</f>
        <v/>
      </c>
    </row>
    <row r="7447" spans="14:14" x14ac:dyDescent="0.3">
      <c r="N7447" t="str" cm="1">
        <f t="array" ref="N7447">IF(MOD(ROW()-ROW($B$2),16)=0,INDEX($M$2:$M$1000,(ROW()-ROW($B$2))/16+1),"")</f>
        <v/>
      </c>
    </row>
    <row r="7448" spans="14:14" x14ac:dyDescent="0.3">
      <c r="N7448" t="str" cm="1">
        <f t="array" ref="N7448">IF(MOD(ROW()-ROW($B$2),16)=0,INDEX($M$2:$M$1000,(ROW()-ROW($B$2))/16+1),"")</f>
        <v/>
      </c>
    </row>
    <row r="7449" spans="14:14" x14ac:dyDescent="0.3">
      <c r="N7449" t="str" cm="1">
        <f t="array" ref="N7449">IF(MOD(ROW()-ROW($B$2),16)=0,INDEX($M$2:$M$1000,(ROW()-ROW($B$2))/16+1),"")</f>
        <v/>
      </c>
    </row>
    <row r="7450" spans="14:14" x14ac:dyDescent="0.3">
      <c r="N7450" t="str" cm="1">
        <f t="array" ref="N7450">IF(MOD(ROW()-ROW($B$2),16)=0,INDEX($M$2:$M$1000,(ROW()-ROW($B$2))/16+1),"")</f>
        <v/>
      </c>
    </row>
    <row r="7451" spans="14:14" x14ac:dyDescent="0.3">
      <c r="N7451" t="str" cm="1">
        <f t="array" ref="N7451">IF(MOD(ROW()-ROW($B$2),16)=0,INDEX($M$2:$M$1000,(ROW()-ROW($B$2))/16+1),"")</f>
        <v/>
      </c>
    </row>
    <row r="7452" spans="14:14" x14ac:dyDescent="0.3">
      <c r="N7452" t="str" cm="1">
        <f t="array" ref="N7452">IF(MOD(ROW()-ROW($B$2),16)=0,INDEX($M$2:$M$1000,(ROW()-ROW($B$2))/16+1),"")</f>
        <v/>
      </c>
    </row>
    <row r="7453" spans="14:14" x14ac:dyDescent="0.3">
      <c r="N7453" t="str" cm="1">
        <f t="array" ref="N7453">IF(MOD(ROW()-ROW($B$2),16)=0,INDEX($M$2:$M$1000,(ROW()-ROW($B$2))/16+1),"")</f>
        <v/>
      </c>
    </row>
    <row r="7454" spans="14:14" x14ac:dyDescent="0.3">
      <c r="N7454" t="str" cm="1">
        <f t="array" ref="N7454">IF(MOD(ROW()-ROW($B$2),16)=0,INDEX($M$2:$M$1000,(ROW()-ROW($B$2))/16+1),"")</f>
        <v/>
      </c>
    </row>
    <row r="7455" spans="14:14" x14ac:dyDescent="0.3">
      <c r="N7455" t="str" cm="1">
        <f t="array" ref="N7455">IF(MOD(ROW()-ROW($B$2),16)=0,INDEX($M$2:$M$1000,(ROW()-ROW($B$2))/16+1),"")</f>
        <v/>
      </c>
    </row>
    <row r="7456" spans="14:14" x14ac:dyDescent="0.3">
      <c r="N7456" t="str" cm="1">
        <f t="array" ref="N7456">IF(MOD(ROW()-ROW($B$2),16)=0,INDEX($M$2:$M$1000,(ROW()-ROW($B$2))/16+1),"")</f>
        <v/>
      </c>
    </row>
    <row r="7457" spans="14:14" x14ac:dyDescent="0.3">
      <c r="N7457" t="str" cm="1">
        <f t="array" ref="N7457">IF(MOD(ROW()-ROW($B$2),16)=0,INDEX($M$2:$M$1000,(ROW()-ROW($B$2))/16+1),"")</f>
        <v/>
      </c>
    </row>
    <row r="7458" spans="14:14" x14ac:dyDescent="0.3">
      <c r="N7458" t="str" cm="1">
        <f t="array" ref="N7458">IF(MOD(ROW()-ROW($B$2),16)=0,INDEX($M$2:$M$1000,(ROW()-ROW($B$2))/16+1),"")</f>
        <v/>
      </c>
    </row>
    <row r="7459" spans="14:14" x14ac:dyDescent="0.3">
      <c r="N7459" t="str" cm="1">
        <f t="array" ref="N7459">IF(MOD(ROW()-ROW($B$2),16)=0,INDEX($M$2:$M$1000,(ROW()-ROW($B$2))/16+1),"")</f>
        <v/>
      </c>
    </row>
    <row r="7460" spans="14:14" x14ac:dyDescent="0.3">
      <c r="N7460" t="str" cm="1">
        <f t="array" ref="N7460">IF(MOD(ROW()-ROW($B$2),16)=0,INDEX($M$2:$M$1000,(ROW()-ROW($B$2))/16+1),"")</f>
        <v/>
      </c>
    </row>
    <row r="7461" spans="14:14" x14ac:dyDescent="0.3">
      <c r="N7461" t="str" cm="1">
        <f t="array" ref="N7461">IF(MOD(ROW()-ROW($B$2),16)=0,INDEX($M$2:$M$1000,(ROW()-ROW($B$2))/16+1),"")</f>
        <v/>
      </c>
    </row>
    <row r="7462" spans="14:14" x14ac:dyDescent="0.3">
      <c r="N7462" t="str" cm="1">
        <f t="array" ref="N7462">IF(MOD(ROW()-ROW($B$2),16)=0,INDEX($M$2:$M$1000,(ROW()-ROW($B$2))/16+1),"")</f>
        <v/>
      </c>
    </row>
    <row r="7463" spans="14:14" x14ac:dyDescent="0.3">
      <c r="N7463" t="str" cm="1">
        <f t="array" ref="N7463">IF(MOD(ROW()-ROW($B$2),16)=0,INDEX($M$2:$M$1000,(ROW()-ROW($B$2))/16+1),"")</f>
        <v/>
      </c>
    </row>
    <row r="7464" spans="14:14" x14ac:dyDescent="0.3">
      <c r="N7464" t="str" cm="1">
        <f t="array" ref="N7464">IF(MOD(ROW()-ROW($B$2),16)=0,INDEX($M$2:$M$1000,(ROW()-ROW($B$2))/16+1),"")</f>
        <v/>
      </c>
    </row>
    <row r="7465" spans="14:14" x14ac:dyDescent="0.3">
      <c r="N7465" t="str" cm="1">
        <f t="array" ref="N7465">IF(MOD(ROW()-ROW($B$2),16)=0,INDEX($M$2:$M$1000,(ROW()-ROW($B$2))/16+1),"")</f>
        <v/>
      </c>
    </row>
    <row r="7466" spans="14:14" x14ac:dyDescent="0.3">
      <c r="N7466" t="str" cm="1">
        <f t="array" ref="N7466">IF(MOD(ROW()-ROW($B$2),16)=0,INDEX($M$2:$M$1000,(ROW()-ROW($B$2))/16+1),"")</f>
        <v/>
      </c>
    </row>
    <row r="7467" spans="14:14" x14ac:dyDescent="0.3">
      <c r="N7467" t="str" cm="1">
        <f t="array" ref="N7467">IF(MOD(ROW()-ROW($B$2),16)=0,INDEX($M$2:$M$1000,(ROW()-ROW($B$2))/16+1),"")</f>
        <v/>
      </c>
    </row>
    <row r="7468" spans="14:14" x14ac:dyDescent="0.3">
      <c r="N7468" t="str" cm="1">
        <f t="array" ref="N7468">IF(MOD(ROW()-ROW($B$2),16)=0,INDEX($M$2:$M$1000,(ROW()-ROW($B$2))/16+1),"")</f>
        <v/>
      </c>
    </row>
    <row r="7469" spans="14:14" x14ac:dyDescent="0.3">
      <c r="N7469" t="str" cm="1">
        <f t="array" ref="N7469">IF(MOD(ROW()-ROW($B$2),16)=0,INDEX($M$2:$M$1000,(ROW()-ROW($B$2))/16+1),"")</f>
        <v/>
      </c>
    </row>
    <row r="7470" spans="14:14" x14ac:dyDescent="0.3">
      <c r="N7470" t="str" cm="1">
        <f t="array" ref="N7470">IF(MOD(ROW()-ROW($B$2),16)=0,INDEX($M$2:$M$1000,(ROW()-ROW($B$2))/16+1),"")</f>
        <v/>
      </c>
    </row>
    <row r="7471" spans="14:14" x14ac:dyDescent="0.3">
      <c r="N7471" t="str" cm="1">
        <f t="array" ref="N7471">IF(MOD(ROW()-ROW($B$2),16)=0,INDEX($M$2:$M$1000,(ROW()-ROW($B$2))/16+1),"")</f>
        <v/>
      </c>
    </row>
    <row r="7472" spans="14:14" x14ac:dyDescent="0.3">
      <c r="N7472" t="str" cm="1">
        <f t="array" ref="N7472">IF(MOD(ROW()-ROW($B$2),16)=0,INDEX($M$2:$M$1000,(ROW()-ROW($B$2))/16+1),"")</f>
        <v/>
      </c>
    </row>
    <row r="7473" spans="14:14" x14ac:dyDescent="0.3">
      <c r="N7473" t="str" cm="1">
        <f t="array" ref="N7473">IF(MOD(ROW()-ROW($B$2),16)=0,INDEX($M$2:$M$1000,(ROW()-ROW($B$2))/16+1),"")</f>
        <v/>
      </c>
    </row>
    <row r="7474" spans="14:14" x14ac:dyDescent="0.3">
      <c r="N7474" t="str" cm="1">
        <f t="array" ref="N7474">IF(MOD(ROW()-ROW($B$2),16)=0,INDEX($M$2:$M$1000,(ROW()-ROW($B$2))/16+1),"")</f>
        <v/>
      </c>
    </row>
    <row r="7475" spans="14:14" x14ac:dyDescent="0.3">
      <c r="N7475" t="str" cm="1">
        <f t="array" ref="N7475">IF(MOD(ROW()-ROW($B$2),16)=0,INDEX($M$2:$M$1000,(ROW()-ROW($B$2))/16+1),"")</f>
        <v/>
      </c>
    </row>
    <row r="7476" spans="14:14" x14ac:dyDescent="0.3">
      <c r="N7476" t="str" cm="1">
        <f t="array" ref="N7476">IF(MOD(ROW()-ROW($B$2),16)=0,INDEX($M$2:$M$1000,(ROW()-ROW($B$2))/16+1),"")</f>
        <v/>
      </c>
    </row>
    <row r="7477" spans="14:14" x14ac:dyDescent="0.3">
      <c r="N7477" t="str" cm="1">
        <f t="array" ref="N7477">IF(MOD(ROW()-ROW($B$2),16)=0,INDEX($M$2:$M$1000,(ROW()-ROW($B$2))/16+1),"")</f>
        <v/>
      </c>
    </row>
    <row r="7478" spans="14:14" x14ac:dyDescent="0.3">
      <c r="N7478" t="str" cm="1">
        <f t="array" ref="N7478">IF(MOD(ROW()-ROW($B$2),16)=0,INDEX($M$2:$M$1000,(ROW()-ROW($B$2))/16+1),"")</f>
        <v/>
      </c>
    </row>
    <row r="7479" spans="14:14" x14ac:dyDescent="0.3">
      <c r="N7479" t="str" cm="1">
        <f t="array" ref="N7479">IF(MOD(ROW()-ROW($B$2),16)=0,INDEX($M$2:$M$1000,(ROW()-ROW($B$2))/16+1),"")</f>
        <v/>
      </c>
    </row>
    <row r="7480" spans="14:14" x14ac:dyDescent="0.3">
      <c r="N7480" t="str" cm="1">
        <f t="array" ref="N7480">IF(MOD(ROW()-ROW($B$2),16)=0,INDEX($M$2:$M$1000,(ROW()-ROW($B$2))/16+1),"")</f>
        <v/>
      </c>
    </row>
    <row r="7481" spans="14:14" x14ac:dyDescent="0.3">
      <c r="N7481" t="str" cm="1">
        <f t="array" ref="N7481">IF(MOD(ROW()-ROW($B$2),16)=0,INDEX($M$2:$M$1000,(ROW()-ROW($B$2))/16+1),"")</f>
        <v/>
      </c>
    </row>
    <row r="7482" spans="14:14" x14ac:dyDescent="0.3">
      <c r="N7482" t="str" cm="1">
        <f t="array" ref="N7482">IF(MOD(ROW()-ROW($B$2),16)=0,INDEX($M$2:$M$1000,(ROW()-ROW($B$2))/16+1),"")</f>
        <v/>
      </c>
    </row>
    <row r="7483" spans="14:14" x14ac:dyDescent="0.3">
      <c r="N7483" t="str" cm="1">
        <f t="array" ref="N7483">IF(MOD(ROW()-ROW($B$2),16)=0,INDEX($M$2:$M$1000,(ROW()-ROW($B$2))/16+1),"")</f>
        <v/>
      </c>
    </row>
    <row r="7484" spans="14:14" x14ac:dyDescent="0.3">
      <c r="N7484" t="str" cm="1">
        <f t="array" ref="N7484">IF(MOD(ROW()-ROW($B$2),16)=0,INDEX($M$2:$M$1000,(ROW()-ROW($B$2))/16+1),"")</f>
        <v/>
      </c>
    </row>
    <row r="7485" spans="14:14" x14ac:dyDescent="0.3">
      <c r="N7485" t="str" cm="1">
        <f t="array" ref="N7485">IF(MOD(ROW()-ROW($B$2),16)=0,INDEX($M$2:$M$1000,(ROW()-ROW($B$2))/16+1),"")</f>
        <v/>
      </c>
    </row>
    <row r="7486" spans="14:14" x14ac:dyDescent="0.3">
      <c r="N7486" t="str" cm="1">
        <f t="array" ref="N7486">IF(MOD(ROW()-ROW($B$2),16)=0,INDEX($M$2:$M$1000,(ROW()-ROW($B$2))/16+1),"")</f>
        <v/>
      </c>
    </row>
    <row r="7487" spans="14:14" x14ac:dyDescent="0.3">
      <c r="N7487" t="str" cm="1">
        <f t="array" ref="N7487">IF(MOD(ROW()-ROW($B$2),16)=0,INDEX($M$2:$M$1000,(ROW()-ROW($B$2))/16+1),"")</f>
        <v/>
      </c>
    </row>
    <row r="7488" spans="14:14" x14ac:dyDescent="0.3">
      <c r="N7488" t="str" cm="1">
        <f t="array" ref="N7488">IF(MOD(ROW()-ROW($B$2),16)=0,INDEX($M$2:$M$1000,(ROW()-ROW($B$2))/16+1),"")</f>
        <v/>
      </c>
    </row>
    <row r="7489" spans="14:14" x14ac:dyDescent="0.3">
      <c r="N7489" t="str" cm="1">
        <f t="array" ref="N7489">IF(MOD(ROW()-ROW($B$2),16)=0,INDEX($M$2:$M$1000,(ROW()-ROW($B$2))/16+1),"")</f>
        <v/>
      </c>
    </row>
    <row r="7490" spans="14:14" x14ac:dyDescent="0.3">
      <c r="N7490" t="str" cm="1">
        <f t="array" ref="N7490">IF(MOD(ROW()-ROW($B$2),16)=0,INDEX($M$2:$M$1000,(ROW()-ROW($B$2))/16+1),"")</f>
        <v/>
      </c>
    </row>
    <row r="7491" spans="14:14" x14ac:dyDescent="0.3">
      <c r="N7491" t="str" cm="1">
        <f t="array" ref="N7491">IF(MOD(ROW()-ROW($B$2),16)=0,INDEX($M$2:$M$1000,(ROW()-ROW($B$2))/16+1),"")</f>
        <v/>
      </c>
    </row>
    <row r="7492" spans="14:14" x14ac:dyDescent="0.3">
      <c r="N7492" t="str" cm="1">
        <f t="array" ref="N7492">IF(MOD(ROW()-ROW($B$2),16)=0,INDEX($M$2:$M$1000,(ROW()-ROW($B$2))/16+1),"")</f>
        <v/>
      </c>
    </row>
    <row r="7493" spans="14:14" x14ac:dyDescent="0.3">
      <c r="N7493" t="str" cm="1">
        <f t="array" ref="N7493">IF(MOD(ROW()-ROW($B$2),16)=0,INDEX($M$2:$M$1000,(ROW()-ROW($B$2))/16+1),"")</f>
        <v/>
      </c>
    </row>
    <row r="7494" spans="14:14" x14ac:dyDescent="0.3">
      <c r="N7494" t="str" cm="1">
        <f t="array" ref="N7494">IF(MOD(ROW()-ROW($B$2),16)=0,INDEX($M$2:$M$1000,(ROW()-ROW($B$2))/16+1),"")</f>
        <v/>
      </c>
    </row>
    <row r="7495" spans="14:14" x14ac:dyDescent="0.3">
      <c r="N7495" t="str" cm="1">
        <f t="array" ref="N7495">IF(MOD(ROW()-ROW($B$2),16)=0,INDEX($M$2:$M$1000,(ROW()-ROW($B$2))/16+1),"")</f>
        <v/>
      </c>
    </row>
    <row r="7496" spans="14:14" x14ac:dyDescent="0.3">
      <c r="N7496" t="str" cm="1">
        <f t="array" ref="N7496">IF(MOD(ROW()-ROW($B$2),16)=0,INDEX($M$2:$M$1000,(ROW()-ROW($B$2))/16+1),"")</f>
        <v/>
      </c>
    </row>
    <row r="7497" spans="14:14" x14ac:dyDescent="0.3">
      <c r="N7497" t="str" cm="1">
        <f t="array" ref="N7497">IF(MOD(ROW()-ROW($B$2),16)=0,INDEX($M$2:$M$1000,(ROW()-ROW($B$2))/16+1),"")</f>
        <v/>
      </c>
    </row>
    <row r="7498" spans="14:14" x14ac:dyDescent="0.3">
      <c r="N7498" t="str" cm="1">
        <f t="array" ref="N7498">IF(MOD(ROW()-ROW($B$2),16)=0,INDEX($M$2:$M$1000,(ROW()-ROW($B$2))/16+1),"")</f>
        <v/>
      </c>
    </row>
    <row r="7499" spans="14:14" x14ac:dyDescent="0.3">
      <c r="N7499" t="str" cm="1">
        <f t="array" ref="N7499">IF(MOD(ROW()-ROW($B$2),16)=0,INDEX($M$2:$M$1000,(ROW()-ROW($B$2))/16+1),"")</f>
        <v/>
      </c>
    </row>
    <row r="7500" spans="14:14" x14ac:dyDescent="0.3">
      <c r="N7500" t="str" cm="1">
        <f t="array" ref="N7500">IF(MOD(ROW()-ROW($B$2),16)=0,INDEX($M$2:$M$1000,(ROW()-ROW($B$2))/16+1),"")</f>
        <v/>
      </c>
    </row>
    <row r="7501" spans="14:14" x14ac:dyDescent="0.3">
      <c r="N7501" t="str" cm="1">
        <f t="array" ref="N7501">IF(MOD(ROW()-ROW($B$2),16)=0,INDEX($M$2:$M$1000,(ROW()-ROW($B$2))/16+1),"")</f>
        <v/>
      </c>
    </row>
    <row r="7502" spans="14:14" x14ac:dyDescent="0.3">
      <c r="N7502" t="str" cm="1">
        <f t="array" ref="N7502">IF(MOD(ROW()-ROW($B$2),16)=0,INDEX($M$2:$M$1000,(ROW()-ROW($B$2))/16+1),"")</f>
        <v/>
      </c>
    </row>
    <row r="7503" spans="14:14" x14ac:dyDescent="0.3">
      <c r="N7503" t="str" cm="1">
        <f t="array" ref="N7503">IF(MOD(ROW()-ROW($B$2),16)=0,INDEX($M$2:$M$1000,(ROW()-ROW($B$2))/16+1),"")</f>
        <v/>
      </c>
    </row>
    <row r="7504" spans="14:14" x14ac:dyDescent="0.3">
      <c r="N7504" t="str" cm="1">
        <f t="array" ref="N7504">IF(MOD(ROW()-ROW($B$2),16)=0,INDEX($M$2:$M$1000,(ROW()-ROW($B$2))/16+1),"")</f>
        <v/>
      </c>
    </row>
    <row r="7505" spans="14:14" x14ac:dyDescent="0.3">
      <c r="N7505" t="str" cm="1">
        <f t="array" ref="N7505">IF(MOD(ROW()-ROW($B$2),16)=0,INDEX($M$2:$M$1000,(ROW()-ROW($B$2))/16+1),"")</f>
        <v/>
      </c>
    </row>
    <row r="7506" spans="14:14" x14ac:dyDescent="0.3">
      <c r="N7506" t="str" cm="1">
        <f t="array" ref="N7506">IF(MOD(ROW()-ROW($B$2),16)=0,INDEX($M$2:$M$1000,(ROW()-ROW($B$2))/16+1),"")</f>
        <v/>
      </c>
    </row>
    <row r="7507" spans="14:14" x14ac:dyDescent="0.3">
      <c r="N7507" t="str" cm="1">
        <f t="array" ref="N7507">IF(MOD(ROW()-ROW($B$2),16)=0,INDEX($M$2:$M$1000,(ROW()-ROW($B$2))/16+1),"")</f>
        <v/>
      </c>
    </row>
    <row r="7508" spans="14:14" x14ac:dyDescent="0.3">
      <c r="N7508" t="str" cm="1">
        <f t="array" ref="N7508">IF(MOD(ROW()-ROW($B$2),16)=0,INDEX($M$2:$M$1000,(ROW()-ROW($B$2))/16+1),"")</f>
        <v/>
      </c>
    </row>
    <row r="7509" spans="14:14" x14ac:dyDescent="0.3">
      <c r="N7509" t="str" cm="1">
        <f t="array" ref="N7509">IF(MOD(ROW()-ROW($B$2),16)=0,INDEX($M$2:$M$1000,(ROW()-ROW($B$2))/16+1),"")</f>
        <v/>
      </c>
    </row>
    <row r="7510" spans="14:14" x14ac:dyDescent="0.3">
      <c r="N7510" t="str" cm="1">
        <f t="array" ref="N7510">IF(MOD(ROW()-ROW($B$2),16)=0,INDEX($M$2:$M$1000,(ROW()-ROW($B$2))/16+1),"")</f>
        <v/>
      </c>
    </row>
    <row r="7511" spans="14:14" x14ac:dyDescent="0.3">
      <c r="N7511" t="str" cm="1">
        <f t="array" ref="N7511">IF(MOD(ROW()-ROW($B$2),16)=0,INDEX($M$2:$M$1000,(ROW()-ROW($B$2))/16+1),"")</f>
        <v/>
      </c>
    </row>
    <row r="7512" spans="14:14" x14ac:dyDescent="0.3">
      <c r="N7512" t="str" cm="1">
        <f t="array" ref="N7512">IF(MOD(ROW()-ROW($B$2),16)=0,INDEX($M$2:$M$1000,(ROW()-ROW($B$2))/16+1),"")</f>
        <v/>
      </c>
    </row>
    <row r="7513" spans="14:14" x14ac:dyDescent="0.3">
      <c r="N7513" t="str" cm="1">
        <f t="array" ref="N7513">IF(MOD(ROW()-ROW($B$2),16)=0,INDEX($M$2:$M$1000,(ROW()-ROW($B$2))/16+1),"")</f>
        <v/>
      </c>
    </row>
    <row r="7514" spans="14:14" x14ac:dyDescent="0.3">
      <c r="N7514" t="str" cm="1">
        <f t="array" ref="N7514">IF(MOD(ROW()-ROW($B$2),16)=0,INDEX($M$2:$M$1000,(ROW()-ROW($B$2))/16+1),"")</f>
        <v/>
      </c>
    </row>
    <row r="7515" spans="14:14" x14ac:dyDescent="0.3">
      <c r="N7515" t="str" cm="1">
        <f t="array" ref="N7515">IF(MOD(ROW()-ROW($B$2),16)=0,INDEX($M$2:$M$1000,(ROW()-ROW($B$2))/16+1),"")</f>
        <v/>
      </c>
    </row>
    <row r="7516" spans="14:14" x14ac:dyDescent="0.3">
      <c r="N7516" t="str" cm="1">
        <f t="array" ref="N7516">IF(MOD(ROW()-ROW($B$2),16)=0,INDEX($M$2:$M$1000,(ROW()-ROW($B$2))/16+1),"")</f>
        <v/>
      </c>
    </row>
    <row r="7517" spans="14:14" x14ac:dyDescent="0.3">
      <c r="N7517" t="str" cm="1">
        <f t="array" ref="N7517">IF(MOD(ROW()-ROW($B$2),16)=0,INDEX($M$2:$M$1000,(ROW()-ROW($B$2))/16+1),"")</f>
        <v/>
      </c>
    </row>
    <row r="7518" spans="14:14" x14ac:dyDescent="0.3">
      <c r="N7518" t="str" cm="1">
        <f t="array" ref="N7518">IF(MOD(ROW()-ROW($B$2),16)=0,INDEX($M$2:$M$1000,(ROW()-ROW($B$2))/16+1),"")</f>
        <v/>
      </c>
    </row>
    <row r="7519" spans="14:14" x14ac:dyDescent="0.3">
      <c r="N7519" t="str" cm="1">
        <f t="array" ref="N7519">IF(MOD(ROW()-ROW($B$2),16)=0,INDEX($M$2:$M$1000,(ROW()-ROW($B$2))/16+1),"")</f>
        <v/>
      </c>
    </row>
    <row r="7520" spans="14:14" x14ac:dyDescent="0.3">
      <c r="N7520" t="str" cm="1">
        <f t="array" ref="N7520">IF(MOD(ROW()-ROW($B$2),16)=0,INDEX($M$2:$M$1000,(ROW()-ROW($B$2))/16+1),"")</f>
        <v/>
      </c>
    </row>
    <row r="7521" spans="14:14" x14ac:dyDescent="0.3">
      <c r="N7521" t="str" cm="1">
        <f t="array" ref="N7521">IF(MOD(ROW()-ROW($B$2),16)=0,INDEX($M$2:$M$1000,(ROW()-ROW($B$2))/16+1),"")</f>
        <v/>
      </c>
    </row>
    <row r="7522" spans="14:14" x14ac:dyDescent="0.3">
      <c r="N7522" t="str" cm="1">
        <f t="array" ref="N7522">IF(MOD(ROW()-ROW($B$2),16)=0,INDEX($M$2:$M$1000,(ROW()-ROW($B$2))/16+1),"")</f>
        <v/>
      </c>
    </row>
    <row r="7523" spans="14:14" x14ac:dyDescent="0.3">
      <c r="N7523" t="str" cm="1">
        <f t="array" ref="N7523">IF(MOD(ROW()-ROW($B$2),16)=0,INDEX($M$2:$M$1000,(ROW()-ROW($B$2))/16+1),"")</f>
        <v/>
      </c>
    </row>
    <row r="7524" spans="14:14" x14ac:dyDescent="0.3">
      <c r="N7524" t="str" cm="1">
        <f t="array" ref="N7524">IF(MOD(ROW()-ROW($B$2),16)=0,INDEX($M$2:$M$1000,(ROW()-ROW($B$2))/16+1),"")</f>
        <v/>
      </c>
    </row>
    <row r="7525" spans="14:14" x14ac:dyDescent="0.3">
      <c r="N7525" t="str" cm="1">
        <f t="array" ref="N7525">IF(MOD(ROW()-ROW($B$2),16)=0,INDEX($M$2:$M$1000,(ROW()-ROW($B$2))/16+1),"")</f>
        <v/>
      </c>
    </row>
    <row r="7526" spans="14:14" x14ac:dyDescent="0.3">
      <c r="N7526" t="str" cm="1">
        <f t="array" ref="N7526">IF(MOD(ROW()-ROW($B$2),16)=0,INDEX($M$2:$M$1000,(ROW()-ROW($B$2))/16+1),"")</f>
        <v/>
      </c>
    </row>
    <row r="7527" spans="14:14" x14ac:dyDescent="0.3">
      <c r="N7527" t="str" cm="1">
        <f t="array" ref="N7527">IF(MOD(ROW()-ROW($B$2),16)=0,INDEX($M$2:$M$1000,(ROW()-ROW($B$2))/16+1),"")</f>
        <v/>
      </c>
    </row>
    <row r="7528" spans="14:14" x14ac:dyDescent="0.3">
      <c r="N7528" t="str" cm="1">
        <f t="array" ref="N7528">IF(MOD(ROW()-ROW($B$2),16)=0,INDEX($M$2:$M$1000,(ROW()-ROW($B$2))/16+1),"")</f>
        <v/>
      </c>
    </row>
    <row r="7529" spans="14:14" x14ac:dyDescent="0.3">
      <c r="N7529" t="str" cm="1">
        <f t="array" ref="N7529">IF(MOD(ROW()-ROW($B$2),16)=0,INDEX($M$2:$M$1000,(ROW()-ROW($B$2))/16+1),"")</f>
        <v/>
      </c>
    </row>
    <row r="7530" spans="14:14" x14ac:dyDescent="0.3">
      <c r="N7530" t="str" cm="1">
        <f t="array" ref="N7530">IF(MOD(ROW()-ROW($B$2),16)=0,INDEX($M$2:$M$1000,(ROW()-ROW($B$2))/16+1),"")</f>
        <v/>
      </c>
    </row>
    <row r="7531" spans="14:14" x14ac:dyDescent="0.3">
      <c r="N7531" t="str" cm="1">
        <f t="array" ref="N7531">IF(MOD(ROW()-ROW($B$2),16)=0,INDEX($M$2:$M$1000,(ROW()-ROW($B$2))/16+1),"")</f>
        <v/>
      </c>
    </row>
    <row r="7532" spans="14:14" x14ac:dyDescent="0.3">
      <c r="N7532" t="str" cm="1">
        <f t="array" ref="N7532">IF(MOD(ROW()-ROW($B$2),16)=0,INDEX($M$2:$M$1000,(ROW()-ROW($B$2))/16+1),"")</f>
        <v/>
      </c>
    </row>
    <row r="7533" spans="14:14" x14ac:dyDescent="0.3">
      <c r="N7533" t="str" cm="1">
        <f t="array" ref="N7533">IF(MOD(ROW()-ROW($B$2),16)=0,INDEX($M$2:$M$1000,(ROW()-ROW($B$2))/16+1),"")</f>
        <v/>
      </c>
    </row>
    <row r="7534" spans="14:14" x14ac:dyDescent="0.3">
      <c r="N7534" t="str" cm="1">
        <f t="array" ref="N7534">IF(MOD(ROW()-ROW($B$2),16)=0,INDEX($M$2:$M$1000,(ROW()-ROW($B$2))/16+1),"")</f>
        <v/>
      </c>
    </row>
    <row r="7535" spans="14:14" x14ac:dyDescent="0.3">
      <c r="N7535" t="str" cm="1">
        <f t="array" ref="N7535">IF(MOD(ROW()-ROW($B$2),16)=0,INDEX($M$2:$M$1000,(ROW()-ROW($B$2))/16+1),"")</f>
        <v/>
      </c>
    </row>
    <row r="7536" spans="14:14" x14ac:dyDescent="0.3">
      <c r="N7536" t="str" cm="1">
        <f t="array" ref="N7536">IF(MOD(ROW()-ROW($B$2),16)=0,INDEX($M$2:$M$1000,(ROW()-ROW($B$2))/16+1),"")</f>
        <v/>
      </c>
    </row>
    <row r="7537" spans="14:14" x14ac:dyDescent="0.3">
      <c r="N7537" t="str" cm="1">
        <f t="array" ref="N7537">IF(MOD(ROW()-ROW($B$2),16)=0,INDEX($M$2:$M$1000,(ROW()-ROW($B$2))/16+1),"")</f>
        <v/>
      </c>
    </row>
    <row r="7538" spans="14:14" x14ac:dyDescent="0.3">
      <c r="N7538" t="str" cm="1">
        <f t="array" ref="N7538">IF(MOD(ROW()-ROW($B$2),16)=0,INDEX($M$2:$M$1000,(ROW()-ROW($B$2))/16+1),"")</f>
        <v/>
      </c>
    </row>
    <row r="7539" spans="14:14" x14ac:dyDescent="0.3">
      <c r="N7539" t="str" cm="1">
        <f t="array" ref="N7539">IF(MOD(ROW()-ROW($B$2),16)=0,INDEX($M$2:$M$1000,(ROW()-ROW($B$2))/16+1),"")</f>
        <v/>
      </c>
    </row>
    <row r="7540" spans="14:14" x14ac:dyDescent="0.3">
      <c r="N7540" t="str" cm="1">
        <f t="array" ref="N7540">IF(MOD(ROW()-ROW($B$2),16)=0,INDEX($M$2:$M$1000,(ROW()-ROW($B$2))/16+1),"")</f>
        <v/>
      </c>
    </row>
    <row r="7541" spans="14:14" x14ac:dyDescent="0.3">
      <c r="N7541" t="str" cm="1">
        <f t="array" ref="N7541">IF(MOD(ROW()-ROW($B$2),16)=0,INDEX($M$2:$M$1000,(ROW()-ROW($B$2))/16+1),"")</f>
        <v/>
      </c>
    </row>
    <row r="7542" spans="14:14" x14ac:dyDescent="0.3">
      <c r="N7542" t="str" cm="1">
        <f t="array" ref="N7542">IF(MOD(ROW()-ROW($B$2),16)=0,INDEX($M$2:$M$1000,(ROW()-ROW($B$2))/16+1),"")</f>
        <v/>
      </c>
    </row>
    <row r="7543" spans="14:14" x14ac:dyDescent="0.3">
      <c r="N7543" t="str" cm="1">
        <f t="array" ref="N7543">IF(MOD(ROW()-ROW($B$2),16)=0,INDEX($M$2:$M$1000,(ROW()-ROW($B$2))/16+1),"")</f>
        <v/>
      </c>
    </row>
    <row r="7544" spans="14:14" x14ac:dyDescent="0.3">
      <c r="N7544" t="str" cm="1">
        <f t="array" ref="N7544">IF(MOD(ROW()-ROW($B$2),16)=0,INDEX($M$2:$M$1000,(ROW()-ROW($B$2))/16+1),"")</f>
        <v/>
      </c>
    </row>
    <row r="7545" spans="14:14" x14ac:dyDescent="0.3">
      <c r="N7545" t="str" cm="1">
        <f t="array" ref="N7545">IF(MOD(ROW()-ROW($B$2),16)=0,INDEX($M$2:$M$1000,(ROW()-ROW($B$2))/16+1),"")</f>
        <v/>
      </c>
    </row>
    <row r="7546" spans="14:14" x14ac:dyDescent="0.3">
      <c r="N7546" t="str" cm="1">
        <f t="array" ref="N7546">IF(MOD(ROW()-ROW($B$2),16)=0,INDEX($M$2:$M$1000,(ROW()-ROW($B$2))/16+1),"")</f>
        <v/>
      </c>
    </row>
    <row r="7547" spans="14:14" x14ac:dyDescent="0.3">
      <c r="N7547" t="str" cm="1">
        <f t="array" ref="N7547">IF(MOD(ROW()-ROW($B$2),16)=0,INDEX($M$2:$M$1000,(ROW()-ROW($B$2))/16+1),"")</f>
        <v/>
      </c>
    </row>
    <row r="7548" spans="14:14" x14ac:dyDescent="0.3">
      <c r="N7548" t="str" cm="1">
        <f t="array" ref="N7548">IF(MOD(ROW()-ROW($B$2),16)=0,INDEX($M$2:$M$1000,(ROW()-ROW($B$2))/16+1),"")</f>
        <v/>
      </c>
    </row>
    <row r="7549" spans="14:14" x14ac:dyDescent="0.3">
      <c r="N7549" t="str" cm="1">
        <f t="array" ref="N7549">IF(MOD(ROW()-ROW($B$2),16)=0,INDEX($M$2:$M$1000,(ROW()-ROW($B$2))/16+1),"")</f>
        <v/>
      </c>
    </row>
    <row r="7550" spans="14:14" x14ac:dyDescent="0.3">
      <c r="N7550" t="str" cm="1">
        <f t="array" ref="N7550">IF(MOD(ROW()-ROW($B$2),16)=0,INDEX($M$2:$M$1000,(ROW()-ROW($B$2))/16+1),"")</f>
        <v/>
      </c>
    </row>
    <row r="7551" spans="14:14" x14ac:dyDescent="0.3">
      <c r="N7551" t="str" cm="1">
        <f t="array" ref="N7551">IF(MOD(ROW()-ROW($B$2),16)=0,INDEX($M$2:$M$1000,(ROW()-ROW($B$2))/16+1),"")</f>
        <v/>
      </c>
    </row>
    <row r="7552" spans="14:14" x14ac:dyDescent="0.3">
      <c r="N7552" t="str" cm="1">
        <f t="array" ref="N7552">IF(MOD(ROW()-ROW($B$2),16)=0,INDEX($M$2:$M$1000,(ROW()-ROW($B$2))/16+1),"")</f>
        <v/>
      </c>
    </row>
    <row r="7553" spans="14:14" x14ac:dyDescent="0.3">
      <c r="N7553" t="str" cm="1">
        <f t="array" ref="N7553">IF(MOD(ROW()-ROW($B$2),16)=0,INDEX($M$2:$M$1000,(ROW()-ROW($B$2))/16+1),"")</f>
        <v/>
      </c>
    </row>
    <row r="7554" spans="14:14" x14ac:dyDescent="0.3">
      <c r="N7554" t="str" cm="1">
        <f t="array" ref="N7554">IF(MOD(ROW()-ROW($B$2),16)=0,INDEX($M$2:$M$1000,(ROW()-ROW($B$2))/16+1),"")</f>
        <v/>
      </c>
    </row>
    <row r="7555" spans="14:14" x14ac:dyDescent="0.3">
      <c r="N7555" t="str" cm="1">
        <f t="array" ref="N7555">IF(MOD(ROW()-ROW($B$2),16)=0,INDEX($M$2:$M$1000,(ROW()-ROW($B$2))/16+1),"")</f>
        <v/>
      </c>
    </row>
    <row r="7556" spans="14:14" x14ac:dyDescent="0.3">
      <c r="N7556" t="str" cm="1">
        <f t="array" ref="N7556">IF(MOD(ROW()-ROW($B$2),16)=0,INDEX($M$2:$M$1000,(ROW()-ROW($B$2))/16+1),"")</f>
        <v/>
      </c>
    </row>
    <row r="7557" spans="14:14" x14ac:dyDescent="0.3">
      <c r="N7557" t="str" cm="1">
        <f t="array" ref="N7557">IF(MOD(ROW()-ROW($B$2),16)=0,INDEX($M$2:$M$1000,(ROW()-ROW($B$2))/16+1),"")</f>
        <v/>
      </c>
    </row>
    <row r="7558" spans="14:14" x14ac:dyDescent="0.3">
      <c r="N7558" t="str" cm="1">
        <f t="array" ref="N7558">IF(MOD(ROW()-ROW($B$2),16)=0,INDEX($M$2:$M$1000,(ROW()-ROW($B$2))/16+1),"")</f>
        <v/>
      </c>
    </row>
    <row r="7559" spans="14:14" x14ac:dyDescent="0.3">
      <c r="N7559" t="str" cm="1">
        <f t="array" ref="N7559">IF(MOD(ROW()-ROW($B$2),16)=0,INDEX($M$2:$M$1000,(ROW()-ROW($B$2))/16+1),"")</f>
        <v/>
      </c>
    </row>
    <row r="7560" spans="14:14" x14ac:dyDescent="0.3">
      <c r="N7560" t="str" cm="1">
        <f t="array" ref="N7560">IF(MOD(ROW()-ROW($B$2),16)=0,INDEX($M$2:$M$1000,(ROW()-ROW($B$2))/16+1),"")</f>
        <v/>
      </c>
    </row>
    <row r="7561" spans="14:14" x14ac:dyDescent="0.3">
      <c r="N7561" t="str" cm="1">
        <f t="array" ref="N7561">IF(MOD(ROW()-ROW($B$2),16)=0,INDEX($M$2:$M$1000,(ROW()-ROW($B$2))/16+1),"")</f>
        <v/>
      </c>
    </row>
    <row r="7562" spans="14:14" x14ac:dyDescent="0.3">
      <c r="N7562" t="str" cm="1">
        <f t="array" ref="N7562">IF(MOD(ROW()-ROW($B$2),16)=0,INDEX($M$2:$M$1000,(ROW()-ROW($B$2))/16+1),"")</f>
        <v/>
      </c>
    </row>
    <row r="7563" spans="14:14" x14ac:dyDescent="0.3">
      <c r="N7563" t="str" cm="1">
        <f t="array" ref="N7563">IF(MOD(ROW()-ROW($B$2),16)=0,INDEX($M$2:$M$1000,(ROW()-ROW($B$2))/16+1),"")</f>
        <v/>
      </c>
    </row>
    <row r="7564" spans="14:14" x14ac:dyDescent="0.3">
      <c r="N7564" t="str" cm="1">
        <f t="array" ref="N7564">IF(MOD(ROW()-ROW($B$2),16)=0,INDEX($M$2:$M$1000,(ROW()-ROW($B$2))/16+1),"")</f>
        <v/>
      </c>
    </row>
    <row r="7565" spans="14:14" x14ac:dyDescent="0.3">
      <c r="N7565" t="str" cm="1">
        <f t="array" ref="N7565">IF(MOD(ROW()-ROW($B$2),16)=0,INDEX($M$2:$M$1000,(ROW()-ROW($B$2))/16+1),"")</f>
        <v/>
      </c>
    </row>
    <row r="7566" spans="14:14" x14ac:dyDescent="0.3">
      <c r="N7566" t="str" cm="1">
        <f t="array" ref="N7566">IF(MOD(ROW()-ROW($B$2),16)=0,INDEX($M$2:$M$1000,(ROW()-ROW($B$2))/16+1),"")</f>
        <v/>
      </c>
    </row>
    <row r="7567" spans="14:14" x14ac:dyDescent="0.3">
      <c r="N7567" t="str" cm="1">
        <f t="array" ref="N7567">IF(MOD(ROW()-ROW($B$2),16)=0,INDEX($M$2:$M$1000,(ROW()-ROW($B$2))/16+1),"")</f>
        <v/>
      </c>
    </row>
    <row r="7568" spans="14:14" x14ac:dyDescent="0.3">
      <c r="N7568" t="str" cm="1">
        <f t="array" ref="N7568">IF(MOD(ROW()-ROW($B$2),16)=0,INDEX($M$2:$M$1000,(ROW()-ROW($B$2))/16+1),"")</f>
        <v/>
      </c>
    </row>
    <row r="7569" spans="14:14" x14ac:dyDescent="0.3">
      <c r="N7569" t="str" cm="1">
        <f t="array" ref="N7569">IF(MOD(ROW()-ROW($B$2),16)=0,INDEX($M$2:$M$1000,(ROW()-ROW($B$2))/16+1),"")</f>
        <v/>
      </c>
    </row>
    <row r="7570" spans="14:14" x14ac:dyDescent="0.3">
      <c r="N7570" t="str" cm="1">
        <f t="array" ref="N7570">IF(MOD(ROW()-ROW($B$2),16)=0,INDEX($M$2:$M$1000,(ROW()-ROW($B$2))/16+1),"")</f>
        <v/>
      </c>
    </row>
    <row r="7571" spans="14:14" x14ac:dyDescent="0.3">
      <c r="N7571" t="str" cm="1">
        <f t="array" ref="N7571">IF(MOD(ROW()-ROW($B$2),16)=0,INDEX($M$2:$M$1000,(ROW()-ROW($B$2))/16+1),"")</f>
        <v/>
      </c>
    </row>
    <row r="7572" spans="14:14" x14ac:dyDescent="0.3">
      <c r="N7572" t="str" cm="1">
        <f t="array" ref="N7572">IF(MOD(ROW()-ROW($B$2),16)=0,INDEX($M$2:$M$1000,(ROW()-ROW($B$2))/16+1),"")</f>
        <v/>
      </c>
    </row>
    <row r="7573" spans="14:14" x14ac:dyDescent="0.3">
      <c r="N7573" t="str" cm="1">
        <f t="array" ref="N7573">IF(MOD(ROW()-ROW($B$2),16)=0,INDEX($M$2:$M$1000,(ROW()-ROW($B$2))/16+1),"")</f>
        <v/>
      </c>
    </row>
    <row r="7574" spans="14:14" x14ac:dyDescent="0.3">
      <c r="N7574" t="str" cm="1">
        <f t="array" ref="N7574">IF(MOD(ROW()-ROW($B$2),16)=0,INDEX($M$2:$M$1000,(ROW()-ROW($B$2))/16+1),"")</f>
        <v/>
      </c>
    </row>
    <row r="7575" spans="14:14" x14ac:dyDescent="0.3">
      <c r="N7575" t="str" cm="1">
        <f t="array" ref="N7575">IF(MOD(ROW()-ROW($B$2),16)=0,INDEX($M$2:$M$1000,(ROW()-ROW($B$2))/16+1),"")</f>
        <v/>
      </c>
    </row>
    <row r="7576" spans="14:14" x14ac:dyDescent="0.3">
      <c r="N7576" t="str" cm="1">
        <f t="array" ref="N7576">IF(MOD(ROW()-ROW($B$2),16)=0,INDEX($M$2:$M$1000,(ROW()-ROW($B$2))/16+1),"")</f>
        <v/>
      </c>
    </row>
    <row r="7577" spans="14:14" x14ac:dyDescent="0.3">
      <c r="N7577" t="str" cm="1">
        <f t="array" ref="N7577">IF(MOD(ROW()-ROW($B$2),16)=0,INDEX($M$2:$M$1000,(ROW()-ROW($B$2))/16+1),"")</f>
        <v/>
      </c>
    </row>
    <row r="7578" spans="14:14" x14ac:dyDescent="0.3">
      <c r="N7578" t="str" cm="1">
        <f t="array" ref="N7578">IF(MOD(ROW()-ROW($B$2),16)=0,INDEX($M$2:$M$1000,(ROW()-ROW($B$2))/16+1),"")</f>
        <v/>
      </c>
    </row>
    <row r="7579" spans="14:14" x14ac:dyDescent="0.3">
      <c r="N7579" t="str" cm="1">
        <f t="array" ref="N7579">IF(MOD(ROW()-ROW($B$2),16)=0,INDEX($M$2:$M$1000,(ROW()-ROW($B$2))/16+1),"")</f>
        <v/>
      </c>
    </row>
    <row r="7580" spans="14:14" x14ac:dyDescent="0.3">
      <c r="N7580" t="str" cm="1">
        <f t="array" ref="N7580">IF(MOD(ROW()-ROW($B$2),16)=0,INDEX($M$2:$M$1000,(ROW()-ROW($B$2))/16+1),"")</f>
        <v/>
      </c>
    </row>
    <row r="7581" spans="14:14" x14ac:dyDescent="0.3">
      <c r="N7581" t="str" cm="1">
        <f t="array" ref="N7581">IF(MOD(ROW()-ROW($B$2),16)=0,INDEX($M$2:$M$1000,(ROW()-ROW($B$2))/16+1),"")</f>
        <v/>
      </c>
    </row>
    <row r="7582" spans="14:14" x14ac:dyDescent="0.3">
      <c r="N7582" t="str" cm="1">
        <f t="array" ref="N7582">IF(MOD(ROW()-ROW($B$2),16)=0,INDEX($M$2:$M$1000,(ROW()-ROW($B$2))/16+1),"")</f>
        <v/>
      </c>
    </row>
    <row r="7583" spans="14:14" x14ac:dyDescent="0.3">
      <c r="N7583" t="str" cm="1">
        <f t="array" ref="N7583">IF(MOD(ROW()-ROW($B$2),16)=0,INDEX($M$2:$M$1000,(ROW()-ROW($B$2))/16+1),"")</f>
        <v/>
      </c>
    </row>
    <row r="7584" spans="14:14" x14ac:dyDescent="0.3">
      <c r="N7584" t="str" cm="1">
        <f t="array" ref="N7584">IF(MOD(ROW()-ROW($B$2),16)=0,INDEX($M$2:$M$1000,(ROW()-ROW($B$2))/16+1),"")</f>
        <v/>
      </c>
    </row>
    <row r="7585" spans="14:14" x14ac:dyDescent="0.3">
      <c r="N7585" t="str" cm="1">
        <f t="array" ref="N7585">IF(MOD(ROW()-ROW($B$2),16)=0,INDEX($M$2:$M$1000,(ROW()-ROW($B$2))/16+1),"")</f>
        <v/>
      </c>
    </row>
    <row r="7586" spans="14:14" x14ac:dyDescent="0.3">
      <c r="N7586" t="str" cm="1">
        <f t="array" ref="N7586">IF(MOD(ROW()-ROW($B$2),16)=0,INDEX($M$2:$M$1000,(ROW()-ROW($B$2))/16+1),"")</f>
        <v/>
      </c>
    </row>
    <row r="7587" spans="14:14" x14ac:dyDescent="0.3">
      <c r="N7587" t="str" cm="1">
        <f t="array" ref="N7587">IF(MOD(ROW()-ROW($B$2),16)=0,INDEX($M$2:$M$1000,(ROW()-ROW($B$2))/16+1),"")</f>
        <v/>
      </c>
    </row>
    <row r="7588" spans="14:14" x14ac:dyDescent="0.3">
      <c r="N7588" t="str" cm="1">
        <f t="array" ref="N7588">IF(MOD(ROW()-ROW($B$2),16)=0,INDEX($M$2:$M$1000,(ROW()-ROW($B$2))/16+1),"")</f>
        <v/>
      </c>
    </row>
    <row r="7589" spans="14:14" x14ac:dyDescent="0.3">
      <c r="N7589" t="str" cm="1">
        <f t="array" ref="N7589">IF(MOD(ROW()-ROW($B$2),16)=0,INDEX($M$2:$M$1000,(ROW()-ROW($B$2))/16+1),"")</f>
        <v/>
      </c>
    </row>
    <row r="7590" spans="14:14" x14ac:dyDescent="0.3">
      <c r="N7590" t="str" cm="1">
        <f t="array" ref="N7590">IF(MOD(ROW()-ROW($B$2),16)=0,INDEX($M$2:$M$1000,(ROW()-ROW($B$2))/16+1),"")</f>
        <v/>
      </c>
    </row>
    <row r="7591" spans="14:14" x14ac:dyDescent="0.3">
      <c r="N7591" t="str" cm="1">
        <f t="array" ref="N7591">IF(MOD(ROW()-ROW($B$2),16)=0,INDEX($M$2:$M$1000,(ROW()-ROW($B$2))/16+1),"")</f>
        <v/>
      </c>
    </row>
    <row r="7592" spans="14:14" x14ac:dyDescent="0.3">
      <c r="N7592" t="str" cm="1">
        <f t="array" ref="N7592">IF(MOD(ROW()-ROW($B$2),16)=0,INDEX($M$2:$M$1000,(ROW()-ROW($B$2))/16+1),"")</f>
        <v/>
      </c>
    </row>
    <row r="7593" spans="14:14" x14ac:dyDescent="0.3">
      <c r="N7593" t="str" cm="1">
        <f t="array" ref="N7593">IF(MOD(ROW()-ROW($B$2),16)=0,INDEX($M$2:$M$1000,(ROW()-ROW($B$2))/16+1),"")</f>
        <v/>
      </c>
    </row>
    <row r="7594" spans="14:14" x14ac:dyDescent="0.3">
      <c r="N7594" t="str" cm="1">
        <f t="array" ref="N7594">IF(MOD(ROW()-ROW($B$2),16)=0,INDEX($M$2:$M$1000,(ROW()-ROW($B$2))/16+1),"")</f>
        <v/>
      </c>
    </row>
    <row r="7595" spans="14:14" x14ac:dyDescent="0.3">
      <c r="N7595" t="str" cm="1">
        <f t="array" ref="N7595">IF(MOD(ROW()-ROW($B$2),16)=0,INDEX($M$2:$M$1000,(ROW()-ROW($B$2))/16+1),"")</f>
        <v/>
      </c>
    </row>
    <row r="7596" spans="14:14" x14ac:dyDescent="0.3">
      <c r="N7596" t="str" cm="1">
        <f t="array" ref="N7596">IF(MOD(ROW()-ROW($B$2),16)=0,INDEX($M$2:$M$1000,(ROW()-ROW($B$2))/16+1),"")</f>
        <v/>
      </c>
    </row>
    <row r="7597" spans="14:14" x14ac:dyDescent="0.3">
      <c r="N7597" t="str" cm="1">
        <f t="array" ref="N7597">IF(MOD(ROW()-ROW($B$2),16)=0,INDEX($M$2:$M$1000,(ROW()-ROW($B$2))/16+1),"")</f>
        <v/>
      </c>
    </row>
    <row r="7598" spans="14:14" x14ac:dyDescent="0.3">
      <c r="N7598" t="str" cm="1">
        <f t="array" ref="N7598">IF(MOD(ROW()-ROW($B$2),16)=0,INDEX($M$2:$M$1000,(ROW()-ROW($B$2))/16+1),"")</f>
        <v/>
      </c>
    </row>
    <row r="7599" spans="14:14" x14ac:dyDescent="0.3">
      <c r="N7599" t="str" cm="1">
        <f t="array" ref="N7599">IF(MOD(ROW()-ROW($B$2),16)=0,INDEX($M$2:$M$1000,(ROW()-ROW($B$2))/16+1),"")</f>
        <v/>
      </c>
    </row>
    <row r="7600" spans="14:14" x14ac:dyDescent="0.3">
      <c r="N7600" t="str" cm="1">
        <f t="array" ref="N7600">IF(MOD(ROW()-ROW($B$2),16)=0,INDEX($M$2:$M$1000,(ROW()-ROW($B$2))/16+1),"")</f>
        <v/>
      </c>
    </row>
    <row r="7601" spans="14:14" x14ac:dyDescent="0.3">
      <c r="N7601" t="str" cm="1">
        <f t="array" ref="N7601">IF(MOD(ROW()-ROW($B$2),16)=0,INDEX($M$2:$M$1000,(ROW()-ROW($B$2))/16+1),"")</f>
        <v/>
      </c>
    </row>
    <row r="7602" spans="14:14" x14ac:dyDescent="0.3">
      <c r="N7602" t="str" cm="1">
        <f t="array" ref="N7602">IF(MOD(ROW()-ROW($B$2),16)=0,INDEX($M$2:$M$1000,(ROW()-ROW($B$2))/16+1),"")</f>
        <v/>
      </c>
    </row>
    <row r="7603" spans="14:14" x14ac:dyDescent="0.3">
      <c r="N7603" t="str" cm="1">
        <f t="array" ref="N7603">IF(MOD(ROW()-ROW($B$2),16)=0,INDEX($M$2:$M$1000,(ROW()-ROW($B$2))/16+1),"")</f>
        <v/>
      </c>
    </row>
    <row r="7604" spans="14:14" x14ac:dyDescent="0.3">
      <c r="N7604" t="str" cm="1">
        <f t="array" ref="N7604">IF(MOD(ROW()-ROW($B$2),16)=0,INDEX($M$2:$M$1000,(ROW()-ROW($B$2))/16+1),"")</f>
        <v/>
      </c>
    </row>
    <row r="7605" spans="14:14" x14ac:dyDescent="0.3">
      <c r="N7605" t="str" cm="1">
        <f t="array" ref="N7605">IF(MOD(ROW()-ROW($B$2),16)=0,INDEX($M$2:$M$1000,(ROW()-ROW($B$2))/16+1),"")</f>
        <v/>
      </c>
    </row>
    <row r="7606" spans="14:14" x14ac:dyDescent="0.3">
      <c r="N7606" t="str" cm="1">
        <f t="array" ref="N7606">IF(MOD(ROW()-ROW($B$2),16)=0,INDEX($M$2:$M$1000,(ROW()-ROW($B$2))/16+1),"")</f>
        <v/>
      </c>
    </row>
    <row r="7607" spans="14:14" x14ac:dyDescent="0.3">
      <c r="N7607" t="str" cm="1">
        <f t="array" ref="N7607">IF(MOD(ROW()-ROW($B$2),16)=0,INDEX($M$2:$M$1000,(ROW()-ROW($B$2))/16+1),"")</f>
        <v/>
      </c>
    </row>
    <row r="7608" spans="14:14" x14ac:dyDescent="0.3">
      <c r="N7608" t="str" cm="1">
        <f t="array" ref="N7608">IF(MOD(ROW()-ROW($B$2),16)=0,INDEX($M$2:$M$1000,(ROW()-ROW($B$2))/16+1),"")</f>
        <v/>
      </c>
    </row>
    <row r="7609" spans="14:14" x14ac:dyDescent="0.3">
      <c r="N7609" t="str" cm="1">
        <f t="array" ref="N7609">IF(MOD(ROW()-ROW($B$2),16)=0,INDEX($M$2:$M$1000,(ROW()-ROW($B$2))/16+1),"")</f>
        <v/>
      </c>
    </row>
    <row r="7610" spans="14:14" x14ac:dyDescent="0.3">
      <c r="N7610" t="str" cm="1">
        <f t="array" ref="N7610">IF(MOD(ROW()-ROW($B$2),16)=0,INDEX($M$2:$M$1000,(ROW()-ROW($B$2))/16+1),"")</f>
        <v/>
      </c>
    </row>
    <row r="7611" spans="14:14" x14ac:dyDescent="0.3">
      <c r="N7611" t="str" cm="1">
        <f t="array" ref="N7611">IF(MOD(ROW()-ROW($B$2),16)=0,INDEX($M$2:$M$1000,(ROW()-ROW($B$2))/16+1),"")</f>
        <v/>
      </c>
    </row>
    <row r="7612" spans="14:14" x14ac:dyDescent="0.3">
      <c r="N7612" t="str" cm="1">
        <f t="array" ref="N7612">IF(MOD(ROW()-ROW($B$2),16)=0,INDEX($M$2:$M$1000,(ROW()-ROW($B$2))/16+1),"")</f>
        <v/>
      </c>
    </row>
    <row r="7613" spans="14:14" x14ac:dyDescent="0.3">
      <c r="N7613" t="str" cm="1">
        <f t="array" ref="N7613">IF(MOD(ROW()-ROW($B$2),16)=0,INDEX($M$2:$M$1000,(ROW()-ROW($B$2))/16+1),"")</f>
        <v/>
      </c>
    </row>
    <row r="7614" spans="14:14" x14ac:dyDescent="0.3">
      <c r="N7614" t="str" cm="1">
        <f t="array" ref="N7614">IF(MOD(ROW()-ROW($B$2),16)=0,INDEX($M$2:$M$1000,(ROW()-ROW($B$2))/16+1),"")</f>
        <v/>
      </c>
    </row>
    <row r="7615" spans="14:14" x14ac:dyDescent="0.3">
      <c r="N7615" t="str" cm="1">
        <f t="array" ref="N7615">IF(MOD(ROW()-ROW($B$2),16)=0,INDEX($M$2:$M$1000,(ROW()-ROW($B$2))/16+1),"")</f>
        <v/>
      </c>
    </row>
    <row r="7616" spans="14:14" x14ac:dyDescent="0.3">
      <c r="N7616" t="str" cm="1">
        <f t="array" ref="N7616">IF(MOD(ROW()-ROW($B$2),16)=0,INDEX($M$2:$M$1000,(ROW()-ROW($B$2))/16+1),"")</f>
        <v/>
      </c>
    </row>
    <row r="7617" spans="14:14" x14ac:dyDescent="0.3">
      <c r="N7617" t="str" cm="1">
        <f t="array" ref="N7617">IF(MOD(ROW()-ROW($B$2),16)=0,INDEX($M$2:$M$1000,(ROW()-ROW($B$2))/16+1),"")</f>
        <v/>
      </c>
    </row>
    <row r="7618" spans="14:14" x14ac:dyDescent="0.3">
      <c r="N7618" t="str" cm="1">
        <f t="array" ref="N7618">IF(MOD(ROW()-ROW($B$2),16)=0,INDEX($M$2:$M$1000,(ROW()-ROW($B$2))/16+1),"")</f>
        <v/>
      </c>
    </row>
    <row r="7619" spans="14:14" x14ac:dyDescent="0.3">
      <c r="N7619" t="str" cm="1">
        <f t="array" ref="N7619">IF(MOD(ROW()-ROW($B$2),16)=0,INDEX($M$2:$M$1000,(ROW()-ROW($B$2))/16+1),"")</f>
        <v/>
      </c>
    </row>
    <row r="7620" spans="14:14" x14ac:dyDescent="0.3">
      <c r="N7620" t="str" cm="1">
        <f t="array" ref="N7620">IF(MOD(ROW()-ROW($B$2),16)=0,INDEX($M$2:$M$1000,(ROW()-ROW($B$2))/16+1),"")</f>
        <v/>
      </c>
    </row>
    <row r="7621" spans="14:14" x14ac:dyDescent="0.3">
      <c r="N7621" t="str" cm="1">
        <f t="array" ref="N7621">IF(MOD(ROW()-ROW($B$2),16)=0,INDEX($M$2:$M$1000,(ROW()-ROW($B$2))/16+1),"")</f>
        <v/>
      </c>
    </row>
    <row r="7622" spans="14:14" x14ac:dyDescent="0.3">
      <c r="N7622" t="str" cm="1">
        <f t="array" ref="N7622">IF(MOD(ROW()-ROW($B$2),16)=0,INDEX($M$2:$M$1000,(ROW()-ROW($B$2))/16+1),"")</f>
        <v/>
      </c>
    </row>
    <row r="7623" spans="14:14" x14ac:dyDescent="0.3">
      <c r="N7623" t="str" cm="1">
        <f t="array" ref="N7623">IF(MOD(ROW()-ROW($B$2),16)=0,INDEX($M$2:$M$1000,(ROW()-ROW($B$2))/16+1),"")</f>
        <v/>
      </c>
    </row>
    <row r="7624" spans="14:14" x14ac:dyDescent="0.3">
      <c r="N7624" t="str" cm="1">
        <f t="array" ref="N7624">IF(MOD(ROW()-ROW($B$2),16)=0,INDEX($M$2:$M$1000,(ROW()-ROW($B$2))/16+1),"")</f>
        <v/>
      </c>
    </row>
    <row r="7625" spans="14:14" x14ac:dyDescent="0.3">
      <c r="N7625" t="str" cm="1">
        <f t="array" ref="N7625">IF(MOD(ROW()-ROW($B$2),16)=0,INDEX($M$2:$M$1000,(ROW()-ROW($B$2))/16+1),"")</f>
        <v/>
      </c>
    </row>
    <row r="7626" spans="14:14" x14ac:dyDescent="0.3">
      <c r="N7626" t="str" cm="1">
        <f t="array" ref="N7626">IF(MOD(ROW()-ROW($B$2),16)=0,INDEX($M$2:$M$1000,(ROW()-ROW($B$2))/16+1),"")</f>
        <v/>
      </c>
    </row>
    <row r="7627" spans="14:14" x14ac:dyDescent="0.3">
      <c r="N7627" t="str" cm="1">
        <f t="array" ref="N7627">IF(MOD(ROW()-ROW($B$2),16)=0,INDEX($M$2:$M$1000,(ROW()-ROW($B$2))/16+1),"")</f>
        <v/>
      </c>
    </row>
    <row r="7628" spans="14:14" x14ac:dyDescent="0.3">
      <c r="N7628" t="str" cm="1">
        <f t="array" ref="N7628">IF(MOD(ROW()-ROW($B$2),16)=0,INDEX($M$2:$M$1000,(ROW()-ROW($B$2))/16+1),"")</f>
        <v/>
      </c>
    </row>
    <row r="7629" spans="14:14" x14ac:dyDescent="0.3">
      <c r="N7629" t="str" cm="1">
        <f t="array" ref="N7629">IF(MOD(ROW()-ROW($B$2),16)=0,INDEX($M$2:$M$1000,(ROW()-ROW($B$2))/16+1),"")</f>
        <v/>
      </c>
    </row>
    <row r="7630" spans="14:14" x14ac:dyDescent="0.3">
      <c r="N7630" t="str" cm="1">
        <f t="array" ref="N7630">IF(MOD(ROW()-ROW($B$2),16)=0,INDEX($M$2:$M$1000,(ROW()-ROW($B$2))/16+1),"")</f>
        <v/>
      </c>
    </row>
    <row r="7631" spans="14:14" x14ac:dyDescent="0.3">
      <c r="N7631" t="str" cm="1">
        <f t="array" ref="N7631">IF(MOD(ROW()-ROW($B$2),16)=0,INDEX($M$2:$M$1000,(ROW()-ROW($B$2))/16+1),"")</f>
        <v/>
      </c>
    </row>
    <row r="7632" spans="14:14" x14ac:dyDescent="0.3">
      <c r="N7632" t="str" cm="1">
        <f t="array" ref="N7632">IF(MOD(ROW()-ROW($B$2),16)=0,INDEX($M$2:$M$1000,(ROW()-ROW($B$2))/16+1),"")</f>
        <v/>
      </c>
    </row>
    <row r="7633" spans="14:14" x14ac:dyDescent="0.3">
      <c r="N7633" t="str" cm="1">
        <f t="array" ref="N7633">IF(MOD(ROW()-ROW($B$2),16)=0,INDEX($M$2:$M$1000,(ROW()-ROW($B$2))/16+1),"")</f>
        <v/>
      </c>
    </row>
    <row r="7634" spans="14:14" x14ac:dyDescent="0.3">
      <c r="N7634" t="str" cm="1">
        <f t="array" ref="N7634">IF(MOD(ROW()-ROW($B$2),16)=0,INDEX($M$2:$M$1000,(ROW()-ROW($B$2))/16+1),"")</f>
        <v/>
      </c>
    </row>
    <row r="7635" spans="14:14" x14ac:dyDescent="0.3">
      <c r="N7635" t="str" cm="1">
        <f t="array" ref="N7635">IF(MOD(ROW()-ROW($B$2),16)=0,INDEX($M$2:$M$1000,(ROW()-ROW($B$2))/16+1),"")</f>
        <v/>
      </c>
    </row>
    <row r="7636" spans="14:14" x14ac:dyDescent="0.3">
      <c r="N7636" t="str" cm="1">
        <f t="array" ref="N7636">IF(MOD(ROW()-ROW($B$2),16)=0,INDEX($M$2:$M$1000,(ROW()-ROW($B$2))/16+1),"")</f>
        <v/>
      </c>
    </row>
    <row r="7637" spans="14:14" x14ac:dyDescent="0.3">
      <c r="N7637" t="str" cm="1">
        <f t="array" ref="N7637">IF(MOD(ROW()-ROW($B$2),16)=0,INDEX($M$2:$M$1000,(ROW()-ROW($B$2))/16+1),"")</f>
        <v/>
      </c>
    </row>
    <row r="7638" spans="14:14" x14ac:dyDescent="0.3">
      <c r="N7638" t="str" cm="1">
        <f t="array" ref="N7638">IF(MOD(ROW()-ROW($B$2),16)=0,INDEX($M$2:$M$1000,(ROW()-ROW($B$2))/16+1),"")</f>
        <v/>
      </c>
    </row>
    <row r="7639" spans="14:14" x14ac:dyDescent="0.3">
      <c r="N7639" t="str" cm="1">
        <f t="array" ref="N7639">IF(MOD(ROW()-ROW($B$2),16)=0,INDEX($M$2:$M$1000,(ROW()-ROW($B$2))/16+1),"")</f>
        <v/>
      </c>
    </row>
    <row r="7640" spans="14:14" x14ac:dyDescent="0.3">
      <c r="N7640" t="str" cm="1">
        <f t="array" ref="N7640">IF(MOD(ROW()-ROW($B$2),16)=0,INDEX($M$2:$M$1000,(ROW()-ROW($B$2))/16+1),"")</f>
        <v/>
      </c>
    </row>
    <row r="7641" spans="14:14" x14ac:dyDescent="0.3">
      <c r="N7641" t="str" cm="1">
        <f t="array" ref="N7641">IF(MOD(ROW()-ROW($B$2),16)=0,INDEX($M$2:$M$1000,(ROW()-ROW($B$2))/16+1),"")</f>
        <v/>
      </c>
    </row>
    <row r="7642" spans="14:14" x14ac:dyDescent="0.3">
      <c r="N7642" t="str" cm="1">
        <f t="array" ref="N7642">IF(MOD(ROW()-ROW($B$2),16)=0,INDEX($M$2:$M$1000,(ROW()-ROW($B$2))/16+1),"")</f>
        <v/>
      </c>
    </row>
    <row r="7643" spans="14:14" x14ac:dyDescent="0.3">
      <c r="N7643" t="str" cm="1">
        <f t="array" ref="N7643">IF(MOD(ROW()-ROW($B$2),16)=0,INDEX($M$2:$M$1000,(ROW()-ROW($B$2))/16+1),"")</f>
        <v/>
      </c>
    </row>
    <row r="7644" spans="14:14" x14ac:dyDescent="0.3">
      <c r="N7644" t="str" cm="1">
        <f t="array" ref="N7644">IF(MOD(ROW()-ROW($B$2),16)=0,INDEX($M$2:$M$1000,(ROW()-ROW($B$2))/16+1),"")</f>
        <v/>
      </c>
    </row>
    <row r="7645" spans="14:14" x14ac:dyDescent="0.3">
      <c r="N7645" t="str" cm="1">
        <f t="array" ref="N7645">IF(MOD(ROW()-ROW($B$2),16)=0,INDEX($M$2:$M$1000,(ROW()-ROW($B$2))/16+1),"")</f>
        <v/>
      </c>
    </row>
    <row r="7646" spans="14:14" x14ac:dyDescent="0.3">
      <c r="N7646" t="str" cm="1">
        <f t="array" ref="N7646">IF(MOD(ROW()-ROW($B$2),16)=0,INDEX($M$2:$M$1000,(ROW()-ROW($B$2))/16+1),"")</f>
        <v/>
      </c>
    </row>
    <row r="7647" spans="14:14" x14ac:dyDescent="0.3">
      <c r="N7647" t="str" cm="1">
        <f t="array" ref="N7647">IF(MOD(ROW()-ROW($B$2),16)=0,INDEX($M$2:$M$1000,(ROW()-ROW($B$2))/16+1),"")</f>
        <v/>
      </c>
    </row>
    <row r="7648" spans="14:14" x14ac:dyDescent="0.3">
      <c r="N7648" t="str" cm="1">
        <f t="array" ref="N7648">IF(MOD(ROW()-ROW($B$2),16)=0,INDEX($M$2:$M$1000,(ROW()-ROW($B$2))/16+1),"")</f>
        <v/>
      </c>
    </row>
    <row r="7649" spans="14:14" x14ac:dyDescent="0.3">
      <c r="N7649" t="str" cm="1">
        <f t="array" ref="N7649">IF(MOD(ROW()-ROW($B$2),16)=0,INDEX($M$2:$M$1000,(ROW()-ROW($B$2))/16+1),"")</f>
        <v/>
      </c>
    </row>
    <row r="7650" spans="14:14" x14ac:dyDescent="0.3">
      <c r="N7650" t="str" cm="1">
        <f t="array" ref="N7650">IF(MOD(ROW()-ROW($B$2),16)=0,INDEX($M$2:$M$1000,(ROW()-ROW($B$2))/16+1),"")</f>
        <v/>
      </c>
    </row>
    <row r="7651" spans="14:14" x14ac:dyDescent="0.3">
      <c r="N7651" t="str" cm="1">
        <f t="array" ref="N7651">IF(MOD(ROW()-ROW($B$2),16)=0,INDEX($M$2:$M$1000,(ROW()-ROW($B$2))/16+1),"")</f>
        <v/>
      </c>
    </row>
    <row r="7652" spans="14:14" x14ac:dyDescent="0.3">
      <c r="N7652" t="str" cm="1">
        <f t="array" ref="N7652">IF(MOD(ROW()-ROW($B$2),16)=0,INDEX($M$2:$M$1000,(ROW()-ROW($B$2))/16+1),"")</f>
        <v/>
      </c>
    </row>
    <row r="7653" spans="14:14" x14ac:dyDescent="0.3">
      <c r="N7653" t="str" cm="1">
        <f t="array" ref="N7653">IF(MOD(ROW()-ROW($B$2),16)=0,INDEX($M$2:$M$1000,(ROW()-ROW($B$2))/16+1),"")</f>
        <v/>
      </c>
    </row>
    <row r="7654" spans="14:14" x14ac:dyDescent="0.3">
      <c r="N7654" t="str" cm="1">
        <f t="array" ref="N7654">IF(MOD(ROW()-ROW($B$2),16)=0,INDEX($M$2:$M$1000,(ROW()-ROW($B$2))/16+1),"")</f>
        <v/>
      </c>
    </row>
    <row r="7655" spans="14:14" x14ac:dyDescent="0.3">
      <c r="N7655" t="str" cm="1">
        <f t="array" ref="N7655">IF(MOD(ROW()-ROW($B$2),16)=0,INDEX($M$2:$M$1000,(ROW()-ROW($B$2))/16+1),"")</f>
        <v/>
      </c>
    </row>
    <row r="7656" spans="14:14" x14ac:dyDescent="0.3">
      <c r="N7656" t="str" cm="1">
        <f t="array" ref="N7656">IF(MOD(ROW()-ROW($B$2),16)=0,INDEX($M$2:$M$1000,(ROW()-ROW($B$2))/16+1),"")</f>
        <v/>
      </c>
    </row>
    <row r="7657" spans="14:14" x14ac:dyDescent="0.3">
      <c r="N7657" t="str" cm="1">
        <f t="array" ref="N7657">IF(MOD(ROW()-ROW($B$2),16)=0,INDEX($M$2:$M$1000,(ROW()-ROW($B$2))/16+1),"")</f>
        <v/>
      </c>
    </row>
    <row r="7658" spans="14:14" x14ac:dyDescent="0.3">
      <c r="N7658" t="str" cm="1">
        <f t="array" ref="N7658">IF(MOD(ROW()-ROW($B$2),16)=0,INDEX($M$2:$M$1000,(ROW()-ROW($B$2))/16+1),"")</f>
        <v/>
      </c>
    </row>
    <row r="7659" spans="14:14" x14ac:dyDescent="0.3">
      <c r="N7659" t="str" cm="1">
        <f t="array" ref="N7659">IF(MOD(ROW()-ROW($B$2),16)=0,INDEX($M$2:$M$1000,(ROW()-ROW($B$2))/16+1),"")</f>
        <v/>
      </c>
    </row>
    <row r="7660" spans="14:14" x14ac:dyDescent="0.3">
      <c r="N7660" t="str" cm="1">
        <f t="array" ref="N7660">IF(MOD(ROW()-ROW($B$2),16)=0,INDEX($M$2:$M$1000,(ROW()-ROW($B$2))/16+1),"")</f>
        <v/>
      </c>
    </row>
    <row r="7661" spans="14:14" x14ac:dyDescent="0.3">
      <c r="N7661" t="str" cm="1">
        <f t="array" ref="N7661">IF(MOD(ROW()-ROW($B$2),16)=0,INDEX($M$2:$M$1000,(ROW()-ROW($B$2))/16+1),"")</f>
        <v/>
      </c>
    </row>
    <row r="7662" spans="14:14" x14ac:dyDescent="0.3">
      <c r="N7662" t="str" cm="1">
        <f t="array" ref="N7662">IF(MOD(ROW()-ROW($B$2),16)=0,INDEX($M$2:$M$1000,(ROW()-ROW($B$2))/16+1),"")</f>
        <v/>
      </c>
    </row>
    <row r="7663" spans="14:14" x14ac:dyDescent="0.3">
      <c r="N7663" t="str" cm="1">
        <f t="array" ref="N7663">IF(MOD(ROW()-ROW($B$2),16)=0,INDEX($M$2:$M$1000,(ROW()-ROW($B$2))/16+1),"")</f>
        <v/>
      </c>
    </row>
    <row r="7664" spans="14:14" x14ac:dyDescent="0.3">
      <c r="N7664" t="str" cm="1">
        <f t="array" ref="N7664">IF(MOD(ROW()-ROW($B$2),16)=0,INDEX($M$2:$M$1000,(ROW()-ROW($B$2))/16+1),"")</f>
        <v/>
      </c>
    </row>
    <row r="7665" spans="14:14" x14ac:dyDescent="0.3">
      <c r="N7665" t="str" cm="1">
        <f t="array" ref="N7665">IF(MOD(ROW()-ROW($B$2),16)=0,INDEX($M$2:$M$1000,(ROW()-ROW($B$2))/16+1),"")</f>
        <v/>
      </c>
    </row>
    <row r="7666" spans="14:14" x14ac:dyDescent="0.3">
      <c r="N7666" t="str" cm="1">
        <f t="array" ref="N7666">IF(MOD(ROW()-ROW($B$2),16)=0,INDEX($M$2:$M$1000,(ROW()-ROW($B$2))/16+1),"")</f>
        <v/>
      </c>
    </row>
    <row r="7667" spans="14:14" x14ac:dyDescent="0.3">
      <c r="N7667" t="str" cm="1">
        <f t="array" ref="N7667">IF(MOD(ROW()-ROW($B$2),16)=0,INDEX($M$2:$M$1000,(ROW()-ROW($B$2))/16+1),"")</f>
        <v/>
      </c>
    </row>
    <row r="7668" spans="14:14" x14ac:dyDescent="0.3">
      <c r="N7668" t="str" cm="1">
        <f t="array" ref="N7668">IF(MOD(ROW()-ROW($B$2),16)=0,INDEX($M$2:$M$1000,(ROW()-ROW($B$2))/16+1),"")</f>
        <v/>
      </c>
    </row>
    <row r="7669" spans="14:14" x14ac:dyDescent="0.3">
      <c r="N7669" t="str" cm="1">
        <f t="array" ref="N7669">IF(MOD(ROW()-ROW($B$2),16)=0,INDEX($M$2:$M$1000,(ROW()-ROW($B$2))/16+1),"")</f>
        <v/>
      </c>
    </row>
    <row r="7670" spans="14:14" x14ac:dyDescent="0.3">
      <c r="N7670" t="str" cm="1">
        <f t="array" ref="N7670">IF(MOD(ROW()-ROW($B$2),16)=0,INDEX($M$2:$M$1000,(ROW()-ROW($B$2))/16+1),"")</f>
        <v/>
      </c>
    </row>
    <row r="7671" spans="14:14" x14ac:dyDescent="0.3">
      <c r="N7671" t="str" cm="1">
        <f t="array" ref="N7671">IF(MOD(ROW()-ROW($B$2),16)=0,INDEX($M$2:$M$1000,(ROW()-ROW($B$2))/16+1),"")</f>
        <v/>
      </c>
    </row>
    <row r="7672" spans="14:14" x14ac:dyDescent="0.3">
      <c r="N7672" t="str" cm="1">
        <f t="array" ref="N7672">IF(MOD(ROW()-ROW($B$2),16)=0,INDEX($M$2:$M$1000,(ROW()-ROW($B$2))/16+1),"")</f>
        <v/>
      </c>
    </row>
    <row r="7673" spans="14:14" x14ac:dyDescent="0.3">
      <c r="N7673" t="str" cm="1">
        <f t="array" ref="N7673">IF(MOD(ROW()-ROW($B$2),16)=0,INDEX($M$2:$M$1000,(ROW()-ROW($B$2))/16+1),"")</f>
        <v/>
      </c>
    </row>
    <row r="7674" spans="14:14" x14ac:dyDescent="0.3">
      <c r="N7674" t="str" cm="1">
        <f t="array" ref="N7674">IF(MOD(ROW()-ROW($B$2),16)=0,INDEX($M$2:$M$1000,(ROW()-ROW($B$2))/16+1),"")</f>
        <v/>
      </c>
    </row>
    <row r="7675" spans="14:14" x14ac:dyDescent="0.3">
      <c r="N7675" t="str" cm="1">
        <f t="array" ref="N7675">IF(MOD(ROW()-ROW($B$2),16)=0,INDEX($M$2:$M$1000,(ROW()-ROW($B$2))/16+1),"")</f>
        <v/>
      </c>
    </row>
    <row r="7676" spans="14:14" x14ac:dyDescent="0.3">
      <c r="N7676" t="str" cm="1">
        <f t="array" ref="N7676">IF(MOD(ROW()-ROW($B$2),16)=0,INDEX($M$2:$M$1000,(ROW()-ROW($B$2))/16+1),"")</f>
        <v/>
      </c>
    </row>
    <row r="7677" spans="14:14" x14ac:dyDescent="0.3">
      <c r="N7677" t="str" cm="1">
        <f t="array" ref="N7677">IF(MOD(ROW()-ROW($B$2),16)=0,INDEX($M$2:$M$1000,(ROW()-ROW($B$2))/16+1),"")</f>
        <v/>
      </c>
    </row>
    <row r="7678" spans="14:14" x14ac:dyDescent="0.3">
      <c r="N7678" t="str" cm="1">
        <f t="array" ref="N7678">IF(MOD(ROW()-ROW($B$2),16)=0,INDEX($M$2:$M$1000,(ROW()-ROW($B$2))/16+1),"")</f>
        <v/>
      </c>
    </row>
    <row r="7679" spans="14:14" x14ac:dyDescent="0.3">
      <c r="N7679" t="str" cm="1">
        <f t="array" ref="N7679">IF(MOD(ROW()-ROW($B$2),16)=0,INDEX($M$2:$M$1000,(ROW()-ROW($B$2))/16+1),"")</f>
        <v/>
      </c>
    </row>
    <row r="7680" spans="14:14" x14ac:dyDescent="0.3">
      <c r="N7680" t="str" cm="1">
        <f t="array" ref="N7680">IF(MOD(ROW()-ROW($B$2),16)=0,INDEX($M$2:$M$1000,(ROW()-ROW($B$2))/16+1),"")</f>
        <v/>
      </c>
    </row>
    <row r="7681" spans="14:14" x14ac:dyDescent="0.3">
      <c r="N7681" t="str" cm="1">
        <f t="array" ref="N7681">IF(MOD(ROW()-ROW($B$2),16)=0,INDEX($M$2:$M$1000,(ROW()-ROW($B$2))/16+1),"")</f>
        <v/>
      </c>
    </row>
    <row r="7682" spans="14:14" x14ac:dyDescent="0.3">
      <c r="N7682" t="str" cm="1">
        <f t="array" ref="N7682">IF(MOD(ROW()-ROW($B$2),16)=0,INDEX($M$2:$M$1000,(ROW()-ROW($B$2))/16+1),"")</f>
        <v/>
      </c>
    </row>
    <row r="7683" spans="14:14" x14ac:dyDescent="0.3">
      <c r="N7683" t="str" cm="1">
        <f t="array" ref="N7683">IF(MOD(ROW()-ROW($B$2),16)=0,INDEX($M$2:$M$1000,(ROW()-ROW($B$2))/16+1),"")</f>
        <v/>
      </c>
    </row>
    <row r="7684" spans="14:14" x14ac:dyDescent="0.3">
      <c r="N7684" t="str" cm="1">
        <f t="array" ref="N7684">IF(MOD(ROW()-ROW($B$2),16)=0,INDEX($M$2:$M$1000,(ROW()-ROW($B$2))/16+1),"")</f>
        <v/>
      </c>
    </row>
    <row r="7685" spans="14:14" x14ac:dyDescent="0.3">
      <c r="N7685" t="str" cm="1">
        <f t="array" ref="N7685">IF(MOD(ROW()-ROW($B$2),16)=0,INDEX($M$2:$M$1000,(ROW()-ROW($B$2))/16+1),"")</f>
        <v/>
      </c>
    </row>
    <row r="7686" spans="14:14" x14ac:dyDescent="0.3">
      <c r="N7686" t="str" cm="1">
        <f t="array" ref="N7686">IF(MOD(ROW()-ROW($B$2),16)=0,INDEX($M$2:$M$1000,(ROW()-ROW($B$2))/16+1),"")</f>
        <v/>
      </c>
    </row>
    <row r="7687" spans="14:14" x14ac:dyDescent="0.3">
      <c r="N7687" t="str" cm="1">
        <f t="array" ref="N7687">IF(MOD(ROW()-ROW($B$2),16)=0,INDEX($M$2:$M$1000,(ROW()-ROW($B$2))/16+1),"")</f>
        <v/>
      </c>
    </row>
    <row r="7688" spans="14:14" x14ac:dyDescent="0.3">
      <c r="N7688" t="str" cm="1">
        <f t="array" ref="N7688">IF(MOD(ROW()-ROW($B$2),16)=0,INDEX($M$2:$M$1000,(ROW()-ROW($B$2))/16+1),"")</f>
        <v/>
      </c>
    </row>
    <row r="7689" spans="14:14" x14ac:dyDescent="0.3">
      <c r="N7689" t="str" cm="1">
        <f t="array" ref="N7689">IF(MOD(ROW()-ROW($B$2),16)=0,INDEX($M$2:$M$1000,(ROW()-ROW($B$2))/16+1),"")</f>
        <v/>
      </c>
    </row>
    <row r="7690" spans="14:14" x14ac:dyDescent="0.3">
      <c r="N7690" t="str" cm="1">
        <f t="array" ref="N7690">IF(MOD(ROW()-ROW($B$2),16)=0,INDEX($M$2:$M$1000,(ROW()-ROW($B$2))/16+1),"")</f>
        <v/>
      </c>
    </row>
    <row r="7691" spans="14:14" x14ac:dyDescent="0.3">
      <c r="N7691" t="str" cm="1">
        <f t="array" ref="N7691">IF(MOD(ROW()-ROW($B$2),16)=0,INDEX($M$2:$M$1000,(ROW()-ROW($B$2))/16+1),"")</f>
        <v/>
      </c>
    </row>
    <row r="7692" spans="14:14" x14ac:dyDescent="0.3">
      <c r="N7692" t="str" cm="1">
        <f t="array" ref="N7692">IF(MOD(ROW()-ROW($B$2),16)=0,INDEX($M$2:$M$1000,(ROW()-ROW($B$2))/16+1),"")</f>
        <v/>
      </c>
    </row>
    <row r="7693" spans="14:14" x14ac:dyDescent="0.3">
      <c r="N7693" t="str" cm="1">
        <f t="array" ref="N7693">IF(MOD(ROW()-ROW($B$2),16)=0,INDEX($M$2:$M$1000,(ROW()-ROW($B$2))/16+1),"")</f>
        <v/>
      </c>
    </row>
    <row r="7694" spans="14:14" x14ac:dyDescent="0.3">
      <c r="N7694" t="str" cm="1">
        <f t="array" ref="N7694">IF(MOD(ROW()-ROW($B$2),16)=0,INDEX($M$2:$M$1000,(ROW()-ROW($B$2))/16+1),"")</f>
        <v/>
      </c>
    </row>
    <row r="7695" spans="14:14" x14ac:dyDescent="0.3">
      <c r="N7695" t="str" cm="1">
        <f t="array" ref="N7695">IF(MOD(ROW()-ROW($B$2),16)=0,INDEX($M$2:$M$1000,(ROW()-ROW($B$2))/16+1),"")</f>
        <v/>
      </c>
    </row>
    <row r="7696" spans="14:14" x14ac:dyDescent="0.3">
      <c r="N7696" t="str" cm="1">
        <f t="array" ref="N7696">IF(MOD(ROW()-ROW($B$2),16)=0,INDEX($M$2:$M$1000,(ROW()-ROW($B$2))/16+1),"")</f>
        <v/>
      </c>
    </row>
    <row r="7697" spans="14:14" x14ac:dyDescent="0.3">
      <c r="N7697" t="str" cm="1">
        <f t="array" ref="N7697">IF(MOD(ROW()-ROW($B$2),16)=0,INDEX($M$2:$M$1000,(ROW()-ROW($B$2))/16+1),"")</f>
        <v/>
      </c>
    </row>
    <row r="7698" spans="14:14" x14ac:dyDescent="0.3">
      <c r="N7698" t="str" cm="1">
        <f t="array" ref="N7698">IF(MOD(ROW()-ROW($B$2),16)=0,INDEX($M$2:$M$1000,(ROW()-ROW($B$2))/16+1),"")</f>
        <v/>
      </c>
    </row>
    <row r="7699" spans="14:14" x14ac:dyDescent="0.3">
      <c r="N7699" t="str" cm="1">
        <f t="array" ref="N7699">IF(MOD(ROW()-ROW($B$2),16)=0,INDEX($M$2:$M$1000,(ROW()-ROW($B$2))/16+1),"")</f>
        <v/>
      </c>
    </row>
    <row r="7700" spans="14:14" x14ac:dyDescent="0.3">
      <c r="N7700" t="str" cm="1">
        <f t="array" ref="N7700">IF(MOD(ROW()-ROW($B$2),16)=0,INDEX($M$2:$M$1000,(ROW()-ROW($B$2))/16+1),"")</f>
        <v/>
      </c>
    </row>
    <row r="7701" spans="14:14" x14ac:dyDescent="0.3">
      <c r="N7701" t="str" cm="1">
        <f t="array" ref="N7701">IF(MOD(ROW()-ROW($B$2),16)=0,INDEX($M$2:$M$1000,(ROW()-ROW($B$2))/16+1),"")</f>
        <v/>
      </c>
    </row>
    <row r="7702" spans="14:14" x14ac:dyDescent="0.3">
      <c r="N7702" t="str" cm="1">
        <f t="array" ref="N7702">IF(MOD(ROW()-ROW($B$2),16)=0,INDEX($M$2:$M$1000,(ROW()-ROW($B$2))/16+1),"")</f>
        <v/>
      </c>
    </row>
    <row r="7703" spans="14:14" x14ac:dyDescent="0.3">
      <c r="N7703" t="str" cm="1">
        <f t="array" ref="N7703">IF(MOD(ROW()-ROW($B$2),16)=0,INDEX($M$2:$M$1000,(ROW()-ROW($B$2))/16+1),"")</f>
        <v/>
      </c>
    </row>
    <row r="7704" spans="14:14" x14ac:dyDescent="0.3">
      <c r="N7704" t="str" cm="1">
        <f t="array" ref="N7704">IF(MOD(ROW()-ROW($B$2),16)=0,INDEX($M$2:$M$1000,(ROW()-ROW($B$2))/16+1),"")</f>
        <v/>
      </c>
    </row>
    <row r="7705" spans="14:14" x14ac:dyDescent="0.3">
      <c r="N7705" t="str" cm="1">
        <f t="array" ref="N7705">IF(MOD(ROW()-ROW($B$2),16)=0,INDEX($M$2:$M$1000,(ROW()-ROW($B$2))/16+1),"")</f>
        <v/>
      </c>
    </row>
    <row r="7706" spans="14:14" x14ac:dyDescent="0.3">
      <c r="N7706" t="str" cm="1">
        <f t="array" ref="N7706">IF(MOD(ROW()-ROW($B$2),16)=0,INDEX($M$2:$M$1000,(ROW()-ROW($B$2))/16+1),"")</f>
        <v/>
      </c>
    </row>
    <row r="7707" spans="14:14" x14ac:dyDescent="0.3">
      <c r="N7707" t="str" cm="1">
        <f t="array" ref="N7707">IF(MOD(ROW()-ROW($B$2),16)=0,INDEX($M$2:$M$1000,(ROW()-ROW($B$2))/16+1),"")</f>
        <v/>
      </c>
    </row>
    <row r="7708" spans="14:14" x14ac:dyDescent="0.3">
      <c r="N7708" t="str" cm="1">
        <f t="array" ref="N7708">IF(MOD(ROW()-ROW($B$2),16)=0,INDEX($M$2:$M$1000,(ROW()-ROW($B$2))/16+1),"")</f>
        <v/>
      </c>
    </row>
    <row r="7709" spans="14:14" x14ac:dyDescent="0.3">
      <c r="N7709" t="str" cm="1">
        <f t="array" ref="N7709">IF(MOD(ROW()-ROW($B$2),16)=0,INDEX($M$2:$M$1000,(ROW()-ROW($B$2))/16+1),"")</f>
        <v/>
      </c>
    </row>
    <row r="7710" spans="14:14" x14ac:dyDescent="0.3">
      <c r="N7710" t="str" cm="1">
        <f t="array" ref="N7710">IF(MOD(ROW()-ROW($B$2),16)=0,INDEX($M$2:$M$1000,(ROW()-ROW($B$2))/16+1),"")</f>
        <v/>
      </c>
    </row>
    <row r="7711" spans="14:14" x14ac:dyDescent="0.3">
      <c r="N7711" t="str" cm="1">
        <f t="array" ref="N7711">IF(MOD(ROW()-ROW($B$2),16)=0,INDEX($M$2:$M$1000,(ROW()-ROW($B$2))/16+1),"")</f>
        <v/>
      </c>
    </row>
    <row r="7712" spans="14:14" x14ac:dyDescent="0.3">
      <c r="N7712" t="str" cm="1">
        <f t="array" ref="N7712">IF(MOD(ROW()-ROW($B$2),16)=0,INDEX($M$2:$M$1000,(ROW()-ROW($B$2))/16+1),"")</f>
        <v/>
      </c>
    </row>
    <row r="7713" spans="14:14" x14ac:dyDescent="0.3">
      <c r="N7713" t="str" cm="1">
        <f t="array" ref="N7713">IF(MOD(ROW()-ROW($B$2),16)=0,INDEX($M$2:$M$1000,(ROW()-ROW($B$2))/16+1),"")</f>
        <v/>
      </c>
    </row>
    <row r="7714" spans="14:14" x14ac:dyDescent="0.3">
      <c r="N7714" t="str" cm="1">
        <f t="array" ref="N7714">IF(MOD(ROW()-ROW($B$2),16)=0,INDEX($M$2:$M$1000,(ROW()-ROW($B$2))/16+1),"")</f>
        <v/>
      </c>
    </row>
    <row r="7715" spans="14:14" x14ac:dyDescent="0.3">
      <c r="N7715" t="str" cm="1">
        <f t="array" ref="N7715">IF(MOD(ROW()-ROW($B$2),16)=0,INDEX($M$2:$M$1000,(ROW()-ROW($B$2))/16+1),"")</f>
        <v/>
      </c>
    </row>
    <row r="7716" spans="14:14" x14ac:dyDescent="0.3">
      <c r="N7716" t="str" cm="1">
        <f t="array" ref="N7716">IF(MOD(ROW()-ROW($B$2),16)=0,INDEX($M$2:$M$1000,(ROW()-ROW($B$2))/16+1),"")</f>
        <v/>
      </c>
    </row>
    <row r="7717" spans="14:14" x14ac:dyDescent="0.3">
      <c r="N7717" t="str" cm="1">
        <f t="array" ref="N7717">IF(MOD(ROW()-ROW($B$2),16)=0,INDEX($M$2:$M$1000,(ROW()-ROW($B$2))/16+1),"")</f>
        <v/>
      </c>
    </row>
    <row r="7718" spans="14:14" x14ac:dyDescent="0.3">
      <c r="N7718" t="str" cm="1">
        <f t="array" ref="N7718">IF(MOD(ROW()-ROW($B$2),16)=0,INDEX($M$2:$M$1000,(ROW()-ROW($B$2))/16+1),"")</f>
        <v/>
      </c>
    </row>
    <row r="7719" spans="14:14" x14ac:dyDescent="0.3">
      <c r="N7719" t="str" cm="1">
        <f t="array" ref="N7719">IF(MOD(ROW()-ROW($B$2),16)=0,INDEX($M$2:$M$1000,(ROW()-ROW($B$2))/16+1),"")</f>
        <v/>
      </c>
    </row>
    <row r="7720" spans="14:14" x14ac:dyDescent="0.3">
      <c r="N7720" t="str" cm="1">
        <f t="array" ref="N7720">IF(MOD(ROW()-ROW($B$2),16)=0,INDEX($M$2:$M$1000,(ROW()-ROW($B$2))/16+1),"")</f>
        <v/>
      </c>
    </row>
    <row r="7721" spans="14:14" x14ac:dyDescent="0.3">
      <c r="N7721" t="str" cm="1">
        <f t="array" ref="N7721">IF(MOD(ROW()-ROW($B$2),16)=0,INDEX($M$2:$M$1000,(ROW()-ROW($B$2))/16+1),"")</f>
        <v/>
      </c>
    </row>
    <row r="7722" spans="14:14" x14ac:dyDescent="0.3">
      <c r="N7722" t="str" cm="1">
        <f t="array" ref="N7722">IF(MOD(ROW()-ROW($B$2),16)=0,INDEX($M$2:$M$1000,(ROW()-ROW($B$2))/16+1),"")</f>
        <v/>
      </c>
    </row>
    <row r="7723" spans="14:14" x14ac:dyDescent="0.3">
      <c r="N7723" t="str" cm="1">
        <f t="array" ref="N7723">IF(MOD(ROW()-ROW($B$2),16)=0,INDEX($M$2:$M$1000,(ROW()-ROW($B$2))/16+1),"")</f>
        <v/>
      </c>
    </row>
    <row r="7724" spans="14:14" x14ac:dyDescent="0.3">
      <c r="N7724" t="str" cm="1">
        <f t="array" ref="N7724">IF(MOD(ROW()-ROW($B$2),16)=0,INDEX($M$2:$M$1000,(ROW()-ROW($B$2))/16+1),"")</f>
        <v/>
      </c>
    </row>
    <row r="7725" spans="14:14" x14ac:dyDescent="0.3">
      <c r="N7725" t="str" cm="1">
        <f t="array" ref="N7725">IF(MOD(ROW()-ROW($B$2),16)=0,INDEX($M$2:$M$1000,(ROW()-ROW($B$2))/16+1),"")</f>
        <v/>
      </c>
    </row>
    <row r="7726" spans="14:14" x14ac:dyDescent="0.3">
      <c r="N7726" t="str" cm="1">
        <f t="array" ref="N7726">IF(MOD(ROW()-ROW($B$2),16)=0,INDEX($M$2:$M$1000,(ROW()-ROW($B$2))/16+1),"")</f>
        <v/>
      </c>
    </row>
    <row r="7727" spans="14:14" x14ac:dyDescent="0.3">
      <c r="N7727" t="str" cm="1">
        <f t="array" ref="N7727">IF(MOD(ROW()-ROW($B$2),16)=0,INDEX($M$2:$M$1000,(ROW()-ROW($B$2))/16+1),"")</f>
        <v/>
      </c>
    </row>
    <row r="7728" spans="14:14" x14ac:dyDescent="0.3">
      <c r="N7728" t="str" cm="1">
        <f t="array" ref="N7728">IF(MOD(ROW()-ROW($B$2),16)=0,INDEX($M$2:$M$1000,(ROW()-ROW($B$2))/16+1),"")</f>
        <v/>
      </c>
    </row>
    <row r="7729" spans="14:14" x14ac:dyDescent="0.3">
      <c r="N7729" t="str" cm="1">
        <f t="array" ref="N7729">IF(MOD(ROW()-ROW($B$2),16)=0,INDEX($M$2:$M$1000,(ROW()-ROW($B$2))/16+1),"")</f>
        <v/>
      </c>
    </row>
    <row r="7730" spans="14:14" x14ac:dyDescent="0.3">
      <c r="N7730" t="str" cm="1">
        <f t="array" ref="N7730">IF(MOD(ROW()-ROW($B$2),16)=0,INDEX($M$2:$M$1000,(ROW()-ROW($B$2))/16+1),"")</f>
        <v/>
      </c>
    </row>
    <row r="7731" spans="14:14" x14ac:dyDescent="0.3">
      <c r="N7731" t="str" cm="1">
        <f t="array" ref="N7731">IF(MOD(ROW()-ROW($B$2),16)=0,INDEX($M$2:$M$1000,(ROW()-ROW($B$2))/16+1),"")</f>
        <v/>
      </c>
    </row>
    <row r="7732" spans="14:14" x14ac:dyDescent="0.3">
      <c r="N7732" t="str" cm="1">
        <f t="array" ref="N7732">IF(MOD(ROW()-ROW($B$2),16)=0,INDEX($M$2:$M$1000,(ROW()-ROW($B$2))/16+1),"")</f>
        <v/>
      </c>
    </row>
    <row r="7733" spans="14:14" x14ac:dyDescent="0.3">
      <c r="N7733" t="str" cm="1">
        <f t="array" ref="N7733">IF(MOD(ROW()-ROW($B$2),16)=0,INDEX($M$2:$M$1000,(ROW()-ROW($B$2))/16+1),"")</f>
        <v/>
      </c>
    </row>
    <row r="7734" spans="14:14" x14ac:dyDescent="0.3">
      <c r="N7734" t="str" cm="1">
        <f t="array" ref="N7734">IF(MOD(ROW()-ROW($B$2),16)=0,INDEX($M$2:$M$1000,(ROW()-ROW($B$2))/16+1),"")</f>
        <v/>
      </c>
    </row>
    <row r="7735" spans="14:14" x14ac:dyDescent="0.3">
      <c r="N7735" t="str" cm="1">
        <f t="array" ref="N7735">IF(MOD(ROW()-ROW($B$2),16)=0,INDEX($M$2:$M$1000,(ROW()-ROW($B$2))/16+1),"")</f>
        <v/>
      </c>
    </row>
    <row r="7736" spans="14:14" x14ac:dyDescent="0.3">
      <c r="N7736" t="str" cm="1">
        <f t="array" ref="N7736">IF(MOD(ROW()-ROW($B$2),16)=0,INDEX($M$2:$M$1000,(ROW()-ROW($B$2))/16+1),"")</f>
        <v/>
      </c>
    </row>
    <row r="7737" spans="14:14" x14ac:dyDescent="0.3">
      <c r="N7737" t="str" cm="1">
        <f t="array" ref="N7737">IF(MOD(ROW()-ROW($B$2),16)=0,INDEX($M$2:$M$1000,(ROW()-ROW($B$2))/16+1),"")</f>
        <v/>
      </c>
    </row>
    <row r="7738" spans="14:14" x14ac:dyDescent="0.3">
      <c r="N7738" t="str" cm="1">
        <f t="array" ref="N7738">IF(MOD(ROW()-ROW($B$2),16)=0,INDEX($M$2:$M$1000,(ROW()-ROW($B$2))/16+1),"")</f>
        <v/>
      </c>
    </row>
    <row r="7739" spans="14:14" x14ac:dyDescent="0.3">
      <c r="N7739" t="str" cm="1">
        <f t="array" ref="N7739">IF(MOD(ROW()-ROW($B$2),16)=0,INDEX($M$2:$M$1000,(ROW()-ROW($B$2))/16+1),"")</f>
        <v/>
      </c>
    </row>
    <row r="7740" spans="14:14" x14ac:dyDescent="0.3">
      <c r="N7740" t="str" cm="1">
        <f t="array" ref="N7740">IF(MOD(ROW()-ROW($B$2),16)=0,INDEX($M$2:$M$1000,(ROW()-ROW($B$2))/16+1),"")</f>
        <v/>
      </c>
    </row>
    <row r="7741" spans="14:14" x14ac:dyDescent="0.3">
      <c r="N7741" t="str" cm="1">
        <f t="array" ref="N7741">IF(MOD(ROW()-ROW($B$2),16)=0,INDEX($M$2:$M$1000,(ROW()-ROW($B$2))/16+1),"")</f>
        <v/>
      </c>
    </row>
    <row r="7742" spans="14:14" x14ac:dyDescent="0.3">
      <c r="N7742" t="str" cm="1">
        <f t="array" ref="N7742">IF(MOD(ROW()-ROW($B$2),16)=0,INDEX($M$2:$M$1000,(ROW()-ROW($B$2))/16+1),"")</f>
        <v/>
      </c>
    </row>
    <row r="7743" spans="14:14" x14ac:dyDescent="0.3">
      <c r="N7743" t="str" cm="1">
        <f t="array" ref="N7743">IF(MOD(ROW()-ROW($B$2),16)=0,INDEX($M$2:$M$1000,(ROW()-ROW($B$2))/16+1),"")</f>
        <v/>
      </c>
    </row>
    <row r="7744" spans="14:14" x14ac:dyDescent="0.3">
      <c r="N7744" t="str" cm="1">
        <f t="array" ref="N7744">IF(MOD(ROW()-ROW($B$2),16)=0,INDEX($M$2:$M$1000,(ROW()-ROW($B$2))/16+1),"")</f>
        <v/>
      </c>
    </row>
    <row r="7745" spans="14:14" x14ac:dyDescent="0.3">
      <c r="N7745" t="str" cm="1">
        <f t="array" ref="N7745">IF(MOD(ROW()-ROW($B$2),16)=0,INDEX($M$2:$M$1000,(ROW()-ROW($B$2))/16+1),"")</f>
        <v/>
      </c>
    </row>
    <row r="7746" spans="14:14" x14ac:dyDescent="0.3">
      <c r="N7746" t="str" cm="1">
        <f t="array" ref="N7746">IF(MOD(ROW()-ROW($B$2),16)=0,INDEX($M$2:$M$1000,(ROW()-ROW($B$2))/16+1),"")</f>
        <v/>
      </c>
    </row>
    <row r="7747" spans="14:14" x14ac:dyDescent="0.3">
      <c r="N7747" t="str" cm="1">
        <f t="array" ref="N7747">IF(MOD(ROW()-ROW($B$2),16)=0,INDEX($M$2:$M$1000,(ROW()-ROW($B$2))/16+1),"")</f>
        <v/>
      </c>
    </row>
    <row r="7748" spans="14:14" x14ac:dyDescent="0.3">
      <c r="N7748" t="str" cm="1">
        <f t="array" ref="N7748">IF(MOD(ROW()-ROW($B$2),16)=0,INDEX($M$2:$M$1000,(ROW()-ROW($B$2))/16+1),"")</f>
        <v/>
      </c>
    </row>
    <row r="7749" spans="14:14" x14ac:dyDescent="0.3">
      <c r="N7749" t="str" cm="1">
        <f t="array" ref="N7749">IF(MOD(ROW()-ROW($B$2),16)=0,INDEX($M$2:$M$1000,(ROW()-ROW($B$2))/16+1),"")</f>
        <v/>
      </c>
    </row>
    <row r="7750" spans="14:14" x14ac:dyDescent="0.3">
      <c r="N7750" t="str" cm="1">
        <f t="array" ref="N7750">IF(MOD(ROW()-ROW($B$2),16)=0,INDEX($M$2:$M$1000,(ROW()-ROW($B$2))/16+1),"")</f>
        <v/>
      </c>
    </row>
    <row r="7751" spans="14:14" x14ac:dyDescent="0.3">
      <c r="N7751" t="str" cm="1">
        <f t="array" ref="N7751">IF(MOD(ROW()-ROW($B$2),16)=0,INDEX($M$2:$M$1000,(ROW()-ROW($B$2))/16+1),"")</f>
        <v/>
      </c>
    </row>
    <row r="7752" spans="14:14" x14ac:dyDescent="0.3">
      <c r="N7752" t="str" cm="1">
        <f t="array" ref="N7752">IF(MOD(ROW()-ROW($B$2),16)=0,INDEX($M$2:$M$1000,(ROW()-ROW($B$2))/16+1),"")</f>
        <v/>
      </c>
    </row>
    <row r="7753" spans="14:14" x14ac:dyDescent="0.3">
      <c r="N7753" t="str" cm="1">
        <f t="array" ref="N7753">IF(MOD(ROW()-ROW($B$2),16)=0,INDEX($M$2:$M$1000,(ROW()-ROW($B$2))/16+1),"")</f>
        <v/>
      </c>
    </row>
    <row r="7754" spans="14:14" x14ac:dyDescent="0.3">
      <c r="N7754" t="str" cm="1">
        <f t="array" ref="N7754">IF(MOD(ROW()-ROW($B$2),16)=0,INDEX($M$2:$M$1000,(ROW()-ROW($B$2))/16+1),"")</f>
        <v/>
      </c>
    </row>
    <row r="7755" spans="14:14" x14ac:dyDescent="0.3">
      <c r="N7755" t="str" cm="1">
        <f t="array" ref="N7755">IF(MOD(ROW()-ROW($B$2),16)=0,INDEX($M$2:$M$1000,(ROW()-ROW($B$2))/16+1),"")</f>
        <v/>
      </c>
    </row>
    <row r="7756" spans="14:14" x14ac:dyDescent="0.3">
      <c r="N7756" t="str" cm="1">
        <f t="array" ref="N7756">IF(MOD(ROW()-ROW($B$2),16)=0,INDEX($M$2:$M$1000,(ROW()-ROW($B$2))/16+1),"")</f>
        <v/>
      </c>
    </row>
    <row r="7757" spans="14:14" x14ac:dyDescent="0.3">
      <c r="N7757" t="str" cm="1">
        <f t="array" ref="N7757">IF(MOD(ROW()-ROW($B$2),16)=0,INDEX($M$2:$M$1000,(ROW()-ROW($B$2))/16+1),"")</f>
        <v/>
      </c>
    </row>
    <row r="7758" spans="14:14" x14ac:dyDescent="0.3">
      <c r="N7758" t="str" cm="1">
        <f t="array" ref="N7758">IF(MOD(ROW()-ROW($B$2),16)=0,INDEX($M$2:$M$1000,(ROW()-ROW($B$2))/16+1),"")</f>
        <v/>
      </c>
    </row>
    <row r="7759" spans="14:14" x14ac:dyDescent="0.3">
      <c r="N7759" t="str" cm="1">
        <f t="array" ref="N7759">IF(MOD(ROW()-ROW($B$2),16)=0,INDEX($M$2:$M$1000,(ROW()-ROW($B$2))/16+1),"")</f>
        <v/>
      </c>
    </row>
    <row r="7760" spans="14:14" x14ac:dyDescent="0.3">
      <c r="N7760" t="str" cm="1">
        <f t="array" ref="N7760">IF(MOD(ROW()-ROW($B$2),16)=0,INDEX($M$2:$M$1000,(ROW()-ROW($B$2))/16+1),"")</f>
        <v/>
      </c>
    </row>
    <row r="7761" spans="14:14" x14ac:dyDescent="0.3">
      <c r="N7761" t="str" cm="1">
        <f t="array" ref="N7761">IF(MOD(ROW()-ROW($B$2),16)=0,INDEX($M$2:$M$1000,(ROW()-ROW($B$2))/16+1),"")</f>
        <v/>
      </c>
    </row>
    <row r="7762" spans="14:14" x14ac:dyDescent="0.3">
      <c r="N7762" t="str" cm="1">
        <f t="array" ref="N7762">IF(MOD(ROW()-ROW($B$2),16)=0,INDEX($M$2:$M$1000,(ROW()-ROW($B$2))/16+1),"")</f>
        <v/>
      </c>
    </row>
    <row r="7763" spans="14:14" x14ac:dyDescent="0.3">
      <c r="N7763" t="str" cm="1">
        <f t="array" ref="N7763">IF(MOD(ROW()-ROW($B$2),16)=0,INDEX($M$2:$M$1000,(ROW()-ROW($B$2))/16+1),"")</f>
        <v/>
      </c>
    </row>
    <row r="7764" spans="14:14" x14ac:dyDescent="0.3">
      <c r="N7764" t="str" cm="1">
        <f t="array" ref="N7764">IF(MOD(ROW()-ROW($B$2),16)=0,INDEX($M$2:$M$1000,(ROW()-ROW($B$2))/16+1),"")</f>
        <v/>
      </c>
    </row>
    <row r="7765" spans="14:14" x14ac:dyDescent="0.3">
      <c r="N7765" t="str" cm="1">
        <f t="array" ref="N7765">IF(MOD(ROW()-ROW($B$2),16)=0,INDEX($M$2:$M$1000,(ROW()-ROW($B$2))/16+1),"")</f>
        <v/>
      </c>
    </row>
    <row r="7766" spans="14:14" x14ac:dyDescent="0.3">
      <c r="N7766" t="str" cm="1">
        <f t="array" ref="N7766">IF(MOD(ROW()-ROW($B$2),16)=0,INDEX($M$2:$M$1000,(ROW()-ROW($B$2))/16+1),"")</f>
        <v/>
      </c>
    </row>
    <row r="7767" spans="14:14" x14ac:dyDescent="0.3">
      <c r="N7767" t="str" cm="1">
        <f t="array" ref="N7767">IF(MOD(ROW()-ROW($B$2),16)=0,INDEX($M$2:$M$1000,(ROW()-ROW($B$2))/16+1),"")</f>
        <v/>
      </c>
    </row>
    <row r="7768" spans="14:14" x14ac:dyDescent="0.3">
      <c r="N7768" t="str" cm="1">
        <f t="array" ref="N7768">IF(MOD(ROW()-ROW($B$2),16)=0,INDEX($M$2:$M$1000,(ROW()-ROW($B$2))/16+1),"")</f>
        <v/>
      </c>
    </row>
    <row r="7769" spans="14:14" x14ac:dyDescent="0.3">
      <c r="N7769" t="str" cm="1">
        <f t="array" ref="N7769">IF(MOD(ROW()-ROW($B$2),16)=0,INDEX($M$2:$M$1000,(ROW()-ROW($B$2))/16+1),"")</f>
        <v/>
      </c>
    </row>
    <row r="7770" spans="14:14" x14ac:dyDescent="0.3">
      <c r="N7770" t="str" cm="1">
        <f t="array" ref="N7770">IF(MOD(ROW()-ROW($B$2),16)=0,INDEX($M$2:$M$1000,(ROW()-ROW($B$2))/16+1),"")</f>
        <v/>
      </c>
    </row>
    <row r="7771" spans="14:14" x14ac:dyDescent="0.3">
      <c r="N7771" t="str" cm="1">
        <f t="array" ref="N7771">IF(MOD(ROW()-ROW($B$2),16)=0,INDEX($M$2:$M$1000,(ROW()-ROW($B$2))/16+1),"")</f>
        <v/>
      </c>
    </row>
    <row r="7772" spans="14:14" x14ac:dyDescent="0.3">
      <c r="N7772" t="str" cm="1">
        <f t="array" ref="N7772">IF(MOD(ROW()-ROW($B$2),16)=0,INDEX($M$2:$M$1000,(ROW()-ROW($B$2))/16+1),"")</f>
        <v/>
      </c>
    </row>
    <row r="7773" spans="14:14" x14ac:dyDescent="0.3">
      <c r="N7773" t="str" cm="1">
        <f t="array" ref="N7773">IF(MOD(ROW()-ROW($B$2),16)=0,INDEX($M$2:$M$1000,(ROW()-ROW($B$2))/16+1),"")</f>
        <v/>
      </c>
    </row>
    <row r="7774" spans="14:14" x14ac:dyDescent="0.3">
      <c r="N7774" t="str" cm="1">
        <f t="array" ref="N7774">IF(MOD(ROW()-ROW($B$2),16)=0,INDEX($M$2:$M$1000,(ROW()-ROW($B$2))/16+1),"")</f>
        <v/>
      </c>
    </row>
    <row r="7775" spans="14:14" x14ac:dyDescent="0.3">
      <c r="N7775" t="str" cm="1">
        <f t="array" ref="N7775">IF(MOD(ROW()-ROW($B$2),16)=0,INDEX($M$2:$M$1000,(ROW()-ROW($B$2))/16+1),"")</f>
        <v/>
      </c>
    </row>
    <row r="7776" spans="14:14" x14ac:dyDescent="0.3">
      <c r="N7776" t="str" cm="1">
        <f t="array" ref="N7776">IF(MOD(ROW()-ROW($B$2),16)=0,INDEX($M$2:$M$1000,(ROW()-ROW($B$2))/16+1),"")</f>
        <v/>
      </c>
    </row>
    <row r="7777" spans="14:14" x14ac:dyDescent="0.3">
      <c r="N7777" t="str" cm="1">
        <f t="array" ref="N7777">IF(MOD(ROW()-ROW($B$2),16)=0,INDEX($M$2:$M$1000,(ROW()-ROW($B$2))/16+1),"")</f>
        <v/>
      </c>
    </row>
    <row r="7778" spans="14:14" x14ac:dyDescent="0.3">
      <c r="N7778" t="str" cm="1">
        <f t="array" ref="N7778">IF(MOD(ROW()-ROW($B$2),16)=0,INDEX($M$2:$M$1000,(ROW()-ROW($B$2))/16+1),"")</f>
        <v/>
      </c>
    </row>
    <row r="7779" spans="14:14" x14ac:dyDescent="0.3">
      <c r="N7779" t="str" cm="1">
        <f t="array" ref="N7779">IF(MOD(ROW()-ROW($B$2),16)=0,INDEX($M$2:$M$1000,(ROW()-ROW($B$2))/16+1),"")</f>
        <v/>
      </c>
    </row>
    <row r="7780" spans="14:14" x14ac:dyDescent="0.3">
      <c r="N7780" t="str" cm="1">
        <f t="array" ref="N7780">IF(MOD(ROW()-ROW($B$2),16)=0,INDEX($M$2:$M$1000,(ROW()-ROW($B$2))/16+1),"")</f>
        <v/>
      </c>
    </row>
    <row r="7781" spans="14:14" x14ac:dyDescent="0.3">
      <c r="N7781" t="str" cm="1">
        <f t="array" ref="N7781">IF(MOD(ROW()-ROW($B$2),16)=0,INDEX($M$2:$M$1000,(ROW()-ROW($B$2))/16+1),"")</f>
        <v/>
      </c>
    </row>
    <row r="7782" spans="14:14" x14ac:dyDescent="0.3">
      <c r="N7782" t="str" cm="1">
        <f t="array" ref="N7782">IF(MOD(ROW()-ROW($B$2),16)=0,INDEX($M$2:$M$1000,(ROW()-ROW($B$2))/16+1),"")</f>
        <v/>
      </c>
    </row>
    <row r="7783" spans="14:14" x14ac:dyDescent="0.3">
      <c r="N7783" t="str" cm="1">
        <f t="array" ref="N7783">IF(MOD(ROW()-ROW($B$2),16)=0,INDEX($M$2:$M$1000,(ROW()-ROW($B$2))/16+1),"")</f>
        <v/>
      </c>
    </row>
    <row r="7784" spans="14:14" x14ac:dyDescent="0.3">
      <c r="N7784" t="str" cm="1">
        <f t="array" ref="N7784">IF(MOD(ROW()-ROW($B$2),16)=0,INDEX($M$2:$M$1000,(ROW()-ROW($B$2))/16+1),"")</f>
        <v/>
      </c>
    </row>
    <row r="7785" spans="14:14" x14ac:dyDescent="0.3">
      <c r="N7785" t="str" cm="1">
        <f t="array" ref="N7785">IF(MOD(ROW()-ROW($B$2),16)=0,INDEX($M$2:$M$1000,(ROW()-ROW($B$2))/16+1),"")</f>
        <v/>
      </c>
    </row>
    <row r="7786" spans="14:14" x14ac:dyDescent="0.3">
      <c r="N7786" t="str" cm="1">
        <f t="array" ref="N7786">IF(MOD(ROW()-ROW($B$2),16)=0,INDEX($M$2:$M$1000,(ROW()-ROW($B$2))/16+1),"")</f>
        <v/>
      </c>
    </row>
    <row r="7787" spans="14:14" x14ac:dyDescent="0.3">
      <c r="N7787" t="str" cm="1">
        <f t="array" ref="N7787">IF(MOD(ROW()-ROW($B$2),16)=0,INDEX($M$2:$M$1000,(ROW()-ROW($B$2))/16+1),"")</f>
        <v/>
      </c>
    </row>
    <row r="7788" spans="14:14" x14ac:dyDescent="0.3">
      <c r="N7788" t="str" cm="1">
        <f t="array" ref="N7788">IF(MOD(ROW()-ROW($B$2),16)=0,INDEX($M$2:$M$1000,(ROW()-ROW($B$2))/16+1),"")</f>
        <v/>
      </c>
    </row>
    <row r="7789" spans="14:14" x14ac:dyDescent="0.3">
      <c r="N7789" t="str" cm="1">
        <f t="array" ref="N7789">IF(MOD(ROW()-ROW($B$2),16)=0,INDEX($M$2:$M$1000,(ROW()-ROW($B$2))/16+1),"")</f>
        <v/>
      </c>
    </row>
    <row r="7790" spans="14:14" x14ac:dyDescent="0.3">
      <c r="N7790" t="str" cm="1">
        <f t="array" ref="N7790">IF(MOD(ROW()-ROW($B$2),16)=0,INDEX($M$2:$M$1000,(ROW()-ROW($B$2))/16+1),"")</f>
        <v/>
      </c>
    </row>
    <row r="7791" spans="14:14" x14ac:dyDescent="0.3">
      <c r="N7791" t="str" cm="1">
        <f t="array" ref="N7791">IF(MOD(ROW()-ROW($B$2),16)=0,INDEX($M$2:$M$1000,(ROW()-ROW($B$2))/16+1),"")</f>
        <v/>
      </c>
    </row>
    <row r="7792" spans="14:14" x14ac:dyDescent="0.3">
      <c r="N7792" t="str" cm="1">
        <f t="array" ref="N7792">IF(MOD(ROW()-ROW($B$2),16)=0,INDEX($M$2:$M$1000,(ROW()-ROW($B$2))/16+1),"")</f>
        <v/>
      </c>
    </row>
    <row r="7793" spans="14:14" x14ac:dyDescent="0.3">
      <c r="N7793" t="str" cm="1">
        <f t="array" ref="N7793">IF(MOD(ROW()-ROW($B$2),16)=0,INDEX($M$2:$M$1000,(ROW()-ROW($B$2))/16+1),"")</f>
        <v/>
      </c>
    </row>
    <row r="7794" spans="14:14" x14ac:dyDescent="0.3">
      <c r="N7794" t="str" cm="1">
        <f t="array" ref="N7794">IF(MOD(ROW()-ROW($B$2),16)=0,INDEX($M$2:$M$1000,(ROW()-ROW($B$2))/16+1),"")</f>
        <v/>
      </c>
    </row>
    <row r="7795" spans="14:14" x14ac:dyDescent="0.3">
      <c r="N7795" t="str" cm="1">
        <f t="array" ref="N7795">IF(MOD(ROW()-ROW($B$2),16)=0,INDEX($M$2:$M$1000,(ROW()-ROW($B$2))/16+1),"")</f>
        <v/>
      </c>
    </row>
    <row r="7796" spans="14:14" x14ac:dyDescent="0.3">
      <c r="N7796" t="str" cm="1">
        <f t="array" ref="N7796">IF(MOD(ROW()-ROW($B$2),16)=0,INDEX($M$2:$M$1000,(ROW()-ROW($B$2))/16+1),"")</f>
        <v/>
      </c>
    </row>
    <row r="7797" spans="14:14" x14ac:dyDescent="0.3">
      <c r="N7797" t="str" cm="1">
        <f t="array" ref="N7797">IF(MOD(ROW()-ROW($B$2),16)=0,INDEX($M$2:$M$1000,(ROW()-ROW($B$2))/16+1),"")</f>
        <v/>
      </c>
    </row>
    <row r="7798" spans="14:14" x14ac:dyDescent="0.3">
      <c r="N7798" t="str" cm="1">
        <f t="array" ref="N7798">IF(MOD(ROW()-ROW($B$2),16)=0,INDEX($M$2:$M$1000,(ROW()-ROW($B$2))/16+1),"")</f>
        <v/>
      </c>
    </row>
    <row r="7799" spans="14:14" x14ac:dyDescent="0.3">
      <c r="N7799" t="str" cm="1">
        <f t="array" ref="N7799">IF(MOD(ROW()-ROW($B$2),16)=0,INDEX($M$2:$M$1000,(ROW()-ROW($B$2))/16+1),"")</f>
        <v/>
      </c>
    </row>
    <row r="7800" spans="14:14" x14ac:dyDescent="0.3">
      <c r="N7800" t="str" cm="1">
        <f t="array" ref="N7800">IF(MOD(ROW()-ROW($B$2),16)=0,INDEX($M$2:$M$1000,(ROW()-ROW($B$2))/16+1),"")</f>
        <v/>
      </c>
    </row>
    <row r="7801" spans="14:14" x14ac:dyDescent="0.3">
      <c r="N7801" t="str" cm="1">
        <f t="array" ref="N7801">IF(MOD(ROW()-ROW($B$2),16)=0,INDEX($M$2:$M$1000,(ROW()-ROW($B$2))/16+1),"")</f>
        <v/>
      </c>
    </row>
    <row r="7802" spans="14:14" x14ac:dyDescent="0.3">
      <c r="N7802" t="str" cm="1">
        <f t="array" ref="N7802">IF(MOD(ROW()-ROW($B$2),16)=0,INDEX($M$2:$M$1000,(ROW()-ROW($B$2))/16+1),"")</f>
        <v/>
      </c>
    </row>
    <row r="7803" spans="14:14" x14ac:dyDescent="0.3">
      <c r="N7803" t="str" cm="1">
        <f t="array" ref="N7803">IF(MOD(ROW()-ROW($B$2),16)=0,INDEX($M$2:$M$1000,(ROW()-ROW($B$2))/16+1),"")</f>
        <v/>
      </c>
    </row>
    <row r="7804" spans="14:14" x14ac:dyDescent="0.3">
      <c r="N7804" t="str" cm="1">
        <f t="array" ref="N7804">IF(MOD(ROW()-ROW($B$2),16)=0,INDEX($M$2:$M$1000,(ROW()-ROW($B$2))/16+1),"")</f>
        <v/>
      </c>
    </row>
    <row r="7805" spans="14:14" x14ac:dyDescent="0.3">
      <c r="N7805" t="str" cm="1">
        <f t="array" ref="N7805">IF(MOD(ROW()-ROW($B$2),16)=0,INDEX($M$2:$M$1000,(ROW()-ROW($B$2))/16+1),"")</f>
        <v/>
      </c>
    </row>
    <row r="7806" spans="14:14" x14ac:dyDescent="0.3">
      <c r="N7806" t="str" cm="1">
        <f t="array" ref="N7806">IF(MOD(ROW()-ROW($B$2),16)=0,INDEX($M$2:$M$1000,(ROW()-ROW($B$2))/16+1),"")</f>
        <v/>
      </c>
    </row>
    <row r="7807" spans="14:14" x14ac:dyDescent="0.3">
      <c r="N7807" t="str" cm="1">
        <f t="array" ref="N7807">IF(MOD(ROW()-ROW($B$2),16)=0,INDEX($M$2:$M$1000,(ROW()-ROW($B$2))/16+1),"")</f>
        <v/>
      </c>
    </row>
    <row r="7808" spans="14:14" x14ac:dyDescent="0.3">
      <c r="N7808" t="str" cm="1">
        <f t="array" ref="N7808">IF(MOD(ROW()-ROW($B$2),16)=0,INDEX($M$2:$M$1000,(ROW()-ROW($B$2))/16+1),"")</f>
        <v/>
      </c>
    </row>
    <row r="7809" spans="14:14" x14ac:dyDescent="0.3">
      <c r="N7809" t="str" cm="1">
        <f t="array" ref="N7809">IF(MOD(ROW()-ROW($B$2),16)=0,INDEX($M$2:$M$1000,(ROW()-ROW($B$2))/16+1),"")</f>
        <v/>
      </c>
    </row>
    <row r="7810" spans="14:14" x14ac:dyDescent="0.3">
      <c r="N7810" t="str" cm="1">
        <f t="array" ref="N7810">IF(MOD(ROW()-ROW($B$2),16)=0,INDEX($M$2:$M$1000,(ROW()-ROW($B$2))/16+1),"")</f>
        <v/>
      </c>
    </row>
    <row r="7811" spans="14:14" x14ac:dyDescent="0.3">
      <c r="N7811" t="str" cm="1">
        <f t="array" ref="N7811">IF(MOD(ROW()-ROW($B$2),16)=0,INDEX($M$2:$M$1000,(ROW()-ROW($B$2))/16+1),"")</f>
        <v/>
      </c>
    </row>
    <row r="7812" spans="14:14" x14ac:dyDescent="0.3">
      <c r="N7812" t="str" cm="1">
        <f t="array" ref="N7812">IF(MOD(ROW()-ROW($B$2),16)=0,INDEX($M$2:$M$1000,(ROW()-ROW($B$2))/16+1),"")</f>
        <v/>
      </c>
    </row>
    <row r="7813" spans="14:14" x14ac:dyDescent="0.3">
      <c r="N7813" t="str" cm="1">
        <f t="array" ref="N7813">IF(MOD(ROW()-ROW($B$2),16)=0,INDEX($M$2:$M$1000,(ROW()-ROW($B$2))/16+1),"")</f>
        <v/>
      </c>
    </row>
    <row r="7814" spans="14:14" x14ac:dyDescent="0.3">
      <c r="N7814" t="str" cm="1">
        <f t="array" ref="N7814">IF(MOD(ROW()-ROW($B$2),16)=0,INDEX($M$2:$M$1000,(ROW()-ROW($B$2))/16+1),"")</f>
        <v/>
      </c>
    </row>
    <row r="7815" spans="14:14" x14ac:dyDescent="0.3">
      <c r="N7815" t="str" cm="1">
        <f t="array" ref="N7815">IF(MOD(ROW()-ROW($B$2),16)=0,INDEX($M$2:$M$1000,(ROW()-ROW($B$2))/16+1),"")</f>
        <v/>
      </c>
    </row>
    <row r="7816" spans="14:14" x14ac:dyDescent="0.3">
      <c r="N7816" t="str" cm="1">
        <f t="array" ref="N7816">IF(MOD(ROW()-ROW($B$2),16)=0,INDEX($M$2:$M$1000,(ROW()-ROW($B$2))/16+1),"")</f>
        <v/>
      </c>
    </row>
    <row r="7817" spans="14:14" x14ac:dyDescent="0.3">
      <c r="N7817" t="str" cm="1">
        <f t="array" ref="N7817">IF(MOD(ROW()-ROW($B$2),16)=0,INDEX($M$2:$M$1000,(ROW()-ROW($B$2))/16+1),"")</f>
        <v/>
      </c>
    </row>
    <row r="7818" spans="14:14" x14ac:dyDescent="0.3">
      <c r="N7818" t="str" cm="1">
        <f t="array" ref="N7818">IF(MOD(ROW()-ROW($B$2),16)=0,INDEX($M$2:$M$1000,(ROW()-ROW($B$2))/16+1),"")</f>
        <v/>
      </c>
    </row>
    <row r="7819" spans="14:14" x14ac:dyDescent="0.3">
      <c r="N7819" t="str" cm="1">
        <f t="array" ref="N7819">IF(MOD(ROW()-ROW($B$2),16)=0,INDEX($M$2:$M$1000,(ROW()-ROW($B$2))/16+1),"")</f>
        <v/>
      </c>
    </row>
    <row r="7820" spans="14:14" x14ac:dyDescent="0.3">
      <c r="N7820" t="str" cm="1">
        <f t="array" ref="N7820">IF(MOD(ROW()-ROW($B$2),16)=0,INDEX($M$2:$M$1000,(ROW()-ROW($B$2))/16+1),"")</f>
        <v/>
      </c>
    </row>
    <row r="7821" spans="14:14" x14ac:dyDescent="0.3">
      <c r="N7821" t="str" cm="1">
        <f t="array" ref="N7821">IF(MOD(ROW()-ROW($B$2),16)=0,INDEX($M$2:$M$1000,(ROW()-ROW($B$2))/16+1),"")</f>
        <v/>
      </c>
    </row>
    <row r="7822" spans="14:14" x14ac:dyDescent="0.3">
      <c r="N7822" t="str" cm="1">
        <f t="array" ref="N7822">IF(MOD(ROW()-ROW($B$2),16)=0,INDEX($M$2:$M$1000,(ROW()-ROW($B$2))/16+1),"")</f>
        <v/>
      </c>
    </row>
    <row r="7823" spans="14:14" x14ac:dyDescent="0.3">
      <c r="N7823" t="str" cm="1">
        <f t="array" ref="N7823">IF(MOD(ROW()-ROW($B$2),16)=0,INDEX($M$2:$M$1000,(ROW()-ROW($B$2))/16+1),"")</f>
        <v/>
      </c>
    </row>
    <row r="7824" spans="14:14" x14ac:dyDescent="0.3">
      <c r="N7824" t="str" cm="1">
        <f t="array" ref="N7824">IF(MOD(ROW()-ROW($B$2),16)=0,INDEX($M$2:$M$1000,(ROW()-ROW($B$2))/16+1),"")</f>
        <v/>
      </c>
    </row>
    <row r="7825" spans="14:14" x14ac:dyDescent="0.3">
      <c r="N7825" t="str" cm="1">
        <f t="array" ref="N7825">IF(MOD(ROW()-ROW($B$2),16)=0,INDEX($M$2:$M$1000,(ROW()-ROW($B$2))/16+1),"")</f>
        <v/>
      </c>
    </row>
    <row r="7826" spans="14:14" x14ac:dyDescent="0.3">
      <c r="N7826" t="str" cm="1">
        <f t="array" ref="N7826">IF(MOD(ROW()-ROW($B$2),16)=0,INDEX($M$2:$M$1000,(ROW()-ROW($B$2))/16+1),"")</f>
        <v/>
      </c>
    </row>
    <row r="7827" spans="14:14" x14ac:dyDescent="0.3">
      <c r="N7827" t="str" cm="1">
        <f t="array" ref="N7827">IF(MOD(ROW()-ROW($B$2),16)=0,INDEX($M$2:$M$1000,(ROW()-ROW($B$2))/16+1),"")</f>
        <v/>
      </c>
    </row>
    <row r="7828" spans="14:14" x14ac:dyDescent="0.3">
      <c r="N7828" t="str" cm="1">
        <f t="array" ref="N7828">IF(MOD(ROW()-ROW($B$2),16)=0,INDEX($M$2:$M$1000,(ROW()-ROW($B$2))/16+1),"")</f>
        <v/>
      </c>
    </row>
    <row r="7829" spans="14:14" x14ac:dyDescent="0.3">
      <c r="N7829" t="str" cm="1">
        <f t="array" ref="N7829">IF(MOD(ROW()-ROW($B$2),16)=0,INDEX($M$2:$M$1000,(ROW()-ROW($B$2))/16+1),"")</f>
        <v/>
      </c>
    </row>
    <row r="7830" spans="14:14" x14ac:dyDescent="0.3">
      <c r="N7830" t="str" cm="1">
        <f t="array" ref="N7830">IF(MOD(ROW()-ROW($B$2),16)=0,INDEX($M$2:$M$1000,(ROW()-ROW($B$2))/16+1),"")</f>
        <v/>
      </c>
    </row>
    <row r="7831" spans="14:14" x14ac:dyDescent="0.3">
      <c r="N7831" t="str" cm="1">
        <f t="array" ref="N7831">IF(MOD(ROW()-ROW($B$2),16)=0,INDEX($M$2:$M$1000,(ROW()-ROW($B$2))/16+1),"")</f>
        <v/>
      </c>
    </row>
    <row r="7832" spans="14:14" x14ac:dyDescent="0.3">
      <c r="N7832" t="str" cm="1">
        <f t="array" ref="N7832">IF(MOD(ROW()-ROW($B$2),16)=0,INDEX($M$2:$M$1000,(ROW()-ROW($B$2))/16+1),"")</f>
        <v/>
      </c>
    </row>
    <row r="7833" spans="14:14" x14ac:dyDescent="0.3">
      <c r="N7833" t="str" cm="1">
        <f t="array" ref="N7833">IF(MOD(ROW()-ROW($B$2),16)=0,INDEX($M$2:$M$1000,(ROW()-ROW($B$2))/16+1),"")</f>
        <v/>
      </c>
    </row>
    <row r="7834" spans="14:14" x14ac:dyDescent="0.3">
      <c r="N7834" t="str" cm="1">
        <f t="array" ref="N7834">IF(MOD(ROW()-ROW($B$2),16)=0,INDEX($M$2:$M$1000,(ROW()-ROW($B$2))/16+1),"")</f>
        <v/>
      </c>
    </row>
    <row r="7835" spans="14:14" x14ac:dyDescent="0.3">
      <c r="N7835" t="str" cm="1">
        <f t="array" ref="N7835">IF(MOD(ROW()-ROW($B$2),16)=0,INDEX($M$2:$M$1000,(ROW()-ROW($B$2))/16+1),"")</f>
        <v/>
      </c>
    </row>
    <row r="7836" spans="14:14" x14ac:dyDescent="0.3">
      <c r="N7836" t="str" cm="1">
        <f t="array" ref="N7836">IF(MOD(ROW()-ROW($B$2),16)=0,INDEX($M$2:$M$1000,(ROW()-ROW($B$2))/16+1),"")</f>
        <v/>
      </c>
    </row>
    <row r="7837" spans="14:14" x14ac:dyDescent="0.3">
      <c r="N7837" t="str" cm="1">
        <f t="array" ref="N7837">IF(MOD(ROW()-ROW($B$2),16)=0,INDEX($M$2:$M$1000,(ROW()-ROW($B$2))/16+1),"")</f>
        <v/>
      </c>
    </row>
    <row r="7838" spans="14:14" x14ac:dyDescent="0.3">
      <c r="N7838" t="str" cm="1">
        <f t="array" ref="N7838">IF(MOD(ROW()-ROW($B$2),16)=0,INDEX($M$2:$M$1000,(ROW()-ROW($B$2))/16+1),"")</f>
        <v/>
      </c>
    </row>
    <row r="7839" spans="14:14" x14ac:dyDescent="0.3">
      <c r="N7839" t="str" cm="1">
        <f t="array" ref="N7839">IF(MOD(ROW()-ROW($B$2),16)=0,INDEX($M$2:$M$1000,(ROW()-ROW($B$2))/16+1),"")</f>
        <v/>
      </c>
    </row>
    <row r="7840" spans="14:14" x14ac:dyDescent="0.3">
      <c r="N7840" t="str" cm="1">
        <f t="array" ref="N7840">IF(MOD(ROW()-ROW($B$2),16)=0,INDEX($M$2:$M$1000,(ROW()-ROW($B$2))/16+1),"")</f>
        <v/>
      </c>
    </row>
    <row r="7841" spans="14:14" x14ac:dyDescent="0.3">
      <c r="N7841" t="str" cm="1">
        <f t="array" ref="N7841">IF(MOD(ROW()-ROW($B$2),16)=0,INDEX($M$2:$M$1000,(ROW()-ROW($B$2))/16+1),"")</f>
        <v/>
      </c>
    </row>
    <row r="7842" spans="14:14" x14ac:dyDescent="0.3">
      <c r="N7842" t="str" cm="1">
        <f t="array" ref="N7842">IF(MOD(ROW()-ROW($B$2),16)=0,INDEX($M$2:$M$1000,(ROW()-ROW($B$2))/16+1),"")</f>
        <v/>
      </c>
    </row>
    <row r="7843" spans="14:14" x14ac:dyDescent="0.3">
      <c r="N7843" t="str" cm="1">
        <f t="array" ref="N7843">IF(MOD(ROW()-ROW($B$2),16)=0,INDEX($M$2:$M$1000,(ROW()-ROW($B$2))/16+1),"")</f>
        <v/>
      </c>
    </row>
    <row r="7844" spans="14:14" x14ac:dyDescent="0.3">
      <c r="N7844" t="str" cm="1">
        <f t="array" ref="N7844">IF(MOD(ROW()-ROW($B$2),16)=0,INDEX($M$2:$M$1000,(ROW()-ROW($B$2))/16+1),"")</f>
        <v/>
      </c>
    </row>
    <row r="7845" spans="14:14" x14ac:dyDescent="0.3">
      <c r="N7845" t="str" cm="1">
        <f t="array" ref="N7845">IF(MOD(ROW()-ROW($B$2),16)=0,INDEX($M$2:$M$1000,(ROW()-ROW($B$2))/16+1),"")</f>
        <v/>
      </c>
    </row>
    <row r="7846" spans="14:14" x14ac:dyDescent="0.3">
      <c r="N7846" t="str" cm="1">
        <f t="array" ref="N7846">IF(MOD(ROW()-ROW($B$2),16)=0,INDEX($M$2:$M$1000,(ROW()-ROW($B$2))/16+1),"")</f>
        <v/>
      </c>
    </row>
    <row r="7847" spans="14:14" x14ac:dyDescent="0.3">
      <c r="N7847" t="str" cm="1">
        <f t="array" ref="N7847">IF(MOD(ROW()-ROW($B$2),16)=0,INDEX($M$2:$M$1000,(ROW()-ROW($B$2))/16+1),"")</f>
        <v/>
      </c>
    </row>
    <row r="7848" spans="14:14" x14ac:dyDescent="0.3">
      <c r="N7848" t="str" cm="1">
        <f t="array" ref="N7848">IF(MOD(ROW()-ROW($B$2),16)=0,INDEX($M$2:$M$1000,(ROW()-ROW($B$2))/16+1),"")</f>
        <v/>
      </c>
    </row>
    <row r="7849" spans="14:14" x14ac:dyDescent="0.3">
      <c r="N7849" t="str" cm="1">
        <f t="array" ref="N7849">IF(MOD(ROW()-ROW($B$2),16)=0,INDEX($M$2:$M$1000,(ROW()-ROW($B$2))/16+1),"")</f>
        <v/>
      </c>
    </row>
    <row r="7850" spans="14:14" x14ac:dyDescent="0.3">
      <c r="N7850" t="str" cm="1">
        <f t="array" ref="N7850">IF(MOD(ROW()-ROW($B$2),16)=0,INDEX($M$2:$M$1000,(ROW()-ROW($B$2))/16+1),"")</f>
        <v/>
      </c>
    </row>
    <row r="7851" spans="14:14" x14ac:dyDescent="0.3">
      <c r="N7851" t="str" cm="1">
        <f t="array" ref="N7851">IF(MOD(ROW()-ROW($B$2),16)=0,INDEX($M$2:$M$1000,(ROW()-ROW($B$2))/16+1),"")</f>
        <v/>
      </c>
    </row>
    <row r="7852" spans="14:14" x14ac:dyDescent="0.3">
      <c r="N7852" t="str" cm="1">
        <f t="array" ref="N7852">IF(MOD(ROW()-ROW($B$2),16)=0,INDEX($M$2:$M$1000,(ROW()-ROW($B$2))/16+1),"")</f>
        <v/>
      </c>
    </row>
    <row r="7853" spans="14:14" x14ac:dyDescent="0.3">
      <c r="N7853" t="str" cm="1">
        <f t="array" ref="N7853">IF(MOD(ROW()-ROW($B$2),16)=0,INDEX($M$2:$M$1000,(ROW()-ROW($B$2))/16+1),"")</f>
        <v/>
      </c>
    </row>
    <row r="7854" spans="14:14" x14ac:dyDescent="0.3">
      <c r="N7854" t="str" cm="1">
        <f t="array" ref="N7854">IF(MOD(ROW()-ROW($B$2),16)=0,INDEX($M$2:$M$1000,(ROW()-ROW($B$2))/16+1),"")</f>
        <v/>
      </c>
    </row>
    <row r="7855" spans="14:14" x14ac:dyDescent="0.3">
      <c r="N7855" t="str" cm="1">
        <f t="array" ref="N7855">IF(MOD(ROW()-ROW($B$2),16)=0,INDEX($M$2:$M$1000,(ROW()-ROW($B$2))/16+1),"")</f>
        <v/>
      </c>
    </row>
    <row r="7856" spans="14:14" x14ac:dyDescent="0.3">
      <c r="N7856" t="str" cm="1">
        <f t="array" ref="N7856">IF(MOD(ROW()-ROW($B$2),16)=0,INDEX($M$2:$M$1000,(ROW()-ROW($B$2))/16+1),"")</f>
        <v/>
      </c>
    </row>
    <row r="7857" spans="14:14" x14ac:dyDescent="0.3">
      <c r="N7857" t="str" cm="1">
        <f t="array" ref="N7857">IF(MOD(ROW()-ROW($B$2),16)=0,INDEX($M$2:$M$1000,(ROW()-ROW($B$2))/16+1),"")</f>
        <v/>
      </c>
    </row>
    <row r="7858" spans="14:14" x14ac:dyDescent="0.3">
      <c r="N7858" t="str" cm="1">
        <f t="array" ref="N7858">IF(MOD(ROW()-ROW($B$2),16)=0,INDEX($M$2:$M$1000,(ROW()-ROW($B$2))/16+1),"")</f>
        <v/>
      </c>
    </row>
    <row r="7859" spans="14:14" x14ac:dyDescent="0.3">
      <c r="N7859" t="str" cm="1">
        <f t="array" ref="N7859">IF(MOD(ROW()-ROW($B$2),16)=0,INDEX($M$2:$M$1000,(ROW()-ROW($B$2))/16+1),"")</f>
        <v/>
      </c>
    </row>
    <row r="7860" spans="14:14" x14ac:dyDescent="0.3">
      <c r="N7860" t="str" cm="1">
        <f t="array" ref="N7860">IF(MOD(ROW()-ROW($B$2),16)=0,INDEX($M$2:$M$1000,(ROW()-ROW($B$2))/16+1),"")</f>
        <v/>
      </c>
    </row>
    <row r="7861" spans="14:14" x14ac:dyDescent="0.3">
      <c r="N7861" t="str" cm="1">
        <f t="array" ref="N7861">IF(MOD(ROW()-ROW($B$2),16)=0,INDEX($M$2:$M$1000,(ROW()-ROW($B$2))/16+1),"")</f>
        <v/>
      </c>
    </row>
    <row r="7862" spans="14:14" x14ac:dyDescent="0.3">
      <c r="N7862" t="str" cm="1">
        <f t="array" ref="N7862">IF(MOD(ROW()-ROW($B$2),16)=0,INDEX($M$2:$M$1000,(ROW()-ROW($B$2))/16+1),"")</f>
        <v/>
      </c>
    </row>
    <row r="7863" spans="14:14" x14ac:dyDescent="0.3">
      <c r="N7863" t="str" cm="1">
        <f t="array" ref="N7863">IF(MOD(ROW()-ROW($B$2),16)=0,INDEX($M$2:$M$1000,(ROW()-ROW($B$2))/16+1),"")</f>
        <v/>
      </c>
    </row>
    <row r="7864" spans="14:14" x14ac:dyDescent="0.3">
      <c r="N7864" t="str" cm="1">
        <f t="array" ref="N7864">IF(MOD(ROW()-ROW($B$2),16)=0,INDEX($M$2:$M$1000,(ROW()-ROW($B$2))/16+1),"")</f>
        <v/>
      </c>
    </row>
    <row r="7865" spans="14:14" x14ac:dyDescent="0.3">
      <c r="N7865" t="str" cm="1">
        <f t="array" ref="N7865">IF(MOD(ROW()-ROW($B$2),16)=0,INDEX($M$2:$M$1000,(ROW()-ROW($B$2))/16+1),"")</f>
        <v/>
      </c>
    </row>
    <row r="7866" spans="14:14" x14ac:dyDescent="0.3">
      <c r="N7866" t="str" cm="1">
        <f t="array" ref="N7866">IF(MOD(ROW()-ROW($B$2),16)=0,INDEX($M$2:$M$1000,(ROW()-ROW($B$2))/16+1),"")</f>
        <v/>
      </c>
    </row>
    <row r="7867" spans="14:14" x14ac:dyDescent="0.3">
      <c r="N7867" t="str" cm="1">
        <f t="array" ref="N7867">IF(MOD(ROW()-ROW($B$2),16)=0,INDEX($M$2:$M$1000,(ROW()-ROW($B$2))/16+1),"")</f>
        <v/>
      </c>
    </row>
    <row r="7868" spans="14:14" x14ac:dyDescent="0.3">
      <c r="N7868" t="str" cm="1">
        <f t="array" ref="N7868">IF(MOD(ROW()-ROW($B$2),16)=0,INDEX($M$2:$M$1000,(ROW()-ROW($B$2))/16+1),"")</f>
        <v/>
      </c>
    </row>
    <row r="7869" spans="14:14" x14ac:dyDescent="0.3">
      <c r="N7869" t="str" cm="1">
        <f t="array" ref="N7869">IF(MOD(ROW()-ROW($B$2),16)=0,INDEX($M$2:$M$1000,(ROW()-ROW($B$2))/16+1),"")</f>
        <v/>
      </c>
    </row>
    <row r="7870" spans="14:14" x14ac:dyDescent="0.3">
      <c r="N7870" t="str" cm="1">
        <f t="array" ref="N7870">IF(MOD(ROW()-ROW($B$2),16)=0,INDEX($M$2:$M$1000,(ROW()-ROW($B$2))/16+1),"")</f>
        <v/>
      </c>
    </row>
    <row r="7871" spans="14:14" x14ac:dyDescent="0.3">
      <c r="N7871" t="str" cm="1">
        <f t="array" ref="N7871">IF(MOD(ROW()-ROW($B$2),16)=0,INDEX($M$2:$M$1000,(ROW()-ROW($B$2))/16+1),"")</f>
        <v/>
      </c>
    </row>
    <row r="7872" spans="14:14" x14ac:dyDescent="0.3">
      <c r="N7872" t="str" cm="1">
        <f t="array" ref="N7872">IF(MOD(ROW()-ROW($B$2),16)=0,INDEX($M$2:$M$1000,(ROW()-ROW($B$2))/16+1),"")</f>
        <v/>
      </c>
    </row>
    <row r="7873" spans="14:14" x14ac:dyDescent="0.3">
      <c r="N7873" t="str" cm="1">
        <f t="array" ref="N7873">IF(MOD(ROW()-ROW($B$2),16)=0,INDEX($M$2:$M$1000,(ROW()-ROW($B$2))/16+1),"")</f>
        <v/>
      </c>
    </row>
    <row r="7874" spans="14:14" x14ac:dyDescent="0.3">
      <c r="N7874" t="str" cm="1">
        <f t="array" ref="N7874">IF(MOD(ROW()-ROW($B$2),16)=0,INDEX($M$2:$M$1000,(ROW()-ROW($B$2))/16+1),"")</f>
        <v/>
      </c>
    </row>
    <row r="7875" spans="14:14" x14ac:dyDescent="0.3">
      <c r="N7875" t="str" cm="1">
        <f t="array" ref="N7875">IF(MOD(ROW()-ROW($B$2),16)=0,INDEX($M$2:$M$1000,(ROW()-ROW($B$2))/16+1),"")</f>
        <v/>
      </c>
    </row>
    <row r="7876" spans="14:14" x14ac:dyDescent="0.3">
      <c r="N7876" t="str" cm="1">
        <f t="array" ref="N7876">IF(MOD(ROW()-ROW($B$2),16)=0,INDEX($M$2:$M$1000,(ROW()-ROW($B$2))/16+1),"")</f>
        <v/>
      </c>
    </row>
    <row r="7877" spans="14:14" x14ac:dyDescent="0.3">
      <c r="N7877" t="str" cm="1">
        <f t="array" ref="N7877">IF(MOD(ROW()-ROW($B$2),16)=0,INDEX($M$2:$M$1000,(ROW()-ROW($B$2))/16+1),"")</f>
        <v/>
      </c>
    </row>
    <row r="7878" spans="14:14" x14ac:dyDescent="0.3">
      <c r="N7878" t="str" cm="1">
        <f t="array" ref="N7878">IF(MOD(ROW()-ROW($B$2),16)=0,INDEX($M$2:$M$1000,(ROW()-ROW($B$2))/16+1),"")</f>
        <v/>
      </c>
    </row>
    <row r="7879" spans="14:14" x14ac:dyDescent="0.3">
      <c r="N7879" t="str" cm="1">
        <f t="array" ref="N7879">IF(MOD(ROW()-ROW($B$2),16)=0,INDEX($M$2:$M$1000,(ROW()-ROW($B$2))/16+1),"")</f>
        <v/>
      </c>
    </row>
    <row r="7880" spans="14:14" x14ac:dyDescent="0.3">
      <c r="N7880" t="str" cm="1">
        <f t="array" ref="N7880">IF(MOD(ROW()-ROW($B$2),16)=0,INDEX($M$2:$M$1000,(ROW()-ROW($B$2))/16+1),"")</f>
        <v/>
      </c>
    </row>
    <row r="7881" spans="14:14" x14ac:dyDescent="0.3">
      <c r="N7881" t="str" cm="1">
        <f t="array" ref="N7881">IF(MOD(ROW()-ROW($B$2),16)=0,INDEX($M$2:$M$1000,(ROW()-ROW($B$2))/16+1),"")</f>
        <v/>
      </c>
    </row>
    <row r="7882" spans="14:14" x14ac:dyDescent="0.3">
      <c r="N7882" t="str" cm="1">
        <f t="array" ref="N7882">IF(MOD(ROW()-ROW($B$2),16)=0,INDEX($M$2:$M$1000,(ROW()-ROW($B$2))/16+1),"")</f>
        <v/>
      </c>
    </row>
    <row r="7883" spans="14:14" x14ac:dyDescent="0.3">
      <c r="N7883" t="str" cm="1">
        <f t="array" ref="N7883">IF(MOD(ROW()-ROW($B$2),16)=0,INDEX($M$2:$M$1000,(ROW()-ROW($B$2))/16+1),"")</f>
        <v/>
      </c>
    </row>
    <row r="7884" spans="14:14" x14ac:dyDescent="0.3">
      <c r="N7884" t="str" cm="1">
        <f t="array" ref="N7884">IF(MOD(ROW()-ROW($B$2),16)=0,INDEX($M$2:$M$1000,(ROW()-ROW($B$2))/16+1),"")</f>
        <v/>
      </c>
    </row>
    <row r="7885" spans="14:14" x14ac:dyDescent="0.3">
      <c r="N7885" t="str" cm="1">
        <f t="array" ref="N7885">IF(MOD(ROW()-ROW($B$2),16)=0,INDEX($M$2:$M$1000,(ROW()-ROW($B$2))/16+1),"")</f>
        <v/>
      </c>
    </row>
    <row r="7886" spans="14:14" x14ac:dyDescent="0.3">
      <c r="N7886" t="str" cm="1">
        <f t="array" ref="N7886">IF(MOD(ROW()-ROW($B$2),16)=0,INDEX($M$2:$M$1000,(ROW()-ROW($B$2))/16+1),"")</f>
        <v/>
      </c>
    </row>
    <row r="7887" spans="14:14" x14ac:dyDescent="0.3">
      <c r="N7887" t="str" cm="1">
        <f t="array" ref="N7887">IF(MOD(ROW()-ROW($B$2),16)=0,INDEX($M$2:$M$1000,(ROW()-ROW($B$2))/16+1),"")</f>
        <v/>
      </c>
    </row>
    <row r="7888" spans="14:14" x14ac:dyDescent="0.3">
      <c r="N7888" t="str" cm="1">
        <f t="array" ref="N7888">IF(MOD(ROW()-ROW($B$2),16)=0,INDEX($M$2:$M$1000,(ROW()-ROW($B$2))/16+1),"")</f>
        <v/>
      </c>
    </row>
    <row r="7889" spans="14:14" x14ac:dyDescent="0.3">
      <c r="N7889" t="str" cm="1">
        <f t="array" ref="N7889">IF(MOD(ROW()-ROW($B$2),16)=0,INDEX($M$2:$M$1000,(ROW()-ROW($B$2))/16+1),"")</f>
        <v/>
      </c>
    </row>
    <row r="7890" spans="14:14" x14ac:dyDescent="0.3">
      <c r="N7890" t="str" cm="1">
        <f t="array" ref="N7890">IF(MOD(ROW()-ROW($B$2),16)=0,INDEX($M$2:$M$1000,(ROW()-ROW($B$2))/16+1),"")</f>
        <v/>
      </c>
    </row>
    <row r="7891" spans="14:14" x14ac:dyDescent="0.3">
      <c r="N7891" t="str" cm="1">
        <f t="array" ref="N7891">IF(MOD(ROW()-ROW($B$2),16)=0,INDEX($M$2:$M$1000,(ROW()-ROW($B$2))/16+1),"")</f>
        <v/>
      </c>
    </row>
    <row r="7892" spans="14:14" x14ac:dyDescent="0.3">
      <c r="N7892" t="str" cm="1">
        <f t="array" ref="N7892">IF(MOD(ROW()-ROW($B$2),16)=0,INDEX($M$2:$M$1000,(ROW()-ROW($B$2))/16+1),"")</f>
        <v/>
      </c>
    </row>
    <row r="7893" spans="14:14" x14ac:dyDescent="0.3">
      <c r="N7893" t="str" cm="1">
        <f t="array" ref="N7893">IF(MOD(ROW()-ROW($B$2),16)=0,INDEX($M$2:$M$1000,(ROW()-ROW($B$2))/16+1),"")</f>
        <v/>
      </c>
    </row>
    <row r="7894" spans="14:14" x14ac:dyDescent="0.3">
      <c r="N7894" t="str" cm="1">
        <f t="array" ref="N7894">IF(MOD(ROW()-ROW($B$2),16)=0,INDEX($M$2:$M$1000,(ROW()-ROW($B$2))/16+1),"")</f>
        <v/>
      </c>
    </row>
    <row r="7895" spans="14:14" x14ac:dyDescent="0.3">
      <c r="N7895" t="str" cm="1">
        <f t="array" ref="N7895">IF(MOD(ROW()-ROW($B$2),16)=0,INDEX($M$2:$M$1000,(ROW()-ROW($B$2))/16+1),"")</f>
        <v/>
      </c>
    </row>
    <row r="7896" spans="14:14" x14ac:dyDescent="0.3">
      <c r="N7896" t="str" cm="1">
        <f t="array" ref="N7896">IF(MOD(ROW()-ROW($B$2),16)=0,INDEX($M$2:$M$1000,(ROW()-ROW($B$2))/16+1),"")</f>
        <v/>
      </c>
    </row>
    <row r="7897" spans="14:14" x14ac:dyDescent="0.3">
      <c r="N7897" t="str" cm="1">
        <f t="array" ref="N7897">IF(MOD(ROW()-ROW($B$2),16)=0,INDEX($M$2:$M$1000,(ROW()-ROW($B$2))/16+1),"")</f>
        <v/>
      </c>
    </row>
    <row r="7898" spans="14:14" x14ac:dyDescent="0.3">
      <c r="N7898" t="str" cm="1">
        <f t="array" ref="N7898">IF(MOD(ROW()-ROW($B$2),16)=0,INDEX($M$2:$M$1000,(ROW()-ROW($B$2))/16+1),"")</f>
        <v/>
      </c>
    </row>
    <row r="7899" spans="14:14" x14ac:dyDescent="0.3">
      <c r="N7899" t="str" cm="1">
        <f t="array" ref="N7899">IF(MOD(ROW()-ROW($B$2),16)=0,INDEX($M$2:$M$1000,(ROW()-ROW($B$2))/16+1),"")</f>
        <v/>
      </c>
    </row>
    <row r="7900" spans="14:14" x14ac:dyDescent="0.3">
      <c r="N7900" t="str" cm="1">
        <f t="array" ref="N7900">IF(MOD(ROW()-ROW($B$2),16)=0,INDEX($M$2:$M$1000,(ROW()-ROW($B$2))/16+1),"")</f>
        <v/>
      </c>
    </row>
    <row r="7901" spans="14:14" x14ac:dyDescent="0.3">
      <c r="N7901" t="str" cm="1">
        <f t="array" ref="N7901">IF(MOD(ROW()-ROW($B$2),16)=0,INDEX($M$2:$M$1000,(ROW()-ROW($B$2))/16+1),"")</f>
        <v/>
      </c>
    </row>
    <row r="7902" spans="14:14" x14ac:dyDescent="0.3">
      <c r="N7902" t="str" cm="1">
        <f t="array" ref="N7902">IF(MOD(ROW()-ROW($B$2),16)=0,INDEX($M$2:$M$1000,(ROW()-ROW($B$2))/16+1),"")</f>
        <v/>
      </c>
    </row>
    <row r="7903" spans="14:14" x14ac:dyDescent="0.3">
      <c r="N7903" t="str" cm="1">
        <f t="array" ref="N7903">IF(MOD(ROW()-ROW($B$2),16)=0,INDEX($M$2:$M$1000,(ROW()-ROW($B$2))/16+1),"")</f>
        <v/>
      </c>
    </row>
    <row r="7904" spans="14:14" x14ac:dyDescent="0.3">
      <c r="N7904" t="str" cm="1">
        <f t="array" ref="N7904">IF(MOD(ROW()-ROW($B$2),16)=0,INDEX($M$2:$M$1000,(ROW()-ROW($B$2))/16+1),"")</f>
        <v/>
      </c>
    </row>
    <row r="7905" spans="14:14" x14ac:dyDescent="0.3">
      <c r="N7905" t="str" cm="1">
        <f t="array" ref="N7905">IF(MOD(ROW()-ROW($B$2),16)=0,INDEX($M$2:$M$1000,(ROW()-ROW($B$2))/16+1),"")</f>
        <v/>
      </c>
    </row>
    <row r="7906" spans="14:14" x14ac:dyDescent="0.3">
      <c r="N7906" t="str" cm="1">
        <f t="array" ref="N7906">IF(MOD(ROW()-ROW($B$2),16)=0,INDEX($M$2:$M$1000,(ROW()-ROW($B$2))/16+1),"")</f>
        <v/>
      </c>
    </row>
    <row r="7907" spans="14:14" x14ac:dyDescent="0.3">
      <c r="N7907" t="str" cm="1">
        <f t="array" ref="N7907">IF(MOD(ROW()-ROW($B$2),16)=0,INDEX($M$2:$M$1000,(ROW()-ROW($B$2))/16+1),"")</f>
        <v/>
      </c>
    </row>
    <row r="7908" spans="14:14" x14ac:dyDescent="0.3">
      <c r="N7908" t="str" cm="1">
        <f t="array" ref="N7908">IF(MOD(ROW()-ROW($B$2),16)=0,INDEX($M$2:$M$1000,(ROW()-ROW($B$2))/16+1),"")</f>
        <v/>
      </c>
    </row>
    <row r="7909" spans="14:14" x14ac:dyDescent="0.3">
      <c r="N7909" t="str" cm="1">
        <f t="array" ref="N7909">IF(MOD(ROW()-ROW($B$2),16)=0,INDEX($M$2:$M$1000,(ROW()-ROW($B$2))/16+1),"")</f>
        <v/>
      </c>
    </row>
    <row r="7910" spans="14:14" x14ac:dyDescent="0.3">
      <c r="N7910" t="str" cm="1">
        <f t="array" ref="N7910">IF(MOD(ROW()-ROW($B$2),16)=0,INDEX($M$2:$M$1000,(ROW()-ROW($B$2))/16+1),"")</f>
        <v/>
      </c>
    </row>
    <row r="7911" spans="14:14" x14ac:dyDescent="0.3">
      <c r="N7911" t="str" cm="1">
        <f t="array" ref="N7911">IF(MOD(ROW()-ROW($B$2),16)=0,INDEX($M$2:$M$1000,(ROW()-ROW($B$2))/16+1),"")</f>
        <v/>
      </c>
    </row>
    <row r="7912" spans="14:14" x14ac:dyDescent="0.3">
      <c r="N7912" t="str" cm="1">
        <f t="array" ref="N7912">IF(MOD(ROW()-ROW($B$2),16)=0,INDEX($M$2:$M$1000,(ROW()-ROW($B$2))/16+1),"")</f>
        <v/>
      </c>
    </row>
    <row r="7913" spans="14:14" x14ac:dyDescent="0.3">
      <c r="N7913" t="str" cm="1">
        <f t="array" ref="N7913">IF(MOD(ROW()-ROW($B$2),16)=0,INDEX($M$2:$M$1000,(ROW()-ROW($B$2))/16+1),"")</f>
        <v/>
      </c>
    </row>
    <row r="7914" spans="14:14" x14ac:dyDescent="0.3">
      <c r="N7914" t="str" cm="1">
        <f t="array" ref="N7914">IF(MOD(ROW()-ROW($B$2),16)=0,INDEX($M$2:$M$1000,(ROW()-ROW($B$2))/16+1),"")</f>
        <v/>
      </c>
    </row>
    <row r="7915" spans="14:14" x14ac:dyDescent="0.3">
      <c r="N7915" t="str" cm="1">
        <f t="array" ref="N7915">IF(MOD(ROW()-ROW($B$2),16)=0,INDEX($M$2:$M$1000,(ROW()-ROW($B$2))/16+1),"")</f>
        <v/>
      </c>
    </row>
    <row r="7916" spans="14:14" x14ac:dyDescent="0.3">
      <c r="N7916" t="str" cm="1">
        <f t="array" ref="N7916">IF(MOD(ROW()-ROW($B$2),16)=0,INDEX($M$2:$M$1000,(ROW()-ROW($B$2))/16+1),"")</f>
        <v/>
      </c>
    </row>
    <row r="7917" spans="14:14" x14ac:dyDescent="0.3">
      <c r="N7917" t="str" cm="1">
        <f t="array" ref="N7917">IF(MOD(ROW()-ROW($B$2),16)=0,INDEX($M$2:$M$1000,(ROW()-ROW($B$2))/16+1),"")</f>
        <v/>
      </c>
    </row>
    <row r="7918" spans="14:14" x14ac:dyDescent="0.3">
      <c r="N7918" t="str" cm="1">
        <f t="array" ref="N7918">IF(MOD(ROW()-ROW($B$2),16)=0,INDEX($M$2:$M$1000,(ROW()-ROW($B$2))/16+1),"")</f>
        <v/>
      </c>
    </row>
    <row r="7919" spans="14:14" x14ac:dyDescent="0.3">
      <c r="N7919" t="str" cm="1">
        <f t="array" ref="N7919">IF(MOD(ROW()-ROW($B$2),16)=0,INDEX($M$2:$M$1000,(ROW()-ROW($B$2))/16+1),"")</f>
        <v/>
      </c>
    </row>
    <row r="7920" spans="14:14" x14ac:dyDescent="0.3">
      <c r="N7920" t="str" cm="1">
        <f t="array" ref="N7920">IF(MOD(ROW()-ROW($B$2),16)=0,INDEX($M$2:$M$1000,(ROW()-ROW($B$2))/16+1),"")</f>
        <v/>
      </c>
    </row>
    <row r="7921" spans="14:14" x14ac:dyDescent="0.3">
      <c r="N7921" t="str" cm="1">
        <f t="array" ref="N7921">IF(MOD(ROW()-ROW($B$2),16)=0,INDEX($M$2:$M$1000,(ROW()-ROW($B$2))/16+1),"")</f>
        <v/>
      </c>
    </row>
    <row r="7922" spans="14:14" x14ac:dyDescent="0.3">
      <c r="N7922" t="str" cm="1">
        <f t="array" ref="N7922">IF(MOD(ROW()-ROW($B$2),16)=0,INDEX($M$2:$M$1000,(ROW()-ROW($B$2))/16+1),"")</f>
        <v/>
      </c>
    </row>
    <row r="7923" spans="14:14" x14ac:dyDescent="0.3">
      <c r="N7923" t="str" cm="1">
        <f t="array" ref="N7923">IF(MOD(ROW()-ROW($B$2),16)=0,INDEX($M$2:$M$1000,(ROW()-ROW($B$2))/16+1),"")</f>
        <v/>
      </c>
    </row>
    <row r="7924" spans="14:14" x14ac:dyDescent="0.3">
      <c r="N7924" t="str" cm="1">
        <f t="array" ref="N7924">IF(MOD(ROW()-ROW($B$2),16)=0,INDEX($M$2:$M$1000,(ROW()-ROW($B$2))/16+1),"")</f>
        <v/>
      </c>
    </row>
    <row r="7925" spans="14:14" x14ac:dyDescent="0.3">
      <c r="N7925" t="str" cm="1">
        <f t="array" ref="N7925">IF(MOD(ROW()-ROW($B$2),16)=0,INDEX($M$2:$M$1000,(ROW()-ROW($B$2))/16+1),"")</f>
        <v/>
      </c>
    </row>
    <row r="7926" spans="14:14" x14ac:dyDescent="0.3">
      <c r="N7926" t="str" cm="1">
        <f t="array" ref="N7926">IF(MOD(ROW()-ROW($B$2),16)=0,INDEX($M$2:$M$1000,(ROW()-ROW($B$2))/16+1),"")</f>
        <v/>
      </c>
    </row>
    <row r="7927" spans="14:14" x14ac:dyDescent="0.3">
      <c r="N7927" t="str" cm="1">
        <f t="array" ref="N7927">IF(MOD(ROW()-ROW($B$2),16)=0,INDEX($M$2:$M$1000,(ROW()-ROW($B$2))/16+1),"")</f>
        <v/>
      </c>
    </row>
    <row r="7928" spans="14:14" x14ac:dyDescent="0.3">
      <c r="N7928" t="str" cm="1">
        <f t="array" ref="N7928">IF(MOD(ROW()-ROW($B$2),16)=0,INDEX($M$2:$M$1000,(ROW()-ROW($B$2))/16+1),"")</f>
        <v/>
      </c>
    </row>
    <row r="7929" spans="14:14" x14ac:dyDescent="0.3">
      <c r="N7929" t="str" cm="1">
        <f t="array" ref="N7929">IF(MOD(ROW()-ROW($B$2),16)=0,INDEX($M$2:$M$1000,(ROW()-ROW($B$2))/16+1),"")</f>
        <v/>
      </c>
    </row>
    <row r="7930" spans="14:14" x14ac:dyDescent="0.3">
      <c r="N7930" t="str" cm="1">
        <f t="array" ref="N7930">IF(MOD(ROW()-ROW($B$2),16)=0,INDEX($M$2:$M$1000,(ROW()-ROW($B$2))/16+1),"")</f>
        <v/>
      </c>
    </row>
    <row r="7931" spans="14:14" x14ac:dyDescent="0.3">
      <c r="N7931" t="str" cm="1">
        <f t="array" ref="N7931">IF(MOD(ROW()-ROW($B$2),16)=0,INDEX($M$2:$M$1000,(ROW()-ROW($B$2))/16+1),"")</f>
        <v/>
      </c>
    </row>
    <row r="7932" spans="14:14" x14ac:dyDescent="0.3">
      <c r="N7932" t="str" cm="1">
        <f t="array" ref="N7932">IF(MOD(ROW()-ROW($B$2),16)=0,INDEX($M$2:$M$1000,(ROW()-ROW($B$2))/16+1),"")</f>
        <v/>
      </c>
    </row>
    <row r="7933" spans="14:14" x14ac:dyDescent="0.3">
      <c r="N7933" t="str" cm="1">
        <f t="array" ref="N7933">IF(MOD(ROW()-ROW($B$2),16)=0,INDEX($M$2:$M$1000,(ROW()-ROW($B$2))/16+1),"")</f>
        <v/>
      </c>
    </row>
    <row r="7934" spans="14:14" x14ac:dyDescent="0.3">
      <c r="N7934" t="str" cm="1">
        <f t="array" ref="N7934">IF(MOD(ROW()-ROW($B$2),16)=0,INDEX($M$2:$M$1000,(ROW()-ROW($B$2))/16+1),"")</f>
        <v/>
      </c>
    </row>
    <row r="7935" spans="14:14" x14ac:dyDescent="0.3">
      <c r="N7935" t="str" cm="1">
        <f t="array" ref="N7935">IF(MOD(ROW()-ROW($B$2),16)=0,INDEX($M$2:$M$1000,(ROW()-ROW($B$2))/16+1),"")</f>
        <v/>
      </c>
    </row>
    <row r="7936" spans="14:14" x14ac:dyDescent="0.3">
      <c r="N7936" t="str" cm="1">
        <f t="array" ref="N7936">IF(MOD(ROW()-ROW($B$2),16)=0,INDEX($M$2:$M$1000,(ROW()-ROW($B$2))/16+1),"")</f>
        <v/>
      </c>
    </row>
    <row r="7937" spans="14:14" x14ac:dyDescent="0.3">
      <c r="N7937" t="str" cm="1">
        <f t="array" ref="N7937">IF(MOD(ROW()-ROW($B$2),16)=0,INDEX($M$2:$M$1000,(ROW()-ROW($B$2))/16+1),"")</f>
        <v/>
      </c>
    </row>
    <row r="7938" spans="14:14" x14ac:dyDescent="0.3">
      <c r="N7938" t="str" cm="1">
        <f t="array" ref="N7938">IF(MOD(ROW()-ROW($B$2),16)=0,INDEX($M$2:$M$1000,(ROW()-ROW($B$2))/16+1),"")</f>
        <v/>
      </c>
    </row>
    <row r="7939" spans="14:14" x14ac:dyDescent="0.3">
      <c r="N7939" t="str" cm="1">
        <f t="array" ref="N7939">IF(MOD(ROW()-ROW($B$2),16)=0,INDEX($M$2:$M$1000,(ROW()-ROW($B$2))/16+1),"")</f>
        <v/>
      </c>
    </row>
    <row r="7940" spans="14:14" x14ac:dyDescent="0.3">
      <c r="N7940" t="str" cm="1">
        <f t="array" ref="N7940">IF(MOD(ROW()-ROW($B$2),16)=0,INDEX($M$2:$M$1000,(ROW()-ROW($B$2))/16+1),"")</f>
        <v/>
      </c>
    </row>
    <row r="7941" spans="14:14" x14ac:dyDescent="0.3">
      <c r="N7941" t="str" cm="1">
        <f t="array" ref="N7941">IF(MOD(ROW()-ROW($B$2),16)=0,INDEX($M$2:$M$1000,(ROW()-ROW($B$2))/16+1),"")</f>
        <v/>
      </c>
    </row>
    <row r="7942" spans="14:14" x14ac:dyDescent="0.3">
      <c r="N7942" t="str" cm="1">
        <f t="array" ref="N7942">IF(MOD(ROW()-ROW($B$2),16)=0,INDEX($M$2:$M$1000,(ROW()-ROW($B$2))/16+1),"")</f>
        <v/>
      </c>
    </row>
    <row r="7943" spans="14:14" x14ac:dyDescent="0.3">
      <c r="N7943" t="str" cm="1">
        <f t="array" ref="N7943">IF(MOD(ROW()-ROW($B$2),16)=0,INDEX($M$2:$M$1000,(ROW()-ROW($B$2))/16+1),"")</f>
        <v/>
      </c>
    </row>
    <row r="7944" spans="14:14" x14ac:dyDescent="0.3">
      <c r="N7944" t="str" cm="1">
        <f t="array" ref="N7944">IF(MOD(ROW()-ROW($B$2),16)=0,INDEX($M$2:$M$1000,(ROW()-ROW($B$2))/16+1),"")</f>
        <v/>
      </c>
    </row>
    <row r="7945" spans="14:14" x14ac:dyDescent="0.3">
      <c r="N7945" t="str" cm="1">
        <f t="array" ref="N7945">IF(MOD(ROW()-ROW($B$2),16)=0,INDEX($M$2:$M$1000,(ROW()-ROW($B$2))/16+1),"")</f>
        <v/>
      </c>
    </row>
    <row r="7946" spans="14:14" x14ac:dyDescent="0.3">
      <c r="N7946" t="str" cm="1">
        <f t="array" ref="N7946">IF(MOD(ROW()-ROW($B$2),16)=0,INDEX($M$2:$M$1000,(ROW()-ROW($B$2))/16+1),"")</f>
        <v/>
      </c>
    </row>
    <row r="7947" spans="14:14" x14ac:dyDescent="0.3">
      <c r="N7947" t="str" cm="1">
        <f t="array" ref="N7947">IF(MOD(ROW()-ROW($B$2),16)=0,INDEX($M$2:$M$1000,(ROW()-ROW($B$2))/16+1),"")</f>
        <v/>
      </c>
    </row>
    <row r="7948" spans="14:14" x14ac:dyDescent="0.3">
      <c r="N7948" t="str" cm="1">
        <f t="array" ref="N7948">IF(MOD(ROW()-ROW($B$2),16)=0,INDEX($M$2:$M$1000,(ROW()-ROW($B$2))/16+1),"")</f>
        <v/>
      </c>
    </row>
    <row r="7949" spans="14:14" x14ac:dyDescent="0.3">
      <c r="N7949" t="str" cm="1">
        <f t="array" ref="N7949">IF(MOD(ROW()-ROW($B$2),16)=0,INDEX($M$2:$M$1000,(ROW()-ROW($B$2))/16+1),"")</f>
        <v/>
      </c>
    </row>
    <row r="7950" spans="14:14" x14ac:dyDescent="0.3">
      <c r="N7950" t="str" cm="1">
        <f t="array" ref="N7950">IF(MOD(ROW()-ROW($B$2),16)=0,INDEX($M$2:$M$1000,(ROW()-ROW($B$2))/16+1),"")</f>
        <v/>
      </c>
    </row>
    <row r="7951" spans="14:14" x14ac:dyDescent="0.3">
      <c r="N7951" t="str" cm="1">
        <f t="array" ref="N7951">IF(MOD(ROW()-ROW($B$2),16)=0,INDEX($M$2:$M$1000,(ROW()-ROW($B$2))/16+1),"")</f>
        <v/>
      </c>
    </row>
    <row r="7952" spans="14:14" x14ac:dyDescent="0.3">
      <c r="N7952" t="str" cm="1">
        <f t="array" ref="N7952">IF(MOD(ROW()-ROW($B$2),16)=0,INDEX($M$2:$M$1000,(ROW()-ROW($B$2))/16+1),"")</f>
        <v/>
      </c>
    </row>
    <row r="7953" spans="14:14" x14ac:dyDescent="0.3">
      <c r="N7953" t="str" cm="1">
        <f t="array" ref="N7953">IF(MOD(ROW()-ROW($B$2),16)=0,INDEX($M$2:$M$1000,(ROW()-ROW($B$2))/16+1),"")</f>
        <v/>
      </c>
    </row>
    <row r="7954" spans="14:14" x14ac:dyDescent="0.3">
      <c r="N7954" t="str" cm="1">
        <f t="array" ref="N7954">IF(MOD(ROW()-ROW($B$2),16)=0,INDEX($M$2:$M$1000,(ROW()-ROW($B$2))/16+1),"")</f>
        <v/>
      </c>
    </row>
    <row r="7955" spans="14:14" x14ac:dyDescent="0.3">
      <c r="N7955" t="str" cm="1">
        <f t="array" ref="N7955">IF(MOD(ROW()-ROW($B$2),16)=0,INDEX($M$2:$M$1000,(ROW()-ROW($B$2))/16+1),"")</f>
        <v/>
      </c>
    </row>
    <row r="7956" spans="14:14" x14ac:dyDescent="0.3">
      <c r="N7956" t="str" cm="1">
        <f t="array" ref="N7956">IF(MOD(ROW()-ROW($B$2),16)=0,INDEX($M$2:$M$1000,(ROW()-ROW($B$2))/16+1),"")</f>
        <v/>
      </c>
    </row>
    <row r="7957" spans="14:14" x14ac:dyDescent="0.3">
      <c r="N7957" t="str" cm="1">
        <f t="array" ref="N7957">IF(MOD(ROW()-ROW($B$2),16)=0,INDEX($M$2:$M$1000,(ROW()-ROW($B$2))/16+1),"")</f>
        <v/>
      </c>
    </row>
    <row r="7958" spans="14:14" x14ac:dyDescent="0.3">
      <c r="N7958" t="str" cm="1">
        <f t="array" ref="N7958">IF(MOD(ROW()-ROW($B$2),16)=0,INDEX($M$2:$M$1000,(ROW()-ROW($B$2))/16+1),"")</f>
        <v/>
      </c>
    </row>
    <row r="7959" spans="14:14" x14ac:dyDescent="0.3">
      <c r="N7959" t="str" cm="1">
        <f t="array" ref="N7959">IF(MOD(ROW()-ROW($B$2),16)=0,INDEX($M$2:$M$1000,(ROW()-ROW($B$2))/16+1),"")</f>
        <v/>
      </c>
    </row>
    <row r="7960" spans="14:14" x14ac:dyDescent="0.3">
      <c r="N7960" t="str" cm="1">
        <f t="array" ref="N7960">IF(MOD(ROW()-ROW($B$2),16)=0,INDEX($M$2:$M$1000,(ROW()-ROW($B$2))/16+1),"")</f>
        <v/>
      </c>
    </row>
    <row r="7961" spans="14:14" x14ac:dyDescent="0.3">
      <c r="N7961" t="str" cm="1">
        <f t="array" ref="N7961">IF(MOD(ROW()-ROW($B$2),16)=0,INDEX($M$2:$M$1000,(ROW()-ROW($B$2))/16+1),"")</f>
        <v/>
      </c>
    </row>
    <row r="7962" spans="14:14" x14ac:dyDescent="0.3">
      <c r="N7962" t="str" cm="1">
        <f t="array" ref="N7962">IF(MOD(ROW()-ROW($B$2),16)=0,INDEX($M$2:$M$1000,(ROW()-ROW($B$2))/16+1),"")</f>
        <v/>
      </c>
    </row>
    <row r="7963" spans="14:14" x14ac:dyDescent="0.3">
      <c r="N7963" t="str" cm="1">
        <f t="array" ref="N7963">IF(MOD(ROW()-ROW($B$2),16)=0,INDEX($M$2:$M$1000,(ROW()-ROW($B$2))/16+1),"")</f>
        <v/>
      </c>
    </row>
    <row r="7964" spans="14:14" x14ac:dyDescent="0.3">
      <c r="N7964" t="str" cm="1">
        <f t="array" ref="N7964">IF(MOD(ROW()-ROW($B$2),16)=0,INDEX($M$2:$M$1000,(ROW()-ROW($B$2))/16+1),"")</f>
        <v/>
      </c>
    </row>
    <row r="7965" spans="14:14" x14ac:dyDescent="0.3">
      <c r="N7965" t="str" cm="1">
        <f t="array" ref="N7965">IF(MOD(ROW()-ROW($B$2),16)=0,INDEX($M$2:$M$1000,(ROW()-ROW($B$2))/16+1),"")</f>
        <v/>
      </c>
    </row>
    <row r="7966" spans="14:14" x14ac:dyDescent="0.3">
      <c r="N7966" t="str" cm="1">
        <f t="array" ref="N7966">IF(MOD(ROW()-ROW($B$2),16)=0,INDEX($M$2:$M$1000,(ROW()-ROW($B$2))/16+1),"")</f>
        <v/>
      </c>
    </row>
    <row r="7967" spans="14:14" x14ac:dyDescent="0.3">
      <c r="N7967" t="str" cm="1">
        <f t="array" ref="N7967">IF(MOD(ROW()-ROW($B$2),16)=0,INDEX($M$2:$M$1000,(ROW()-ROW($B$2))/16+1),"")</f>
        <v/>
      </c>
    </row>
    <row r="7968" spans="14:14" x14ac:dyDescent="0.3">
      <c r="N7968" t="str" cm="1">
        <f t="array" ref="N7968">IF(MOD(ROW()-ROW($B$2),16)=0,INDEX($M$2:$M$1000,(ROW()-ROW($B$2))/16+1),"")</f>
        <v/>
      </c>
    </row>
    <row r="7969" spans="14:14" x14ac:dyDescent="0.3">
      <c r="N7969" t="str" cm="1">
        <f t="array" ref="N7969">IF(MOD(ROW()-ROW($B$2),16)=0,INDEX($M$2:$M$1000,(ROW()-ROW($B$2))/16+1),"")</f>
        <v/>
      </c>
    </row>
    <row r="7970" spans="14:14" x14ac:dyDescent="0.3">
      <c r="N7970" t="str" cm="1">
        <f t="array" ref="N7970">IF(MOD(ROW()-ROW($B$2),16)=0,INDEX($M$2:$M$1000,(ROW()-ROW($B$2))/16+1),"")</f>
        <v/>
      </c>
    </row>
    <row r="7971" spans="14:14" x14ac:dyDescent="0.3">
      <c r="N7971" t="str" cm="1">
        <f t="array" ref="N7971">IF(MOD(ROW()-ROW($B$2),16)=0,INDEX($M$2:$M$1000,(ROW()-ROW($B$2))/16+1),"")</f>
        <v/>
      </c>
    </row>
    <row r="7972" spans="14:14" x14ac:dyDescent="0.3">
      <c r="N7972" t="str" cm="1">
        <f t="array" ref="N7972">IF(MOD(ROW()-ROW($B$2),16)=0,INDEX($M$2:$M$1000,(ROW()-ROW($B$2))/16+1),"")</f>
        <v/>
      </c>
    </row>
    <row r="7973" spans="14:14" x14ac:dyDescent="0.3">
      <c r="N7973" t="str" cm="1">
        <f t="array" ref="N7973">IF(MOD(ROW()-ROW($B$2),16)=0,INDEX($M$2:$M$1000,(ROW()-ROW($B$2))/16+1),"")</f>
        <v/>
      </c>
    </row>
    <row r="7974" spans="14:14" x14ac:dyDescent="0.3">
      <c r="N7974" t="str" cm="1">
        <f t="array" ref="N7974">IF(MOD(ROW()-ROW($B$2),16)=0,INDEX($M$2:$M$1000,(ROW()-ROW($B$2))/16+1),"")</f>
        <v/>
      </c>
    </row>
    <row r="7975" spans="14:14" x14ac:dyDescent="0.3">
      <c r="N7975" t="str" cm="1">
        <f t="array" ref="N7975">IF(MOD(ROW()-ROW($B$2),16)=0,INDEX($M$2:$M$1000,(ROW()-ROW($B$2))/16+1),"")</f>
        <v/>
      </c>
    </row>
    <row r="7976" spans="14:14" x14ac:dyDescent="0.3">
      <c r="N7976" t="str" cm="1">
        <f t="array" ref="N7976">IF(MOD(ROW()-ROW($B$2),16)=0,INDEX($M$2:$M$1000,(ROW()-ROW($B$2))/16+1),"")</f>
        <v/>
      </c>
    </row>
    <row r="7977" spans="14:14" x14ac:dyDescent="0.3">
      <c r="N7977" t="str" cm="1">
        <f t="array" ref="N7977">IF(MOD(ROW()-ROW($B$2),16)=0,INDEX($M$2:$M$1000,(ROW()-ROW($B$2))/16+1),"")</f>
        <v/>
      </c>
    </row>
    <row r="7978" spans="14:14" x14ac:dyDescent="0.3">
      <c r="N7978" t="str" cm="1">
        <f t="array" ref="N7978">IF(MOD(ROW()-ROW($B$2),16)=0,INDEX($M$2:$M$1000,(ROW()-ROW($B$2))/16+1),"")</f>
        <v/>
      </c>
    </row>
    <row r="7979" spans="14:14" x14ac:dyDescent="0.3">
      <c r="N7979" t="str" cm="1">
        <f t="array" ref="N7979">IF(MOD(ROW()-ROW($B$2),16)=0,INDEX($M$2:$M$1000,(ROW()-ROW($B$2))/16+1),"")</f>
        <v/>
      </c>
    </row>
    <row r="7980" spans="14:14" x14ac:dyDescent="0.3">
      <c r="N7980" t="str" cm="1">
        <f t="array" ref="N7980">IF(MOD(ROW()-ROW($B$2),16)=0,INDEX($M$2:$M$1000,(ROW()-ROW($B$2))/16+1),"")</f>
        <v/>
      </c>
    </row>
    <row r="7981" spans="14:14" x14ac:dyDescent="0.3">
      <c r="N7981" t="str" cm="1">
        <f t="array" ref="N7981">IF(MOD(ROW()-ROW($B$2),16)=0,INDEX($M$2:$M$1000,(ROW()-ROW($B$2))/16+1),"")</f>
        <v/>
      </c>
    </row>
    <row r="7982" spans="14:14" x14ac:dyDescent="0.3">
      <c r="N7982" t="str" cm="1">
        <f t="array" ref="N7982">IF(MOD(ROW()-ROW($B$2),16)=0,INDEX($M$2:$M$1000,(ROW()-ROW($B$2))/16+1),"")</f>
        <v/>
      </c>
    </row>
    <row r="7983" spans="14:14" x14ac:dyDescent="0.3">
      <c r="N7983" t="str" cm="1">
        <f t="array" ref="N7983">IF(MOD(ROW()-ROW($B$2),16)=0,INDEX($M$2:$M$1000,(ROW()-ROW($B$2))/16+1),"")</f>
        <v/>
      </c>
    </row>
    <row r="7984" spans="14:14" x14ac:dyDescent="0.3">
      <c r="N7984" t="str" cm="1">
        <f t="array" ref="N7984">IF(MOD(ROW()-ROW($B$2),16)=0,INDEX($M$2:$M$1000,(ROW()-ROW($B$2))/16+1),"")</f>
        <v/>
      </c>
    </row>
    <row r="7985" spans="14:14" x14ac:dyDescent="0.3">
      <c r="N7985" t="str" cm="1">
        <f t="array" ref="N7985">IF(MOD(ROW()-ROW($B$2),16)=0,INDEX($M$2:$M$1000,(ROW()-ROW($B$2))/16+1),"")</f>
        <v/>
      </c>
    </row>
    <row r="7986" spans="14:14" x14ac:dyDescent="0.3">
      <c r="N7986" t="str" cm="1">
        <f t="array" ref="N7986">IF(MOD(ROW()-ROW($B$2),16)=0,INDEX($M$2:$M$1000,(ROW()-ROW($B$2))/16+1),"")</f>
        <v/>
      </c>
    </row>
    <row r="7987" spans="14:14" x14ac:dyDescent="0.3">
      <c r="N7987" t="str" cm="1">
        <f t="array" ref="N7987">IF(MOD(ROW()-ROW($B$2),16)=0,INDEX($M$2:$M$1000,(ROW()-ROW($B$2))/16+1),"")</f>
        <v/>
      </c>
    </row>
    <row r="7988" spans="14:14" x14ac:dyDescent="0.3">
      <c r="N7988" t="str" cm="1">
        <f t="array" ref="N7988">IF(MOD(ROW()-ROW($B$2),16)=0,INDEX($M$2:$M$1000,(ROW()-ROW($B$2))/16+1),"")</f>
        <v/>
      </c>
    </row>
    <row r="7989" spans="14:14" x14ac:dyDescent="0.3">
      <c r="N7989" t="str" cm="1">
        <f t="array" ref="N7989">IF(MOD(ROW()-ROW($B$2),16)=0,INDEX($M$2:$M$1000,(ROW()-ROW($B$2))/16+1),"")</f>
        <v/>
      </c>
    </row>
    <row r="7990" spans="14:14" x14ac:dyDescent="0.3">
      <c r="N7990" t="str" cm="1">
        <f t="array" ref="N7990">IF(MOD(ROW()-ROW($B$2),16)=0,INDEX($M$2:$M$1000,(ROW()-ROW($B$2))/16+1),"")</f>
        <v/>
      </c>
    </row>
    <row r="7991" spans="14:14" x14ac:dyDescent="0.3">
      <c r="N7991" t="str" cm="1">
        <f t="array" ref="N7991">IF(MOD(ROW()-ROW($B$2),16)=0,INDEX($M$2:$M$1000,(ROW()-ROW($B$2))/16+1),"")</f>
        <v/>
      </c>
    </row>
    <row r="7992" spans="14:14" x14ac:dyDescent="0.3">
      <c r="N7992" t="str" cm="1">
        <f t="array" ref="N7992">IF(MOD(ROW()-ROW($B$2),16)=0,INDEX($M$2:$M$1000,(ROW()-ROW($B$2))/16+1),"")</f>
        <v/>
      </c>
    </row>
    <row r="7993" spans="14:14" x14ac:dyDescent="0.3">
      <c r="N7993" t="str" cm="1">
        <f t="array" ref="N7993">IF(MOD(ROW()-ROW($B$2),16)=0,INDEX($M$2:$M$1000,(ROW()-ROW($B$2))/16+1),"")</f>
        <v/>
      </c>
    </row>
    <row r="7994" spans="14:14" x14ac:dyDescent="0.3">
      <c r="N7994" t="str" cm="1">
        <f t="array" ref="N7994">IF(MOD(ROW()-ROW($B$2),16)=0,INDEX($M$2:$M$1000,(ROW()-ROW($B$2))/16+1),"")</f>
        <v/>
      </c>
    </row>
    <row r="7995" spans="14:14" x14ac:dyDescent="0.3">
      <c r="N7995" t="str" cm="1">
        <f t="array" ref="N7995">IF(MOD(ROW()-ROW($B$2),16)=0,INDEX($M$2:$M$1000,(ROW()-ROW($B$2))/16+1),"")</f>
        <v/>
      </c>
    </row>
    <row r="7996" spans="14:14" x14ac:dyDescent="0.3">
      <c r="N7996" t="str" cm="1">
        <f t="array" ref="N7996">IF(MOD(ROW()-ROW($B$2),16)=0,INDEX($M$2:$M$1000,(ROW()-ROW($B$2))/16+1),"")</f>
        <v/>
      </c>
    </row>
    <row r="7997" spans="14:14" x14ac:dyDescent="0.3">
      <c r="N7997" t="str" cm="1">
        <f t="array" ref="N7997">IF(MOD(ROW()-ROW($B$2),16)=0,INDEX($M$2:$M$1000,(ROW()-ROW($B$2))/16+1),"")</f>
        <v/>
      </c>
    </row>
    <row r="7998" spans="14:14" x14ac:dyDescent="0.3">
      <c r="N7998" t="str" cm="1">
        <f t="array" ref="N7998">IF(MOD(ROW()-ROW($B$2),16)=0,INDEX($M$2:$M$1000,(ROW()-ROW($B$2))/16+1),"")</f>
        <v/>
      </c>
    </row>
    <row r="7999" spans="14:14" x14ac:dyDescent="0.3">
      <c r="N7999" t="str" cm="1">
        <f t="array" ref="N7999">IF(MOD(ROW()-ROW($B$2),16)=0,INDEX($M$2:$M$1000,(ROW()-ROW($B$2))/16+1),"")</f>
        <v/>
      </c>
    </row>
    <row r="8000" spans="14:14" x14ac:dyDescent="0.3">
      <c r="N8000" t="str" cm="1">
        <f t="array" ref="N8000">IF(MOD(ROW()-ROW($B$2),16)=0,INDEX($M$2:$M$1000,(ROW()-ROW($B$2))/16+1),"")</f>
        <v/>
      </c>
    </row>
    <row r="8001" spans="14:14" x14ac:dyDescent="0.3">
      <c r="N8001" t="str" cm="1">
        <f t="array" ref="N8001">IF(MOD(ROW()-ROW($B$2),16)=0,INDEX($M$2:$M$1000,(ROW()-ROW($B$2))/16+1),"")</f>
        <v/>
      </c>
    </row>
    <row r="8002" spans="14:14" x14ac:dyDescent="0.3">
      <c r="N8002" t="str" cm="1">
        <f t="array" ref="N8002">IF(MOD(ROW()-ROW($B$2),16)=0,INDEX($M$2:$M$1000,(ROW()-ROW($B$2))/16+1),"")</f>
        <v/>
      </c>
    </row>
    <row r="8003" spans="14:14" x14ac:dyDescent="0.3">
      <c r="N8003" t="str" cm="1">
        <f t="array" ref="N8003">IF(MOD(ROW()-ROW($B$2),16)=0,INDEX($M$2:$M$1000,(ROW()-ROW($B$2))/16+1),"")</f>
        <v/>
      </c>
    </row>
    <row r="8004" spans="14:14" x14ac:dyDescent="0.3">
      <c r="N8004" t="str" cm="1">
        <f t="array" ref="N8004">IF(MOD(ROW()-ROW($B$2),16)=0,INDEX($M$2:$M$1000,(ROW()-ROW($B$2))/16+1),"")</f>
        <v/>
      </c>
    </row>
    <row r="8005" spans="14:14" x14ac:dyDescent="0.3">
      <c r="N8005" t="str" cm="1">
        <f t="array" ref="N8005">IF(MOD(ROW()-ROW($B$2),16)=0,INDEX($M$2:$M$1000,(ROW()-ROW($B$2))/16+1),"")</f>
        <v/>
      </c>
    </row>
    <row r="8006" spans="14:14" x14ac:dyDescent="0.3">
      <c r="N8006" t="str" cm="1">
        <f t="array" ref="N8006">IF(MOD(ROW()-ROW($B$2),16)=0,INDEX($M$2:$M$1000,(ROW()-ROW($B$2))/16+1),"")</f>
        <v/>
      </c>
    </row>
    <row r="8007" spans="14:14" x14ac:dyDescent="0.3">
      <c r="N8007" t="str" cm="1">
        <f t="array" ref="N8007">IF(MOD(ROW()-ROW($B$2),16)=0,INDEX($M$2:$M$1000,(ROW()-ROW($B$2))/16+1),"")</f>
        <v/>
      </c>
    </row>
    <row r="8008" spans="14:14" x14ac:dyDescent="0.3">
      <c r="N8008" t="str" cm="1">
        <f t="array" ref="N8008">IF(MOD(ROW()-ROW($B$2),16)=0,INDEX($M$2:$M$1000,(ROW()-ROW($B$2))/16+1),"")</f>
        <v/>
      </c>
    </row>
    <row r="8009" spans="14:14" x14ac:dyDescent="0.3">
      <c r="N8009" t="str" cm="1">
        <f t="array" ref="N8009">IF(MOD(ROW()-ROW($B$2),16)=0,INDEX($M$2:$M$1000,(ROW()-ROW($B$2))/16+1),"")</f>
        <v/>
      </c>
    </row>
    <row r="8010" spans="14:14" x14ac:dyDescent="0.3">
      <c r="N8010" t="str" cm="1">
        <f t="array" ref="N8010">IF(MOD(ROW()-ROW($B$2),16)=0,INDEX($M$2:$M$1000,(ROW()-ROW($B$2))/16+1),"")</f>
        <v/>
      </c>
    </row>
    <row r="8011" spans="14:14" x14ac:dyDescent="0.3">
      <c r="N8011" t="str" cm="1">
        <f t="array" ref="N8011">IF(MOD(ROW()-ROW($B$2),16)=0,INDEX($M$2:$M$1000,(ROW()-ROW($B$2))/16+1),"")</f>
        <v/>
      </c>
    </row>
    <row r="8012" spans="14:14" x14ac:dyDescent="0.3">
      <c r="N8012" t="str" cm="1">
        <f t="array" ref="N8012">IF(MOD(ROW()-ROW($B$2),16)=0,INDEX($M$2:$M$1000,(ROW()-ROW($B$2))/16+1),"")</f>
        <v/>
      </c>
    </row>
    <row r="8013" spans="14:14" x14ac:dyDescent="0.3">
      <c r="N8013" t="str" cm="1">
        <f t="array" ref="N8013">IF(MOD(ROW()-ROW($B$2),16)=0,INDEX($M$2:$M$1000,(ROW()-ROW($B$2))/16+1),"")</f>
        <v/>
      </c>
    </row>
    <row r="8014" spans="14:14" x14ac:dyDescent="0.3">
      <c r="N8014" t="str" cm="1">
        <f t="array" ref="N8014">IF(MOD(ROW()-ROW($B$2),16)=0,INDEX($M$2:$M$1000,(ROW()-ROW($B$2))/16+1),"")</f>
        <v/>
      </c>
    </row>
    <row r="8015" spans="14:14" x14ac:dyDescent="0.3">
      <c r="N8015" t="str" cm="1">
        <f t="array" ref="N8015">IF(MOD(ROW()-ROW($B$2),16)=0,INDEX($M$2:$M$1000,(ROW()-ROW($B$2))/16+1),"")</f>
        <v/>
      </c>
    </row>
    <row r="8016" spans="14:14" x14ac:dyDescent="0.3">
      <c r="N8016" t="str" cm="1">
        <f t="array" ref="N8016">IF(MOD(ROW()-ROW($B$2),16)=0,INDEX($M$2:$M$1000,(ROW()-ROW($B$2))/16+1),"")</f>
        <v/>
      </c>
    </row>
    <row r="8017" spans="14:14" x14ac:dyDescent="0.3">
      <c r="N8017" t="str" cm="1">
        <f t="array" ref="N8017">IF(MOD(ROW()-ROW($B$2),16)=0,INDEX($M$2:$M$1000,(ROW()-ROW($B$2))/16+1),"")</f>
        <v/>
      </c>
    </row>
    <row r="8018" spans="14:14" x14ac:dyDescent="0.3">
      <c r="N8018" t="str" cm="1">
        <f t="array" ref="N8018">IF(MOD(ROW()-ROW($B$2),16)=0,INDEX($M$2:$M$1000,(ROW()-ROW($B$2))/16+1),"")</f>
        <v/>
      </c>
    </row>
    <row r="8019" spans="14:14" x14ac:dyDescent="0.3">
      <c r="N8019" t="str" cm="1">
        <f t="array" ref="N8019">IF(MOD(ROW()-ROW($B$2),16)=0,INDEX($M$2:$M$1000,(ROW()-ROW($B$2))/16+1),"")</f>
        <v/>
      </c>
    </row>
    <row r="8020" spans="14:14" x14ac:dyDescent="0.3">
      <c r="N8020" t="str" cm="1">
        <f t="array" ref="N8020">IF(MOD(ROW()-ROW($B$2),16)=0,INDEX($M$2:$M$1000,(ROW()-ROW($B$2))/16+1),"")</f>
        <v/>
      </c>
    </row>
    <row r="8021" spans="14:14" x14ac:dyDescent="0.3">
      <c r="N8021" t="str" cm="1">
        <f t="array" ref="N8021">IF(MOD(ROW()-ROW($B$2),16)=0,INDEX($M$2:$M$1000,(ROW()-ROW($B$2))/16+1),"")</f>
        <v/>
      </c>
    </row>
    <row r="8022" spans="14:14" x14ac:dyDescent="0.3">
      <c r="N8022" t="str" cm="1">
        <f t="array" ref="N8022">IF(MOD(ROW()-ROW($B$2),16)=0,INDEX($M$2:$M$1000,(ROW()-ROW($B$2))/16+1),"")</f>
        <v/>
      </c>
    </row>
    <row r="8023" spans="14:14" x14ac:dyDescent="0.3">
      <c r="N8023" t="str" cm="1">
        <f t="array" ref="N8023">IF(MOD(ROW()-ROW($B$2),16)=0,INDEX($M$2:$M$1000,(ROW()-ROW($B$2))/16+1),"")</f>
        <v/>
      </c>
    </row>
    <row r="8024" spans="14:14" x14ac:dyDescent="0.3">
      <c r="N8024" t="str" cm="1">
        <f t="array" ref="N8024">IF(MOD(ROW()-ROW($B$2),16)=0,INDEX($M$2:$M$1000,(ROW()-ROW($B$2))/16+1),"")</f>
        <v/>
      </c>
    </row>
    <row r="8025" spans="14:14" x14ac:dyDescent="0.3">
      <c r="N8025" t="str" cm="1">
        <f t="array" ref="N8025">IF(MOD(ROW()-ROW($B$2),16)=0,INDEX($M$2:$M$1000,(ROW()-ROW($B$2))/16+1),"")</f>
        <v/>
      </c>
    </row>
    <row r="8026" spans="14:14" x14ac:dyDescent="0.3">
      <c r="N8026" t="str" cm="1">
        <f t="array" ref="N8026">IF(MOD(ROW()-ROW($B$2),16)=0,INDEX($M$2:$M$1000,(ROW()-ROW($B$2))/16+1),"")</f>
        <v/>
      </c>
    </row>
    <row r="8027" spans="14:14" x14ac:dyDescent="0.3">
      <c r="N8027" t="str" cm="1">
        <f t="array" ref="N8027">IF(MOD(ROW()-ROW($B$2),16)=0,INDEX($M$2:$M$1000,(ROW()-ROW($B$2))/16+1),"")</f>
        <v/>
      </c>
    </row>
    <row r="8028" spans="14:14" x14ac:dyDescent="0.3">
      <c r="N8028" t="str" cm="1">
        <f t="array" ref="N8028">IF(MOD(ROW()-ROW($B$2),16)=0,INDEX($M$2:$M$1000,(ROW()-ROW($B$2))/16+1),"")</f>
        <v/>
      </c>
    </row>
    <row r="8029" spans="14:14" x14ac:dyDescent="0.3">
      <c r="N8029" t="str" cm="1">
        <f t="array" ref="N8029">IF(MOD(ROW()-ROW($B$2),16)=0,INDEX($M$2:$M$1000,(ROW()-ROW($B$2))/16+1),"")</f>
        <v/>
      </c>
    </row>
    <row r="8030" spans="14:14" x14ac:dyDescent="0.3">
      <c r="N8030" t="str" cm="1">
        <f t="array" ref="N8030">IF(MOD(ROW()-ROW($B$2),16)=0,INDEX($M$2:$M$1000,(ROW()-ROW($B$2))/16+1),"")</f>
        <v/>
      </c>
    </row>
    <row r="8031" spans="14:14" x14ac:dyDescent="0.3">
      <c r="N8031" t="str" cm="1">
        <f t="array" ref="N8031">IF(MOD(ROW()-ROW($B$2),16)=0,INDEX($M$2:$M$1000,(ROW()-ROW($B$2))/16+1),"")</f>
        <v/>
      </c>
    </row>
    <row r="8032" spans="14:14" x14ac:dyDescent="0.3">
      <c r="N8032" t="str" cm="1">
        <f t="array" ref="N8032">IF(MOD(ROW()-ROW($B$2),16)=0,INDEX($M$2:$M$1000,(ROW()-ROW($B$2))/16+1),"")</f>
        <v/>
      </c>
    </row>
    <row r="8033" spans="14:14" x14ac:dyDescent="0.3">
      <c r="N8033" t="str" cm="1">
        <f t="array" ref="N8033">IF(MOD(ROW()-ROW($B$2),16)=0,INDEX($M$2:$M$1000,(ROW()-ROW($B$2))/16+1),"")</f>
        <v/>
      </c>
    </row>
    <row r="8034" spans="14:14" x14ac:dyDescent="0.3">
      <c r="N8034" t="str" cm="1">
        <f t="array" ref="N8034">IF(MOD(ROW()-ROW($B$2),16)=0,INDEX($M$2:$M$1000,(ROW()-ROW($B$2))/16+1),"")</f>
        <v/>
      </c>
    </row>
    <row r="8035" spans="14:14" x14ac:dyDescent="0.3">
      <c r="N8035" t="str" cm="1">
        <f t="array" ref="N8035">IF(MOD(ROW()-ROW($B$2),16)=0,INDEX($M$2:$M$1000,(ROW()-ROW($B$2))/16+1),"")</f>
        <v/>
      </c>
    </row>
    <row r="8036" spans="14:14" x14ac:dyDescent="0.3">
      <c r="N8036" t="str" cm="1">
        <f t="array" ref="N8036">IF(MOD(ROW()-ROW($B$2),16)=0,INDEX($M$2:$M$1000,(ROW()-ROW($B$2))/16+1),"")</f>
        <v/>
      </c>
    </row>
    <row r="8037" spans="14:14" x14ac:dyDescent="0.3">
      <c r="N8037" t="str" cm="1">
        <f t="array" ref="N8037">IF(MOD(ROW()-ROW($B$2),16)=0,INDEX($M$2:$M$1000,(ROW()-ROW($B$2))/16+1),"")</f>
        <v/>
      </c>
    </row>
    <row r="8038" spans="14:14" x14ac:dyDescent="0.3">
      <c r="N8038" t="str" cm="1">
        <f t="array" ref="N8038">IF(MOD(ROW()-ROW($B$2),16)=0,INDEX($M$2:$M$1000,(ROW()-ROW($B$2))/16+1),"")</f>
        <v/>
      </c>
    </row>
    <row r="8039" spans="14:14" x14ac:dyDescent="0.3">
      <c r="N8039" t="str" cm="1">
        <f t="array" ref="N8039">IF(MOD(ROW()-ROW($B$2),16)=0,INDEX($M$2:$M$1000,(ROW()-ROW($B$2))/16+1),"")</f>
        <v/>
      </c>
    </row>
    <row r="8040" spans="14:14" x14ac:dyDescent="0.3">
      <c r="N8040" t="str" cm="1">
        <f t="array" ref="N8040">IF(MOD(ROW()-ROW($B$2),16)=0,INDEX($M$2:$M$1000,(ROW()-ROW($B$2))/16+1),"")</f>
        <v/>
      </c>
    </row>
    <row r="8041" spans="14:14" x14ac:dyDescent="0.3">
      <c r="N8041" t="str" cm="1">
        <f t="array" ref="N8041">IF(MOD(ROW()-ROW($B$2),16)=0,INDEX($M$2:$M$1000,(ROW()-ROW($B$2))/16+1),"")</f>
        <v/>
      </c>
    </row>
    <row r="8042" spans="14:14" x14ac:dyDescent="0.3">
      <c r="N8042" t="str" cm="1">
        <f t="array" ref="N8042">IF(MOD(ROW()-ROW($B$2),16)=0,INDEX($M$2:$M$1000,(ROW()-ROW($B$2))/16+1),"")</f>
        <v/>
      </c>
    </row>
    <row r="8043" spans="14:14" x14ac:dyDescent="0.3">
      <c r="N8043" t="str" cm="1">
        <f t="array" ref="N8043">IF(MOD(ROW()-ROW($B$2),16)=0,INDEX($M$2:$M$1000,(ROW()-ROW($B$2))/16+1),"")</f>
        <v/>
      </c>
    </row>
    <row r="8044" spans="14:14" x14ac:dyDescent="0.3">
      <c r="N8044" t="str" cm="1">
        <f t="array" ref="N8044">IF(MOD(ROW()-ROW($B$2),16)=0,INDEX($M$2:$M$1000,(ROW()-ROW($B$2))/16+1),"")</f>
        <v/>
      </c>
    </row>
    <row r="8045" spans="14:14" x14ac:dyDescent="0.3">
      <c r="N8045" t="str" cm="1">
        <f t="array" ref="N8045">IF(MOD(ROW()-ROW($B$2),16)=0,INDEX($M$2:$M$1000,(ROW()-ROW($B$2))/16+1),"")</f>
        <v/>
      </c>
    </row>
    <row r="8046" spans="14:14" x14ac:dyDescent="0.3">
      <c r="N8046" t="str" cm="1">
        <f t="array" ref="N8046">IF(MOD(ROW()-ROW($B$2),16)=0,INDEX($M$2:$M$1000,(ROW()-ROW($B$2))/16+1),"")</f>
        <v/>
      </c>
    </row>
    <row r="8047" spans="14:14" x14ac:dyDescent="0.3">
      <c r="N8047" t="str" cm="1">
        <f t="array" ref="N8047">IF(MOD(ROW()-ROW($B$2),16)=0,INDEX($M$2:$M$1000,(ROW()-ROW($B$2))/16+1),"")</f>
        <v/>
      </c>
    </row>
    <row r="8048" spans="14:14" x14ac:dyDescent="0.3">
      <c r="N8048" t="str" cm="1">
        <f t="array" ref="N8048">IF(MOD(ROW()-ROW($B$2),16)=0,INDEX($M$2:$M$1000,(ROW()-ROW($B$2))/16+1),"")</f>
        <v/>
      </c>
    </row>
    <row r="8049" spans="14:14" x14ac:dyDescent="0.3">
      <c r="N8049" t="str" cm="1">
        <f t="array" ref="N8049">IF(MOD(ROW()-ROW($B$2),16)=0,INDEX($M$2:$M$1000,(ROW()-ROW($B$2))/16+1),"")</f>
        <v/>
      </c>
    </row>
    <row r="8050" spans="14:14" x14ac:dyDescent="0.3">
      <c r="N8050" t="str" cm="1">
        <f t="array" ref="N8050">IF(MOD(ROW()-ROW($B$2),16)=0,INDEX($M$2:$M$1000,(ROW()-ROW($B$2))/16+1),"")</f>
        <v/>
      </c>
    </row>
    <row r="8051" spans="14:14" x14ac:dyDescent="0.3">
      <c r="N8051" t="str" cm="1">
        <f t="array" ref="N8051">IF(MOD(ROW()-ROW($B$2),16)=0,INDEX($M$2:$M$1000,(ROW()-ROW($B$2))/16+1),"")</f>
        <v/>
      </c>
    </row>
    <row r="8052" spans="14:14" x14ac:dyDescent="0.3">
      <c r="N8052" t="str" cm="1">
        <f t="array" ref="N8052">IF(MOD(ROW()-ROW($B$2),16)=0,INDEX($M$2:$M$1000,(ROW()-ROW($B$2))/16+1),"")</f>
        <v/>
      </c>
    </row>
    <row r="8053" spans="14:14" x14ac:dyDescent="0.3">
      <c r="N8053" t="str" cm="1">
        <f t="array" ref="N8053">IF(MOD(ROW()-ROW($B$2),16)=0,INDEX($M$2:$M$1000,(ROW()-ROW($B$2))/16+1),"")</f>
        <v/>
      </c>
    </row>
    <row r="8054" spans="14:14" x14ac:dyDescent="0.3">
      <c r="N8054" t="str" cm="1">
        <f t="array" ref="N8054">IF(MOD(ROW()-ROW($B$2),16)=0,INDEX($M$2:$M$1000,(ROW()-ROW($B$2))/16+1),"")</f>
        <v/>
      </c>
    </row>
    <row r="8055" spans="14:14" x14ac:dyDescent="0.3">
      <c r="N8055" t="str" cm="1">
        <f t="array" ref="N8055">IF(MOD(ROW()-ROW($B$2),16)=0,INDEX($M$2:$M$1000,(ROW()-ROW($B$2))/16+1),"")</f>
        <v/>
      </c>
    </row>
    <row r="8056" spans="14:14" x14ac:dyDescent="0.3">
      <c r="N8056" t="str" cm="1">
        <f t="array" ref="N8056">IF(MOD(ROW()-ROW($B$2),16)=0,INDEX($M$2:$M$1000,(ROW()-ROW($B$2))/16+1),"")</f>
        <v/>
      </c>
    </row>
    <row r="8057" spans="14:14" x14ac:dyDescent="0.3">
      <c r="N8057" t="str" cm="1">
        <f t="array" ref="N8057">IF(MOD(ROW()-ROW($B$2),16)=0,INDEX($M$2:$M$1000,(ROW()-ROW($B$2))/16+1),"")</f>
        <v/>
      </c>
    </row>
    <row r="8058" spans="14:14" x14ac:dyDescent="0.3">
      <c r="N8058" t="str" cm="1">
        <f t="array" ref="N8058">IF(MOD(ROW()-ROW($B$2),16)=0,INDEX($M$2:$M$1000,(ROW()-ROW($B$2))/16+1),"")</f>
        <v/>
      </c>
    </row>
    <row r="8059" spans="14:14" x14ac:dyDescent="0.3">
      <c r="N8059" t="str" cm="1">
        <f t="array" ref="N8059">IF(MOD(ROW()-ROW($B$2),16)=0,INDEX($M$2:$M$1000,(ROW()-ROW($B$2))/16+1),"")</f>
        <v/>
      </c>
    </row>
    <row r="8060" spans="14:14" x14ac:dyDescent="0.3">
      <c r="N8060" t="str" cm="1">
        <f t="array" ref="N8060">IF(MOD(ROW()-ROW($B$2),16)=0,INDEX($M$2:$M$1000,(ROW()-ROW($B$2))/16+1),"")</f>
        <v/>
      </c>
    </row>
    <row r="8061" spans="14:14" x14ac:dyDescent="0.3">
      <c r="N8061" t="str" cm="1">
        <f t="array" ref="N8061">IF(MOD(ROW()-ROW($B$2),16)=0,INDEX($M$2:$M$1000,(ROW()-ROW($B$2))/16+1),"")</f>
        <v/>
      </c>
    </row>
    <row r="8062" spans="14:14" x14ac:dyDescent="0.3">
      <c r="N8062" t="str" cm="1">
        <f t="array" ref="N8062">IF(MOD(ROW()-ROW($B$2),16)=0,INDEX($M$2:$M$1000,(ROW()-ROW($B$2))/16+1),"")</f>
        <v/>
      </c>
    </row>
    <row r="8063" spans="14:14" x14ac:dyDescent="0.3">
      <c r="N8063" t="str" cm="1">
        <f t="array" ref="N8063">IF(MOD(ROW()-ROW($B$2),16)=0,INDEX($M$2:$M$1000,(ROW()-ROW($B$2))/16+1),"")</f>
        <v/>
      </c>
    </row>
    <row r="8064" spans="14:14" x14ac:dyDescent="0.3">
      <c r="N8064" t="str" cm="1">
        <f t="array" ref="N8064">IF(MOD(ROW()-ROW($B$2),16)=0,INDEX($M$2:$M$1000,(ROW()-ROW($B$2))/16+1),"")</f>
        <v/>
      </c>
    </row>
    <row r="8065" spans="14:14" x14ac:dyDescent="0.3">
      <c r="N8065" t="str" cm="1">
        <f t="array" ref="N8065">IF(MOD(ROW()-ROW($B$2),16)=0,INDEX($M$2:$M$1000,(ROW()-ROW($B$2))/16+1),"")</f>
        <v/>
      </c>
    </row>
    <row r="8066" spans="14:14" x14ac:dyDescent="0.3">
      <c r="N8066" t="str" cm="1">
        <f t="array" ref="N8066">IF(MOD(ROW()-ROW($B$2),16)=0,INDEX($M$2:$M$1000,(ROW()-ROW($B$2))/16+1),"")</f>
        <v/>
      </c>
    </row>
    <row r="8067" spans="14:14" x14ac:dyDescent="0.3">
      <c r="N8067" t="str" cm="1">
        <f t="array" ref="N8067">IF(MOD(ROW()-ROW($B$2),16)=0,INDEX($M$2:$M$1000,(ROW()-ROW($B$2))/16+1),"")</f>
        <v/>
      </c>
    </row>
    <row r="8068" spans="14:14" x14ac:dyDescent="0.3">
      <c r="N8068" t="str" cm="1">
        <f t="array" ref="N8068">IF(MOD(ROW()-ROW($B$2),16)=0,INDEX($M$2:$M$1000,(ROW()-ROW($B$2))/16+1),"")</f>
        <v/>
      </c>
    </row>
    <row r="8069" spans="14:14" x14ac:dyDescent="0.3">
      <c r="N8069" t="str" cm="1">
        <f t="array" ref="N8069">IF(MOD(ROW()-ROW($B$2),16)=0,INDEX($M$2:$M$1000,(ROW()-ROW($B$2))/16+1),"")</f>
        <v/>
      </c>
    </row>
    <row r="8070" spans="14:14" x14ac:dyDescent="0.3">
      <c r="N8070" t="str" cm="1">
        <f t="array" ref="N8070">IF(MOD(ROW()-ROW($B$2),16)=0,INDEX($M$2:$M$1000,(ROW()-ROW($B$2))/16+1),"")</f>
        <v/>
      </c>
    </row>
    <row r="8071" spans="14:14" x14ac:dyDescent="0.3">
      <c r="N8071" t="str" cm="1">
        <f t="array" ref="N8071">IF(MOD(ROW()-ROW($B$2),16)=0,INDEX($M$2:$M$1000,(ROW()-ROW($B$2))/16+1),"")</f>
        <v/>
      </c>
    </row>
    <row r="8072" spans="14:14" x14ac:dyDescent="0.3">
      <c r="N8072" t="str" cm="1">
        <f t="array" ref="N8072">IF(MOD(ROW()-ROW($B$2),16)=0,INDEX($M$2:$M$1000,(ROW()-ROW($B$2))/16+1),"")</f>
        <v/>
      </c>
    </row>
    <row r="8073" spans="14:14" x14ac:dyDescent="0.3">
      <c r="N8073" t="str" cm="1">
        <f t="array" ref="N8073">IF(MOD(ROW()-ROW($B$2),16)=0,INDEX($M$2:$M$1000,(ROW()-ROW($B$2))/16+1),"")</f>
        <v/>
      </c>
    </row>
    <row r="8074" spans="14:14" x14ac:dyDescent="0.3">
      <c r="N8074" t="str" cm="1">
        <f t="array" ref="N8074">IF(MOD(ROW()-ROW($B$2),16)=0,INDEX($M$2:$M$1000,(ROW()-ROW($B$2))/16+1),"")</f>
        <v/>
      </c>
    </row>
    <row r="8075" spans="14:14" x14ac:dyDescent="0.3">
      <c r="N8075" t="str" cm="1">
        <f t="array" ref="N8075">IF(MOD(ROW()-ROW($B$2),16)=0,INDEX($M$2:$M$1000,(ROW()-ROW($B$2))/16+1),"")</f>
        <v/>
      </c>
    </row>
    <row r="8076" spans="14:14" x14ac:dyDescent="0.3">
      <c r="N8076" t="str" cm="1">
        <f t="array" ref="N8076">IF(MOD(ROW()-ROW($B$2),16)=0,INDEX($M$2:$M$1000,(ROW()-ROW($B$2))/16+1),"")</f>
        <v/>
      </c>
    </row>
    <row r="8077" spans="14:14" x14ac:dyDescent="0.3">
      <c r="N8077" t="str" cm="1">
        <f t="array" ref="N8077">IF(MOD(ROW()-ROW($B$2),16)=0,INDEX($M$2:$M$1000,(ROW()-ROW($B$2))/16+1),"")</f>
        <v/>
      </c>
    </row>
    <row r="8078" spans="14:14" x14ac:dyDescent="0.3">
      <c r="N8078" t="str" cm="1">
        <f t="array" ref="N8078">IF(MOD(ROW()-ROW($B$2),16)=0,INDEX($M$2:$M$1000,(ROW()-ROW($B$2))/16+1),"")</f>
        <v/>
      </c>
    </row>
    <row r="8079" spans="14:14" x14ac:dyDescent="0.3">
      <c r="N8079" t="str" cm="1">
        <f t="array" ref="N8079">IF(MOD(ROW()-ROW($B$2),16)=0,INDEX($M$2:$M$1000,(ROW()-ROW($B$2))/16+1),"")</f>
        <v/>
      </c>
    </row>
    <row r="8080" spans="14:14" x14ac:dyDescent="0.3">
      <c r="N8080" t="str" cm="1">
        <f t="array" ref="N8080">IF(MOD(ROW()-ROW($B$2),16)=0,INDEX($M$2:$M$1000,(ROW()-ROW($B$2))/16+1),"")</f>
        <v/>
      </c>
    </row>
    <row r="8081" spans="14:14" x14ac:dyDescent="0.3">
      <c r="N8081" t="str" cm="1">
        <f t="array" ref="N8081">IF(MOD(ROW()-ROW($B$2),16)=0,INDEX($M$2:$M$1000,(ROW()-ROW($B$2))/16+1),"")</f>
        <v/>
      </c>
    </row>
    <row r="8082" spans="14:14" x14ac:dyDescent="0.3">
      <c r="N8082" t="str" cm="1">
        <f t="array" ref="N8082">IF(MOD(ROW()-ROW($B$2),16)=0,INDEX($M$2:$M$1000,(ROW()-ROW($B$2))/16+1),"")</f>
        <v/>
      </c>
    </row>
    <row r="8083" spans="14:14" x14ac:dyDescent="0.3">
      <c r="N8083" t="str" cm="1">
        <f t="array" ref="N8083">IF(MOD(ROW()-ROW($B$2),16)=0,INDEX($M$2:$M$1000,(ROW()-ROW($B$2))/16+1),"")</f>
        <v/>
      </c>
    </row>
    <row r="8084" spans="14:14" x14ac:dyDescent="0.3">
      <c r="N8084" t="str" cm="1">
        <f t="array" ref="N8084">IF(MOD(ROW()-ROW($B$2),16)=0,INDEX($M$2:$M$1000,(ROW()-ROW($B$2))/16+1),"")</f>
        <v/>
      </c>
    </row>
    <row r="8085" spans="14:14" x14ac:dyDescent="0.3">
      <c r="N8085" t="str" cm="1">
        <f t="array" ref="N8085">IF(MOD(ROW()-ROW($B$2),16)=0,INDEX($M$2:$M$1000,(ROW()-ROW($B$2))/16+1),"")</f>
        <v/>
      </c>
    </row>
    <row r="8086" spans="14:14" x14ac:dyDescent="0.3">
      <c r="N8086" t="str" cm="1">
        <f t="array" ref="N8086">IF(MOD(ROW()-ROW($B$2),16)=0,INDEX($M$2:$M$1000,(ROW()-ROW($B$2))/16+1),"")</f>
        <v/>
      </c>
    </row>
    <row r="8087" spans="14:14" x14ac:dyDescent="0.3">
      <c r="N8087" t="str" cm="1">
        <f t="array" ref="N8087">IF(MOD(ROW()-ROW($B$2),16)=0,INDEX($M$2:$M$1000,(ROW()-ROW($B$2))/16+1),"")</f>
        <v/>
      </c>
    </row>
    <row r="8088" spans="14:14" x14ac:dyDescent="0.3">
      <c r="N8088" t="str" cm="1">
        <f t="array" ref="N8088">IF(MOD(ROW()-ROW($B$2),16)=0,INDEX($M$2:$M$1000,(ROW()-ROW($B$2))/16+1),"")</f>
        <v/>
      </c>
    </row>
    <row r="8089" spans="14:14" x14ac:dyDescent="0.3">
      <c r="N8089" t="str" cm="1">
        <f t="array" ref="N8089">IF(MOD(ROW()-ROW($B$2),16)=0,INDEX($M$2:$M$1000,(ROW()-ROW($B$2))/16+1),"")</f>
        <v/>
      </c>
    </row>
    <row r="8090" spans="14:14" x14ac:dyDescent="0.3">
      <c r="N8090" t="str" cm="1">
        <f t="array" ref="N8090">IF(MOD(ROW()-ROW($B$2),16)=0,INDEX($M$2:$M$1000,(ROW()-ROW($B$2))/16+1),"")</f>
        <v/>
      </c>
    </row>
    <row r="8091" spans="14:14" x14ac:dyDescent="0.3">
      <c r="N8091" t="str" cm="1">
        <f t="array" ref="N8091">IF(MOD(ROW()-ROW($B$2),16)=0,INDEX($M$2:$M$1000,(ROW()-ROW($B$2))/16+1),"")</f>
        <v/>
      </c>
    </row>
    <row r="8092" spans="14:14" x14ac:dyDescent="0.3">
      <c r="N8092" t="str" cm="1">
        <f t="array" ref="N8092">IF(MOD(ROW()-ROW($B$2),16)=0,INDEX($M$2:$M$1000,(ROW()-ROW($B$2))/16+1),"")</f>
        <v/>
      </c>
    </row>
    <row r="8093" spans="14:14" x14ac:dyDescent="0.3">
      <c r="N8093" t="str" cm="1">
        <f t="array" ref="N8093">IF(MOD(ROW()-ROW($B$2),16)=0,INDEX($M$2:$M$1000,(ROW()-ROW($B$2))/16+1),"")</f>
        <v/>
      </c>
    </row>
    <row r="8094" spans="14:14" x14ac:dyDescent="0.3">
      <c r="N8094" t="str" cm="1">
        <f t="array" ref="N8094">IF(MOD(ROW()-ROW($B$2),16)=0,INDEX($M$2:$M$1000,(ROW()-ROW($B$2))/16+1),"")</f>
        <v/>
      </c>
    </row>
    <row r="8095" spans="14:14" x14ac:dyDescent="0.3">
      <c r="N8095" t="str" cm="1">
        <f t="array" ref="N8095">IF(MOD(ROW()-ROW($B$2),16)=0,INDEX($M$2:$M$1000,(ROW()-ROW($B$2))/16+1),"")</f>
        <v/>
      </c>
    </row>
    <row r="8096" spans="14:14" x14ac:dyDescent="0.3">
      <c r="N8096" t="str" cm="1">
        <f t="array" ref="N8096">IF(MOD(ROW()-ROW($B$2),16)=0,INDEX($M$2:$M$1000,(ROW()-ROW($B$2))/16+1),"")</f>
        <v/>
      </c>
    </row>
    <row r="8097" spans="14:14" x14ac:dyDescent="0.3">
      <c r="N8097" t="str" cm="1">
        <f t="array" ref="N8097">IF(MOD(ROW()-ROW($B$2),16)=0,INDEX($M$2:$M$1000,(ROW()-ROW($B$2))/16+1),"")</f>
        <v/>
      </c>
    </row>
    <row r="8098" spans="14:14" x14ac:dyDescent="0.3">
      <c r="N8098" t="str" cm="1">
        <f t="array" ref="N8098">IF(MOD(ROW()-ROW($B$2),16)=0,INDEX($M$2:$M$1000,(ROW()-ROW($B$2))/16+1),"")</f>
        <v/>
      </c>
    </row>
    <row r="8099" spans="14:14" x14ac:dyDescent="0.3">
      <c r="N8099" t="str" cm="1">
        <f t="array" ref="N8099">IF(MOD(ROW()-ROW($B$2),16)=0,INDEX($M$2:$M$1000,(ROW()-ROW($B$2))/16+1),"")</f>
        <v/>
      </c>
    </row>
    <row r="8100" spans="14:14" x14ac:dyDescent="0.3">
      <c r="N8100" t="str" cm="1">
        <f t="array" ref="N8100">IF(MOD(ROW()-ROW($B$2),16)=0,INDEX($M$2:$M$1000,(ROW()-ROW($B$2))/16+1),"")</f>
        <v/>
      </c>
    </row>
    <row r="8101" spans="14:14" x14ac:dyDescent="0.3">
      <c r="N8101" t="str" cm="1">
        <f t="array" ref="N8101">IF(MOD(ROW()-ROW($B$2),16)=0,INDEX($M$2:$M$1000,(ROW()-ROW($B$2))/16+1),"")</f>
        <v/>
      </c>
    </row>
    <row r="8102" spans="14:14" x14ac:dyDescent="0.3">
      <c r="N8102" t="str" cm="1">
        <f t="array" ref="N8102">IF(MOD(ROW()-ROW($B$2),16)=0,INDEX($M$2:$M$1000,(ROW()-ROW($B$2))/16+1),"")</f>
        <v/>
      </c>
    </row>
    <row r="8103" spans="14:14" x14ac:dyDescent="0.3">
      <c r="N8103" t="str" cm="1">
        <f t="array" ref="N8103">IF(MOD(ROW()-ROW($B$2),16)=0,INDEX($M$2:$M$1000,(ROW()-ROW($B$2))/16+1),"")</f>
        <v/>
      </c>
    </row>
    <row r="8104" spans="14:14" x14ac:dyDescent="0.3">
      <c r="N8104" t="str" cm="1">
        <f t="array" ref="N8104">IF(MOD(ROW()-ROW($B$2),16)=0,INDEX($M$2:$M$1000,(ROW()-ROW($B$2))/16+1),"")</f>
        <v/>
      </c>
    </row>
    <row r="8105" spans="14:14" x14ac:dyDescent="0.3">
      <c r="N8105" t="str" cm="1">
        <f t="array" ref="N8105">IF(MOD(ROW()-ROW($B$2),16)=0,INDEX($M$2:$M$1000,(ROW()-ROW($B$2))/16+1),"")</f>
        <v/>
      </c>
    </row>
    <row r="8106" spans="14:14" x14ac:dyDescent="0.3">
      <c r="N8106" t="str" cm="1">
        <f t="array" ref="N8106">IF(MOD(ROW()-ROW($B$2),16)=0,INDEX($M$2:$M$1000,(ROW()-ROW($B$2))/16+1),"")</f>
        <v/>
      </c>
    </row>
    <row r="8107" spans="14:14" x14ac:dyDescent="0.3">
      <c r="N8107" t="str" cm="1">
        <f t="array" ref="N8107">IF(MOD(ROW()-ROW($B$2),16)=0,INDEX($M$2:$M$1000,(ROW()-ROW($B$2))/16+1),"")</f>
        <v/>
      </c>
    </row>
    <row r="8108" spans="14:14" x14ac:dyDescent="0.3">
      <c r="N8108" t="str" cm="1">
        <f t="array" ref="N8108">IF(MOD(ROW()-ROW($B$2),16)=0,INDEX($M$2:$M$1000,(ROW()-ROW($B$2))/16+1),"")</f>
        <v/>
      </c>
    </row>
    <row r="8109" spans="14:14" x14ac:dyDescent="0.3">
      <c r="N8109" t="str" cm="1">
        <f t="array" ref="N8109">IF(MOD(ROW()-ROW($B$2),16)=0,INDEX($M$2:$M$1000,(ROW()-ROW($B$2))/16+1),"")</f>
        <v/>
      </c>
    </row>
    <row r="8110" spans="14:14" x14ac:dyDescent="0.3">
      <c r="N8110" t="str" cm="1">
        <f t="array" ref="N8110">IF(MOD(ROW()-ROW($B$2),16)=0,INDEX($M$2:$M$1000,(ROW()-ROW($B$2))/16+1),"")</f>
        <v/>
      </c>
    </row>
    <row r="8111" spans="14:14" x14ac:dyDescent="0.3">
      <c r="N8111" t="str" cm="1">
        <f t="array" ref="N8111">IF(MOD(ROW()-ROW($B$2),16)=0,INDEX($M$2:$M$1000,(ROW()-ROW($B$2))/16+1),"")</f>
        <v/>
      </c>
    </row>
    <row r="8112" spans="14:14" x14ac:dyDescent="0.3">
      <c r="N8112" t="str" cm="1">
        <f t="array" ref="N8112">IF(MOD(ROW()-ROW($B$2),16)=0,INDEX($M$2:$M$1000,(ROW()-ROW($B$2))/16+1),"")</f>
        <v/>
      </c>
    </row>
    <row r="8113" spans="14:14" x14ac:dyDescent="0.3">
      <c r="N8113" t="str" cm="1">
        <f t="array" ref="N8113">IF(MOD(ROW()-ROW($B$2),16)=0,INDEX($M$2:$M$1000,(ROW()-ROW($B$2))/16+1),"")</f>
        <v/>
      </c>
    </row>
    <row r="8114" spans="14:14" x14ac:dyDescent="0.3">
      <c r="N8114" t="str" cm="1">
        <f t="array" ref="N8114">IF(MOD(ROW()-ROW($B$2),16)=0,INDEX($M$2:$M$1000,(ROW()-ROW($B$2))/16+1),"")</f>
        <v/>
      </c>
    </row>
    <row r="8115" spans="14:14" x14ac:dyDescent="0.3">
      <c r="N8115" t="str" cm="1">
        <f t="array" ref="N8115">IF(MOD(ROW()-ROW($B$2),16)=0,INDEX($M$2:$M$1000,(ROW()-ROW($B$2))/16+1),"")</f>
        <v/>
      </c>
    </row>
    <row r="8116" spans="14:14" x14ac:dyDescent="0.3">
      <c r="N8116" t="str" cm="1">
        <f t="array" ref="N8116">IF(MOD(ROW()-ROW($B$2),16)=0,INDEX($M$2:$M$1000,(ROW()-ROW($B$2))/16+1),"")</f>
        <v/>
      </c>
    </row>
    <row r="8117" spans="14:14" x14ac:dyDescent="0.3">
      <c r="N8117" t="str" cm="1">
        <f t="array" ref="N8117">IF(MOD(ROW()-ROW($B$2),16)=0,INDEX($M$2:$M$1000,(ROW()-ROW($B$2))/16+1),"")</f>
        <v/>
      </c>
    </row>
    <row r="8118" spans="14:14" x14ac:dyDescent="0.3">
      <c r="N8118" t="str" cm="1">
        <f t="array" ref="N8118">IF(MOD(ROW()-ROW($B$2),16)=0,INDEX($M$2:$M$1000,(ROW()-ROW($B$2))/16+1),"")</f>
        <v/>
      </c>
    </row>
    <row r="8119" spans="14:14" x14ac:dyDescent="0.3">
      <c r="N8119" t="str" cm="1">
        <f t="array" ref="N8119">IF(MOD(ROW()-ROW($B$2),16)=0,INDEX($M$2:$M$1000,(ROW()-ROW($B$2))/16+1),"")</f>
        <v/>
      </c>
    </row>
    <row r="8120" spans="14:14" x14ac:dyDescent="0.3">
      <c r="N8120" t="str" cm="1">
        <f t="array" ref="N8120">IF(MOD(ROW()-ROW($B$2),16)=0,INDEX($M$2:$M$1000,(ROW()-ROW($B$2))/16+1),"")</f>
        <v/>
      </c>
    </row>
    <row r="8121" spans="14:14" x14ac:dyDescent="0.3">
      <c r="N8121" t="str" cm="1">
        <f t="array" ref="N8121">IF(MOD(ROW()-ROW($B$2),16)=0,INDEX($M$2:$M$1000,(ROW()-ROW($B$2))/16+1),"")</f>
        <v/>
      </c>
    </row>
    <row r="8122" spans="14:14" x14ac:dyDescent="0.3">
      <c r="N8122" t="str" cm="1">
        <f t="array" ref="N8122">IF(MOD(ROW()-ROW($B$2),16)=0,INDEX($M$2:$M$1000,(ROW()-ROW($B$2))/16+1),"")</f>
        <v/>
      </c>
    </row>
    <row r="8123" spans="14:14" x14ac:dyDescent="0.3">
      <c r="N8123" t="str" cm="1">
        <f t="array" ref="N8123">IF(MOD(ROW()-ROW($B$2),16)=0,INDEX($M$2:$M$1000,(ROW()-ROW($B$2))/16+1),"")</f>
        <v/>
      </c>
    </row>
    <row r="8124" spans="14:14" x14ac:dyDescent="0.3">
      <c r="N8124" t="str" cm="1">
        <f t="array" ref="N8124">IF(MOD(ROW()-ROW($B$2),16)=0,INDEX($M$2:$M$1000,(ROW()-ROW($B$2))/16+1),"")</f>
        <v/>
      </c>
    </row>
    <row r="8125" spans="14:14" x14ac:dyDescent="0.3">
      <c r="N8125" t="str" cm="1">
        <f t="array" ref="N8125">IF(MOD(ROW()-ROW($B$2),16)=0,INDEX($M$2:$M$1000,(ROW()-ROW($B$2))/16+1),"")</f>
        <v/>
      </c>
    </row>
    <row r="8126" spans="14:14" x14ac:dyDescent="0.3">
      <c r="N8126" t="str" cm="1">
        <f t="array" ref="N8126">IF(MOD(ROW()-ROW($B$2),16)=0,INDEX($M$2:$M$1000,(ROW()-ROW($B$2))/16+1),"")</f>
        <v/>
      </c>
    </row>
    <row r="8127" spans="14:14" x14ac:dyDescent="0.3">
      <c r="N8127" t="str" cm="1">
        <f t="array" ref="N8127">IF(MOD(ROW()-ROW($B$2),16)=0,INDEX($M$2:$M$1000,(ROW()-ROW($B$2))/16+1),"")</f>
        <v/>
      </c>
    </row>
    <row r="8128" spans="14:14" x14ac:dyDescent="0.3">
      <c r="N8128" t="str" cm="1">
        <f t="array" ref="N8128">IF(MOD(ROW()-ROW($B$2),16)=0,INDEX($M$2:$M$1000,(ROW()-ROW($B$2))/16+1),"")</f>
        <v/>
      </c>
    </row>
    <row r="8129" spans="14:14" x14ac:dyDescent="0.3">
      <c r="N8129" t="str" cm="1">
        <f t="array" ref="N8129">IF(MOD(ROW()-ROW($B$2),16)=0,INDEX($M$2:$M$1000,(ROW()-ROW($B$2))/16+1),"")</f>
        <v/>
      </c>
    </row>
    <row r="8130" spans="14:14" x14ac:dyDescent="0.3">
      <c r="N8130" t="str" cm="1">
        <f t="array" ref="N8130">IF(MOD(ROW()-ROW($B$2),16)=0,INDEX($M$2:$M$1000,(ROW()-ROW($B$2))/16+1),"")</f>
        <v/>
      </c>
    </row>
    <row r="8131" spans="14:14" x14ac:dyDescent="0.3">
      <c r="N8131" t="str" cm="1">
        <f t="array" ref="N8131">IF(MOD(ROW()-ROW($B$2),16)=0,INDEX($M$2:$M$1000,(ROW()-ROW($B$2))/16+1),"")</f>
        <v/>
      </c>
    </row>
    <row r="8132" spans="14:14" x14ac:dyDescent="0.3">
      <c r="N8132" t="str" cm="1">
        <f t="array" ref="N8132">IF(MOD(ROW()-ROW($B$2),16)=0,INDEX($M$2:$M$1000,(ROW()-ROW($B$2))/16+1),"")</f>
        <v/>
      </c>
    </row>
    <row r="8133" spans="14:14" x14ac:dyDescent="0.3">
      <c r="N8133" t="str" cm="1">
        <f t="array" ref="N8133">IF(MOD(ROW()-ROW($B$2),16)=0,INDEX($M$2:$M$1000,(ROW()-ROW($B$2))/16+1),"")</f>
        <v/>
      </c>
    </row>
    <row r="8134" spans="14:14" x14ac:dyDescent="0.3">
      <c r="N8134" t="str" cm="1">
        <f t="array" ref="N8134">IF(MOD(ROW()-ROW($B$2),16)=0,INDEX($M$2:$M$1000,(ROW()-ROW($B$2))/16+1),"")</f>
        <v/>
      </c>
    </row>
    <row r="8135" spans="14:14" x14ac:dyDescent="0.3">
      <c r="N8135" t="str" cm="1">
        <f t="array" ref="N8135">IF(MOD(ROW()-ROW($B$2),16)=0,INDEX($M$2:$M$1000,(ROW()-ROW($B$2))/16+1),"")</f>
        <v/>
      </c>
    </row>
    <row r="8136" spans="14:14" x14ac:dyDescent="0.3">
      <c r="N8136" t="str" cm="1">
        <f t="array" ref="N8136">IF(MOD(ROW()-ROW($B$2),16)=0,INDEX($M$2:$M$1000,(ROW()-ROW($B$2))/16+1),"")</f>
        <v/>
      </c>
    </row>
    <row r="8137" spans="14:14" x14ac:dyDescent="0.3">
      <c r="N8137" t="str" cm="1">
        <f t="array" ref="N8137">IF(MOD(ROW()-ROW($B$2),16)=0,INDEX($M$2:$M$1000,(ROW()-ROW($B$2))/16+1),"")</f>
        <v/>
      </c>
    </row>
    <row r="8138" spans="14:14" x14ac:dyDescent="0.3">
      <c r="N8138" t="str" cm="1">
        <f t="array" ref="N8138">IF(MOD(ROW()-ROW($B$2),16)=0,INDEX($M$2:$M$1000,(ROW()-ROW($B$2))/16+1),"")</f>
        <v/>
      </c>
    </row>
    <row r="8139" spans="14:14" x14ac:dyDescent="0.3">
      <c r="N8139" t="str" cm="1">
        <f t="array" ref="N8139">IF(MOD(ROW()-ROW($B$2),16)=0,INDEX($M$2:$M$1000,(ROW()-ROW($B$2))/16+1),"")</f>
        <v/>
      </c>
    </row>
    <row r="8140" spans="14:14" x14ac:dyDescent="0.3">
      <c r="N8140" t="str" cm="1">
        <f t="array" ref="N8140">IF(MOD(ROW()-ROW($B$2),16)=0,INDEX($M$2:$M$1000,(ROW()-ROW($B$2))/16+1),"")</f>
        <v/>
      </c>
    </row>
    <row r="8141" spans="14:14" x14ac:dyDescent="0.3">
      <c r="N8141" t="str" cm="1">
        <f t="array" ref="N8141">IF(MOD(ROW()-ROW($B$2),16)=0,INDEX($M$2:$M$1000,(ROW()-ROW($B$2))/16+1),"")</f>
        <v/>
      </c>
    </row>
    <row r="8142" spans="14:14" x14ac:dyDescent="0.3">
      <c r="N8142" t="str" cm="1">
        <f t="array" ref="N8142">IF(MOD(ROW()-ROW($B$2),16)=0,INDEX($M$2:$M$1000,(ROW()-ROW($B$2))/16+1),"")</f>
        <v/>
      </c>
    </row>
    <row r="8143" spans="14:14" x14ac:dyDescent="0.3">
      <c r="N8143" t="str" cm="1">
        <f t="array" ref="N8143">IF(MOD(ROW()-ROW($B$2),16)=0,INDEX($M$2:$M$1000,(ROW()-ROW($B$2))/16+1),"")</f>
        <v/>
      </c>
    </row>
    <row r="8144" spans="14:14" x14ac:dyDescent="0.3">
      <c r="N8144" t="str" cm="1">
        <f t="array" ref="N8144">IF(MOD(ROW()-ROW($B$2),16)=0,INDEX($M$2:$M$1000,(ROW()-ROW($B$2))/16+1),"")</f>
        <v/>
      </c>
    </row>
    <row r="8145" spans="14:14" x14ac:dyDescent="0.3">
      <c r="N8145" t="str" cm="1">
        <f t="array" ref="N8145">IF(MOD(ROW()-ROW($B$2),16)=0,INDEX($M$2:$M$1000,(ROW()-ROW($B$2))/16+1),"")</f>
        <v/>
      </c>
    </row>
    <row r="8146" spans="14:14" x14ac:dyDescent="0.3">
      <c r="N8146" t="str" cm="1">
        <f t="array" ref="N8146">IF(MOD(ROW()-ROW($B$2),16)=0,INDEX($M$2:$M$1000,(ROW()-ROW($B$2))/16+1),"")</f>
        <v/>
      </c>
    </row>
    <row r="8147" spans="14:14" x14ac:dyDescent="0.3">
      <c r="N8147" t="str" cm="1">
        <f t="array" ref="N8147">IF(MOD(ROW()-ROW($B$2),16)=0,INDEX($M$2:$M$1000,(ROW()-ROW($B$2))/16+1),"")</f>
        <v/>
      </c>
    </row>
    <row r="8148" spans="14:14" x14ac:dyDescent="0.3">
      <c r="N8148" t="str" cm="1">
        <f t="array" ref="N8148">IF(MOD(ROW()-ROW($B$2),16)=0,INDEX($M$2:$M$1000,(ROW()-ROW($B$2))/16+1),"")</f>
        <v/>
      </c>
    </row>
    <row r="8149" spans="14:14" x14ac:dyDescent="0.3">
      <c r="N8149" t="str" cm="1">
        <f t="array" ref="N8149">IF(MOD(ROW()-ROW($B$2),16)=0,INDEX($M$2:$M$1000,(ROW()-ROW($B$2))/16+1),"")</f>
        <v/>
      </c>
    </row>
    <row r="8150" spans="14:14" x14ac:dyDescent="0.3">
      <c r="N8150" t="str" cm="1">
        <f t="array" ref="N8150">IF(MOD(ROW()-ROW($B$2),16)=0,INDEX($M$2:$M$1000,(ROW()-ROW($B$2))/16+1),"")</f>
        <v/>
      </c>
    </row>
    <row r="8151" spans="14:14" x14ac:dyDescent="0.3">
      <c r="N8151" t="str" cm="1">
        <f t="array" ref="N8151">IF(MOD(ROW()-ROW($B$2),16)=0,INDEX($M$2:$M$1000,(ROW()-ROW($B$2))/16+1),"")</f>
        <v/>
      </c>
    </row>
    <row r="8152" spans="14:14" x14ac:dyDescent="0.3">
      <c r="N8152" t="str" cm="1">
        <f t="array" ref="N8152">IF(MOD(ROW()-ROW($B$2),16)=0,INDEX($M$2:$M$1000,(ROW()-ROW($B$2))/16+1),"")</f>
        <v/>
      </c>
    </row>
    <row r="8153" spans="14:14" x14ac:dyDescent="0.3">
      <c r="N8153" t="str" cm="1">
        <f t="array" ref="N8153">IF(MOD(ROW()-ROW($B$2),16)=0,INDEX($M$2:$M$1000,(ROW()-ROW($B$2))/16+1),"")</f>
        <v/>
      </c>
    </row>
    <row r="8154" spans="14:14" x14ac:dyDescent="0.3">
      <c r="N8154" t="str" cm="1">
        <f t="array" ref="N8154">IF(MOD(ROW()-ROW($B$2),16)=0,INDEX($M$2:$M$1000,(ROW()-ROW($B$2))/16+1),"")</f>
        <v/>
      </c>
    </row>
    <row r="8155" spans="14:14" x14ac:dyDescent="0.3">
      <c r="N8155" t="str" cm="1">
        <f t="array" ref="N8155">IF(MOD(ROW()-ROW($B$2),16)=0,INDEX($M$2:$M$1000,(ROW()-ROW($B$2))/16+1),"")</f>
        <v/>
      </c>
    </row>
    <row r="8156" spans="14:14" x14ac:dyDescent="0.3">
      <c r="N8156" t="str" cm="1">
        <f t="array" ref="N8156">IF(MOD(ROW()-ROW($B$2),16)=0,INDEX($M$2:$M$1000,(ROW()-ROW($B$2))/16+1),"")</f>
        <v/>
      </c>
    </row>
    <row r="8157" spans="14:14" x14ac:dyDescent="0.3">
      <c r="N8157" t="str" cm="1">
        <f t="array" ref="N8157">IF(MOD(ROW()-ROW($B$2),16)=0,INDEX($M$2:$M$1000,(ROW()-ROW($B$2))/16+1),"")</f>
        <v/>
      </c>
    </row>
    <row r="8158" spans="14:14" x14ac:dyDescent="0.3">
      <c r="N8158" t="str" cm="1">
        <f t="array" ref="N8158">IF(MOD(ROW()-ROW($B$2),16)=0,INDEX($M$2:$M$1000,(ROW()-ROW($B$2))/16+1),"")</f>
        <v/>
      </c>
    </row>
    <row r="8159" spans="14:14" x14ac:dyDescent="0.3">
      <c r="N8159" t="str" cm="1">
        <f t="array" ref="N8159">IF(MOD(ROW()-ROW($B$2),16)=0,INDEX($M$2:$M$1000,(ROW()-ROW($B$2))/16+1),"")</f>
        <v/>
      </c>
    </row>
    <row r="8160" spans="14:14" x14ac:dyDescent="0.3">
      <c r="N8160" t="str" cm="1">
        <f t="array" ref="N8160">IF(MOD(ROW()-ROW($B$2),16)=0,INDEX($M$2:$M$1000,(ROW()-ROW($B$2))/16+1),"")</f>
        <v/>
      </c>
    </row>
    <row r="8161" spans="14:14" x14ac:dyDescent="0.3">
      <c r="N8161" t="str" cm="1">
        <f t="array" ref="N8161">IF(MOD(ROW()-ROW($B$2),16)=0,INDEX($M$2:$M$1000,(ROW()-ROW($B$2))/16+1),"")</f>
        <v/>
      </c>
    </row>
    <row r="8162" spans="14:14" x14ac:dyDescent="0.3">
      <c r="N8162" t="str" cm="1">
        <f t="array" ref="N8162">IF(MOD(ROW()-ROW($B$2),16)=0,INDEX($M$2:$M$1000,(ROW()-ROW($B$2))/16+1),"")</f>
        <v/>
      </c>
    </row>
    <row r="8163" spans="14:14" x14ac:dyDescent="0.3">
      <c r="N8163" t="str" cm="1">
        <f t="array" ref="N8163">IF(MOD(ROW()-ROW($B$2),16)=0,INDEX($M$2:$M$1000,(ROW()-ROW($B$2))/16+1),"")</f>
        <v/>
      </c>
    </row>
    <row r="8164" spans="14:14" x14ac:dyDescent="0.3">
      <c r="N8164" t="str" cm="1">
        <f t="array" ref="N8164">IF(MOD(ROW()-ROW($B$2),16)=0,INDEX($M$2:$M$1000,(ROW()-ROW($B$2))/16+1),"")</f>
        <v/>
      </c>
    </row>
    <row r="8165" spans="14:14" x14ac:dyDescent="0.3">
      <c r="N8165" t="str" cm="1">
        <f t="array" ref="N8165">IF(MOD(ROW()-ROW($B$2),16)=0,INDEX($M$2:$M$1000,(ROW()-ROW($B$2))/16+1),"")</f>
        <v/>
      </c>
    </row>
    <row r="8166" spans="14:14" x14ac:dyDescent="0.3">
      <c r="N8166" t="str" cm="1">
        <f t="array" ref="N8166">IF(MOD(ROW()-ROW($B$2),16)=0,INDEX($M$2:$M$1000,(ROW()-ROW($B$2))/16+1),"")</f>
        <v/>
      </c>
    </row>
    <row r="8167" spans="14:14" x14ac:dyDescent="0.3">
      <c r="N8167" t="str" cm="1">
        <f t="array" ref="N8167">IF(MOD(ROW()-ROW($B$2),16)=0,INDEX($M$2:$M$1000,(ROW()-ROW($B$2))/16+1),"")</f>
        <v/>
      </c>
    </row>
    <row r="8168" spans="14:14" x14ac:dyDescent="0.3">
      <c r="N8168" t="str" cm="1">
        <f t="array" ref="N8168">IF(MOD(ROW()-ROW($B$2),16)=0,INDEX($M$2:$M$1000,(ROW()-ROW($B$2))/16+1),"")</f>
        <v/>
      </c>
    </row>
    <row r="8169" spans="14:14" x14ac:dyDescent="0.3">
      <c r="N8169" t="str" cm="1">
        <f t="array" ref="N8169">IF(MOD(ROW()-ROW($B$2),16)=0,INDEX($M$2:$M$1000,(ROW()-ROW($B$2))/16+1),"")</f>
        <v/>
      </c>
    </row>
    <row r="8170" spans="14:14" x14ac:dyDescent="0.3">
      <c r="N8170" t="str" cm="1">
        <f t="array" ref="N8170">IF(MOD(ROW()-ROW($B$2),16)=0,INDEX($M$2:$M$1000,(ROW()-ROW($B$2))/16+1),"")</f>
        <v/>
      </c>
    </row>
    <row r="8171" spans="14:14" x14ac:dyDescent="0.3">
      <c r="N8171" t="str" cm="1">
        <f t="array" ref="N8171">IF(MOD(ROW()-ROW($B$2),16)=0,INDEX($M$2:$M$1000,(ROW()-ROW($B$2))/16+1),"")</f>
        <v/>
      </c>
    </row>
    <row r="8172" spans="14:14" x14ac:dyDescent="0.3">
      <c r="N8172" t="str" cm="1">
        <f t="array" ref="N8172">IF(MOD(ROW()-ROW($B$2),16)=0,INDEX($M$2:$M$1000,(ROW()-ROW($B$2))/16+1),"")</f>
        <v/>
      </c>
    </row>
    <row r="8173" spans="14:14" x14ac:dyDescent="0.3">
      <c r="N8173" t="str" cm="1">
        <f t="array" ref="N8173">IF(MOD(ROW()-ROW($B$2),16)=0,INDEX($M$2:$M$1000,(ROW()-ROW($B$2))/16+1),"")</f>
        <v/>
      </c>
    </row>
    <row r="8174" spans="14:14" x14ac:dyDescent="0.3">
      <c r="N8174" t="str" cm="1">
        <f t="array" ref="N8174">IF(MOD(ROW()-ROW($B$2),16)=0,INDEX($M$2:$M$1000,(ROW()-ROW($B$2))/16+1),"")</f>
        <v/>
      </c>
    </row>
    <row r="8175" spans="14:14" x14ac:dyDescent="0.3">
      <c r="N8175" t="str" cm="1">
        <f t="array" ref="N8175">IF(MOD(ROW()-ROW($B$2),16)=0,INDEX($M$2:$M$1000,(ROW()-ROW($B$2))/16+1),"")</f>
        <v/>
      </c>
    </row>
    <row r="8176" spans="14:14" x14ac:dyDescent="0.3">
      <c r="N8176" t="str" cm="1">
        <f t="array" ref="N8176">IF(MOD(ROW()-ROW($B$2),16)=0,INDEX($M$2:$M$1000,(ROW()-ROW($B$2))/16+1),"")</f>
        <v/>
      </c>
    </row>
    <row r="8177" spans="14:14" x14ac:dyDescent="0.3">
      <c r="N8177" t="str" cm="1">
        <f t="array" ref="N8177">IF(MOD(ROW()-ROW($B$2),16)=0,INDEX($M$2:$M$1000,(ROW()-ROW($B$2))/16+1),"")</f>
        <v/>
      </c>
    </row>
    <row r="8178" spans="14:14" x14ac:dyDescent="0.3">
      <c r="N8178" t="str" cm="1">
        <f t="array" ref="N8178">IF(MOD(ROW()-ROW($B$2),16)=0,INDEX($M$2:$M$1000,(ROW()-ROW($B$2))/16+1),"")</f>
        <v/>
      </c>
    </row>
    <row r="8179" spans="14:14" x14ac:dyDescent="0.3">
      <c r="N8179" t="str" cm="1">
        <f t="array" ref="N8179">IF(MOD(ROW()-ROW($B$2),16)=0,INDEX($M$2:$M$1000,(ROW()-ROW($B$2))/16+1),"")</f>
        <v/>
      </c>
    </row>
    <row r="8180" spans="14:14" x14ac:dyDescent="0.3">
      <c r="N8180" t="str" cm="1">
        <f t="array" ref="N8180">IF(MOD(ROW()-ROW($B$2),16)=0,INDEX($M$2:$M$1000,(ROW()-ROW($B$2))/16+1),"")</f>
        <v/>
      </c>
    </row>
    <row r="8181" spans="14:14" x14ac:dyDescent="0.3">
      <c r="N8181" t="str" cm="1">
        <f t="array" ref="N8181">IF(MOD(ROW()-ROW($B$2),16)=0,INDEX($M$2:$M$1000,(ROW()-ROW($B$2))/16+1),"")</f>
        <v/>
      </c>
    </row>
    <row r="8182" spans="14:14" x14ac:dyDescent="0.3">
      <c r="N8182" t="str" cm="1">
        <f t="array" ref="N8182">IF(MOD(ROW()-ROW($B$2),16)=0,INDEX($M$2:$M$1000,(ROW()-ROW($B$2))/16+1),"")</f>
        <v/>
      </c>
    </row>
    <row r="8183" spans="14:14" x14ac:dyDescent="0.3">
      <c r="N8183" t="str" cm="1">
        <f t="array" ref="N8183">IF(MOD(ROW()-ROW($B$2),16)=0,INDEX($M$2:$M$1000,(ROW()-ROW($B$2))/16+1),"")</f>
        <v/>
      </c>
    </row>
    <row r="8184" spans="14:14" x14ac:dyDescent="0.3">
      <c r="N8184" t="str" cm="1">
        <f t="array" ref="N8184">IF(MOD(ROW()-ROW($B$2),16)=0,INDEX($M$2:$M$1000,(ROW()-ROW($B$2))/16+1),"")</f>
        <v/>
      </c>
    </row>
    <row r="8185" spans="14:14" x14ac:dyDescent="0.3">
      <c r="N8185" t="str" cm="1">
        <f t="array" ref="N8185">IF(MOD(ROW()-ROW($B$2),16)=0,INDEX($M$2:$M$1000,(ROW()-ROW($B$2))/16+1),"")</f>
        <v/>
      </c>
    </row>
    <row r="8186" spans="14:14" x14ac:dyDescent="0.3">
      <c r="N8186" t="str" cm="1">
        <f t="array" ref="N8186">IF(MOD(ROW()-ROW($B$2),16)=0,INDEX($M$2:$M$1000,(ROW()-ROW($B$2))/16+1),"")</f>
        <v/>
      </c>
    </row>
    <row r="8187" spans="14:14" x14ac:dyDescent="0.3">
      <c r="N8187" t="str" cm="1">
        <f t="array" ref="N8187">IF(MOD(ROW()-ROW($B$2),16)=0,INDEX($M$2:$M$1000,(ROW()-ROW($B$2))/16+1),"")</f>
        <v/>
      </c>
    </row>
    <row r="8188" spans="14:14" x14ac:dyDescent="0.3">
      <c r="N8188" t="str" cm="1">
        <f t="array" ref="N8188">IF(MOD(ROW()-ROW($B$2),16)=0,INDEX($M$2:$M$1000,(ROW()-ROW($B$2))/16+1),"")</f>
        <v/>
      </c>
    </row>
    <row r="8189" spans="14:14" x14ac:dyDescent="0.3">
      <c r="N8189" t="str" cm="1">
        <f t="array" ref="N8189">IF(MOD(ROW()-ROW($B$2),16)=0,INDEX($M$2:$M$1000,(ROW()-ROW($B$2))/16+1),"")</f>
        <v/>
      </c>
    </row>
    <row r="8190" spans="14:14" x14ac:dyDescent="0.3">
      <c r="N8190" t="str" cm="1">
        <f t="array" ref="N8190">IF(MOD(ROW()-ROW($B$2),16)=0,INDEX($M$2:$M$1000,(ROW()-ROW($B$2))/16+1),"")</f>
        <v/>
      </c>
    </row>
    <row r="8191" spans="14:14" x14ac:dyDescent="0.3">
      <c r="N8191" t="str" cm="1">
        <f t="array" ref="N8191">IF(MOD(ROW()-ROW($B$2),16)=0,INDEX($M$2:$M$1000,(ROW()-ROW($B$2))/16+1),"")</f>
        <v/>
      </c>
    </row>
    <row r="8192" spans="14:14" x14ac:dyDescent="0.3">
      <c r="N8192" t="str" cm="1">
        <f t="array" ref="N8192">IF(MOD(ROW()-ROW($B$2),16)=0,INDEX($M$2:$M$1000,(ROW()-ROW($B$2))/16+1),"")</f>
        <v/>
      </c>
    </row>
    <row r="8193" spans="14:14" x14ac:dyDescent="0.3">
      <c r="N8193" t="str" cm="1">
        <f t="array" ref="N8193">IF(MOD(ROW()-ROW($B$2),16)=0,INDEX($M$2:$M$1000,(ROW()-ROW($B$2))/16+1),"")</f>
        <v/>
      </c>
    </row>
    <row r="8194" spans="14:14" x14ac:dyDescent="0.3">
      <c r="N8194" t="str" cm="1">
        <f t="array" ref="N8194">IF(MOD(ROW()-ROW($B$2),16)=0,INDEX($M$2:$M$1000,(ROW()-ROW($B$2))/16+1),"")</f>
        <v/>
      </c>
    </row>
    <row r="8195" spans="14:14" x14ac:dyDescent="0.3">
      <c r="N8195" t="str" cm="1">
        <f t="array" ref="N8195">IF(MOD(ROW()-ROW($B$2),16)=0,INDEX($M$2:$M$1000,(ROW()-ROW($B$2))/16+1),"")</f>
        <v/>
      </c>
    </row>
    <row r="8196" spans="14:14" x14ac:dyDescent="0.3">
      <c r="N8196" t="str" cm="1">
        <f t="array" ref="N8196">IF(MOD(ROW()-ROW($B$2),16)=0,INDEX($M$2:$M$1000,(ROW()-ROW($B$2))/16+1),"")</f>
        <v/>
      </c>
    </row>
    <row r="8197" spans="14:14" x14ac:dyDescent="0.3">
      <c r="N8197" t="str" cm="1">
        <f t="array" ref="N8197">IF(MOD(ROW()-ROW($B$2),16)=0,INDEX($M$2:$M$1000,(ROW()-ROW($B$2))/16+1),"")</f>
        <v/>
      </c>
    </row>
    <row r="8198" spans="14:14" x14ac:dyDescent="0.3">
      <c r="N8198" t="str" cm="1">
        <f t="array" ref="N8198">IF(MOD(ROW()-ROW($B$2),16)=0,INDEX($M$2:$M$1000,(ROW()-ROW($B$2))/16+1),"")</f>
        <v/>
      </c>
    </row>
    <row r="8199" spans="14:14" x14ac:dyDescent="0.3">
      <c r="N8199" t="str" cm="1">
        <f t="array" ref="N8199">IF(MOD(ROW()-ROW($B$2),16)=0,INDEX($M$2:$M$1000,(ROW()-ROW($B$2))/16+1),"")</f>
        <v/>
      </c>
    </row>
    <row r="8200" spans="14:14" x14ac:dyDescent="0.3">
      <c r="N8200" t="str" cm="1">
        <f t="array" ref="N8200">IF(MOD(ROW()-ROW($B$2),16)=0,INDEX($M$2:$M$1000,(ROW()-ROW($B$2))/16+1),"")</f>
        <v/>
      </c>
    </row>
    <row r="8201" spans="14:14" x14ac:dyDescent="0.3">
      <c r="N8201" t="str" cm="1">
        <f t="array" ref="N8201">IF(MOD(ROW()-ROW($B$2),16)=0,INDEX($M$2:$M$1000,(ROW()-ROW($B$2))/16+1),"")</f>
        <v/>
      </c>
    </row>
    <row r="8202" spans="14:14" x14ac:dyDescent="0.3">
      <c r="N8202" t="str" cm="1">
        <f t="array" ref="N8202">IF(MOD(ROW()-ROW($B$2),16)=0,INDEX($M$2:$M$1000,(ROW()-ROW($B$2))/16+1),"")</f>
        <v/>
      </c>
    </row>
    <row r="8203" spans="14:14" x14ac:dyDescent="0.3">
      <c r="N8203" t="str" cm="1">
        <f t="array" ref="N8203">IF(MOD(ROW()-ROW($B$2),16)=0,INDEX($M$2:$M$1000,(ROW()-ROW($B$2))/16+1),"")</f>
        <v/>
      </c>
    </row>
    <row r="8204" spans="14:14" x14ac:dyDescent="0.3">
      <c r="N8204" t="str" cm="1">
        <f t="array" ref="N8204">IF(MOD(ROW()-ROW($B$2),16)=0,INDEX($M$2:$M$1000,(ROW()-ROW($B$2))/16+1),"")</f>
        <v/>
      </c>
    </row>
    <row r="8205" spans="14:14" x14ac:dyDescent="0.3">
      <c r="N8205" t="str" cm="1">
        <f t="array" ref="N8205">IF(MOD(ROW()-ROW($B$2),16)=0,INDEX($M$2:$M$1000,(ROW()-ROW($B$2))/16+1),"")</f>
        <v/>
      </c>
    </row>
    <row r="8206" spans="14:14" x14ac:dyDescent="0.3">
      <c r="N8206" t="str" cm="1">
        <f t="array" ref="N8206">IF(MOD(ROW()-ROW($B$2),16)=0,INDEX($M$2:$M$1000,(ROW()-ROW($B$2))/16+1),"")</f>
        <v/>
      </c>
    </row>
    <row r="8207" spans="14:14" x14ac:dyDescent="0.3">
      <c r="N8207" t="str" cm="1">
        <f t="array" ref="N8207">IF(MOD(ROW()-ROW($B$2),16)=0,INDEX($M$2:$M$1000,(ROW()-ROW($B$2))/16+1),"")</f>
        <v/>
      </c>
    </row>
    <row r="8208" spans="14:14" x14ac:dyDescent="0.3">
      <c r="N8208" t="str" cm="1">
        <f t="array" ref="N8208">IF(MOD(ROW()-ROW($B$2),16)=0,INDEX($M$2:$M$1000,(ROW()-ROW($B$2))/16+1),"")</f>
        <v/>
      </c>
    </row>
    <row r="8209" spans="14:14" x14ac:dyDescent="0.3">
      <c r="N8209" t="str" cm="1">
        <f t="array" ref="N8209">IF(MOD(ROW()-ROW($B$2),16)=0,INDEX($M$2:$M$1000,(ROW()-ROW($B$2))/16+1),"")</f>
        <v/>
      </c>
    </row>
    <row r="8210" spans="14:14" x14ac:dyDescent="0.3">
      <c r="N8210" t="str" cm="1">
        <f t="array" ref="N8210">IF(MOD(ROW()-ROW($B$2),16)=0,INDEX($M$2:$M$1000,(ROW()-ROW($B$2))/16+1),"")</f>
        <v/>
      </c>
    </row>
    <row r="8211" spans="14:14" x14ac:dyDescent="0.3">
      <c r="N8211" t="str" cm="1">
        <f t="array" ref="N8211">IF(MOD(ROW()-ROW($B$2),16)=0,INDEX($M$2:$M$1000,(ROW()-ROW($B$2))/16+1),"")</f>
        <v/>
      </c>
    </row>
    <row r="8212" spans="14:14" x14ac:dyDescent="0.3">
      <c r="N8212" t="str" cm="1">
        <f t="array" ref="N8212">IF(MOD(ROW()-ROW($B$2),16)=0,INDEX($M$2:$M$1000,(ROW()-ROW($B$2))/16+1),"")</f>
        <v/>
      </c>
    </row>
    <row r="8213" spans="14:14" x14ac:dyDescent="0.3">
      <c r="N8213" t="str" cm="1">
        <f t="array" ref="N8213">IF(MOD(ROW()-ROW($B$2),16)=0,INDEX($M$2:$M$1000,(ROW()-ROW($B$2))/16+1),"")</f>
        <v/>
      </c>
    </row>
    <row r="8214" spans="14:14" x14ac:dyDescent="0.3">
      <c r="N8214" t="str" cm="1">
        <f t="array" ref="N8214">IF(MOD(ROW()-ROW($B$2),16)=0,INDEX($M$2:$M$1000,(ROW()-ROW($B$2))/16+1),"")</f>
        <v/>
      </c>
    </row>
    <row r="8215" spans="14:14" x14ac:dyDescent="0.3">
      <c r="N8215" t="str" cm="1">
        <f t="array" ref="N8215">IF(MOD(ROW()-ROW($B$2),16)=0,INDEX($M$2:$M$1000,(ROW()-ROW($B$2))/16+1),"")</f>
        <v/>
      </c>
    </row>
    <row r="8216" spans="14:14" x14ac:dyDescent="0.3">
      <c r="N8216" t="str" cm="1">
        <f t="array" ref="N8216">IF(MOD(ROW()-ROW($B$2),16)=0,INDEX($M$2:$M$1000,(ROW()-ROW($B$2))/16+1),"")</f>
        <v/>
      </c>
    </row>
    <row r="8217" spans="14:14" x14ac:dyDescent="0.3">
      <c r="N8217" t="str" cm="1">
        <f t="array" ref="N8217">IF(MOD(ROW()-ROW($B$2),16)=0,INDEX($M$2:$M$1000,(ROW()-ROW($B$2))/16+1),"")</f>
        <v/>
      </c>
    </row>
    <row r="8218" spans="14:14" x14ac:dyDescent="0.3">
      <c r="N8218" t="str" cm="1">
        <f t="array" ref="N8218">IF(MOD(ROW()-ROW($B$2),16)=0,INDEX($M$2:$M$1000,(ROW()-ROW($B$2))/16+1),"")</f>
        <v/>
      </c>
    </row>
    <row r="8219" spans="14:14" x14ac:dyDescent="0.3">
      <c r="N8219" t="str" cm="1">
        <f t="array" ref="N8219">IF(MOD(ROW()-ROW($B$2),16)=0,INDEX($M$2:$M$1000,(ROW()-ROW($B$2))/16+1),"")</f>
        <v/>
      </c>
    </row>
    <row r="8220" spans="14:14" x14ac:dyDescent="0.3">
      <c r="N8220" t="str" cm="1">
        <f t="array" ref="N8220">IF(MOD(ROW()-ROW($B$2),16)=0,INDEX($M$2:$M$1000,(ROW()-ROW($B$2))/16+1),"")</f>
        <v/>
      </c>
    </row>
    <row r="8221" spans="14:14" x14ac:dyDescent="0.3">
      <c r="N8221" t="str" cm="1">
        <f t="array" ref="N8221">IF(MOD(ROW()-ROW($B$2),16)=0,INDEX($M$2:$M$1000,(ROW()-ROW($B$2))/16+1),"")</f>
        <v/>
      </c>
    </row>
    <row r="8222" spans="14:14" x14ac:dyDescent="0.3">
      <c r="N8222" t="str" cm="1">
        <f t="array" ref="N8222">IF(MOD(ROW()-ROW($B$2),16)=0,INDEX($M$2:$M$1000,(ROW()-ROW($B$2))/16+1),"")</f>
        <v/>
      </c>
    </row>
    <row r="8223" spans="14:14" x14ac:dyDescent="0.3">
      <c r="N8223" t="str" cm="1">
        <f t="array" ref="N8223">IF(MOD(ROW()-ROW($B$2),16)=0,INDEX($M$2:$M$1000,(ROW()-ROW($B$2))/16+1),"")</f>
        <v/>
      </c>
    </row>
    <row r="8224" spans="14:14" x14ac:dyDescent="0.3">
      <c r="N8224" t="str" cm="1">
        <f t="array" ref="N8224">IF(MOD(ROW()-ROW($B$2),16)=0,INDEX($M$2:$M$1000,(ROW()-ROW($B$2))/16+1),"")</f>
        <v/>
      </c>
    </row>
    <row r="8225" spans="14:14" x14ac:dyDescent="0.3">
      <c r="N8225" t="str" cm="1">
        <f t="array" ref="N8225">IF(MOD(ROW()-ROW($B$2),16)=0,INDEX($M$2:$M$1000,(ROW()-ROW($B$2))/16+1),"")</f>
        <v/>
      </c>
    </row>
    <row r="8226" spans="14:14" x14ac:dyDescent="0.3">
      <c r="N8226" t="str" cm="1">
        <f t="array" ref="N8226">IF(MOD(ROW()-ROW($B$2),16)=0,INDEX($M$2:$M$1000,(ROW()-ROW($B$2))/16+1),"")</f>
        <v/>
      </c>
    </row>
    <row r="8227" spans="14:14" x14ac:dyDescent="0.3">
      <c r="N8227" t="str" cm="1">
        <f t="array" ref="N8227">IF(MOD(ROW()-ROW($B$2),16)=0,INDEX($M$2:$M$1000,(ROW()-ROW($B$2))/16+1),"")</f>
        <v/>
      </c>
    </row>
    <row r="8228" spans="14:14" x14ac:dyDescent="0.3">
      <c r="N8228" t="str" cm="1">
        <f t="array" ref="N8228">IF(MOD(ROW()-ROW($B$2),16)=0,INDEX($M$2:$M$1000,(ROW()-ROW($B$2))/16+1),"")</f>
        <v/>
      </c>
    </row>
    <row r="8229" spans="14:14" x14ac:dyDescent="0.3">
      <c r="N8229" t="str" cm="1">
        <f t="array" ref="N8229">IF(MOD(ROW()-ROW($B$2),16)=0,INDEX($M$2:$M$1000,(ROW()-ROW($B$2))/16+1),"")</f>
        <v/>
      </c>
    </row>
    <row r="8230" spans="14:14" x14ac:dyDescent="0.3">
      <c r="N8230" t="str" cm="1">
        <f t="array" ref="N8230">IF(MOD(ROW()-ROW($B$2),16)=0,INDEX($M$2:$M$1000,(ROW()-ROW($B$2))/16+1),"")</f>
        <v/>
      </c>
    </row>
    <row r="8231" spans="14:14" x14ac:dyDescent="0.3">
      <c r="N8231" t="str" cm="1">
        <f t="array" ref="N8231">IF(MOD(ROW()-ROW($B$2),16)=0,INDEX($M$2:$M$1000,(ROW()-ROW($B$2))/16+1),"")</f>
        <v/>
      </c>
    </row>
    <row r="8232" spans="14:14" x14ac:dyDescent="0.3">
      <c r="N8232" t="str" cm="1">
        <f t="array" ref="N8232">IF(MOD(ROW()-ROW($B$2),16)=0,INDEX($M$2:$M$1000,(ROW()-ROW($B$2))/16+1),"")</f>
        <v/>
      </c>
    </row>
    <row r="8233" spans="14:14" x14ac:dyDescent="0.3">
      <c r="N8233" t="str" cm="1">
        <f t="array" ref="N8233">IF(MOD(ROW()-ROW($B$2),16)=0,INDEX($M$2:$M$1000,(ROW()-ROW($B$2))/16+1),"")</f>
        <v/>
      </c>
    </row>
    <row r="8234" spans="14:14" x14ac:dyDescent="0.3">
      <c r="N8234" t="str" cm="1">
        <f t="array" ref="N8234">IF(MOD(ROW()-ROW($B$2),16)=0,INDEX($M$2:$M$1000,(ROW()-ROW($B$2))/16+1),"")</f>
        <v/>
      </c>
    </row>
    <row r="8235" spans="14:14" x14ac:dyDescent="0.3">
      <c r="N8235" t="str" cm="1">
        <f t="array" ref="N8235">IF(MOD(ROW()-ROW($B$2),16)=0,INDEX($M$2:$M$1000,(ROW()-ROW($B$2))/16+1),"")</f>
        <v/>
      </c>
    </row>
    <row r="8236" spans="14:14" x14ac:dyDescent="0.3">
      <c r="N8236" t="str" cm="1">
        <f t="array" ref="N8236">IF(MOD(ROW()-ROW($B$2),16)=0,INDEX($M$2:$M$1000,(ROW()-ROW($B$2))/16+1),"")</f>
        <v/>
      </c>
    </row>
    <row r="8237" spans="14:14" x14ac:dyDescent="0.3">
      <c r="N8237" t="str" cm="1">
        <f t="array" ref="N8237">IF(MOD(ROW()-ROW($B$2),16)=0,INDEX($M$2:$M$1000,(ROW()-ROW($B$2))/16+1),"")</f>
        <v/>
      </c>
    </row>
    <row r="8238" spans="14:14" x14ac:dyDescent="0.3">
      <c r="N8238" t="str" cm="1">
        <f t="array" ref="N8238">IF(MOD(ROW()-ROW($B$2),16)=0,INDEX($M$2:$M$1000,(ROW()-ROW($B$2))/16+1),"")</f>
        <v/>
      </c>
    </row>
    <row r="8239" spans="14:14" x14ac:dyDescent="0.3">
      <c r="N8239" t="str" cm="1">
        <f t="array" ref="N8239">IF(MOD(ROW()-ROW($B$2),16)=0,INDEX($M$2:$M$1000,(ROW()-ROW($B$2))/16+1),"")</f>
        <v/>
      </c>
    </row>
    <row r="8240" spans="14:14" x14ac:dyDescent="0.3">
      <c r="N8240" t="str" cm="1">
        <f t="array" ref="N8240">IF(MOD(ROW()-ROW($B$2),16)=0,INDEX($M$2:$M$1000,(ROW()-ROW($B$2))/16+1),"")</f>
        <v/>
      </c>
    </row>
    <row r="8241" spans="14:14" x14ac:dyDescent="0.3">
      <c r="N8241" t="str" cm="1">
        <f t="array" ref="N8241">IF(MOD(ROW()-ROW($B$2),16)=0,INDEX($M$2:$M$1000,(ROW()-ROW($B$2))/16+1),"")</f>
        <v/>
      </c>
    </row>
    <row r="8242" spans="14:14" x14ac:dyDescent="0.3">
      <c r="N8242" t="str" cm="1">
        <f t="array" ref="N8242">IF(MOD(ROW()-ROW($B$2),16)=0,INDEX($M$2:$M$1000,(ROW()-ROW($B$2))/16+1),"")</f>
        <v/>
      </c>
    </row>
    <row r="8243" spans="14:14" x14ac:dyDescent="0.3">
      <c r="N8243" t="str" cm="1">
        <f t="array" ref="N8243">IF(MOD(ROW()-ROW($B$2),16)=0,INDEX($M$2:$M$1000,(ROW()-ROW($B$2))/16+1),"")</f>
        <v/>
      </c>
    </row>
    <row r="8244" spans="14:14" x14ac:dyDescent="0.3">
      <c r="N8244" t="str" cm="1">
        <f t="array" ref="N8244">IF(MOD(ROW()-ROW($B$2),16)=0,INDEX($M$2:$M$1000,(ROW()-ROW($B$2))/16+1),"")</f>
        <v/>
      </c>
    </row>
    <row r="8245" spans="14:14" x14ac:dyDescent="0.3">
      <c r="N8245" t="str" cm="1">
        <f t="array" ref="N8245">IF(MOD(ROW()-ROW($B$2),16)=0,INDEX($M$2:$M$1000,(ROW()-ROW($B$2))/16+1),"")</f>
        <v/>
      </c>
    </row>
    <row r="8246" spans="14:14" x14ac:dyDescent="0.3">
      <c r="N8246" t="str" cm="1">
        <f t="array" ref="N8246">IF(MOD(ROW()-ROW($B$2),16)=0,INDEX($M$2:$M$1000,(ROW()-ROW($B$2))/16+1),"")</f>
        <v/>
      </c>
    </row>
    <row r="8247" spans="14:14" x14ac:dyDescent="0.3">
      <c r="N8247" t="str" cm="1">
        <f t="array" ref="N8247">IF(MOD(ROW()-ROW($B$2),16)=0,INDEX($M$2:$M$1000,(ROW()-ROW($B$2))/16+1),"")</f>
        <v/>
      </c>
    </row>
    <row r="8248" spans="14:14" x14ac:dyDescent="0.3">
      <c r="N8248" t="str" cm="1">
        <f t="array" ref="N8248">IF(MOD(ROW()-ROW($B$2),16)=0,INDEX($M$2:$M$1000,(ROW()-ROW($B$2))/16+1),"")</f>
        <v/>
      </c>
    </row>
    <row r="8249" spans="14:14" x14ac:dyDescent="0.3">
      <c r="N8249" t="str" cm="1">
        <f t="array" ref="N8249">IF(MOD(ROW()-ROW($B$2),16)=0,INDEX($M$2:$M$1000,(ROW()-ROW($B$2))/16+1),"")</f>
        <v/>
      </c>
    </row>
    <row r="8250" spans="14:14" x14ac:dyDescent="0.3">
      <c r="N8250" t="str" cm="1">
        <f t="array" ref="N8250">IF(MOD(ROW()-ROW($B$2),16)=0,INDEX($M$2:$M$1000,(ROW()-ROW($B$2))/16+1),"")</f>
        <v/>
      </c>
    </row>
    <row r="8251" spans="14:14" x14ac:dyDescent="0.3">
      <c r="N8251" t="str" cm="1">
        <f t="array" ref="N8251">IF(MOD(ROW()-ROW($B$2),16)=0,INDEX($M$2:$M$1000,(ROW()-ROW($B$2))/16+1),"")</f>
        <v/>
      </c>
    </row>
    <row r="8252" spans="14:14" x14ac:dyDescent="0.3">
      <c r="N8252" t="str" cm="1">
        <f t="array" ref="N8252">IF(MOD(ROW()-ROW($B$2),16)=0,INDEX($M$2:$M$1000,(ROW()-ROW($B$2))/16+1),"")</f>
        <v/>
      </c>
    </row>
    <row r="8253" spans="14:14" x14ac:dyDescent="0.3">
      <c r="N8253" t="str" cm="1">
        <f t="array" ref="N8253">IF(MOD(ROW()-ROW($B$2),16)=0,INDEX($M$2:$M$1000,(ROW()-ROW($B$2))/16+1),"")</f>
        <v/>
      </c>
    </row>
    <row r="8254" spans="14:14" x14ac:dyDescent="0.3">
      <c r="N8254" t="str" cm="1">
        <f t="array" ref="N8254">IF(MOD(ROW()-ROW($B$2),16)=0,INDEX($M$2:$M$1000,(ROW()-ROW($B$2))/16+1),"")</f>
        <v/>
      </c>
    </row>
    <row r="8255" spans="14:14" x14ac:dyDescent="0.3">
      <c r="N8255" t="str" cm="1">
        <f t="array" ref="N8255">IF(MOD(ROW()-ROW($B$2),16)=0,INDEX($M$2:$M$1000,(ROW()-ROW($B$2))/16+1),"")</f>
        <v/>
      </c>
    </row>
    <row r="8256" spans="14:14" x14ac:dyDescent="0.3">
      <c r="N8256" t="str" cm="1">
        <f t="array" ref="N8256">IF(MOD(ROW()-ROW($B$2),16)=0,INDEX($M$2:$M$1000,(ROW()-ROW($B$2))/16+1),"")</f>
        <v/>
      </c>
    </row>
    <row r="8257" spans="14:14" x14ac:dyDescent="0.3">
      <c r="N8257" t="str" cm="1">
        <f t="array" ref="N8257">IF(MOD(ROW()-ROW($B$2),16)=0,INDEX($M$2:$M$1000,(ROW()-ROW($B$2))/16+1),"")</f>
        <v/>
      </c>
    </row>
    <row r="8258" spans="14:14" x14ac:dyDescent="0.3">
      <c r="N8258" t="str" cm="1">
        <f t="array" ref="N8258">IF(MOD(ROW()-ROW($B$2),16)=0,INDEX($M$2:$M$1000,(ROW()-ROW($B$2))/16+1),"")</f>
        <v/>
      </c>
    </row>
    <row r="8259" spans="14:14" x14ac:dyDescent="0.3">
      <c r="N8259" t="str" cm="1">
        <f t="array" ref="N8259">IF(MOD(ROW()-ROW($B$2),16)=0,INDEX($M$2:$M$1000,(ROW()-ROW($B$2))/16+1),"")</f>
        <v/>
      </c>
    </row>
    <row r="8260" spans="14:14" x14ac:dyDescent="0.3">
      <c r="N8260" t="str" cm="1">
        <f t="array" ref="N8260">IF(MOD(ROW()-ROW($B$2),16)=0,INDEX($M$2:$M$1000,(ROW()-ROW($B$2))/16+1),"")</f>
        <v/>
      </c>
    </row>
    <row r="8261" spans="14:14" x14ac:dyDescent="0.3">
      <c r="N8261" t="str" cm="1">
        <f t="array" ref="N8261">IF(MOD(ROW()-ROW($B$2),16)=0,INDEX($M$2:$M$1000,(ROW()-ROW($B$2))/16+1),"")</f>
        <v/>
      </c>
    </row>
    <row r="8262" spans="14:14" x14ac:dyDescent="0.3">
      <c r="N8262" t="str" cm="1">
        <f t="array" ref="N8262">IF(MOD(ROW()-ROW($B$2),16)=0,INDEX($M$2:$M$1000,(ROW()-ROW($B$2))/16+1),"")</f>
        <v/>
      </c>
    </row>
    <row r="8263" spans="14:14" x14ac:dyDescent="0.3">
      <c r="N8263" t="str" cm="1">
        <f t="array" ref="N8263">IF(MOD(ROW()-ROW($B$2),16)=0,INDEX($M$2:$M$1000,(ROW()-ROW($B$2))/16+1),"")</f>
        <v/>
      </c>
    </row>
    <row r="8264" spans="14:14" x14ac:dyDescent="0.3">
      <c r="N8264" t="str" cm="1">
        <f t="array" ref="N8264">IF(MOD(ROW()-ROW($B$2),16)=0,INDEX($M$2:$M$1000,(ROW()-ROW($B$2))/16+1),"")</f>
        <v/>
      </c>
    </row>
    <row r="8265" spans="14:14" x14ac:dyDescent="0.3">
      <c r="N8265" t="str" cm="1">
        <f t="array" ref="N8265">IF(MOD(ROW()-ROW($B$2),16)=0,INDEX($M$2:$M$1000,(ROW()-ROW($B$2))/16+1),"")</f>
        <v/>
      </c>
    </row>
    <row r="8266" spans="14:14" x14ac:dyDescent="0.3">
      <c r="N8266" t="str" cm="1">
        <f t="array" ref="N8266">IF(MOD(ROW()-ROW($B$2),16)=0,INDEX($M$2:$M$1000,(ROW()-ROW($B$2))/16+1),"")</f>
        <v/>
      </c>
    </row>
    <row r="8267" spans="14:14" x14ac:dyDescent="0.3">
      <c r="N8267" t="str" cm="1">
        <f t="array" ref="N8267">IF(MOD(ROW()-ROW($B$2),16)=0,INDEX($M$2:$M$1000,(ROW()-ROW($B$2))/16+1),"")</f>
        <v/>
      </c>
    </row>
    <row r="8268" spans="14:14" x14ac:dyDescent="0.3">
      <c r="N8268" t="str" cm="1">
        <f t="array" ref="N8268">IF(MOD(ROW()-ROW($B$2),16)=0,INDEX($M$2:$M$1000,(ROW()-ROW($B$2))/16+1),"")</f>
        <v/>
      </c>
    </row>
    <row r="8269" spans="14:14" x14ac:dyDescent="0.3">
      <c r="N8269" t="str" cm="1">
        <f t="array" ref="N8269">IF(MOD(ROW()-ROW($B$2),16)=0,INDEX($M$2:$M$1000,(ROW()-ROW($B$2))/16+1),"")</f>
        <v/>
      </c>
    </row>
    <row r="8270" spans="14:14" x14ac:dyDescent="0.3">
      <c r="N8270" t="str" cm="1">
        <f t="array" ref="N8270">IF(MOD(ROW()-ROW($B$2),16)=0,INDEX($M$2:$M$1000,(ROW()-ROW($B$2))/16+1),"")</f>
        <v/>
      </c>
    </row>
    <row r="8271" spans="14:14" x14ac:dyDescent="0.3">
      <c r="N8271" t="str" cm="1">
        <f t="array" ref="N8271">IF(MOD(ROW()-ROW($B$2),16)=0,INDEX($M$2:$M$1000,(ROW()-ROW($B$2))/16+1),"")</f>
        <v/>
      </c>
    </row>
    <row r="8272" spans="14:14" x14ac:dyDescent="0.3">
      <c r="N8272" t="str" cm="1">
        <f t="array" ref="N8272">IF(MOD(ROW()-ROW($B$2),16)=0,INDEX($M$2:$M$1000,(ROW()-ROW($B$2))/16+1),"")</f>
        <v/>
      </c>
    </row>
    <row r="8273" spans="14:14" x14ac:dyDescent="0.3">
      <c r="N8273" t="str" cm="1">
        <f t="array" ref="N8273">IF(MOD(ROW()-ROW($B$2),16)=0,INDEX($M$2:$M$1000,(ROW()-ROW($B$2))/16+1),"")</f>
        <v/>
      </c>
    </row>
    <row r="8274" spans="14:14" x14ac:dyDescent="0.3">
      <c r="N8274" t="str" cm="1">
        <f t="array" ref="N8274">IF(MOD(ROW()-ROW($B$2),16)=0,INDEX($M$2:$M$1000,(ROW()-ROW($B$2))/16+1),"")</f>
        <v/>
      </c>
    </row>
    <row r="8275" spans="14:14" x14ac:dyDescent="0.3">
      <c r="N8275" t="str" cm="1">
        <f t="array" ref="N8275">IF(MOD(ROW()-ROW($B$2),16)=0,INDEX($M$2:$M$1000,(ROW()-ROW($B$2))/16+1),"")</f>
        <v/>
      </c>
    </row>
    <row r="8276" spans="14:14" x14ac:dyDescent="0.3">
      <c r="N8276" t="str" cm="1">
        <f t="array" ref="N8276">IF(MOD(ROW()-ROW($B$2),16)=0,INDEX($M$2:$M$1000,(ROW()-ROW($B$2))/16+1),"")</f>
        <v/>
      </c>
    </row>
    <row r="8277" spans="14:14" x14ac:dyDescent="0.3">
      <c r="N8277" t="str" cm="1">
        <f t="array" ref="N8277">IF(MOD(ROW()-ROW($B$2),16)=0,INDEX($M$2:$M$1000,(ROW()-ROW($B$2))/16+1),"")</f>
        <v/>
      </c>
    </row>
    <row r="8278" spans="14:14" x14ac:dyDescent="0.3">
      <c r="N8278" t="str" cm="1">
        <f t="array" ref="N8278">IF(MOD(ROW()-ROW($B$2),16)=0,INDEX($M$2:$M$1000,(ROW()-ROW($B$2))/16+1),"")</f>
        <v/>
      </c>
    </row>
    <row r="8279" spans="14:14" x14ac:dyDescent="0.3">
      <c r="N8279" t="str" cm="1">
        <f t="array" ref="N8279">IF(MOD(ROW()-ROW($B$2),16)=0,INDEX($M$2:$M$1000,(ROW()-ROW($B$2))/16+1),"")</f>
        <v/>
      </c>
    </row>
    <row r="8280" spans="14:14" x14ac:dyDescent="0.3">
      <c r="N8280" t="str" cm="1">
        <f t="array" ref="N8280">IF(MOD(ROW()-ROW($B$2),16)=0,INDEX($M$2:$M$1000,(ROW()-ROW($B$2))/16+1),"")</f>
        <v/>
      </c>
    </row>
    <row r="8281" spans="14:14" x14ac:dyDescent="0.3">
      <c r="N8281" t="str" cm="1">
        <f t="array" ref="N8281">IF(MOD(ROW()-ROW($B$2),16)=0,INDEX($M$2:$M$1000,(ROW()-ROW($B$2))/16+1),"")</f>
        <v/>
      </c>
    </row>
    <row r="8282" spans="14:14" x14ac:dyDescent="0.3">
      <c r="N8282" t="str" cm="1">
        <f t="array" ref="N8282">IF(MOD(ROW()-ROW($B$2),16)=0,INDEX($M$2:$M$1000,(ROW()-ROW($B$2))/16+1),"")</f>
        <v/>
      </c>
    </row>
    <row r="8283" spans="14:14" x14ac:dyDescent="0.3">
      <c r="N8283" t="str" cm="1">
        <f t="array" ref="N8283">IF(MOD(ROW()-ROW($B$2),16)=0,INDEX($M$2:$M$1000,(ROW()-ROW($B$2))/16+1),"")</f>
        <v/>
      </c>
    </row>
    <row r="8284" spans="14:14" x14ac:dyDescent="0.3">
      <c r="N8284" t="str" cm="1">
        <f t="array" ref="N8284">IF(MOD(ROW()-ROW($B$2),16)=0,INDEX($M$2:$M$1000,(ROW()-ROW($B$2))/16+1),"")</f>
        <v/>
      </c>
    </row>
    <row r="8285" spans="14:14" x14ac:dyDescent="0.3">
      <c r="N8285" t="str" cm="1">
        <f t="array" ref="N8285">IF(MOD(ROW()-ROW($B$2),16)=0,INDEX($M$2:$M$1000,(ROW()-ROW($B$2))/16+1),"")</f>
        <v/>
      </c>
    </row>
    <row r="8286" spans="14:14" x14ac:dyDescent="0.3">
      <c r="N8286" t="str" cm="1">
        <f t="array" ref="N8286">IF(MOD(ROW()-ROW($B$2),16)=0,INDEX($M$2:$M$1000,(ROW()-ROW($B$2))/16+1),"")</f>
        <v/>
      </c>
    </row>
    <row r="8287" spans="14:14" x14ac:dyDescent="0.3">
      <c r="N8287" t="str" cm="1">
        <f t="array" ref="N8287">IF(MOD(ROW()-ROW($B$2),16)=0,INDEX($M$2:$M$1000,(ROW()-ROW($B$2))/16+1),"")</f>
        <v/>
      </c>
    </row>
    <row r="8288" spans="14:14" x14ac:dyDescent="0.3">
      <c r="N8288" t="str" cm="1">
        <f t="array" ref="N8288">IF(MOD(ROW()-ROW($B$2),16)=0,INDEX($M$2:$M$1000,(ROW()-ROW($B$2))/16+1),"")</f>
        <v/>
      </c>
    </row>
    <row r="8289" spans="14:14" x14ac:dyDescent="0.3">
      <c r="N8289" t="str" cm="1">
        <f t="array" ref="N8289">IF(MOD(ROW()-ROW($B$2),16)=0,INDEX($M$2:$M$1000,(ROW()-ROW($B$2))/16+1),"")</f>
        <v/>
      </c>
    </row>
    <row r="8290" spans="14:14" x14ac:dyDescent="0.3">
      <c r="N8290" t="str" cm="1">
        <f t="array" ref="N8290">IF(MOD(ROW()-ROW($B$2),16)=0,INDEX($M$2:$M$1000,(ROW()-ROW($B$2))/16+1),"")</f>
        <v/>
      </c>
    </row>
    <row r="8291" spans="14:14" x14ac:dyDescent="0.3">
      <c r="N8291" t="str" cm="1">
        <f t="array" ref="N8291">IF(MOD(ROW()-ROW($B$2),16)=0,INDEX($M$2:$M$1000,(ROW()-ROW($B$2))/16+1),"")</f>
        <v/>
      </c>
    </row>
    <row r="8292" spans="14:14" x14ac:dyDescent="0.3">
      <c r="N8292" t="str" cm="1">
        <f t="array" ref="N8292">IF(MOD(ROW()-ROW($B$2),16)=0,INDEX($M$2:$M$1000,(ROW()-ROW($B$2))/16+1),"")</f>
        <v/>
      </c>
    </row>
    <row r="8293" spans="14:14" x14ac:dyDescent="0.3">
      <c r="N8293" t="str" cm="1">
        <f t="array" ref="N8293">IF(MOD(ROW()-ROW($B$2),16)=0,INDEX($M$2:$M$1000,(ROW()-ROW($B$2))/16+1),"")</f>
        <v/>
      </c>
    </row>
    <row r="8294" spans="14:14" x14ac:dyDescent="0.3">
      <c r="N8294" t="str" cm="1">
        <f t="array" ref="N8294">IF(MOD(ROW()-ROW($B$2),16)=0,INDEX($M$2:$M$1000,(ROW()-ROW($B$2))/16+1),"")</f>
        <v/>
      </c>
    </row>
    <row r="8295" spans="14:14" x14ac:dyDescent="0.3">
      <c r="N8295" t="str" cm="1">
        <f t="array" ref="N8295">IF(MOD(ROW()-ROW($B$2),16)=0,INDEX($M$2:$M$1000,(ROW()-ROW($B$2))/16+1),"")</f>
        <v/>
      </c>
    </row>
    <row r="8296" spans="14:14" x14ac:dyDescent="0.3">
      <c r="N8296" t="str" cm="1">
        <f t="array" ref="N8296">IF(MOD(ROW()-ROW($B$2),16)=0,INDEX($M$2:$M$1000,(ROW()-ROW($B$2))/16+1),"")</f>
        <v/>
      </c>
    </row>
    <row r="8297" spans="14:14" x14ac:dyDescent="0.3">
      <c r="N8297" t="str" cm="1">
        <f t="array" ref="N8297">IF(MOD(ROW()-ROW($B$2),16)=0,INDEX($M$2:$M$1000,(ROW()-ROW($B$2))/16+1),"")</f>
        <v/>
      </c>
    </row>
    <row r="8298" spans="14:14" x14ac:dyDescent="0.3">
      <c r="N8298" t="str" cm="1">
        <f t="array" ref="N8298">IF(MOD(ROW()-ROW($B$2),16)=0,INDEX($M$2:$M$1000,(ROW()-ROW($B$2))/16+1),"")</f>
        <v/>
      </c>
    </row>
    <row r="8299" spans="14:14" x14ac:dyDescent="0.3">
      <c r="N8299" t="str" cm="1">
        <f t="array" ref="N8299">IF(MOD(ROW()-ROW($B$2),16)=0,INDEX($M$2:$M$1000,(ROW()-ROW($B$2))/16+1),"")</f>
        <v/>
      </c>
    </row>
    <row r="8300" spans="14:14" x14ac:dyDescent="0.3">
      <c r="N8300" t="str" cm="1">
        <f t="array" ref="N8300">IF(MOD(ROW()-ROW($B$2),16)=0,INDEX($M$2:$M$1000,(ROW()-ROW($B$2))/16+1),"")</f>
        <v/>
      </c>
    </row>
    <row r="8301" spans="14:14" x14ac:dyDescent="0.3">
      <c r="N8301" t="str" cm="1">
        <f t="array" ref="N8301">IF(MOD(ROW()-ROW($B$2),16)=0,INDEX($M$2:$M$1000,(ROW()-ROW($B$2))/16+1),"")</f>
        <v/>
      </c>
    </row>
    <row r="8302" spans="14:14" x14ac:dyDescent="0.3">
      <c r="N8302" t="str" cm="1">
        <f t="array" ref="N8302">IF(MOD(ROW()-ROW($B$2),16)=0,INDEX($M$2:$M$1000,(ROW()-ROW($B$2))/16+1),"")</f>
        <v/>
      </c>
    </row>
    <row r="8303" spans="14:14" x14ac:dyDescent="0.3">
      <c r="N8303" t="str" cm="1">
        <f t="array" ref="N8303">IF(MOD(ROW()-ROW($B$2),16)=0,INDEX($M$2:$M$1000,(ROW()-ROW($B$2))/16+1),"")</f>
        <v/>
      </c>
    </row>
    <row r="8304" spans="14:14" x14ac:dyDescent="0.3">
      <c r="N8304" t="str" cm="1">
        <f t="array" ref="N8304">IF(MOD(ROW()-ROW($B$2),16)=0,INDEX($M$2:$M$1000,(ROW()-ROW($B$2))/16+1),"")</f>
        <v/>
      </c>
    </row>
    <row r="8305" spans="14:14" x14ac:dyDescent="0.3">
      <c r="N8305" t="str" cm="1">
        <f t="array" ref="N8305">IF(MOD(ROW()-ROW($B$2),16)=0,INDEX($M$2:$M$1000,(ROW()-ROW($B$2))/16+1),"")</f>
        <v/>
      </c>
    </row>
    <row r="8306" spans="14:14" x14ac:dyDescent="0.3">
      <c r="N8306" t="str" cm="1">
        <f t="array" ref="N8306">IF(MOD(ROW()-ROW($B$2),16)=0,INDEX($M$2:$M$1000,(ROW()-ROW($B$2))/16+1),"")</f>
        <v/>
      </c>
    </row>
    <row r="8307" spans="14:14" x14ac:dyDescent="0.3">
      <c r="N8307" t="str" cm="1">
        <f t="array" ref="N8307">IF(MOD(ROW()-ROW($B$2),16)=0,INDEX($M$2:$M$1000,(ROW()-ROW($B$2))/16+1),"")</f>
        <v/>
      </c>
    </row>
    <row r="8308" spans="14:14" x14ac:dyDescent="0.3">
      <c r="N8308" t="str" cm="1">
        <f t="array" ref="N8308">IF(MOD(ROW()-ROW($B$2),16)=0,INDEX($M$2:$M$1000,(ROW()-ROW($B$2))/16+1),"")</f>
        <v/>
      </c>
    </row>
    <row r="8309" spans="14:14" x14ac:dyDescent="0.3">
      <c r="N8309" t="str" cm="1">
        <f t="array" ref="N8309">IF(MOD(ROW()-ROW($B$2),16)=0,INDEX($M$2:$M$1000,(ROW()-ROW($B$2))/16+1),"")</f>
        <v/>
      </c>
    </row>
    <row r="8310" spans="14:14" x14ac:dyDescent="0.3">
      <c r="N8310" t="str" cm="1">
        <f t="array" ref="N8310">IF(MOD(ROW()-ROW($B$2),16)=0,INDEX($M$2:$M$1000,(ROW()-ROW($B$2))/16+1),"")</f>
        <v/>
      </c>
    </row>
    <row r="8311" spans="14:14" x14ac:dyDescent="0.3">
      <c r="N8311" t="str" cm="1">
        <f t="array" ref="N8311">IF(MOD(ROW()-ROW($B$2),16)=0,INDEX($M$2:$M$1000,(ROW()-ROW($B$2))/16+1),"")</f>
        <v/>
      </c>
    </row>
    <row r="8312" spans="14:14" x14ac:dyDescent="0.3">
      <c r="N8312" t="str" cm="1">
        <f t="array" ref="N8312">IF(MOD(ROW()-ROW($B$2),16)=0,INDEX($M$2:$M$1000,(ROW()-ROW($B$2))/16+1),"")</f>
        <v/>
      </c>
    </row>
    <row r="8313" spans="14:14" x14ac:dyDescent="0.3">
      <c r="N8313" t="str" cm="1">
        <f t="array" ref="N8313">IF(MOD(ROW()-ROW($B$2),16)=0,INDEX($M$2:$M$1000,(ROW()-ROW($B$2))/16+1),"")</f>
        <v/>
      </c>
    </row>
    <row r="8314" spans="14:14" x14ac:dyDescent="0.3">
      <c r="N8314" t="str" cm="1">
        <f t="array" ref="N8314">IF(MOD(ROW()-ROW($B$2),16)=0,INDEX($M$2:$M$1000,(ROW()-ROW($B$2))/16+1),"")</f>
        <v/>
      </c>
    </row>
    <row r="8315" spans="14:14" x14ac:dyDescent="0.3">
      <c r="N8315" t="str" cm="1">
        <f t="array" ref="N8315">IF(MOD(ROW()-ROW($B$2),16)=0,INDEX($M$2:$M$1000,(ROW()-ROW($B$2))/16+1),"")</f>
        <v/>
      </c>
    </row>
    <row r="8316" spans="14:14" x14ac:dyDescent="0.3">
      <c r="N8316" t="str" cm="1">
        <f t="array" ref="N8316">IF(MOD(ROW()-ROW($B$2),16)=0,INDEX($M$2:$M$1000,(ROW()-ROW($B$2))/16+1),"")</f>
        <v/>
      </c>
    </row>
    <row r="8317" spans="14:14" x14ac:dyDescent="0.3">
      <c r="N8317" t="str" cm="1">
        <f t="array" ref="N8317">IF(MOD(ROW()-ROW($B$2),16)=0,INDEX($M$2:$M$1000,(ROW()-ROW($B$2))/16+1),"")</f>
        <v/>
      </c>
    </row>
    <row r="8318" spans="14:14" x14ac:dyDescent="0.3">
      <c r="N8318" t="str" cm="1">
        <f t="array" ref="N8318">IF(MOD(ROW()-ROW($B$2),16)=0,INDEX($M$2:$M$1000,(ROW()-ROW($B$2))/16+1),"")</f>
        <v/>
      </c>
    </row>
    <row r="8319" spans="14:14" x14ac:dyDescent="0.3">
      <c r="N8319" t="str" cm="1">
        <f t="array" ref="N8319">IF(MOD(ROW()-ROW($B$2),16)=0,INDEX($M$2:$M$1000,(ROW()-ROW($B$2))/16+1),"")</f>
        <v/>
      </c>
    </row>
    <row r="8320" spans="14:14" x14ac:dyDescent="0.3">
      <c r="N8320" t="str" cm="1">
        <f t="array" ref="N8320">IF(MOD(ROW()-ROW($B$2),16)=0,INDEX($M$2:$M$1000,(ROW()-ROW($B$2))/16+1),"")</f>
        <v/>
      </c>
    </row>
    <row r="8321" spans="14:14" x14ac:dyDescent="0.3">
      <c r="N8321" t="str" cm="1">
        <f t="array" ref="N8321">IF(MOD(ROW()-ROW($B$2),16)=0,INDEX($M$2:$M$1000,(ROW()-ROW($B$2))/16+1),"")</f>
        <v/>
      </c>
    </row>
    <row r="8322" spans="14:14" x14ac:dyDescent="0.3">
      <c r="N8322" t="str" cm="1">
        <f t="array" ref="N8322">IF(MOD(ROW()-ROW($B$2),16)=0,INDEX($M$2:$M$1000,(ROW()-ROW($B$2))/16+1),"")</f>
        <v/>
      </c>
    </row>
    <row r="8323" spans="14:14" x14ac:dyDescent="0.3">
      <c r="N8323" t="str" cm="1">
        <f t="array" ref="N8323">IF(MOD(ROW()-ROW($B$2),16)=0,INDEX($M$2:$M$1000,(ROW()-ROW($B$2))/16+1),"")</f>
        <v/>
      </c>
    </row>
    <row r="8324" spans="14:14" x14ac:dyDescent="0.3">
      <c r="N8324" t="str" cm="1">
        <f t="array" ref="N8324">IF(MOD(ROW()-ROW($B$2),16)=0,INDEX($M$2:$M$1000,(ROW()-ROW($B$2))/16+1),"")</f>
        <v/>
      </c>
    </row>
    <row r="8325" spans="14:14" x14ac:dyDescent="0.3">
      <c r="N8325" t="str" cm="1">
        <f t="array" ref="N8325">IF(MOD(ROW()-ROW($B$2),16)=0,INDEX($M$2:$M$1000,(ROW()-ROW($B$2))/16+1),"")</f>
        <v/>
      </c>
    </row>
    <row r="8326" spans="14:14" x14ac:dyDescent="0.3">
      <c r="N8326" t="str" cm="1">
        <f t="array" ref="N8326">IF(MOD(ROW()-ROW($B$2),16)=0,INDEX($M$2:$M$1000,(ROW()-ROW($B$2))/16+1),"")</f>
        <v/>
      </c>
    </row>
    <row r="8327" spans="14:14" x14ac:dyDescent="0.3">
      <c r="N8327" t="str" cm="1">
        <f t="array" ref="N8327">IF(MOD(ROW()-ROW($B$2),16)=0,INDEX($M$2:$M$1000,(ROW()-ROW($B$2))/16+1),"")</f>
        <v/>
      </c>
    </row>
    <row r="8328" spans="14:14" x14ac:dyDescent="0.3">
      <c r="N8328" t="str" cm="1">
        <f t="array" ref="N8328">IF(MOD(ROW()-ROW($B$2),16)=0,INDEX($M$2:$M$1000,(ROW()-ROW($B$2))/16+1),"")</f>
        <v/>
      </c>
    </row>
    <row r="8329" spans="14:14" x14ac:dyDescent="0.3">
      <c r="N8329" t="str" cm="1">
        <f t="array" ref="N8329">IF(MOD(ROW()-ROW($B$2),16)=0,INDEX($M$2:$M$1000,(ROW()-ROW($B$2))/16+1),"")</f>
        <v/>
      </c>
    </row>
    <row r="8330" spans="14:14" x14ac:dyDescent="0.3">
      <c r="N8330" t="str" cm="1">
        <f t="array" ref="N8330">IF(MOD(ROW()-ROW($B$2),16)=0,INDEX($M$2:$M$1000,(ROW()-ROW($B$2))/16+1),"")</f>
        <v/>
      </c>
    </row>
    <row r="8331" spans="14:14" x14ac:dyDescent="0.3">
      <c r="N8331" t="str" cm="1">
        <f t="array" ref="N8331">IF(MOD(ROW()-ROW($B$2),16)=0,INDEX($M$2:$M$1000,(ROW()-ROW($B$2))/16+1),"")</f>
        <v/>
      </c>
    </row>
    <row r="8332" spans="14:14" x14ac:dyDescent="0.3">
      <c r="N8332" t="str" cm="1">
        <f t="array" ref="N8332">IF(MOD(ROW()-ROW($B$2),16)=0,INDEX($M$2:$M$1000,(ROW()-ROW($B$2))/16+1),"")</f>
        <v/>
      </c>
    </row>
    <row r="8333" spans="14:14" x14ac:dyDescent="0.3">
      <c r="N8333" t="str" cm="1">
        <f t="array" ref="N8333">IF(MOD(ROW()-ROW($B$2),16)=0,INDEX($M$2:$M$1000,(ROW()-ROW($B$2))/16+1),"")</f>
        <v/>
      </c>
    </row>
    <row r="8334" spans="14:14" x14ac:dyDescent="0.3">
      <c r="N8334" t="str" cm="1">
        <f t="array" ref="N8334">IF(MOD(ROW()-ROW($B$2),16)=0,INDEX($M$2:$M$1000,(ROW()-ROW($B$2))/16+1),"")</f>
        <v/>
      </c>
    </row>
    <row r="8335" spans="14:14" x14ac:dyDescent="0.3">
      <c r="N8335" t="str" cm="1">
        <f t="array" ref="N8335">IF(MOD(ROW()-ROW($B$2),16)=0,INDEX($M$2:$M$1000,(ROW()-ROW($B$2))/16+1),"")</f>
        <v/>
      </c>
    </row>
    <row r="8336" spans="14:14" x14ac:dyDescent="0.3">
      <c r="N8336" t="str" cm="1">
        <f t="array" ref="N8336">IF(MOD(ROW()-ROW($B$2),16)=0,INDEX($M$2:$M$1000,(ROW()-ROW($B$2))/16+1),"")</f>
        <v/>
      </c>
    </row>
    <row r="8337" spans="14:14" x14ac:dyDescent="0.3">
      <c r="N8337" t="str" cm="1">
        <f t="array" ref="N8337">IF(MOD(ROW()-ROW($B$2),16)=0,INDEX($M$2:$M$1000,(ROW()-ROW($B$2))/16+1),"")</f>
        <v/>
      </c>
    </row>
    <row r="8338" spans="14:14" x14ac:dyDescent="0.3">
      <c r="N8338" t="str" cm="1">
        <f t="array" ref="N8338">IF(MOD(ROW()-ROW($B$2),16)=0,INDEX($M$2:$M$1000,(ROW()-ROW($B$2))/16+1),"")</f>
        <v/>
      </c>
    </row>
    <row r="8339" spans="14:14" x14ac:dyDescent="0.3">
      <c r="N8339" t="str" cm="1">
        <f t="array" ref="N8339">IF(MOD(ROW()-ROW($B$2),16)=0,INDEX($M$2:$M$1000,(ROW()-ROW($B$2))/16+1),"")</f>
        <v/>
      </c>
    </row>
    <row r="8340" spans="14:14" x14ac:dyDescent="0.3">
      <c r="N8340" t="str" cm="1">
        <f t="array" ref="N8340">IF(MOD(ROW()-ROW($B$2),16)=0,INDEX($M$2:$M$1000,(ROW()-ROW($B$2))/16+1),"")</f>
        <v/>
      </c>
    </row>
    <row r="8341" spans="14:14" x14ac:dyDescent="0.3">
      <c r="N8341" t="str" cm="1">
        <f t="array" ref="N8341">IF(MOD(ROW()-ROW($B$2),16)=0,INDEX($M$2:$M$1000,(ROW()-ROW($B$2))/16+1),"")</f>
        <v/>
      </c>
    </row>
    <row r="8342" spans="14:14" x14ac:dyDescent="0.3">
      <c r="N8342" t="str" cm="1">
        <f t="array" ref="N8342">IF(MOD(ROW()-ROW($B$2),16)=0,INDEX($M$2:$M$1000,(ROW()-ROW($B$2))/16+1),"")</f>
        <v/>
      </c>
    </row>
    <row r="8343" spans="14:14" x14ac:dyDescent="0.3">
      <c r="N8343" t="str" cm="1">
        <f t="array" ref="N8343">IF(MOD(ROW()-ROW($B$2),16)=0,INDEX($M$2:$M$1000,(ROW()-ROW($B$2))/16+1),"")</f>
        <v/>
      </c>
    </row>
    <row r="8344" spans="14:14" x14ac:dyDescent="0.3">
      <c r="N8344" t="str" cm="1">
        <f t="array" ref="N8344">IF(MOD(ROW()-ROW($B$2),16)=0,INDEX($M$2:$M$1000,(ROW()-ROW($B$2))/16+1),"")</f>
        <v/>
      </c>
    </row>
    <row r="8345" spans="14:14" x14ac:dyDescent="0.3">
      <c r="N8345" t="str" cm="1">
        <f t="array" ref="N8345">IF(MOD(ROW()-ROW($B$2),16)=0,INDEX($M$2:$M$1000,(ROW()-ROW($B$2))/16+1),"")</f>
        <v/>
      </c>
    </row>
    <row r="8346" spans="14:14" x14ac:dyDescent="0.3">
      <c r="N8346" t="str" cm="1">
        <f t="array" ref="N8346">IF(MOD(ROW()-ROW($B$2),16)=0,INDEX($M$2:$M$1000,(ROW()-ROW($B$2))/16+1),"")</f>
        <v/>
      </c>
    </row>
    <row r="8347" spans="14:14" x14ac:dyDescent="0.3">
      <c r="N8347" t="str" cm="1">
        <f t="array" ref="N8347">IF(MOD(ROW()-ROW($B$2),16)=0,INDEX($M$2:$M$1000,(ROW()-ROW($B$2))/16+1),"")</f>
        <v/>
      </c>
    </row>
    <row r="8348" spans="14:14" x14ac:dyDescent="0.3">
      <c r="N8348" t="str" cm="1">
        <f t="array" ref="N8348">IF(MOD(ROW()-ROW($B$2),16)=0,INDEX($M$2:$M$1000,(ROW()-ROW($B$2))/16+1),"")</f>
        <v/>
      </c>
    </row>
    <row r="8349" spans="14:14" x14ac:dyDescent="0.3">
      <c r="N8349" t="str" cm="1">
        <f t="array" ref="N8349">IF(MOD(ROW()-ROW($B$2),16)=0,INDEX($M$2:$M$1000,(ROW()-ROW($B$2))/16+1),"")</f>
        <v/>
      </c>
    </row>
    <row r="8350" spans="14:14" x14ac:dyDescent="0.3">
      <c r="N8350" t="str" cm="1">
        <f t="array" ref="N8350">IF(MOD(ROW()-ROW($B$2),16)=0,INDEX($M$2:$M$1000,(ROW()-ROW($B$2))/16+1),"")</f>
        <v/>
      </c>
    </row>
    <row r="8351" spans="14:14" x14ac:dyDescent="0.3">
      <c r="N8351" t="str" cm="1">
        <f t="array" ref="N8351">IF(MOD(ROW()-ROW($B$2),16)=0,INDEX($M$2:$M$1000,(ROW()-ROW($B$2))/16+1),"")</f>
        <v/>
      </c>
    </row>
    <row r="8352" spans="14:14" x14ac:dyDescent="0.3">
      <c r="N8352" t="str" cm="1">
        <f t="array" ref="N8352">IF(MOD(ROW()-ROW($B$2),16)=0,INDEX($M$2:$M$1000,(ROW()-ROW($B$2))/16+1),"")</f>
        <v/>
      </c>
    </row>
    <row r="8353" spans="14:14" x14ac:dyDescent="0.3">
      <c r="N8353" t="str" cm="1">
        <f t="array" ref="N8353">IF(MOD(ROW()-ROW($B$2),16)=0,INDEX($M$2:$M$1000,(ROW()-ROW($B$2))/16+1),"")</f>
        <v/>
      </c>
    </row>
    <row r="8354" spans="14:14" x14ac:dyDescent="0.3">
      <c r="N8354" t="str" cm="1">
        <f t="array" ref="N8354">IF(MOD(ROW()-ROW($B$2),16)=0,INDEX($M$2:$M$1000,(ROW()-ROW($B$2))/16+1),"")</f>
        <v/>
      </c>
    </row>
    <row r="8355" spans="14:14" x14ac:dyDescent="0.3">
      <c r="N8355" t="str" cm="1">
        <f t="array" ref="N8355">IF(MOD(ROW()-ROW($B$2),16)=0,INDEX($M$2:$M$1000,(ROW()-ROW($B$2))/16+1),"")</f>
        <v/>
      </c>
    </row>
    <row r="8356" spans="14:14" x14ac:dyDescent="0.3">
      <c r="N8356" t="str" cm="1">
        <f t="array" ref="N8356">IF(MOD(ROW()-ROW($B$2),16)=0,INDEX($M$2:$M$1000,(ROW()-ROW($B$2))/16+1),"")</f>
        <v/>
      </c>
    </row>
    <row r="8357" spans="14:14" x14ac:dyDescent="0.3">
      <c r="N8357" t="str" cm="1">
        <f t="array" ref="N8357">IF(MOD(ROW()-ROW($B$2),16)=0,INDEX($M$2:$M$1000,(ROW()-ROW($B$2))/16+1),"")</f>
        <v/>
      </c>
    </row>
    <row r="8358" spans="14:14" x14ac:dyDescent="0.3">
      <c r="N8358" t="str" cm="1">
        <f t="array" ref="N8358">IF(MOD(ROW()-ROW($B$2),16)=0,INDEX($M$2:$M$1000,(ROW()-ROW($B$2))/16+1),"")</f>
        <v/>
      </c>
    </row>
    <row r="8359" spans="14:14" x14ac:dyDescent="0.3">
      <c r="N8359" t="str" cm="1">
        <f t="array" ref="N8359">IF(MOD(ROW()-ROW($B$2),16)=0,INDEX($M$2:$M$1000,(ROW()-ROW($B$2))/16+1),"")</f>
        <v/>
      </c>
    </row>
    <row r="8360" spans="14:14" x14ac:dyDescent="0.3">
      <c r="N8360" t="str" cm="1">
        <f t="array" ref="N8360">IF(MOD(ROW()-ROW($B$2),16)=0,INDEX($M$2:$M$1000,(ROW()-ROW($B$2))/16+1),"")</f>
        <v/>
      </c>
    </row>
    <row r="8361" spans="14:14" x14ac:dyDescent="0.3">
      <c r="N8361" t="str" cm="1">
        <f t="array" ref="N8361">IF(MOD(ROW()-ROW($B$2),16)=0,INDEX($M$2:$M$1000,(ROW()-ROW($B$2))/16+1),"")</f>
        <v/>
      </c>
    </row>
    <row r="8362" spans="14:14" x14ac:dyDescent="0.3">
      <c r="N8362" t="str" cm="1">
        <f t="array" ref="N8362">IF(MOD(ROW()-ROW($B$2),16)=0,INDEX($M$2:$M$1000,(ROW()-ROW($B$2))/16+1),"")</f>
        <v/>
      </c>
    </row>
    <row r="8363" spans="14:14" x14ac:dyDescent="0.3">
      <c r="N8363" t="str" cm="1">
        <f t="array" ref="N8363">IF(MOD(ROW()-ROW($B$2),16)=0,INDEX($M$2:$M$1000,(ROW()-ROW($B$2))/16+1),"")</f>
        <v/>
      </c>
    </row>
    <row r="8364" spans="14:14" x14ac:dyDescent="0.3">
      <c r="N8364" t="str" cm="1">
        <f t="array" ref="N8364">IF(MOD(ROW()-ROW($B$2),16)=0,INDEX($M$2:$M$1000,(ROW()-ROW($B$2))/16+1),"")</f>
        <v/>
      </c>
    </row>
    <row r="8365" spans="14:14" x14ac:dyDescent="0.3">
      <c r="N8365" t="str" cm="1">
        <f t="array" ref="N8365">IF(MOD(ROW()-ROW($B$2),16)=0,INDEX($M$2:$M$1000,(ROW()-ROW($B$2))/16+1),"")</f>
        <v/>
      </c>
    </row>
    <row r="8366" spans="14:14" x14ac:dyDescent="0.3">
      <c r="N8366" t="str" cm="1">
        <f t="array" ref="N8366">IF(MOD(ROW()-ROW($B$2),16)=0,INDEX($M$2:$M$1000,(ROW()-ROW($B$2))/16+1),"")</f>
        <v/>
      </c>
    </row>
    <row r="8367" spans="14:14" x14ac:dyDescent="0.3">
      <c r="N8367" t="str" cm="1">
        <f t="array" ref="N8367">IF(MOD(ROW()-ROW($B$2),16)=0,INDEX($M$2:$M$1000,(ROW()-ROW($B$2))/16+1),"")</f>
        <v/>
      </c>
    </row>
    <row r="8368" spans="14:14" x14ac:dyDescent="0.3">
      <c r="N8368" t="str" cm="1">
        <f t="array" ref="N8368">IF(MOD(ROW()-ROW($B$2),16)=0,INDEX($M$2:$M$1000,(ROW()-ROW($B$2))/16+1),"")</f>
        <v/>
      </c>
    </row>
    <row r="8369" spans="14:14" x14ac:dyDescent="0.3">
      <c r="N8369" t="str" cm="1">
        <f t="array" ref="N8369">IF(MOD(ROW()-ROW($B$2),16)=0,INDEX($M$2:$M$1000,(ROW()-ROW($B$2))/16+1),"")</f>
        <v/>
      </c>
    </row>
    <row r="8370" spans="14:14" x14ac:dyDescent="0.3">
      <c r="N8370" t="str" cm="1">
        <f t="array" ref="N8370">IF(MOD(ROW()-ROW($B$2),16)=0,INDEX($M$2:$M$1000,(ROW()-ROW($B$2))/16+1),"")</f>
        <v/>
      </c>
    </row>
    <row r="8371" spans="14:14" x14ac:dyDescent="0.3">
      <c r="N8371" t="str" cm="1">
        <f t="array" ref="N8371">IF(MOD(ROW()-ROW($B$2),16)=0,INDEX($M$2:$M$1000,(ROW()-ROW($B$2))/16+1),"")</f>
        <v/>
      </c>
    </row>
    <row r="8372" spans="14:14" x14ac:dyDescent="0.3">
      <c r="N8372" t="str" cm="1">
        <f t="array" ref="N8372">IF(MOD(ROW()-ROW($B$2),16)=0,INDEX($M$2:$M$1000,(ROW()-ROW($B$2))/16+1),"")</f>
        <v/>
      </c>
    </row>
    <row r="8373" spans="14:14" x14ac:dyDescent="0.3">
      <c r="N8373" t="str" cm="1">
        <f t="array" ref="N8373">IF(MOD(ROW()-ROW($B$2),16)=0,INDEX($M$2:$M$1000,(ROW()-ROW($B$2))/16+1),"")</f>
        <v/>
      </c>
    </row>
    <row r="8374" spans="14:14" x14ac:dyDescent="0.3">
      <c r="N8374" t="str" cm="1">
        <f t="array" ref="N8374">IF(MOD(ROW()-ROW($B$2),16)=0,INDEX($M$2:$M$1000,(ROW()-ROW($B$2))/16+1),"")</f>
        <v/>
      </c>
    </row>
    <row r="8375" spans="14:14" x14ac:dyDescent="0.3">
      <c r="N8375" t="str" cm="1">
        <f t="array" ref="N8375">IF(MOD(ROW()-ROW($B$2),16)=0,INDEX($M$2:$M$1000,(ROW()-ROW($B$2))/16+1),"")</f>
        <v/>
      </c>
    </row>
    <row r="8376" spans="14:14" x14ac:dyDescent="0.3">
      <c r="N8376" t="str" cm="1">
        <f t="array" ref="N8376">IF(MOD(ROW()-ROW($B$2),16)=0,INDEX($M$2:$M$1000,(ROW()-ROW($B$2))/16+1),"")</f>
        <v/>
      </c>
    </row>
    <row r="8377" spans="14:14" x14ac:dyDescent="0.3">
      <c r="N8377" t="str" cm="1">
        <f t="array" ref="N8377">IF(MOD(ROW()-ROW($B$2),16)=0,INDEX($M$2:$M$1000,(ROW()-ROW($B$2))/16+1),"")</f>
        <v/>
      </c>
    </row>
    <row r="8378" spans="14:14" x14ac:dyDescent="0.3">
      <c r="N8378" t="str" cm="1">
        <f t="array" ref="N8378">IF(MOD(ROW()-ROW($B$2),16)=0,INDEX($M$2:$M$1000,(ROW()-ROW($B$2))/16+1),"")</f>
        <v/>
      </c>
    </row>
    <row r="8379" spans="14:14" x14ac:dyDescent="0.3">
      <c r="N8379" t="str" cm="1">
        <f t="array" ref="N8379">IF(MOD(ROW()-ROW($B$2),16)=0,INDEX($M$2:$M$1000,(ROW()-ROW($B$2))/16+1),"")</f>
        <v/>
      </c>
    </row>
    <row r="8380" spans="14:14" x14ac:dyDescent="0.3">
      <c r="N8380" t="str" cm="1">
        <f t="array" ref="N8380">IF(MOD(ROW()-ROW($B$2),16)=0,INDEX($M$2:$M$1000,(ROW()-ROW($B$2))/16+1),"")</f>
        <v/>
      </c>
    </row>
    <row r="8381" spans="14:14" x14ac:dyDescent="0.3">
      <c r="N8381" t="str" cm="1">
        <f t="array" ref="N8381">IF(MOD(ROW()-ROW($B$2),16)=0,INDEX($M$2:$M$1000,(ROW()-ROW($B$2))/16+1),"")</f>
        <v/>
      </c>
    </row>
    <row r="8382" spans="14:14" x14ac:dyDescent="0.3">
      <c r="N8382" t="str" cm="1">
        <f t="array" ref="N8382">IF(MOD(ROW()-ROW($B$2),16)=0,INDEX($M$2:$M$1000,(ROW()-ROW($B$2))/16+1),"")</f>
        <v/>
      </c>
    </row>
    <row r="8383" spans="14:14" x14ac:dyDescent="0.3">
      <c r="N8383" t="str" cm="1">
        <f t="array" ref="N8383">IF(MOD(ROW()-ROW($B$2),16)=0,INDEX($M$2:$M$1000,(ROW()-ROW($B$2))/16+1),"")</f>
        <v/>
      </c>
    </row>
    <row r="8384" spans="14:14" x14ac:dyDescent="0.3">
      <c r="N8384" t="str" cm="1">
        <f t="array" ref="N8384">IF(MOD(ROW()-ROW($B$2),16)=0,INDEX($M$2:$M$1000,(ROW()-ROW($B$2))/16+1),"")</f>
        <v/>
      </c>
    </row>
    <row r="8385" spans="14:14" x14ac:dyDescent="0.3">
      <c r="N8385" t="str" cm="1">
        <f t="array" ref="N8385">IF(MOD(ROW()-ROW($B$2),16)=0,INDEX($M$2:$M$1000,(ROW()-ROW($B$2))/16+1),"")</f>
        <v/>
      </c>
    </row>
    <row r="8386" spans="14:14" x14ac:dyDescent="0.3">
      <c r="N8386" t="str" cm="1">
        <f t="array" ref="N8386">IF(MOD(ROW()-ROW($B$2),16)=0,INDEX($M$2:$M$1000,(ROW()-ROW($B$2))/16+1),"")</f>
        <v/>
      </c>
    </row>
    <row r="8387" spans="14:14" x14ac:dyDescent="0.3">
      <c r="N8387" t="str" cm="1">
        <f t="array" ref="N8387">IF(MOD(ROW()-ROW($B$2),16)=0,INDEX($M$2:$M$1000,(ROW()-ROW($B$2))/16+1),"")</f>
        <v/>
      </c>
    </row>
    <row r="8388" spans="14:14" x14ac:dyDescent="0.3">
      <c r="N8388" t="str" cm="1">
        <f t="array" ref="N8388">IF(MOD(ROW()-ROW($B$2),16)=0,INDEX($M$2:$M$1000,(ROW()-ROW($B$2))/16+1),"")</f>
        <v/>
      </c>
    </row>
    <row r="8389" spans="14:14" x14ac:dyDescent="0.3">
      <c r="N8389" t="str" cm="1">
        <f t="array" ref="N8389">IF(MOD(ROW()-ROW($B$2),16)=0,INDEX($M$2:$M$1000,(ROW()-ROW($B$2))/16+1),"")</f>
        <v/>
      </c>
    </row>
    <row r="8390" spans="14:14" x14ac:dyDescent="0.3">
      <c r="N8390" t="str" cm="1">
        <f t="array" ref="N8390">IF(MOD(ROW()-ROW($B$2),16)=0,INDEX($M$2:$M$1000,(ROW()-ROW($B$2))/16+1),"")</f>
        <v/>
      </c>
    </row>
    <row r="8391" spans="14:14" x14ac:dyDescent="0.3">
      <c r="N8391" t="str" cm="1">
        <f t="array" ref="N8391">IF(MOD(ROW()-ROW($B$2),16)=0,INDEX($M$2:$M$1000,(ROW()-ROW($B$2))/16+1),"")</f>
        <v/>
      </c>
    </row>
    <row r="8392" spans="14:14" x14ac:dyDescent="0.3">
      <c r="N8392" t="str" cm="1">
        <f t="array" ref="N8392">IF(MOD(ROW()-ROW($B$2),16)=0,INDEX($M$2:$M$1000,(ROW()-ROW($B$2))/16+1),"")</f>
        <v/>
      </c>
    </row>
    <row r="8393" spans="14:14" x14ac:dyDescent="0.3">
      <c r="N8393" t="str" cm="1">
        <f t="array" ref="N8393">IF(MOD(ROW()-ROW($B$2),16)=0,INDEX($M$2:$M$1000,(ROW()-ROW($B$2))/16+1),"")</f>
        <v/>
      </c>
    </row>
    <row r="8394" spans="14:14" x14ac:dyDescent="0.3">
      <c r="N8394" t="str" cm="1">
        <f t="array" ref="N8394">IF(MOD(ROW()-ROW($B$2),16)=0,INDEX($M$2:$M$1000,(ROW()-ROW($B$2))/16+1),"")</f>
        <v/>
      </c>
    </row>
    <row r="8395" spans="14:14" x14ac:dyDescent="0.3">
      <c r="N8395" t="str" cm="1">
        <f t="array" ref="N8395">IF(MOD(ROW()-ROW($B$2),16)=0,INDEX($M$2:$M$1000,(ROW()-ROW($B$2))/16+1),"")</f>
        <v/>
      </c>
    </row>
    <row r="8396" spans="14:14" x14ac:dyDescent="0.3">
      <c r="N8396" t="str" cm="1">
        <f t="array" ref="N8396">IF(MOD(ROW()-ROW($B$2),16)=0,INDEX($M$2:$M$1000,(ROW()-ROW($B$2))/16+1),"")</f>
        <v/>
      </c>
    </row>
    <row r="8397" spans="14:14" x14ac:dyDescent="0.3">
      <c r="N8397" t="str" cm="1">
        <f t="array" ref="N8397">IF(MOD(ROW()-ROW($B$2),16)=0,INDEX($M$2:$M$1000,(ROW()-ROW($B$2))/16+1),"")</f>
        <v/>
      </c>
    </row>
    <row r="8398" spans="14:14" x14ac:dyDescent="0.3">
      <c r="N8398" t="str" cm="1">
        <f t="array" ref="N8398">IF(MOD(ROW()-ROW($B$2),16)=0,INDEX($M$2:$M$1000,(ROW()-ROW($B$2))/16+1),"")</f>
        <v/>
      </c>
    </row>
    <row r="8399" spans="14:14" x14ac:dyDescent="0.3">
      <c r="N8399" t="str" cm="1">
        <f t="array" ref="N8399">IF(MOD(ROW()-ROW($B$2),16)=0,INDEX($M$2:$M$1000,(ROW()-ROW($B$2))/16+1),"")</f>
        <v/>
      </c>
    </row>
    <row r="8400" spans="14:14" x14ac:dyDescent="0.3">
      <c r="N8400" t="str" cm="1">
        <f t="array" ref="N8400">IF(MOD(ROW()-ROW($B$2),16)=0,INDEX($M$2:$M$1000,(ROW()-ROW($B$2))/16+1),"")</f>
        <v/>
      </c>
    </row>
    <row r="8401" spans="14:14" x14ac:dyDescent="0.3">
      <c r="N8401" t="str" cm="1">
        <f t="array" ref="N8401">IF(MOD(ROW()-ROW($B$2),16)=0,INDEX($M$2:$M$1000,(ROW()-ROW($B$2))/16+1),"")</f>
        <v/>
      </c>
    </row>
    <row r="8402" spans="14:14" x14ac:dyDescent="0.3">
      <c r="N8402" t="str" cm="1">
        <f t="array" ref="N8402">IF(MOD(ROW()-ROW($B$2),16)=0,INDEX($M$2:$M$1000,(ROW()-ROW($B$2))/16+1),"")</f>
        <v/>
      </c>
    </row>
    <row r="8403" spans="14:14" x14ac:dyDescent="0.3">
      <c r="N8403" t="str" cm="1">
        <f t="array" ref="N8403">IF(MOD(ROW()-ROW($B$2),16)=0,INDEX($M$2:$M$1000,(ROW()-ROW($B$2))/16+1),"")</f>
        <v/>
      </c>
    </row>
    <row r="8404" spans="14:14" x14ac:dyDescent="0.3">
      <c r="N8404" t="str" cm="1">
        <f t="array" ref="N8404">IF(MOD(ROW()-ROW($B$2),16)=0,INDEX($M$2:$M$1000,(ROW()-ROW($B$2))/16+1),"")</f>
        <v/>
      </c>
    </row>
    <row r="8405" spans="14:14" x14ac:dyDescent="0.3">
      <c r="N8405" t="str" cm="1">
        <f t="array" ref="N8405">IF(MOD(ROW()-ROW($B$2),16)=0,INDEX($M$2:$M$1000,(ROW()-ROW($B$2))/16+1),"")</f>
        <v/>
      </c>
    </row>
    <row r="8406" spans="14:14" x14ac:dyDescent="0.3">
      <c r="N8406" t="str" cm="1">
        <f t="array" ref="N8406">IF(MOD(ROW()-ROW($B$2),16)=0,INDEX($M$2:$M$1000,(ROW()-ROW($B$2))/16+1),"")</f>
        <v/>
      </c>
    </row>
    <row r="8407" spans="14:14" x14ac:dyDescent="0.3">
      <c r="N8407" t="str" cm="1">
        <f t="array" ref="N8407">IF(MOD(ROW()-ROW($B$2),16)=0,INDEX($M$2:$M$1000,(ROW()-ROW($B$2))/16+1),"")</f>
        <v/>
      </c>
    </row>
    <row r="8408" spans="14:14" x14ac:dyDescent="0.3">
      <c r="N8408" t="str" cm="1">
        <f t="array" ref="N8408">IF(MOD(ROW()-ROW($B$2),16)=0,INDEX($M$2:$M$1000,(ROW()-ROW($B$2))/16+1),"")</f>
        <v/>
      </c>
    </row>
    <row r="8409" spans="14:14" x14ac:dyDescent="0.3">
      <c r="N8409" t="str" cm="1">
        <f t="array" ref="N8409">IF(MOD(ROW()-ROW($B$2),16)=0,INDEX($M$2:$M$1000,(ROW()-ROW($B$2))/16+1),"")</f>
        <v/>
      </c>
    </row>
    <row r="8410" spans="14:14" x14ac:dyDescent="0.3">
      <c r="N8410" t="str" cm="1">
        <f t="array" ref="N8410">IF(MOD(ROW()-ROW($B$2),16)=0,INDEX($M$2:$M$1000,(ROW()-ROW($B$2))/16+1),"")</f>
        <v/>
      </c>
    </row>
    <row r="8411" spans="14:14" x14ac:dyDescent="0.3">
      <c r="N8411" t="str" cm="1">
        <f t="array" ref="N8411">IF(MOD(ROW()-ROW($B$2),16)=0,INDEX($M$2:$M$1000,(ROW()-ROW($B$2))/16+1),"")</f>
        <v/>
      </c>
    </row>
    <row r="8412" spans="14:14" x14ac:dyDescent="0.3">
      <c r="N8412" t="str" cm="1">
        <f t="array" ref="N8412">IF(MOD(ROW()-ROW($B$2),16)=0,INDEX($M$2:$M$1000,(ROW()-ROW($B$2))/16+1),"")</f>
        <v/>
      </c>
    </row>
    <row r="8413" spans="14:14" x14ac:dyDescent="0.3">
      <c r="N8413" t="str" cm="1">
        <f t="array" ref="N8413">IF(MOD(ROW()-ROW($B$2),16)=0,INDEX($M$2:$M$1000,(ROW()-ROW($B$2))/16+1),"")</f>
        <v/>
      </c>
    </row>
    <row r="8414" spans="14:14" x14ac:dyDescent="0.3">
      <c r="N8414" t="str" cm="1">
        <f t="array" ref="N8414">IF(MOD(ROW()-ROW($B$2),16)=0,INDEX($M$2:$M$1000,(ROW()-ROW($B$2))/16+1),"")</f>
        <v/>
      </c>
    </row>
    <row r="8415" spans="14:14" x14ac:dyDescent="0.3">
      <c r="N8415" t="str" cm="1">
        <f t="array" ref="N8415">IF(MOD(ROW()-ROW($B$2),16)=0,INDEX($M$2:$M$1000,(ROW()-ROW($B$2))/16+1),"")</f>
        <v/>
      </c>
    </row>
    <row r="8416" spans="14:14" x14ac:dyDescent="0.3">
      <c r="N8416" t="str" cm="1">
        <f t="array" ref="N8416">IF(MOD(ROW()-ROW($B$2),16)=0,INDEX($M$2:$M$1000,(ROW()-ROW($B$2))/16+1),"")</f>
        <v/>
      </c>
    </row>
    <row r="8417" spans="14:14" x14ac:dyDescent="0.3">
      <c r="N8417" t="str" cm="1">
        <f t="array" ref="N8417">IF(MOD(ROW()-ROW($B$2),16)=0,INDEX($M$2:$M$1000,(ROW()-ROW($B$2))/16+1),"")</f>
        <v/>
      </c>
    </row>
    <row r="8418" spans="14:14" x14ac:dyDescent="0.3">
      <c r="N8418" t="str" cm="1">
        <f t="array" ref="N8418">IF(MOD(ROW()-ROW($B$2),16)=0,INDEX($M$2:$M$1000,(ROW()-ROW($B$2))/16+1),"")</f>
        <v/>
      </c>
    </row>
    <row r="8419" spans="14:14" x14ac:dyDescent="0.3">
      <c r="N8419" t="str" cm="1">
        <f t="array" ref="N8419">IF(MOD(ROW()-ROW($B$2),16)=0,INDEX($M$2:$M$1000,(ROW()-ROW($B$2))/16+1),"")</f>
        <v/>
      </c>
    </row>
    <row r="8420" spans="14:14" x14ac:dyDescent="0.3">
      <c r="N8420" t="str" cm="1">
        <f t="array" ref="N8420">IF(MOD(ROW()-ROW($B$2),16)=0,INDEX($M$2:$M$1000,(ROW()-ROW($B$2))/16+1),"")</f>
        <v/>
      </c>
    </row>
    <row r="8421" spans="14:14" x14ac:dyDescent="0.3">
      <c r="N8421" t="str" cm="1">
        <f t="array" ref="N8421">IF(MOD(ROW()-ROW($B$2),16)=0,INDEX($M$2:$M$1000,(ROW()-ROW($B$2))/16+1),"")</f>
        <v/>
      </c>
    </row>
    <row r="8422" spans="14:14" x14ac:dyDescent="0.3">
      <c r="N8422" t="str" cm="1">
        <f t="array" ref="N8422">IF(MOD(ROW()-ROW($B$2),16)=0,INDEX($M$2:$M$1000,(ROW()-ROW($B$2))/16+1),"")</f>
        <v/>
      </c>
    </row>
    <row r="8423" spans="14:14" x14ac:dyDescent="0.3">
      <c r="N8423" t="str" cm="1">
        <f t="array" ref="N8423">IF(MOD(ROW()-ROW($B$2),16)=0,INDEX($M$2:$M$1000,(ROW()-ROW($B$2))/16+1),"")</f>
        <v/>
      </c>
    </row>
    <row r="8424" spans="14:14" x14ac:dyDescent="0.3">
      <c r="N8424" t="str" cm="1">
        <f t="array" ref="N8424">IF(MOD(ROW()-ROW($B$2),16)=0,INDEX($M$2:$M$1000,(ROW()-ROW($B$2))/16+1),"")</f>
        <v/>
      </c>
    </row>
    <row r="8425" spans="14:14" x14ac:dyDescent="0.3">
      <c r="N8425" t="str" cm="1">
        <f t="array" ref="N8425">IF(MOD(ROW()-ROW($B$2),16)=0,INDEX($M$2:$M$1000,(ROW()-ROW($B$2))/16+1),"")</f>
        <v/>
      </c>
    </row>
    <row r="8426" spans="14:14" x14ac:dyDescent="0.3">
      <c r="N8426" t="str" cm="1">
        <f t="array" ref="N8426">IF(MOD(ROW()-ROW($B$2),16)=0,INDEX($M$2:$M$1000,(ROW()-ROW($B$2))/16+1),"")</f>
        <v/>
      </c>
    </row>
    <row r="8427" spans="14:14" x14ac:dyDescent="0.3">
      <c r="N8427" t="str" cm="1">
        <f t="array" ref="N8427">IF(MOD(ROW()-ROW($B$2),16)=0,INDEX($M$2:$M$1000,(ROW()-ROW($B$2))/16+1),"")</f>
        <v/>
      </c>
    </row>
    <row r="8428" spans="14:14" x14ac:dyDescent="0.3">
      <c r="N8428" t="str" cm="1">
        <f t="array" ref="N8428">IF(MOD(ROW()-ROW($B$2),16)=0,INDEX($M$2:$M$1000,(ROW()-ROW($B$2))/16+1),"")</f>
        <v/>
      </c>
    </row>
    <row r="8429" spans="14:14" x14ac:dyDescent="0.3">
      <c r="N8429" t="str" cm="1">
        <f t="array" ref="N8429">IF(MOD(ROW()-ROW($B$2),16)=0,INDEX($M$2:$M$1000,(ROW()-ROW($B$2))/16+1),"")</f>
        <v/>
      </c>
    </row>
    <row r="8430" spans="14:14" x14ac:dyDescent="0.3">
      <c r="N8430" t="str" cm="1">
        <f t="array" ref="N8430">IF(MOD(ROW()-ROW($B$2),16)=0,INDEX($M$2:$M$1000,(ROW()-ROW($B$2))/16+1),"")</f>
        <v/>
      </c>
    </row>
    <row r="8431" spans="14:14" x14ac:dyDescent="0.3">
      <c r="N8431" t="str" cm="1">
        <f t="array" ref="N8431">IF(MOD(ROW()-ROW($B$2),16)=0,INDEX($M$2:$M$1000,(ROW()-ROW($B$2))/16+1),"")</f>
        <v/>
      </c>
    </row>
    <row r="8432" spans="14:14" x14ac:dyDescent="0.3">
      <c r="N8432" t="str" cm="1">
        <f t="array" ref="N8432">IF(MOD(ROW()-ROW($B$2),16)=0,INDEX($M$2:$M$1000,(ROW()-ROW($B$2))/16+1),"")</f>
        <v/>
      </c>
    </row>
    <row r="8433" spans="14:14" x14ac:dyDescent="0.3">
      <c r="N8433" t="str" cm="1">
        <f t="array" ref="N8433">IF(MOD(ROW()-ROW($B$2),16)=0,INDEX($M$2:$M$1000,(ROW()-ROW($B$2))/16+1),"")</f>
        <v/>
      </c>
    </row>
    <row r="8434" spans="14:14" x14ac:dyDescent="0.3">
      <c r="N8434" t="str" cm="1">
        <f t="array" ref="N8434">IF(MOD(ROW()-ROW($B$2),16)=0,INDEX($M$2:$M$1000,(ROW()-ROW($B$2))/16+1),"")</f>
        <v/>
      </c>
    </row>
    <row r="8435" spans="14:14" x14ac:dyDescent="0.3">
      <c r="N8435" t="str" cm="1">
        <f t="array" ref="N8435">IF(MOD(ROW()-ROW($B$2),16)=0,INDEX($M$2:$M$1000,(ROW()-ROW($B$2))/16+1),"")</f>
        <v/>
      </c>
    </row>
    <row r="8436" spans="14:14" x14ac:dyDescent="0.3">
      <c r="N8436" t="str" cm="1">
        <f t="array" ref="N8436">IF(MOD(ROW()-ROW($B$2),16)=0,INDEX($M$2:$M$1000,(ROW()-ROW($B$2))/16+1),"")</f>
        <v/>
      </c>
    </row>
    <row r="8437" spans="14:14" x14ac:dyDescent="0.3">
      <c r="N8437" t="str" cm="1">
        <f t="array" ref="N8437">IF(MOD(ROW()-ROW($B$2),16)=0,INDEX($M$2:$M$1000,(ROW()-ROW($B$2))/16+1),"")</f>
        <v/>
      </c>
    </row>
    <row r="8438" spans="14:14" x14ac:dyDescent="0.3">
      <c r="N8438" t="str" cm="1">
        <f t="array" ref="N8438">IF(MOD(ROW()-ROW($B$2),16)=0,INDEX($M$2:$M$1000,(ROW()-ROW($B$2))/16+1),"")</f>
        <v/>
      </c>
    </row>
    <row r="8439" spans="14:14" x14ac:dyDescent="0.3">
      <c r="N8439" t="str" cm="1">
        <f t="array" ref="N8439">IF(MOD(ROW()-ROW($B$2),16)=0,INDEX($M$2:$M$1000,(ROW()-ROW($B$2))/16+1),"")</f>
        <v/>
      </c>
    </row>
    <row r="8440" spans="14:14" x14ac:dyDescent="0.3">
      <c r="N8440" t="str" cm="1">
        <f t="array" ref="N8440">IF(MOD(ROW()-ROW($B$2),16)=0,INDEX($M$2:$M$1000,(ROW()-ROW($B$2))/16+1),"")</f>
        <v/>
      </c>
    </row>
    <row r="8441" spans="14:14" x14ac:dyDescent="0.3">
      <c r="N8441" t="str" cm="1">
        <f t="array" ref="N8441">IF(MOD(ROW()-ROW($B$2),16)=0,INDEX($M$2:$M$1000,(ROW()-ROW($B$2))/16+1),"")</f>
        <v/>
      </c>
    </row>
    <row r="8442" spans="14:14" x14ac:dyDescent="0.3">
      <c r="N8442" t="str" cm="1">
        <f t="array" ref="N8442">IF(MOD(ROW()-ROW($B$2),16)=0,INDEX($M$2:$M$1000,(ROW()-ROW($B$2))/16+1),"")</f>
        <v/>
      </c>
    </row>
    <row r="8443" spans="14:14" x14ac:dyDescent="0.3">
      <c r="N8443" t="str" cm="1">
        <f t="array" ref="N8443">IF(MOD(ROW()-ROW($B$2),16)=0,INDEX($M$2:$M$1000,(ROW()-ROW($B$2))/16+1),"")</f>
        <v/>
      </c>
    </row>
    <row r="8444" spans="14:14" x14ac:dyDescent="0.3">
      <c r="N8444" t="str" cm="1">
        <f t="array" ref="N8444">IF(MOD(ROW()-ROW($B$2),16)=0,INDEX($M$2:$M$1000,(ROW()-ROW($B$2))/16+1),"")</f>
        <v/>
      </c>
    </row>
    <row r="8445" spans="14:14" x14ac:dyDescent="0.3">
      <c r="N8445" t="str" cm="1">
        <f t="array" ref="N8445">IF(MOD(ROW()-ROW($B$2),16)=0,INDEX($M$2:$M$1000,(ROW()-ROW($B$2))/16+1),"")</f>
        <v/>
      </c>
    </row>
    <row r="8446" spans="14:14" x14ac:dyDescent="0.3">
      <c r="N8446" t="str" cm="1">
        <f t="array" ref="N8446">IF(MOD(ROW()-ROW($B$2),16)=0,INDEX($M$2:$M$1000,(ROW()-ROW($B$2))/16+1),"")</f>
        <v/>
      </c>
    </row>
    <row r="8447" spans="14:14" x14ac:dyDescent="0.3">
      <c r="N8447" t="str" cm="1">
        <f t="array" ref="N8447">IF(MOD(ROW()-ROW($B$2),16)=0,INDEX($M$2:$M$1000,(ROW()-ROW($B$2))/16+1),"")</f>
        <v/>
      </c>
    </row>
    <row r="8448" spans="14:14" x14ac:dyDescent="0.3">
      <c r="N8448" t="str" cm="1">
        <f t="array" ref="N8448">IF(MOD(ROW()-ROW($B$2),16)=0,INDEX($M$2:$M$1000,(ROW()-ROW($B$2))/16+1),"")</f>
        <v/>
      </c>
    </row>
    <row r="8449" spans="14:14" x14ac:dyDescent="0.3">
      <c r="N8449" t="str" cm="1">
        <f t="array" ref="N8449">IF(MOD(ROW()-ROW($B$2),16)=0,INDEX($M$2:$M$1000,(ROW()-ROW($B$2))/16+1),"")</f>
        <v/>
      </c>
    </row>
    <row r="8450" spans="14:14" x14ac:dyDescent="0.3">
      <c r="N8450" t="str" cm="1">
        <f t="array" ref="N8450">IF(MOD(ROW()-ROW($B$2),16)=0,INDEX($M$2:$M$1000,(ROW()-ROW($B$2))/16+1),"")</f>
        <v/>
      </c>
    </row>
    <row r="8451" spans="14:14" x14ac:dyDescent="0.3">
      <c r="N8451" t="str" cm="1">
        <f t="array" ref="N8451">IF(MOD(ROW()-ROW($B$2),16)=0,INDEX($M$2:$M$1000,(ROW()-ROW($B$2))/16+1),"")</f>
        <v/>
      </c>
    </row>
    <row r="8452" spans="14:14" x14ac:dyDescent="0.3">
      <c r="N8452" t="str" cm="1">
        <f t="array" ref="N8452">IF(MOD(ROW()-ROW($B$2),16)=0,INDEX($M$2:$M$1000,(ROW()-ROW($B$2))/16+1),"")</f>
        <v/>
      </c>
    </row>
    <row r="8453" spans="14:14" x14ac:dyDescent="0.3">
      <c r="N8453" t="str" cm="1">
        <f t="array" ref="N8453">IF(MOD(ROW()-ROW($B$2),16)=0,INDEX($M$2:$M$1000,(ROW()-ROW($B$2))/16+1),"")</f>
        <v/>
      </c>
    </row>
    <row r="8454" spans="14:14" x14ac:dyDescent="0.3">
      <c r="N8454" t="str" cm="1">
        <f t="array" ref="N8454">IF(MOD(ROW()-ROW($B$2),16)=0,INDEX($M$2:$M$1000,(ROW()-ROW($B$2))/16+1),"")</f>
        <v/>
      </c>
    </row>
    <row r="8455" spans="14:14" x14ac:dyDescent="0.3">
      <c r="N8455" t="str" cm="1">
        <f t="array" ref="N8455">IF(MOD(ROW()-ROW($B$2),16)=0,INDEX($M$2:$M$1000,(ROW()-ROW($B$2))/16+1),"")</f>
        <v/>
      </c>
    </row>
    <row r="8456" spans="14:14" x14ac:dyDescent="0.3">
      <c r="N8456" t="str" cm="1">
        <f t="array" ref="N8456">IF(MOD(ROW()-ROW($B$2),16)=0,INDEX($M$2:$M$1000,(ROW()-ROW($B$2))/16+1),"")</f>
        <v/>
      </c>
    </row>
    <row r="8457" spans="14:14" x14ac:dyDescent="0.3">
      <c r="N8457" t="str" cm="1">
        <f t="array" ref="N8457">IF(MOD(ROW()-ROW($B$2),16)=0,INDEX($M$2:$M$1000,(ROW()-ROW($B$2))/16+1),"")</f>
        <v/>
      </c>
    </row>
    <row r="8458" spans="14:14" x14ac:dyDescent="0.3">
      <c r="N8458" t="str" cm="1">
        <f t="array" ref="N8458">IF(MOD(ROW()-ROW($B$2),16)=0,INDEX($M$2:$M$1000,(ROW()-ROW($B$2))/16+1),"")</f>
        <v/>
      </c>
    </row>
    <row r="8459" spans="14:14" x14ac:dyDescent="0.3">
      <c r="N8459" t="str" cm="1">
        <f t="array" ref="N8459">IF(MOD(ROW()-ROW($B$2),16)=0,INDEX($M$2:$M$1000,(ROW()-ROW($B$2))/16+1),"")</f>
        <v/>
      </c>
    </row>
    <row r="8460" spans="14:14" x14ac:dyDescent="0.3">
      <c r="N8460" t="str" cm="1">
        <f t="array" ref="N8460">IF(MOD(ROW()-ROW($B$2),16)=0,INDEX($M$2:$M$1000,(ROW()-ROW($B$2))/16+1),"")</f>
        <v/>
      </c>
    </row>
    <row r="8461" spans="14:14" x14ac:dyDescent="0.3">
      <c r="N8461" t="str" cm="1">
        <f t="array" ref="N8461">IF(MOD(ROW()-ROW($B$2),16)=0,INDEX($M$2:$M$1000,(ROW()-ROW($B$2))/16+1),"")</f>
        <v/>
      </c>
    </row>
    <row r="8462" spans="14:14" x14ac:dyDescent="0.3">
      <c r="N8462" t="str" cm="1">
        <f t="array" ref="N8462">IF(MOD(ROW()-ROW($B$2),16)=0,INDEX($M$2:$M$1000,(ROW()-ROW($B$2))/16+1),"")</f>
        <v/>
      </c>
    </row>
    <row r="8463" spans="14:14" x14ac:dyDescent="0.3">
      <c r="N8463" t="str" cm="1">
        <f t="array" ref="N8463">IF(MOD(ROW()-ROW($B$2),16)=0,INDEX($M$2:$M$1000,(ROW()-ROW($B$2))/16+1),"")</f>
        <v/>
      </c>
    </row>
    <row r="8464" spans="14:14" x14ac:dyDescent="0.3">
      <c r="N8464" t="str" cm="1">
        <f t="array" ref="N8464">IF(MOD(ROW()-ROW($B$2),16)=0,INDEX($M$2:$M$1000,(ROW()-ROW($B$2))/16+1),"")</f>
        <v/>
      </c>
    </row>
    <row r="8465" spans="14:14" x14ac:dyDescent="0.3">
      <c r="N8465" t="str" cm="1">
        <f t="array" ref="N8465">IF(MOD(ROW()-ROW($B$2),16)=0,INDEX($M$2:$M$1000,(ROW()-ROW($B$2))/16+1),"")</f>
        <v/>
      </c>
    </row>
    <row r="8466" spans="14:14" x14ac:dyDescent="0.3">
      <c r="N8466" t="str" cm="1">
        <f t="array" ref="N8466">IF(MOD(ROW()-ROW($B$2),16)=0,INDEX($M$2:$M$1000,(ROW()-ROW($B$2))/16+1),"")</f>
        <v/>
      </c>
    </row>
    <row r="8467" spans="14:14" x14ac:dyDescent="0.3">
      <c r="N8467" t="str" cm="1">
        <f t="array" ref="N8467">IF(MOD(ROW()-ROW($B$2),16)=0,INDEX($M$2:$M$1000,(ROW()-ROW($B$2))/16+1),"")</f>
        <v/>
      </c>
    </row>
    <row r="8468" spans="14:14" x14ac:dyDescent="0.3">
      <c r="N8468" t="str" cm="1">
        <f t="array" ref="N8468">IF(MOD(ROW()-ROW($B$2),16)=0,INDEX($M$2:$M$1000,(ROW()-ROW($B$2))/16+1),"")</f>
        <v/>
      </c>
    </row>
    <row r="8469" spans="14:14" x14ac:dyDescent="0.3">
      <c r="N8469" t="str" cm="1">
        <f t="array" ref="N8469">IF(MOD(ROW()-ROW($B$2),16)=0,INDEX($M$2:$M$1000,(ROW()-ROW($B$2))/16+1),"")</f>
        <v/>
      </c>
    </row>
    <row r="8470" spans="14:14" x14ac:dyDescent="0.3">
      <c r="N8470" t="str" cm="1">
        <f t="array" ref="N8470">IF(MOD(ROW()-ROW($B$2),16)=0,INDEX($M$2:$M$1000,(ROW()-ROW($B$2))/16+1),"")</f>
        <v/>
      </c>
    </row>
    <row r="8471" spans="14:14" x14ac:dyDescent="0.3">
      <c r="N8471" t="str" cm="1">
        <f t="array" ref="N8471">IF(MOD(ROW()-ROW($B$2),16)=0,INDEX($M$2:$M$1000,(ROW()-ROW($B$2))/16+1),"")</f>
        <v/>
      </c>
    </row>
    <row r="8472" spans="14:14" x14ac:dyDescent="0.3">
      <c r="N8472" t="str" cm="1">
        <f t="array" ref="N8472">IF(MOD(ROW()-ROW($B$2),16)=0,INDEX($M$2:$M$1000,(ROW()-ROW($B$2))/16+1),"")</f>
        <v/>
      </c>
    </row>
    <row r="8473" spans="14:14" x14ac:dyDescent="0.3">
      <c r="N8473" t="str" cm="1">
        <f t="array" ref="N8473">IF(MOD(ROW()-ROW($B$2),16)=0,INDEX($M$2:$M$1000,(ROW()-ROW($B$2))/16+1),"")</f>
        <v/>
      </c>
    </row>
    <row r="8474" spans="14:14" x14ac:dyDescent="0.3">
      <c r="N8474" t="str" cm="1">
        <f t="array" ref="N8474">IF(MOD(ROW()-ROW($B$2),16)=0,INDEX($M$2:$M$1000,(ROW()-ROW($B$2))/16+1),"")</f>
        <v/>
      </c>
    </row>
    <row r="8475" spans="14:14" x14ac:dyDescent="0.3">
      <c r="N8475" t="str" cm="1">
        <f t="array" ref="N8475">IF(MOD(ROW()-ROW($B$2),16)=0,INDEX($M$2:$M$1000,(ROW()-ROW($B$2))/16+1),"")</f>
        <v/>
      </c>
    </row>
    <row r="8476" spans="14:14" x14ac:dyDescent="0.3">
      <c r="N8476" t="str" cm="1">
        <f t="array" ref="N8476">IF(MOD(ROW()-ROW($B$2),16)=0,INDEX($M$2:$M$1000,(ROW()-ROW($B$2))/16+1),"")</f>
        <v/>
      </c>
    </row>
    <row r="8477" spans="14:14" x14ac:dyDescent="0.3">
      <c r="N8477" t="str" cm="1">
        <f t="array" ref="N8477">IF(MOD(ROW()-ROW($B$2),16)=0,INDEX($M$2:$M$1000,(ROW()-ROW($B$2))/16+1),"")</f>
        <v/>
      </c>
    </row>
    <row r="8478" spans="14:14" x14ac:dyDescent="0.3">
      <c r="N8478" t="str" cm="1">
        <f t="array" ref="N8478">IF(MOD(ROW()-ROW($B$2),16)=0,INDEX($M$2:$M$1000,(ROW()-ROW($B$2))/16+1),"")</f>
        <v/>
      </c>
    </row>
    <row r="8479" spans="14:14" x14ac:dyDescent="0.3">
      <c r="N8479" t="str" cm="1">
        <f t="array" ref="N8479">IF(MOD(ROW()-ROW($B$2),16)=0,INDEX($M$2:$M$1000,(ROW()-ROW($B$2))/16+1),"")</f>
        <v/>
      </c>
    </row>
    <row r="8480" spans="14:14" x14ac:dyDescent="0.3">
      <c r="N8480" t="str" cm="1">
        <f t="array" ref="N8480">IF(MOD(ROW()-ROW($B$2),16)=0,INDEX($M$2:$M$1000,(ROW()-ROW($B$2))/16+1),"")</f>
        <v/>
      </c>
    </row>
    <row r="8481" spans="14:14" x14ac:dyDescent="0.3">
      <c r="N8481" t="str" cm="1">
        <f t="array" ref="N8481">IF(MOD(ROW()-ROW($B$2),16)=0,INDEX($M$2:$M$1000,(ROW()-ROW($B$2))/16+1),"")</f>
        <v/>
      </c>
    </row>
    <row r="8482" spans="14:14" x14ac:dyDescent="0.3">
      <c r="N8482" t="str" cm="1">
        <f t="array" ref="N8482">IF(MOD(ROW()-ROW($B$2),16)=0,INDEX($M$2:$M$1000,(ROW()-ROW($B$2))/16+1),"")</f>
        <v/>
      </c>
    </row>
    <row r="8483" spans="14:14" x14ac:dyDescent="0.3">
      <c r="N8483" t="str" cm="1">
        <f t="array" ref="N8483">IF(MOD(ROW()-ROW($B$2),16)=0,INDEX($M$2:$M$1000,(ROW()-ROW($B$2))/16+1),"")</f>
        <v/>
      </c>
    </row>
    <row r="8484" spans="14:14" x14ac:dyDescent="0.3">
      <c r="N8484" t="str" cm="1">
        <f t="array" ref="N8484">IF(MOD(ROW()-ROW($B$2),16)=0,INDEX($M$2:$M$1000,(ROW()-ROW($B$2))/16+1),"")</f>
        <v/>
      </c>
    </row>
    <row r="8485" spans="14:14" x14ac:dyDescent="0.3">
      <c r="N8485" t="str" cm="1">
        <f t="array" ref="N8485">IF(MOD(ROW()-ROW($B$2),16)=0,INDEX($M$2:$M$1000,(ROW()-ROW($B$2))/16+1),"")</f>
        <v/>
      </c>
    </row>
    <row r="8486" spans="14:14" x14ac:dyDescent="0.3">
      <c r="N8486" t="str" cm="1">
        <f t="array" ref="N8486">IF(MOD(ROW()-ROW($B$2),16)=0,INDEX($M$2:$M$1000,(ROW()-ROW($B$2))/16+1),"")</f>
        <v/>
      </c>
    </row>
    <row r="8487" spans="14:14" x14ac:dyDescent="0.3">
      <c r="N8487" t="str" cm="1">
        <f t="array" ref="N8487">IF(MOD(ROW()-ROW($B$2),16)=0,INDEX($M$2:$M$1000,(ROW()-ROW($B$2))/16+1),"")</f>
        <v/>
      </c>
    </row>
    <row r="8488" spans="14:14" x14ac:dyDescent="0.3">
      <c r="N8488" t="str" cm="1">
        <f t="array" ref="N8488">IF(MOD(ROW()-ROW($B$2),16)=0,INDEX($M$2:$M$1000,(ROW()-ROW($B$2))/16+1),"")</f>
        <v/>
      </c>
    </row>
    <row r="8489" spans="14:14" x14ac:dyDescent="0.3">
      <c r="N8489" t="str" cm="1">
        <f t="array" ref="N8489">IF(MOD(ROW()-ROW($B$2),16)=0,INDEX($M$2:$M$1000,(ROW()-ROW($B$2))/16+1),"")</f>
        <v/>
      </c>
    </row>
    <row r="8490" spans="14:14" x14ac:dyDescent="0.3">
      <c r="N8490" t="str" cm="1">
        <f t="array" ref="N8490">IF(MOD(ROW()-ROW($B$2),16)=0,INDEX($M$2:$M$1000,(ROW()-ROW($B$2))/16+1),"")</f>
        <v/>
      </c>
    </row>
    <row r="8491" spans="14:14" x14ac:dyDescent="0.3">
      <c r="N8491" t="str" cm="1">
        <f t="array" ref="N8491">IF(MOD(ROW()-ROW($B$2),16)=0,INDEX($M$2:$M$1000,(ROW()-ROW($B$2))/16+1),"")</f>
        <v/>
      </c>
    </row>
    <row r="8492" spans="14:14" x14ac:dyDescent="0.3">
      <c r="N8492" t="str" cm="1">
        <f t="array" ref="N8492">IF(MOD(ROW()-ROW($B$2),16)=0,INDEX($M$2:$M$1000,(ROW()-ROW($B$2))/16+1),"")</f>
        <v/>
      </c>
    </row>
    <row r="8493" spans="14:14" x14ac:dyDescent="0.3">
      <c r="N8493" t="str" cm="1">
        <f t="array" ref="N8493">IF(MOD(ROW()-ROW($B$2),16)=0,INDEX($M$2:$M$1000,(ROW()-ROW($B$2))/16+1),"")</f>
        <v/>
      </c>
    </row>
    <row r="8494" spans="14:14" x14ac:dyDescent="0.3">
      <c r="N8494" t="str" cm="1">
        <f t="array" ref="N8494">IF(MOD(ROW()-ROW($B$2),16)=0,INDEX($M$2:$M$1000,(ROW()-ROW($B$2))/16+1),"")</f>
        <v/>
      </c>
    </row>
    <row r="8495" spans="14:14" x14ac:dyDescent="0.3">
      <c r="N8495" t="str" cm="1">
        <f t="array" ref="N8495">IF(MOD(ROW()-ROW($B$2),16)=0,INDEX($M$2:$M$1000,(ROW()-ROW($B$2))/16+1),"")</f>
        <v/>
      </c>
    </row>
    <row r="8496" spans="14:14" x14ac:dyDescent="0.3">
      <c r="N8496" t="str" cm="1">
        <f t="array" ref="N8496">IF(MOD(ROW()-ROW($B$2),16)=0,INDEX($M$2:$M$1000,(ROW()-ROW($B$2))/16+1),"")</f>
        <v/>
      </c>
    </row>
    <row r="8497" spans="14:14" x14ac:dyDescent="0.3">
      <c r="N8497" t="str" cm="1">
        <f t="array" ref="N8497">IF(MOD(ROW()-ROW($B$2),16)=0,INDEX($M$2:$M$1000,(ROW()-ROW($B$2))/16+1),"")</f>
        <v/>
      </c>
    </row>
    <row r="8498" spans="14:14" x14ac:dyDescent="0.3">
      <c r="N8498" t="str" cm="1">
        <f t="array" ref="N8498">IF(MOD(ROW()-ROW($B$2),16)=0,INDEX($M$2:$M$1000,(ROW()-ROW($B$2))/16+1),"")</f>
        <v/>
      </c>
    </row>
    <row r="8499" spans="14:14" x14ac:dyDescent="0.3">
      <c r="N8499" t="str" cm="1">
        <f t="array" ref="N8499">IF(MOD(ROW()-ROW($B$2),16)=0,INDEX($M$2:$M$1000,(ROW()-ROW($B$2))/16+1),"")</f>
        <v/>
      </c>
    </row>
    <row r="8500" spans="14:14" x14ac:dyDescent="0.3">
      <c r="N8500" t="str" cm="1">
        <f t="array" ref="N8500">IF(MOD(ROW()-ROW($B$2),16)=0,INDEX($M$2:$M$1000,(ROW()-ROW($B$2))/16+1),"")</f>
        <v/>
      </c>
    </row>
    <row r="8501" spans="14:14" x14ac:dyDescent="0.3">
      <c r="N8501" t="str" cm="1">
        <f t="array" ref="N8501">IF(MOD(ROW()-ROW($B$2),16)=0,INDEX($M$2:$M$1000,(ROW()-ROW($B$2))/16+1),"")</f>
        <v/>
      </c>
    </row>
    <row r="8502" spans="14:14" x14ac:dyDescent="0.3">
      <c r="N8502" t="str" cm="1">
        <f t="array" ref="N8502">IF(MOD(ROW()-ROW($B$2),16)=0,INDEX($M$2:$M$1000,(ROW()-ROW($B$2))/16+1),"")</f>
        <v/>
      </c>
    </row>
    <row r="8503" spans="14:14" x14ac:dyDescent="0.3">
      <c r="N8503" t="str" cm="1">
        <f t="array" ref="N8503">IF(MOD(ROW()-ROW($B$2),16)=0,INDEX($M$2:$M$1000,(ROW()-ROW($B$2))/16+1),"")</f>
        <v/>
      </c>
    </row>
    <row r="8504" spans="14:14" x14ac:dyDescent="0.3">
      <c r="N8504" t="str" cm="1">
        <f t="array" ref="N8504">IF(MOD(ROW()-ROW($B$2),16)=0,INDEX($M$2:$M$1000,(ROW()-ROW($B$2))/16+1),"")</f>
        <v/>
      </c>
    </row>
    <row r="8505" spans="14:14" x14ac:dyDescent="0.3">
      <c r="N8505" t="str" cm="1">
        <f t="array" ref="N8505">IF(MOD(ROW()-ROW($B$2),16)=0,INDEX($M$2:$M$1000,(ROW()-ROW($B$2))/16+1),"")</f>
        <v/>
      </c>
    </row>
    <row r="8506" spans="14:14" x14ac:dyDescent="0.3">
      <c r="N8506" t="str" cm="1">
        <f t="array" ref="N8506">IF(MOD(ROW()-ROW($B$2),16)=0,INDEX($M$2:$M$1000,(ROW()-ROW($B$2))/16+1),"")</f>
        <v/>
      </c>
    </row>
    <row r="8507" spans="14:14" x14ac:dyDescent="0.3">
      <c r="N8507" t="str" cm="1">
        <f t="array" ref="N8507">IF(MOD(ROW()-ROW($B$2),16)=0,INDEX($M$2:$M$1000,(ROW()-ROW($B$2))/16+1),"")</f>
        <v/>
      </c>
    </row>
    <row r="8508" spans="14:14" x14ac:dyDescent="0.3">
      <c r="N8508" t="str" cm="1">
        <f t="array" ref="N8508">IF(MOD(ROW()-ROW($B$2),16)=0,INDEX($M$2:$M$1000,(ROW()-ROW($B$2))/16+1),"")</f>
        <v/>
      </c>
    </row>
    <row r="8509" spans="14:14" x14ac:dyDescent="0.3">
      <c r="N8509" t="str" cm="1">
        <f t="array" ref="N8509">IF(MOD(ROW()-ROW($B$2),16)=0,INDEX($M$2:$M$1000,(ROW()-ROW($B$2))/16+1),"")</f>
        <v/>
      </c>
    </row>
    <row r="8510" spans="14:14" x14ac:dyDescent="0.3">
      <c r="N8510" t="str" cm="1">
        <f t="array" ref="N8510">IF(MOD(ROW()-ROW($B$2),16)=0,INDEX($M$2:$M$1000,(ROW()-ROW($B$2))/16+1),"")</f>
        <v/>
      </c>
    </row>
    <row r="8511" spans="14:14" x14ac:dyDescent="0.3">
      <c r="N8511" t="str" cm="1">
        <f t="array" ref="N8511">IF(MOD(ROW()-ROW($B$2),16)=0,INDEX($M$2:$M$1000,(ROW()-ROW($B$2))/16+1),"")</f>
        <v/>
      </c>
    </row>
    <row r="8512" spans="14:14" x14ac:dyDescent="0.3">
      <c r="N8512" t="str" cm="1">
        <f t="array" ref="N8512">IF(MOD(ROW()-ROW($B$2),16)=0,INDEX($M$2:$M$1000,(ROW()-ROW($B$2))/16+1),"")</f>
        <v/>
      </c>
    </row>
    <row r="8513" spans="14:14" x14ac:dyDescent="0.3">
      <c r="N8513" t="str" cm="1">
        <f t="array" ref="N8513">IF(MOD(ROW()-ROW($B$2),16)=0,INDEX($M$2:$M$1000,(ROW()-ROW($B$2))/16+1),"")</f>
        <v/>
      </c>
    </row>
    <row r="8514" spans="14:14" x14ac:dyDescent="0.3">
      <c r="N8514" t="str" cm="1">
        <f t="array" ref="N8514">IF(MOD(ROW()-ROW($B$2),16)=0,INDEX($M$2:$M$1000,(ROW()-ROW($B$2))/16+1),"")</f>
        <v/>
      </c>
    </row>
    <row r="8515" spans="14:14" x14ac:dyDescent="0.3">
      <c r="N8515" t="str" cm="1">
        <f t="array" ref="N8515">IF(MOD(ROW()-ROW($B$2),16)=0,INDEX($M$2:$M$1000,(ROW()-ROW($B$2))/16+1),"")</f>
        <v/>
      </c>
    </row>
    <row r="8516" spans="14:14" x14ac:dyDescent="0.3">
      <c r="N8516" t="str" cm="1">
        <f t="array" ref="N8516">IF(MOD(ROW()-ROW($B$2),16)=0,INDEX($M$2:$M$1000,(ROW()-ROW($B$2))/16+1),"")</f>
        <v/>
      </c>
    </row>
    <row r="8517" spans="14:14" x14ac:dyDescent="0.3">
      <c r="N8517" t="str" cm="1">
        <f t="array" ref="N8517">IF(MOD(ROW()-ROW($B$2),16)=0,INDEX($M$2:$M$1000,(ROW()-ROW($B$2))/16+1),"")</f>
        <v/>
      </c>
    </row>
    <row r="8518" spans="14:14" x14ac:dyDescent="0.3">
      <c r="N8518" t="str" cm="1">
        <f t="array" ref="N8518">IF(MOD(ROW()-ROW($B$2),16)=0,INDEX($M$2:$M$1000,(ROW()-ROW($B$2))/16+1),"")</f>
        <v/>
      </c>
    </row>
    <row r="8519" spans="14:14" x14ac:dyDescent="0.3">
      <c r="N8519" t="str" cm="1">
        <f t="array" ref="N8519">IF(MOD(ROW()-ROW($B$2),16)=0,INDEX($M$2:$M$1000,(ROW()-ROW($B$2))/16+1),"")</f>
        <v/>
      </c>
    </row>
    <row r="8520" spans="14:14" x14ac:dyDescent="0.3">
      <c r="N8520" t="str" cm="1">
        <f t="array" ref="N8520">IF(MOD(ROW()-ROW($B$2),16)=0,INDEX($M$2:$M$1000,(ROW()-ROW($B$2))/16+1),"")</f>
        <v/>
      </c>
    </row>
    <row r="8521" spans="14:14" x14ac:dyDescent="0.3">
      <c r="N8521" t="str" cm="1">
        <f t="array" ref="N8521">IF(MOD(ROW()-ROW($B$2),16)=0,INDEX($M$2:$M$1000,(ROW()-ROW($B$2))/16+1),"")</f>
        <v/>
      </c>
    </row>
    <row r="8522" spans="14:14" x14ac:dyDescent="0.3">
      <c r="N8522" t="str" cm="1">
        <f t="array" ref="N8522">IF(MOD(ROW()-ROW($B$2),16)=0,INDEX($M$2:$M$1000,(ROW()-ROW($B$2))/16+1),"")</f>
        <v/>
      </c>
    </row>
    <row r="8523" spans="14:14" x14ac:dyDescent="0.3">
      <c r="N8523" t="str" cm="1">
        <f t="array" ref="N8523">IF(MOD(ROW()-ROW($B$2),16)=0,INDEX($M$2:$M$1000,(ROW()-ROW($B$2))/16+1),"")</f>
        <v/>
      </c>
    </row>
    <row r="8524" spans="14:14" x14ac:dyDescent="0.3">
      <c r="N8524" t="str" cm="1">
        <f t="array" ref="N8524">IF(MOD(ROW()-ROW($B$2),16)=0,INDEX($M$2:$M$1000,(ROW()-ROW($B$2))/16+1),"")</f>
        <v/>
      </c>
    </row>
    <row r="8525" spans="14:14" x14ac:dyDescent="0.3">
      <c r="N8525" t="str" cm="1">
        <f t="array" ref="N8525">IF(MOD(ROW()-ROW($B$2),16)=0,INDEX($M$2:$M$1000,(ROW()-ROW($B$2))/16+1),"")</f>
        <v/>
      </c>
    </row>
    <row r="8526" spans="14:14" x14ac:dyDescent="0.3">
      <c r="N8526" t="str" cm="1">
        <f t="array" ref="N8526">IF(MOD(ROW()-ROW($B$2),16)=0,INDEX($M$2:$M$1000,(ROW()-ROW($B$2))/16+1),"")</f>
        <v/>
      </c>
    </row>
    <row r="8527" spans="14:14" x14ac:dyDescent="0.3">
      <c r="N8527" t="str" cm="1">
        <f t="array" ref="N8527">IF(MOD(ROW()-ROW($B$2),16)=0,INDEX($M$2:$M$1000,(ROW()-ROW($B$2))/16+1),"")</f>
        <v/>
      </c>
    </row>
    <row r="8528" spans="14:14" x14ac:dyDescent="0.3">
      <c r="N8528" t="str" cm="1">
        <f t="array" ref="N8528">IF(MOD(ROW()-ROW($B$2),16)=0,INDEX($M$2:$M$1000,(ROW()-ROW($B$2))/16+1),"")</f>
        <v/>
      </c>
    </row>
    <row r="8529" spans="14:14" x14ac:dyDescent="0.3">
      <c r="N8529" t="str" cm="1">
        <f t="array" ref="N8529">IF(MOD(ROW()-ROW($B$2),16)=0,INDEX($M$2:$M$1000,(ROW()-ROW($B$2))/16+1),"")</f>
        <v/>
      </c>
    </row>
    <row r="8530" spans="14:14" x14ac:dyDescent="0.3">
      <c r="N8530" t="str" cm="1">
        <f t="array" ref="N8530">IF(MOD(ROW()-ROW($B$2),16)=0,INDEX($M$2:$M$1000,(ROW()-ROW($B$2))/16+1),"")</f>
        <v/>
      </c>
    </row>
    <row r="8531" spans="14:14" x14ac:dyDescent="0.3">
      <c r="N8531" t="str" cm="1">
        <f t="array" ref="N8531">IF(MOD(ROW()-ROW($B$2),16)=0,INDEX($M$2:$M$1000,(ROW()-ROW($B$2))/16+1),"")</f>
        <v/>
      </c>
    </row>
    <row r="8532" spans="14:14" x14ac:dyDescent="0.3">
      <c r="N8532" t="str" cm="1">
        <f t="array" ref="N8532">IF(MOD(ROW()-ROW($B$2),16)=0,INDEX($M$2:$M$1000,(ROW()-ROW($B$2))/16+1),"")</f>
        <v/>
      </c>
    </row>
    <row r="8533" spans="14:14" x14ac:dyDescent="0.3">
      <c r="N8533" t="str" cm="1">
        <f t="array" ref="N8533">IF(MOD(ROW()-ROW($B$2),16)=0,INDEX($M$2:$M$1000,(ROW()-ROW($B$2))/16+1),"")</f>
        <v/>
      </c>
    </row>
    <row r="8534" spans="14:14" x14ac:dyDescent="0.3">
      <c r="N8534" t="str" cm="1">
        <f t="array" ref="N8534">IF(MOD(ROW()-ROW($B$2),16)=0,INDEX($M$2:$M$1000,(ROW()-ROW($B$2))/16+1),"")</f>
        <v/>
      </c>
    </row>
    <row r="8535" spans="14:14" x14ac:dyDescent="0.3">
      <c r="N8535" t="str" cm="1">
        <f t="array" ref="N8535">IF(MOD(ROW()-ROW($B$2),16)=0,INDEX($M$2:$M$1000,(ROW()-ROW($B$2))/16+1),"")</f>
        <v/>
      </c>
    </row>
    <row r="8536" spans="14:14" x14ac:dyDescent="0.3">
      <c r="N8536" t="str" cm="1">
        <f t="array" ref="N8536">IF(MOD(ROW()-ROW($B$2),16)=0,INDEX($M$2:$M$1000,(ROW()-ROW($B$2))/16+1),"")</f>
        <v/>
      </c>
    </row>
    <row r="8537" spans="14:14" x14ac:dyDescent="0.3">
      <c r="N8537" t="str" cm="1">
        <f t="array" ref="N8537">IF(MOD(ROW()-ROW($B$2),16)=0,INDEX($M$2:$M$1000,(ROW()-ROW($B$2))/16+1),"")</f>
        <v/>
      </c>
    </row>
    <row r="8538" spans="14:14" x14ac:dyDescent="0.3">
      <c r="N8538" t="str" cm="1">
        <f t="array" ref="N8538">IF(MOD(ROW()-ROW($B$2),16)=0,INDEX($M$2:$M$1000,(ROW()-ROW($B$2))/16+1),"")</f>
        <v/>
      </c>
    </row>
    <row r="8539" spans="14:14" x14ac:dyDescent="0.3">
      <c r="N8539" t="str" cm="1">
        <f t="array" ref="N8539">IF(MOD(ROW()-ROW($B$2),16)=0,INDEX($M$2:$M$1000,(ROW()-ROW($B$2))/16+1),"")</f>
        <v/>
      </c>
    </row>
    <row r="8540" spans="14:14" x14ac:dyDescent="0.3">
      <c r="N8540" t="str" cm="1">
        <f t="array" ref="N8540">IF(MOD(ROW()-ROW($B$2),16)=0,INDEX($M$2:$M$1000,(ROW()-ROW($B$2))/16+1),"")</f>
        <v/>
      </c>
    </row>
    <row r="8541" spans="14:14" x14ac:dyDescent="0.3">
      <c r="N8541" t="str" cm="1">
        <f t="array" ref="N8541">IF(MOD(ROW()-ROW($B$2),16)=0,INDEX($M$2:$M$1000,(ROW()-ROW($B$2))/16+1),"")</f>
        <v/>
      </c>
    </row>
    <row r="8542" spans="14:14" x14ac:dyDescent="0.3">
      <c r="N8542" t="str" cm="1">
        <f t="array" ref="N8542">IF(MOD(ROW()-ROW($B$2),16)=0,INDEX($M$2:$M$1000,(ROW()-ROW($B$2))/16+1),"")</f>
        <v/>
      </c>
    </row>
    <row r="8543" spans="14:14" x14ac:dyDescent="0.3">
      <c r="N8543" t="str" cm="1">
        <f t="array" ref="N8543">IF(MOD(ROW()-ROW($B$2),16)=0,INDEX($M$2:$M$1000,(ROW()-ROW($B$2))/16+1),"")</f>
        <v/>
      </c>
    </row>
    <row r="8544" spans="14:14" x14ac:dyDescent="0.3">
      <c r="N8544" t="str" cm="1">
        <f t="array" ref="N8544">IF(MOD(ROW()-ROW($B$2),16)=0,INDEX($M$2:$M$1000,(ROW()-ROW($B$2))/16+1),"")</f>
        <v/>
      </c>
    </row>
    <row r="8545" spans="14:14" x14ac:dyDescent="0.3">
      <c r="N8545" t="str" cm="1">
        <f t="array" ref="N8545">IF(MOD(ROW()-ROW($B$2),16)=0,INDEX($M$2:$M$1000,(ROW()-ROW($B$2))/16+1),"")</f>
        <v/>
      </c>
    </row>
    <row r="8546" spans="14:14" x14ac:dyDescent="0.3">
      <c r="N8546" t="str" cm="1">
        <f t="array" ref="N8546">IF(MOD(ROW()-ROW($B$2),16)=0,INDEX($M$2:$M$1000,(ROW()-ROW($B$2))/16+1),"")</f>
        <v/>
      </c>
    </row>
    <row r="8547" spans="14:14" x14ac:dyDescent="0.3">
      <c r="N8547" t="str" cm="1">
        <f t="array" ref="N8547">IF(MOD(ROW()-ROW($B$2),16)=0,INDEX($M$2:$M$1000,(ROW()-ROW($B$2))/16+1),"")</f>
        <v/>
      </c>
    </row>
    <row r="8548" spans="14:14" x14ac:dyDescent="0.3">
      <c r="N8548" t="str" cm="1">
        <f t="array" ref="N8548">IF(MOD(ROW()-ROW($B$2),16)=0,INDEX($M$2:$M$1000,(ROW()-ROW($B$2))/16+1),"")</f>
        <v/>
      </c>
    </row>
    <row r="8549" spans="14:14" x14ac:dyDescent="0.3">
      <c r="N8549" t="str" cm="1">
        <f t="array" ref="N8549">IF(MOD(ROW()-ROW($B$2),16)=0,INDEX($M$2:$M$1000,(ROW()-ROW($B$2))/16+1),"")</f>
        <v/>
      </c>
    </row>
    <row r="8550" spans="14:14" x14ac:dyDescent="0.3">
      <c r="N8550" t="str" cm="1">
        <f t="array" ref="N8550">IF(MOD(ROW()-ROW($B$2),16)=0,INDEX($M$2:$M$1000,(ROW()-ROW($B$2))/16+1),"")</f>
        <v/>
      </c>
    </row>
    <row r="8551" spans="14:14" x14ac:dyDescent="0.3">
      <c r="N8551" t="str" cm="1">
        <f t="array" ref="N8551">IF(MOD(ROW()-ROW($B$2),16)=0,INDEX($M$2:$M$1000,(ROW()-ROW($B$2))/16+1),"")</f>
        <v/>
      </c>
    </row>
    <row r="8552" spans="14:14" x14ac:dyDescent="0.3">
      <c r="N8552" t="str" cm="1">
        <f t="array" ref="N8552">IF(MOD(ROW()-ROW($B$2),16)=0,INDEX($M$2:$M$1000,(ROW()-ROW($B$2))/16+1),"")</f>
        <v/>
      </c>
    </row>
    <row r="8553" spans="14:14" x14ac:dyDescent="0.3">
      <c r="N8553" t="str" cm="1">
        <f t="array" ref="N8553">IF(MOD(ROW()-ROW($B$2),16)=0,INDEX($M$2:$M$1000,(ROW()-ROW($B$2))/16+1),"")</f>
        <v/>
      </c>
    </row>
    <row r="8554" spans="14:14" x14ac:dyDescent="0.3">
      <c r="N8554" t="str" cm="1">
        <f t="array" ref="N8554">IF(MOD(ROW()-ROW($B$2),16)=0,INDEX($M$2:$M$1000,(ROW()-ROW($B$2))/16+1),"")</f>
        <v/>
      </c>
    </row>
    <row r="8555" spans="14:14" x14ac:dyDescent="0.3">
      <c r="N8555" t="str" cm="1">
        <f t="array" ref="N8555">IF(MOD(ROW()-ROW($B$2),16)=0,INDEX($M$2:$M$1000,(ROW()-ROW($B$2))/16+1),"")</f>
        <v/>
      </c>
    </row>
    <row r="8556" spans="14:14" x14ac:dyDescent="0.3">
      <c r="N8556" t="str" cm="1">
        <f t="array" ref="N8556">IF(MOD(ROW()-ROW($B$2),16)=0,INDEX($M$2:$M$1000,(ROW()-ROW($B$2))/16+1),"")</f>
        <v/>
      </c>
    </row>
    <row r="8557" spans="14:14" x14ac:dyDescent="0.3">
      <c r="N8557" t="str" cm="1">
        <f t="array" ref="N8557">IF(MOD(ROW()-ROW($B$2),16)=0,INDEX($M$2:$M$1000,(ROW()-ROW($B$2))/16+1),"")</f>
        <v/>
      </c>
    </row>
    <row r="8558" spans="14:14" x14ac:dyDescent="0.3">
      <c r="N8558" t="str" cm="1">
        <f t="array" ref="N8558">IF(MOD(ROW()-ROW($B$2),16)=0,INDEX($M$2:$M$1000,(ROW()-ROW($B$2))/16+1),"")</f>
        <v/>
      </c>
    </row>
    <row r="8559" spans="14:14" x14ac:dyDescent="0.3">
      <c r="N8559" t="str" cm="1">
        <f t="array" ref="N8559">IF(MOD(ROW()-ROW($B$2),16)=0,INDEX($M$2:$M$1000,(ROW()-ROW($B$2))/16+1),"")</f>
        <v/>
      </c>
    </row>
    <row r="8560" spans="14:14" x14ac:dyDescent="0.3">
      <c r="N8560" t="str" cm="1">
        <f t="array" ref="N8560">IF(MOD(ROW()-ROW($B$2),16)=0,INDEX($M$2:$M$1000,(ROW()-ROW($B$2))/16+1),"")</f>
        <v/>
      </c>
    </row>
    <row r="8561" spans="14:14" x14ac:dyDescent="0.3">
      <c r="N8561" t="str" cm="1">
        <f t="array" ref="N8561">IF(MOD(ROW()-ROW($B$2),16)=0,INDEX($M$2:$M$1000,(ROW()-ROW($B$2))/16+1),"")</f>
        <v/>
      </c>
    </row>
    <row r="8562" spans="14:14" x14ac:dyDescent="0.3">
      <c r="N8562" t="str" cm="1">
        <f t="array" ref="N8562">IF(MOD(ROW()-ROW($B$2),16)=0,INDEX($M$2:$M$1000,(ROW()-ROW($B$2))/16+1),"")</f>
        <v/>
      </c>
    </row>
    <row r="8563" spans="14:14" x14ac:dyDescent="0.3">
      <c r="N8563" t="str" cm="1">
        <f t="array" ref="N8563">IF(MOD(ROW()-ROW($B$2),16)=0,INDEX($M$2:$M$1000,(ROW()-ROW($B$2))/16+1),"")</f>
        <v/>
      </c>
    </row>
    <row r="8564" spans="14:14" x14ac:dyDescent="0.3">
      <c r="N8564" t="str" cm="1">
        <f t="array" ref="N8564">IF(MOD(ROW()-ROW($B$2),16)=0,INDEX($M$2:$M$1000,(ROW()-ROW($B$2))/16+1),"")</f>
        <v/>
      </c>
    </row>
    <row r="8565" spans="14:14" x14ac:dyDescent="0.3">
      <c r="N8565" t="str" cm="1">
        <f t="array" ref="N8565">IF(MOD(ROW()-ROW($B$2),16)=0,INDEX($M$2:$M$1000,(ROW()-ROW($B$2))/16+1),"")</f>
        <v/>
      </c>
    </row>
    <row r="8566" spans="14:14" x14ac:dyDescent="0.3">
      <c r="N8566" t="str" cm="1">
        <f t="array" ref="N8566">IF(MOD(ROW()-ROW($B$2),16)=0,INDEX($M$2:$M$1000,(ROW()-ROW($B$2))/16+1),"")</f>
        <v/>
      </c>
    </row>
    <row r="8567" spans="14:14" x14ac:dyDescent="0.3">
      <c r="N8567" t="str" cm="1">
        <f t="array" ref="N8567">IF(MOD(ROW()-ROW($B$2),16)=0,INDEX($M$2:$M$1000,(ROW()-ROW($B$2))/16+1),"")</f>
        <v/>
      </c>
    </row>
    <row r="8568" spans="14:14" x14ac:dyDescent="0.3">
      <c r="N8568" t="str" cm="1">
        <f t="array" ref="N8568">IF(MOD(ROW()-ROW($B$2),16)=0,INDEX($M$2:$M$1000,(ROW()-ROW($B$2))/16+1),"")</f>
        <v/>
      </c>
    </row>
    <row r="8569" spans="14:14" x14ac:dyDescent="0.3">
      <c r="N8569" t="str" cm="1">
        <f t="array" ref="N8569">IF(MOD(ROW()-ROW($B$2),16)=0,INDEX($M$2:$M$1000,(ROW()-ROW($B$2))/16+1),"")</f>
        <v/>
      </c>
    </row>
    <row r="8570" spans="14:14" x14ac:dyDescent="0.3">
      <c r="N8570" t="str" cm="1">
        <f t="array" ref="N8570">IF(MOD(ROW()-ROW($B$2),16)=0,INDEX($M$2:$M$1000,(ROW()-ROW($B$2))/16+1),"")</f>
        <v/>
      </c>
    </row>
    <row r="8571" spans="14:14" x14ac:dyDescent="0.3">
      <c r="N8571" t="str" cm="1">
        <f t="array" ref="N8571">IF(MOD(ROW()-ROW($B$2),16)=0,INDEX($M$2:$M$1000,(ROW()-ROW($B$2))/16+1),"")</f>
        <v/>
      </c>
    </row>
    <row r="8572" spans="14:14" x14ac:dyDescent="0.3">
      <c r="N8572" t="str" cm="1">
        <f t="array" ref="N8572">IF(MOD(ROW()-ROW($B$2),16)=0,INDEX($M$2:$M$1000,(ROW()-ROW($B$2))/16+1),"")</f>
        <v/>
      </c>
    </row>
    <row r="8573" spans="14:14" x14ac:dyDescent="0.3">
      <c r="N8573" t="str" cm="1">
        <f t="array" ref="N8573">IF(MOD(ROW()-ROW($B$2),16)=0,INDEX($M$2:$M$1000,(ROW()-ROW($B$2))/16+1),"")</f>
        <v/>
      </c>
    </row>
    <row r="8574" spans="14:14" x14ac:dyDescent="0.3">
      <c r="N8574" t="str" cm="1">
        <f t="array" ref="N8574">IF(MOD(ROW()-ROW($B$2),16)=0,INDEX($M$2:$M$1000,(ROW()-ROW($B$2))/16+1),"")</f>
        <v/>
      </c>
    </row>
    <row r="8575" spans="14:14" x14ac:dyDescent="0.3">
      <c r="N8575" t="str" cm="1">
        <f t="array" ref="N8575">IF(MOD(ROW()-ROW($B$2),16)=0,INDEX($M$2:$M$1000,(ROW()-ROW($B$2))/16+1),"")</f>
        <v/>
      </c>
    </row>
    <row r="8576" spans="14:14" x14ac:dyDescent="0.3">
      <c r="N8576" t="str" cm="1">
        <f t="array" ref="N8576">IF(MOD(ROW()-ROW($B$2),16)=0,INDEX($M$2:$M$1000,(ROW()-ROW($B$2))/16+1),"")</f>
        <v/>
      </c>
    </row>
    <row r="8577" spans="14:14" x14ac:dyDescent="0.3">
      <c r="N8577" t="str" cm="1">
        <f t="array" ref="N8577">IF(MOD(ROW()-ROW($B$2),16)=0,INDEX($M$2:$M$1000,(ROW()-ROW($B$2))/16+1),"")</f>
        <v/>
      </c>
    </row>
    <row r="8578" spans="14:14" x14ac:dyDescent="0.3">
      <c r="N8578" t="str" cm="1">
        <f t="array" ref="N8578">IF(MOD(ROW()-ROW($B$2),16)=0,INDEX($M$2:$M$1000,(ROW()-ROW($B$2))/16+1),"")</f>
        <v/>
      </c>
    </row>
    <row r="8579" spans="14:14" x14ac:dyDescent="0.3">
      <c r="N8579" t="str" cm="1">
        <f t="array" ref="N8579">IF(MOD(ROW()-ROW($B$2),16)=0,INDEX($M$2:$M$1000,(ROW()-ROW($B$2))/16+1),"")</f>
        <v/>
      </c>
    </row>
    <row r="8580" spans="14:14" x14ac:dyDescent="0.3">
      <c r="N8580" t="str" cm="1">
        <f t="array" ref="N8580">IF(MOD(ROW()-ROW($B$2),16)=0,INDEX($M$2:$M$1000,(ROW()-ROW($B$2))/16+1),"")</f>
        <v/>
      </c>
    </row>
    <row r="8581" spans="14:14" x14ac:dyDescent="0.3">
      <c r="N8581" t="str" cm="1">
        <f t="array" ref="N8581">IF(MOD(ROW()-ROW($B$2),16)=0,INDEX($M$2:$M$1000,(ROW()-ROW($B$2))/16+1),"")</f>
        <v/>
      </c>
    </row>
    <row r="8582" spans="14:14" x14ac:dyDescent="0.3">
      <c r="N8582" t="str" cm="1">
        <f t="array" ref="N8582">IF(MOD(ROW()-ROW($B$2),16)=0,INDEX($M$2:$M$1000,(ROW()-ROW($B$2))/16+1),"")</f>
        <v/>
      </c>
    </row>
    <row r="8583" spans="14:14" x14ac:dyDescent="0.3">
      <c r="N8583" t="str" cm="1">
        <f t="array" ref="N8583">IF(MOD(ROW()-ROW($B$2),16)=0,INDEX($M$2:$M$1000,(ROW()-ROW($B$2))/16+1),"")</f>
        <v/>
      </c>
    </row>
    <row r="8584" spans="14:14" x14ac:dyDescent="0.3">
      <c r="N8584" t="str" cm="1">
        <f t="array" ref="N8584">IF(MOD(ROW()-ROW($B$2),16)=0,INDEX($M$2:$M$1000,(ROW()-ROW($B$2))/16+1),"")</f>
        <v/>
      </c>
    </row>
    <row r="8585" spans="14:14" x14ac:dyDescent="0.3">
      <c r="N8585" t="str" cm="1">
        <f t="array" ref="N8585">IF(MOD(ROW()-ROW($B$2),16)=0,INDEX($M$2:$M$1000,(ROW()-ROW($B$2))/16+1),"")</f>
        <v/>
      </c>
    </row>
    <row r="8586" spans="14:14" x14ac:dyDescent="0.3">
      <c r="N8586" t="str" cm="1">
        <f t="array" ref="N8586">IF(MOD(ROW()-ROW($B$2),16)=0,INDEX($M$2:$M$1000,(ROW()-ROW($B$2))/16+1),"")</f>
        <v/>
      </c>
    </row>
    <row r="8587" spans="14:14" x14ac:dyDescent="0.3">
      <c r="N8587" t="str" cm="1">
        <f t="array" ref="N8587">IF(MOD(ROW()-ROW($B$2),16)=0,INDEX($M$2:$M$1000,(ROW()-ROW($B$2))/16+1),"")</f>
        <v/>
      </c>
    </row>
    <row r="8588" spans="14:14" x14ac:dyDescent="0.3">
      <c r="N8588" t="str" cm="1">
        <f t="array" ref="N8588">IF(MOD(ROW()-ROW($B$2),16)=0,INDEX($M$2:$M$1000,(ROW()-ROW($B$2))/16+1),"")</f>
        <v/>
      </c>
    </row>
    <row r="8589" spans="14:14" x14ac:dyDescent="0.3">
      <c r="N8589" t="str" cm="1">
        <f t="array" ref="N8589">IF(MOD(ROW()-ROW($B$2),16)=0,INDEX($M$2:$M$1000,(ROW()-ROW($B$2))/16+1),"")</f>
        <v/>
      </c>
    </row>
    <row r="8590" spans="14:14" x14ac:dyDescent="0.3">
      <c r="N8590" t="str" cm="1">
        <f t="array" ref="N8590">IF(MOD(ROW()-ROW($B$2),16)=0,INDEX($M$2:$M$1000,(ROW()-ROW($B$2))/16+1),"")</f>
        <v/>
      </c>
    </row>
    <row r="8591" spans="14:14" x14ac:dyDescent="0.3">
      <c r="N8591" t="str" cm="1">
        <f t="array" ref="N8591">IF(MOD(ROW()-ROW($B$2),16)=0,INDEX($M$2:$M$1000,(ROW()-ROW($B$2))/16+1),"")</f>
        <v/>
      </c>
    </row>
    <row r="8592" spans="14:14" x14ac:dyDescent="0.3">
      <c r="N8592" t="str" cm="1">
        <f t="array" ref="N8592">IF(MOD(ROW()-ROW($B$2),16)=0,INDEX($M$2:$M$1000,(ROW()-ROW($B$2))/16+1),"")</f>
        <v/>
      </c>
    </row>
    <row r="8593" spans="14:14" x14ac:dyDescent="0.3">
      <c r="N8593" t="str" cm="1">
        <f t="array" ref="N8593">IF(MOD(ROW()-ROW($B$2),16)=0,INDEX($M$2:$M$1000,(ROW()-ROW($B$2))/16+1),"")</f>
        <v/>
      </c>
    </row>
    <row r="8594" spans="14:14" x14ac:dyDescent="0.3">
      <c r="N8594" t="str" cm="1">
        <f t="array" ref="N8594">IF(MOD(ROW()-ROW($B$2),16)=0,INDEX($M$2:$M$1000,(ROW()-ROW($B$2))/16+1),"")</f>
        <v/>
      </c>
    </row>
    <row r="8595" spans="14:14" x14ac:dyDescent="0.3">
      <c r="N8595" t="str" cm="1">
        <f t="array" ref="N8595">IF(MOD(ROW()-ROW($B$2),16)=0,INDEX($M$2:$M$1000,(ROW()-ROW($B$2))/16+1),"")</f>
        <v/>
      </c>
    </row>
    <row r="8596" spans="14:14" x14ac:dyDescent="0.3">
      <c r="N8596" t="str" cm="1">
        <f t="array" ref="N8596">IF(MOD(ROW()-ROW($B$2),16)=0,INDEX($M$2:$M$1000,(ROW()-ROW($B$2))/16+1),"")</f>
        <v/>
      </c>
    </row>
    <row r="8597" spans="14:14" x14ac:dyDescent="0.3">
      <c r="N8597" t="str" cm="1">
        <f t="array" ref="N8597">IF(MOD(ROW()-ROW($B$2),16)=0,INDEX($M$2:$M$1000,(ROW()-ROW($B$2))/16+1),"")</f>
        <v/>
      </c>
    </row>
    <row r="8598" spans="14:14" x14ac:dyDescent="0.3">
      <c r="N8598" t="str" cm="1">
        <f t="array" ref="N8598">IF(MOD(ROW()-ROW($B$2),16)=0,INDEX($M$2:$M$1000,(ROW()-ROW($B$2))/16+1),"")</f>
        <v/>
      </c>
    </row>
    <row r="8599" spans="14:14" x14ac:dyDescent="0.3">
      <c r="N8599" t="str" cm="1">
        <f t="array" ref="N8599">IF(MOD(ROW()-ROW($B$2),16)=0,INDEX($M$2:$M$1000,(ROW()-ROW($B$2))/16+1),"")</f>
        <v/>
      </c>
    </row>
    <row r="8600" spans="14:14" x14ac:dyDescent="0.3">
      <c r="N8600" t="str" cm="1">
        <f t="array" ref="N8600">IF(MOD(ROW()-ROW($B$2),16)=0,INDEX($M$2:$M$1000,(ROW()-ROW($B$2))/16+1),"")</f>
        <v/>
      </c>
    </row>
    <row r="8601" spans="14:14" x14ac:dyDescent="0.3">
      <c r="N8601" t="str" cm="1">
        <f t="array" ref="N8601">IF(MOD(ROW()-ROW($B$2),16)=0,INDEX($M$2:$M$1000,(ROW()-ROW($B$2))/16+1),"")</f>
        <v/>
      </c>
    </row>
    <row r="8602" spans="14:14" x14ac:dyDescent="0.3">
      <c r="N8602" t="str" cm="1">
        <f t="array" ref="N8602">IF(MOD(ROW()-ROW($B$2),16)=0,INDEX($M$2:$M$1000,(ROW()-ROW($B$2))/16+1),"")</f>
        <v/>
      </c>
    </row>
    <row r="8603" spans="14:14" x14ac:dyDescent="0.3">
      <c r="N8603" t="str" cm="1">
        <f t="array" ref="N8603">IF(MOD(ROW()-ROW($B$2),16)=0,INDEX($M$2:$M$1000,(ROW()-ROW($B$2))/16+1),"")</f>
        <v/>
      </c>
    </row>
    <row r="8604" spans="14:14" x14ac:dyDescent="0.3">
      <c r="N8604" t="str" cm="1">
        <f t="array" ref="N8604">IF(MOD(ROW()-ROW($B$2),16)=0,INDEX($M$2:$M$1000,(ROW()-ROW($B$2))/16+1),"")</f>
        <v/>
      </c>
    </row>
    <row r="8605" spans="14:14" x14ac:dyDescent="0.3">
      <c r="N8605" t="str" cm="1">
        <f t="array" ref="N8605">IF(MOD(ROW()-ROW($B$2),16)=0,INDEX($M$2:$M$1000,(ROW()-ROW($B$2))/16+1),"")</f>
        <v/>
      </c>
    </row>
    <row r="8606" spans="14:14" x14ac:dyDescent="0.3">
      <c r="N8606" t="str" cm="1">
        <f t="array" ref="N8606">IF(MOD(ROW()-ROW($B$2),16)=0,INDEX($M$2:$M$1000,(ROW()-ROW($B$2))/16+1),"")</f>
        <v/>
      </c>
    </row>
    <row r="8607" spans="14:14" x14ac:dyDescent="0.3">
      <c r="N8607" t="str" cm="1">
        <f t="array" ref="N8607">IF(MOD(ROW()-ROW($B$2),16)=0,INDEX($M$2:$M$1000,(ROW()-ROW($B$2))/16+1),"")</f>
        <v/>
      </c>
    </row>
    <row r="8608" spans="14:14" x14ac:dyDescent="0.3">
      <c r="N8608" t="str" cm="1">
        <f t="array" ref="N8608">IF(MOD(ROW()-ROW($B$2),16)=0,INDEX($M$2:$M$1000,(ROW()-ROW($B$2))/16+1),"")</f>
        <v/>
      </c>
    </row>
    <row r="8609" spans="14:14" x14ac:dyDescent="0.3">
      <c r="N8609" t="str" cm="1">
        <f t="array" ref="N8609">IF(MOD(ROW()-ROW($B$2),16)=0,INDEX($M$2:$M$1000,(ROW()-ROW($B$2))/16+1),"")</f>
        <v/>
      </c>
    </row>
    <row r="8610" spans="14:14" x14ac:dyDescent="0.3">
      <c r="N8610" t="str" cm="1">
        <f t="array" ref="N8610">IF(MOD(ROW()-ROW($B$2),16)=0,INDEX($M$2:$M$1000,(ROW()-ROW($B$2))/16+1),"")</f>
        <v/>
      </c>
    </row>
    <row r="8611" spans="14:14" x14ac:dyDescent="0.3">
      <c r="N8611" t="str" cm="1">
        <f t="array" ref="N8611">IF(MOD(ROW()-ROW($B$2),16)=0,INDEX($M$2:$M$1000,(ROW()-ROW($B$2))/16+1),"")</f>
        <v/>
      </c>
    </row>
    <row r="8612" spans="14:14" x14ac:dyDescent="0.3">
      <c r="N8612" t="str" cm="1">
        <f t="array" ref="N8612">IF(MOD(ROW()-ROW($B$2),16)=0,INDEX($M$2:$M$1000,(ROW()-ROW($B$2))/16+1),"")</f>
        <v/>
      </c>
    </row>
    <row r="8613" spans="14:14" x14ac:dyDescent="0.3">
      <c r="N8613" t="str" cm="1">
        <f t="array" ref="N8613">IF(MOD(ROW()-ROW($B$2),16)=0,INDEX($M$2:$M$1000,(ROW()-ROW($B$2))/16+1),"")</f>
        <v/>
      </c>
    </row>
    <row r="8614" spans="14:14" x14ac:dyDescent="0.3">
      <c r="N8614" t="str" cm="1">
        <f t="array" ref="N8614">IF(MOD(ROW()-ROW($B$2),16)=0,INDEX($M$2:$M$1000,(ROW()-ROW($B$2))/16+1),"")</f>
        <v/>
      </c>
    </row>
    <row r="8615" spans="14:14" x14ac:dyDescent="0.3">
      <c r="N8615" t="str" cm="1">
        <f t="array" ref="N8615">IF(MOD(ROW()-ROW($B$2),16)=0,INDEX($M$2:$M$1000,(ROW()-ROW($B$2))/16+1),"")</f>
        <v/>
      </c>
    </row>
    <row r="8616" spans="14:14" x14ac:dyDescent="0.3">
      <c r="N8616" t="str" cm="1">
        <f t="array" ref="N8616">IF(MOD(ROW()-ROW($B$2),16)=0,INDEX($M$2:$M$1000,(ROW()-ROW($B$2))/16+1),"")</f>
        <v/>
      </c>
    </row>
    <row r="8617" spans="14:14" x14ac:dyDescent="0.3">
      <c r="N8617" t="str" cm="1">
        <f t="array" ref="N8617">IF(MOD(ROW()-ROW($B$2),16)=0,INDEX($M$2:$M$1000,(ROW()-ROW($B$2))/16+1),"")</f>
        <v/>
      </c>
    </row>
    <row r="8618" spans="14:14" x14ac:dyDescent="0.3">
      <c r="N8618" t="str" cm="1">
        <f t="array" ref="N8618">IF(MOD(ROW()-ROW($B$2),16)=0,INDEX($M$2:$M$1000,(ROW()-ROW($B$2))/16+1),"")</f>
        <v/>
      </c>
    </row>
    <row r="8619" spans="14:14" x14ac:dyDescent="0.3">
      <c r="N8619" t="str" cm="1">
        <f t="array" ref="N8619">IF(MOD(ROW()-ROW($B$2),16)=0,INDEX($M$2:$M$1000,(ROW()-ROW($B$2))/16+1),"")</f>
        <v/>
      </c>
    </row>
    <row r="8620" spans="14:14" x14ac:dyDescent="0.3">
      <c r="N8620" t="str" cm="1">
        <f t="array" ref="N8620">IF(MOD(ROW()-ROW($B$2),16)=0,INDEX($M$2:$M$1000,(ROW()-ROW($B$2))/16+1),"")</f>
        <v/>
      </c>
    </row>
    <row r="8621" spans="14:14" x14ac:dyDescent="0.3">
      <c r="N8621" t="str" cm="1">
        <f t="array" ref="N8621">IF(MOD(ROW()-ROW($B$2),16)=0,INDEX($M$2:$M$1000,(ROW()-ROW($B$2))/16+1),"")</f>
        <v/>
      </c>
    </row>
    <row r="8622" spans="14:14" x14ac:dyDescent="0.3">
      <c r="N8622" t="str" cm="1">
        <f t="array" ref="N8622">IF(MOD(ROW()-ROW($B$2),16)=0,INDEX($M$2:$M$1000,(ROW()-ROW($B$2))/16+1),"")</f>
        <v/>
      </c>
    </row>
    <row r="8623" spans="14:14" x14ac:dyDescent="0.3">
      <c r="N8623" t="str" cm="1">
        <f t="array" ref="N8623">IF(MOD(ROW()-ROW($B$2),16)=0,INDEX($M$2:$M$1000,(ROW()-ROW($B$2))/16+1),"")</f>
        <v/>
      </c>
    </row>
    <row r="8624" spans="14:14" x14ac:dyDescent="0.3">
      <c r="N8624" t="str" cm="1">
        <f t="array" ref="N8624">IF(MOD(ROW()-ROW($B$2),16)=0,INDEX($M$2:$M$1000,(ROW()-ROW($B$2))/16+1),"")</f>
        <v/>
      </c>
    </row>
    <row r="8625" spans="14:14" x14ac:dyDescent="0.3">
      <c r="N8625" t="str" cm="1">
        <f t="array" ref="N8625">IF(MOD(ROW()-ROW($B$2),16)=0,INDEX($M$2:$M$1000,(ROW()-ROW($B$2))/16+1),"")</f>
        <v/>
      </c>
    </row>
    <row r="8626" spans="14:14" x14ac:dyDescent="0.3">
      <c r="N8626" t="str" cm="1">
        <f t="array" ref="N8626">IF(MOD(ROW()-ROW($B$2),16)=0,INDEX($M$2:$M$1000,(ROW()-ROW($B$2))/16+1),"")</f>
        <v/>
      </c>
    </row>
    <row r="8627" spans="14:14" x14ac:dyDescent="0.3">
      <c r="N8627" t="str" cm="1">
        <f t="array" ref="N8627">IF(MOD(ROW()-ROW($B$2),16)=0,INDEX($M$2:$M$1000,(ROW()-ROW($B$2))/16+1),"")</f>
        <v/>
      </c>
    </row>
    <row r="8628" spans="14:14" x14ac:dyDescent="0.3">
      <c r="N8628" t="str" cm="1">
        <f t="array" ref="N8628">IF(MOD(ROW()-ROW($B$2),16)=0,INDEX($M$2:$M$1000,(ROW()-ROW($B$2))/16+1),"")</f>
        <v/>
      </c>
    </row>
    <row r="8629" spans="14:14" x14ac:dyDescent="0.3">
      <c r="N8629" t="str" cm="1">
        <f t="array" ref="N8629">IF(MOD(ROW()-ROW($B$2),16)=0,INDEX($M$2:$M$1000,(ROW()-ROW($B$2))/16+1),"")</f>
        <v/>
      </c>
    </row>
    <row r="8630" spans="14:14" x14ac:dyDescent="0.3">
      <c r="N8630" t="str" cm="1">
        <f t="array" ref="N8630">IF(MOD(ROW()-ROW($B$2),16)=0,INDEX($M$2:$M$1000,(ROW()-ROW($B$2))/16+1),"")</f>
        <v/>
      </c>
    </row>
    <row r="8631" spans="14:14" x14ac:dyDescent="0.3">
      <c r="N8631" t="str" cm="1">
        <f t="array" ref="N8631">IF(MOD(ROW()-ROW($B$2),16)=0,INDEX($M$2:$M$1000,(ROW()-ROW($B$2))/16+1),"")</f>
        <v/>
      </c>
    </row>
    <row r="8632" spans="14:14" x14ac:dyDescent="0.3">
      <c r="N8632" t="str" cm="1">
        <f t="array" ref="N8632">IF(MOD(ROW()-ROW($B$2),16)=0,INDEX($M$2:$M$1000,(ROW()-ROW($B$2))/16+1),"")</f>
        <v/>
      </c>
    </row>
    <row r="8633" spans="14:14" x14ac:dyDescent="0.3">
      <c r="N8633" t="str" cm="1">
        <f t="array" ref="N8633">IF(MOD(ROW()-ROW($B$2),16)=0,INDEX($M$2:$M$1000,(ROW()-ROW($B$2))/16+1),"")</f>
        <v/>
      </c>
    </row>
    <row r="8634" spans="14:14" x14ac:dyDescent="0.3">
      <c r="N8634" t="str" cm="1">
        <f t="array" ref="N8634">IF(MOD(ROW()-ROW($B$2),16)=0,INDEX($M$2:$M$1000,(ROW()-ROW($B$2))/16+1),"")</f>
        <v/>
      </c>
    </row>
    <row r="8635" spans="14:14" x14ac:dyDescent="0.3">
      <c r="N8635" t="str" cm="1">
        <f t="array" ref="N8635">IF(MOD(ROW()-ROW($B$2),16)=0,INDEX($M$2:$M$1000,(ROW()-ROW($B$2))/16+1),"")</f>
        <v/>
      </c>
    </row>
    <row r="8636" spans="14:14" x14ac:dyDescent="0.3">
      <c r="N8636" t="str" cm="1">
        <f t="array" ref="N8636">IF(MOD(ROW()-ROW($B$2),16)=0,INDEX($M$2:$M$1000,(ROW()-ROW($B$2))/16+1),"")</f>
        <v/>
      </c>
    </row>
    <row r="8637" spans="14:14" x14ac:dyDescent="0.3">
      <c r="N8637" t="str" cm="1">
        <f t="array" ref="N8637">IF(MOD(ROW()-ROW($B$2),16)=0,INDEX($M$2:$M$1000,(ROW()-ROW($B$2))/16+1),"")</f>
        <v/>
      </c>
    </row>
    <row r="8638" spans="14:14" x14ac:dyDescent="0.3">
      <c r="N8638" t="str" cm="1">
        <f t="array" ref="N8638">IF(MOD(ROW()-ROW($B$2),16)=0,INDEX($M$2:$M$1000,(ROW()-ROW($B$2))/16+1),"")</f>
        <v/>
      </c>
    </row>
    <row r="8639" spans="14:14" x14ac:dyDescent="0.3">
      <c r="N8639" t="str" cm="1">
        <f t="array" ref="N8639">IF(MOD(ROW()-ROW($B$2),16)=0,INDEX($M$2:$M$1000,(ROW()-ROW($B$2))/16+1),"")</f>
        <v/>
      </c>
    </row>
    <row r="8640" spans="14:14" x14ac:dyDescent="0.3">
      <c r="N8640" t="str" cm="1">
        <f t="array" ref="N8640">IF(MOD(ROW()-ROW($B$2),16)=0,INDEX($M$2:$M$1000,(ROW()-ROW($B$2))/16+1),"")</f>
        <v/>
      </c>
    </row>
    <row r="8641" spans="14:14" x14ac:dyDescent="0.3">
      <c r="N8641" t="str" cm="1">
        <f t="array" ref="N8641">IF(MOD(ROW()-ROW($B$2),16)=0,INDEX($M$2:$M$1000,(ROW()-ROW($B$2))/16+1),"")</f>
        <v/>
      </c>
    </row>
    <row r="8642" spans="14:14" x14ac:dyDescent="0.3">
      <c r="N8642" t="str" cm="1">
        <f t="array" ref="N8642">IF(MOD(ROW()-ROW($B$2),16)=0,INDEX($M$2:$M$1000,(ROW()-ROW($B$2))/16+1),"")</f>
        <v/>
      </c>
    </row>
    <row r="8643" spans="14:14" x14ac:dyDescent="0.3">
      <c r="N8643" t="str" cm="1">
        <f t="array" ref="N8643">IF(MOD(ROW()-ROW($B$2),16)=0,INDEX($M$2:$M$1000,(ROW()-ROW($B$2))/16+1),"")</f>
        <v/>
      </c>
    </row>
    <row r="8644" spans="14:14" x14ac:dyDescent="0.3">
      <c r="N8644" t="str" cm="1">
        <f t="array" ref="N8644">IF(MOD(ROW()-ROW($B$2),16)=0,INDEX($M$2:$M$1000,(ROW()-ROW($B$2))/16+1),"")</f>
        <v/>
      </c>
    </row>
    <row r="8645" spans="14:14" x14ac:dyDescent="0.3">
      <c r="N8645" t="str" cm="1">
        <f t="array" ref="N8645">IF(MOD(ROW()-ROW($B$2),16)=0,INDEX($M$2:$M$1000,(ROW()-ROW($B$2))/16+1),"")</f>
        <v/>
      </c>
    </row>
    <row r="8646" spans="14:14" x14ac:dyDescent="0.3">
      <c r="N8646" t="str" cm="1">
        <f t="array" ref="N8646">IF(MOD(ROW()-ROW($B$2),16)=0,INDEX($M$2:$M$1000,(ROW()-ROW($B$2))/16+1),"")</f>
        <v/>
      </c>
    </row>
    <row r="8647" spans="14:14" x14ac:dyDescent="0.3">
      <c r="N8647" t="str" cm="1">
        <f t="array" ref="N8647">IF(MOD(ROW()-ROW($B$2),16)=0,INDEX($M$2:$M$1000,(ROW()-ROW($B$2))/16+1),"")</f>
        <v/>
      </c>
    </row>
    <row r="8648" spans="14:14" x14ac:dyDescent="0.3">
      <c r="N8648" t="str" cm="1">
        <f t="array" ref="N8648">IF(MOD(ROW()-ROW($B$2),16)=0,INDEX($M$2:$M$1000,(ROW()-ROW($B$2))/16+1),"")</f>
        <v/>
      </c>
    </row>
    <row r="8649" spans="14:14" x14ac:dyDescent="0.3">
      <c r="N8649" t="str" cm="1">
        <f t="array" ref="N8649">IF(MOD(ROW()-ROW($B$2),16)=0,INDEX($M$2:$M$1000,(ROW()-ROW($B$2))/16+1),"")</f>
        <v/>
      </c>
    </row>
    <row r="8650" spans="14:14" x14ac:dyDescent="0.3">
      <c r="N8650" t="str" cm="1">
        <f t="array" ref="N8650">IF(MOD(ROW()-ROW($B$2),16)=0,INDEX($M$2:$M$1000,(ROW()-ROW($B$2))/16+1),"")</f>
        <v/>
      </c>
    </row>
    <row r="8651" spans="14:14" x14ac:dyDescent="0.3">
      <c r="N8651" t="str" cm="1">
        <f t="array" ref="N8651">IF(MOD(ROW()-ROW($B$2),16)=0,INDEX($M$2:$M$1000,(ROW()-ROW($B$2))/16+1),"")</f>
        <v/>
      </c>
    </row>
    <row r="8652" spans="14:14" x14ac:dyDescent="0.3">
      <c r="N8652" t="str" cm="1">
        <f t="array" ref="N8652">IF(MOD(ROW()-ROW($B$2),16)=0,INDEX($M$2:$M$1000,(ROW()-ROW($B$2))/16+1),"")</f>
        <v/>
      </c>
    </row>
    <row r="8653" spans="14:14" x14ac:dyDescent="0.3">
      <c r="N8653" t="str" cm="1">
        <f t="array" ref="N8653">IF(MOD(ROW()-ROW($B$2),16)=0,INDEX($M$2:$M$1000,(ROW()-ROW($B$2))/16+1),"")</f>
        <v/>
      </c>
    </row>
    <row r="8654" spans="14:14" x14ac:dyDescent="0.3">
      <c r="N8654" t="str" cm="1">
        <f t="array" ref="N8654">IF(MOD(ROW()-ROW($B$2),16)=0,INDEX($M$2:$M$1000,(ROW()-ROW($B$2))/16+1),"")</f>
        <v/>
      </c>
    </row>
    <row r="8655" spans="14:14" x14ac:dyDescent="0.3">
      <c r="N8655" t="str" cm="1">
        <f t="array" ref="N8655">IF(MOD(ROW()-ROW($B$2),16)=0,INDEX($M$2:$M$1000,(ROW()-ROW($B$2))/16+1),"")</f>
        <v/>
      </c>
    </row>
    <row r="8656" spans="14:14" x14ac:dyDescent="0.3">
      <c r="N8656" t="str" cm="1">
        <f t="array" ref="N8656">IF(MOD(ROW()-ROW($B$2),16)=0,INDEX($M$2:$M$1000,(ROW()-ROW($B$2))/16+1),"")</f>
        <v/>
      </c>
    </row>
    <row r="8657" spans="14:14" x14ac:dyDescent="0.3">
      <c r="N8657" t="str" cm="1">
        <f t="array" ref="N8657">IF(MOD(ROW()-ROW($B$2),16)=0,INDEX($M$2:$M$1000,(ROW()-ROW($B$2))/16+1),"")</f>
        <v/>
      </c>
    </row>
    <row r="8658" spans="14:14" x14ac:dyDescent="0.3">
      <c r="N8658" t="str" cm="1">
        <f t="array" ref="N8658">IF(MOD(ROW()-ROW($B$2),16)=0,INDEX($M$2:$M$1000,(ROW()-ROW($B$2))/16+1),"")</f>
        <v/>
      </c>
    </row>
    <row r="8659" spans="14:14" x14ac:dyDescent="0.3">
      <c r="N8659" t="str" cm="1">
        <f t="array" ref="N8659">IF(MOD(ROW()-ROW($B$2),16)=0,INDEX($M$2:$M$1000,(ROW()-ROW($B$2))/16+1),"")</f>
        <v/>
      </c>
    </row>
    <row r="8660" spans="14:14" x14ac:dyDescent="0.3">
      <c r="N8660" t="str" cm="1">
        <f t="array" ref="N8660">IF(MOD(ROW()-ROW($B$2),16)=0,INDEX($M$2:$M$1000,(ROW()-ROW($B$2))/16+1),"")</f>
        <v/>
      </c>
    </row>
    <row r="8661" spans="14:14" x14ac:dyDescent="0.3">
      <c r="N8661" t="str" cm="1">
        <f t="array" ref="N8661">IF(MOD(ROW()-ROW($B$2),16)=0,INDEX($M$2:$M$1000,(ROW()-ROW($B$2))/16+1),"")</f>
        <v/>
      </c>
    </row>
    <row r="8662" spans="14:14" x14ac:dyDescent="0.3">
      <c r="N8662" t="str" cm="1">
        <f t="array" ref="N8662">IF(MOD(ROW()-ROW($B$2),16)=0,INDEX($M$2:$M$1000,(ROW()-ROW($B$2))/16+1),"")</f>
        <v/>
      </c>
    </row>
    <row r="8663" spans="14:14" x14ac:dyDescent="0.3">
      <c r="N8663" t="str" cm="1">
        <f t="array" ref="N8663">IF(MOD(ROW()-ROW($B$2),16)=0,INDEX($M$2:$M$1000,(ROW()-ROW($B$2))/16+1),"")</f>
        <v/>
      </c>
    </row>
    <row r="8664" spans="14:14" x14ac:dyDescent="0.3">
      <c r="N8664" t="str" cm="1">
        <f t="array" ref="N8664">IF(MOD(ROW()-ROW($B$2),16)=0,INDEX($M$2:$M$1000,(ROW()-ROW($B$2))/16+1),"")</f>
        <v/>
      </c>
    </row>
    <row r="8665" spans="14:14" x14ac:dyDescent="0.3">
      <c r="N8665" t="str" cm="1">
        <f t="array" ref="N8665">IF(MOD(ROW()-ROW($B$2),16)=0,INDEX($M$2:$M$1000,(ROW()-ROW($B$2))/16+1),"")</f>
        <v/>
      </c>
    </row>
    <row r="8666" spans="14:14" x14ac:dyDescent="0.3">
      <c r="N8666" t="str" cm="1">
        <f t="array" ref="N8666">IF(MOD(ROW()-ROW($B$2),16)=0,INDEX($M$2:$M$1000,(ROW()-ROW($B$2))/16+1),"")</f>
        <v/>
      </c>
    </row>
    <row r="8667" spans="14:14" x14ac:dyDescent="0.3">
      <c r="N8667" t="str" cm="1">
        <f t="array" ref="N8667">IF(MOD(ROW()-ROW($B$2),16)=0,INDEX($M$2:$M$1000,(ROW()-ROW($B$2))/16+1),"")</f>
        <v/>
      </c>
    </row>
    <row r="8668" spans="14:14" x14ac:dyDescent="0.3">
      <c r="N8668" t="str" cm="1">
        <f t="array" ref="N8668">IF(MOD(ROW()-ROW($B$2),16)=0,INDEX($M$2:$M$1000,(ROW()-ROW($B$2))/16+1),"")</f>
        <v/>
      </c>
    </row>
    <row r="8669" spans="14:14" x14ac:dyDescent="0.3">
      <c r="N8669" t="str" cm="1">
        <f t="array" ref="N8669">IF(MOD(ROW()-ROW($B$2),16)=0,INDEX($M$2:$M$1000,(ROW()-ROW($B$2))/16+1),"")</f>
        <v/>
      </c>
    </row>
    <row r="8670" spans="14:14" x14ac:dyDescent="0.3">
      <c r="N8670" t="str" cm="1">
        <f t="array" ref="N8670">IF(MOD(ROW()-ROW($B$2),16)=0,INDEX($M$2:$M$1000,(ROW()-ROW($B$2))/16+1),"")</f>
        <v/>
      </c>
    </row>
    <row r="8671" spans="14:14" x14ac:dyDescent="0.3">
      <c r="N8671" t="str" cm="1">
        <f t="array" ref="N8671">IF(MOD(ROW()-ROW($B$2),16)=0,INDEX($M$2:$M$1000,(ROW()-ROW($B$2))/16+1),"")</f>
        <v/>
      </c>
    </row>
    <row r="8672" spans="14:14" x14ac:dyDescent="0.3">
      <c r="N8672" t="str" cm="1">
        <f t="array" ref="N8672">IF(MOD(ROW()-ROW($B$2),16)=0,INDEX($M$2:$M$1000,(ROW()-ROW($B$2))/16+1),"")</f>
        <v/>
      </c>
    </row>
    <row r="8673" spans="14:14" x14ac:dyDescent="0.3">
      <c r="N8673" t="str" cm="1">
        <f t="array" ref="N8673">IF(MOD(ROW()-ROW($B$2),16)=0,INDEX($M$2:$M$1000,(ROW()-ROW($B$2))/16+1),"")</f>
        <v/>
      </c>
    </row>
    <row r="8674" spans="14:14" x14ac:dyDescent="0.3">
      <c r="N8674" t="str" cm="1">
        <f t="array" ref="N8674">IF(MOD(ROW()-ROW($B$2),16)=0,INDEX($M$2:$M$1000,(ROW()-ROW($B$2))/16+1),"")</f>
        <v/>
      </c>
    </row>
    <row r="8675" spans="14:14" x14ac:dyDescent="0.3">
      <c r="N8675" t="str" cm="1">
        <f t="array" ref="N8675">IF(MOD(ROW()-ROW($B$2),16)=0,INDEX($M$2:$M$1000,(ROW()-ROW($B$2))/16+1),"")</f>
        <v/>
      </c>
    </row>
    <row r="8676" spans="14:14" x14ac:dyDescent="0.3">
      <c r="N8676" t="str" cm="1">
        <f t="array" ref="N8676">IF(MOD(ROW()-ROW($B$2),16)=0,INDEX($M$2:$M$1000,(ROW()-ROW($B$2))/16+1),"")</f>
        <v/>
      </c>
    </row>
    <row r="8677" spans="14:14" x14ac:dyDescent="0.3">
      <c r="N8677" t="str" cm="1">
        <f t="array" ref="N8677">IF(MOD(ROW()-ROW($B$2),16)=0,INDEX($M$2:$M$1000,(ROW()-ROW($B$2))/16+1),"")</f>
        <v/>
      </c>
    </row>
    <row r="8678" spans="14:14" x14ac:dyDescent="0.3">
      <c r="N8678" t="str" cm="1">
        <f t="array" ref="N8678">IF(MOD(ROW()-ROW($B$2),16)=0,INDEX($M$2:$M$1000,(ROW()-ROW($B$2))/16+1),"")</f>
        <v/>
      </c>
    </row>
    <row r="8679" spans="14:14" x14ac:dyDescent="0.3">
      <c r="N8679" t="str" cm="1">
        <f t="array" ref="N8679">IF(MOD(ROW()-ROW($B$2),16)=0,INDEX($M$2:$M$1000,(ROW()-ROW($B$2))/16+1),"")</f>
        <v/>
      </c>
    </row>
    <row r="8680" spans="14:14" x14ac:dyDescent="0.3">
      <c r="N8680" t="str" cm="1">
        <f t="array" ref="N8680">IF(MOD(ROW()-ROW($B$2),16)=0,INDEX($M$2:$M$1000,(ROW()-ROW($B$2))/16+1),"")</f>
        <v/>
      </c>
    </row>
    <row r="8681" spans="14:14" x14ac:dyDescent="0.3">
      <c r="N8681" t="str" cm="1">
        <f t="array" ref="N8681">IF(MOD(ROW()-ROW($B$2),16)=0,INDEX($M$2:$M$1000,(ROW()-ROW($B$2))/16+1),"")</f>
        <v/>
      </c>
    </row>
    <row r="8682" spans="14:14" x14ac:dyDescent="0.3">
      <c r="N8682" t="str" cm="1">
        <f t="array" ref="N8682">IF(MOD(ROW()-ROW($B$2),16)=0,INDEX($M$2:$M$1000,(ROW()-ROW($B$2))/16+1),"")</f>
        <v/>
      </c>
    </row>
    <row r="8683" spans="14:14" x14ac:dyDescent="0.3">
      <c r="N8683" t="str" cm="1">
        <f t="array" ref="N8683">IF(MOD(ROW()-ROW($B$2),16)=0,INDEX($M$2:$M$1000,(ROW()-ROW($B$2))/16+1),"")</f>
        <v/>
      </c>
    </row>
    <row r="8684" spans="14:14" x14ac:dyDescent="0.3">
      <c r="N8684" t="str" cm="1">
        <f t="array" ref="N8684">IF(MOD(ROW()-ROW($B$2),16)=0,INDEX($M$2:$M$1000,(ROW()-ROW($B$2))/16+1),"")</f>
        <v/>
      </c>
    </row>
    <row r="8685" spans="14:14" x14ac:dyDescent="0.3">
      <c r="N8685" t="str" cm="1">
        <f t="array" ref="N8685">IF(MOD(ROW()-ROW($B$2),16)=0,INDEX($M$2:$M$1000,(ROW()-ROW($B$2))/16+1),"")</f>
        <v/>
      </c>
    </row>
    <row r="8686" spans="14:14" x14ac:dyDescent="0.3">
      <c r="N8686" t="str" cm="1">
        <f t="array" ref="N8686">IF(MOD(ROW()-ROW($B$2),16)=0,INDEX($M$2:$M$1000,(ROW()-ROW($B$2))/16+1),"")</f>
        <v/>
      </c>
    </row>
    <row r="8687" spans="14:14" x14ac:dyDescent="0.3">
      <c r="N8687" t="str" cm="1">
        <f t="array" ref="N8687">IF(MOD(ROW()-ROW($B$2),16)=0,INDEX($M$2:$M$1000,(ROW()-ROW($B$2))/16+1),"")</f>
        <v/>
      </c>
    </row>
    <row r="8688" spans="14:14" x14ac:dyDescent="0.3">
      <c r="N8688" t="str" cm="1">
        <f t="array" ref="N8688">IF(MOD(ROW()-ROW($B$2),16)=0,INDEX($M$2:$M$1000,(ROW()-ROW($B$2))/16+1),"")</f>
        <v/>
      </c>
    </row>
    <row r="8689" spans="14:14" x14ac:dyDescent="0.3">
      <c r="N8689" t="str" cm="1">
        <f t="array" ref="N8689">IF(MOD(ROW()-ROW($B$2),16)=0,INDEX($M$2:$M$1000,(ROW()-ROW($B$2))/16+1),"")</f>
        <v/>
      </c>
    </row>
    <row r="8690" spans="14:14" x14ac:dyDescent="0.3">
      <c r="N8690" t="str" cm="1">
        <f t="array" ref="N8690">IF(MOD(ROW()-ROW($B$2),16)=0,INDEX($M$2:$M$1000,(ROW()-ROW($B$2))/16+1),"")</f>
        <v/>
      </c>
    </row>
    <row r="8691" spans="14:14" x14ac:dyDescent="0.3">
      <c r="N8691" t="str" cm="1">
        <f t="array" ref="N8691">IF(MOD(ROW()-ROW($B$2),16)=0,INDEX($M$2:$M$1000,(ROW()-ROW($B$2))/16+1),"")</f>
        <v/>
      </c>
    </row>
    <row r="8692" spans="14:14" x14ac:dyDescent="0.3">
      <c r="N8692" t="str" cm="1">
        <f t="array" ref="N8692">IF(MOD(ROW()-ROW($B$2),16)=0,INDEX($M$2:$M$1000,(ROW()-ROW($B$2))/16+1),"")</f>
        <v/>
      </c>
    </row>
    <row r="8693" spans="14:14" x14ac:dyDescent="0.3">
      <c r="N8693" t="str" cm="1">
        <f t="array" ref="N8693">IF(MOD(ROW()-ROW($B$2),16)=0,INDEX($M$2:$M$1000,(ROW()-ROW($B$2))/16+1),"")</f>
        <v/>
      </c>
    </row>
    <row r="8694" spans="14:14" x14ac:dyDescent="0.3">
      <c r="N8694" t="str" cm="1">
        <f t="array" ref="N8694">IF(MOD(ROW()-ROW($B$2),16)=0,INDEX($M$2:$M$1000,(ROW()-ROW($B$2))/16+1),"")</f>
        <v/>
      </c>
    </row>
    <row r="8695" spans="14:14" x14ac:dyDescent="0.3">
      <c r="N8695" t="str" cm="1">
        <f t="array" ref="N8695">IF(MOD(ROW()-ROW($B$2),16)=0,INDEX($M$2:$M$1000,(ROW()-ROW($B$2))/16+1),"")</f>
        <v/>
      </c>
    </row>
    <row r="8696" spans="14:14" x14ac:dyDescent="0.3">
      <c r="N8696" t="str" cm="1">
        <f t="array" ref="N8696">IF(MOD(ROW()-ROW($B$2),16)=0,INDEX($M$2:$M$1000,(ROW()-ROW($B$2))/16+1),"")</f>
        <v/>
      </c>
    </row>
    <row r="8697" spans="14:14" x14ac:dyDescent="0.3">
      <c r="N8697" t="str" cm="1">
        <f t="array" ref="N8697">IF(MOD(ROW()-ROW($B$2),16)=0,INDEX($M$2:$M$1000,(ROW()-ROW($B$2))/16+1),"")</f>
        <v/>
      </c>
    </row>
    <row r="8698" spans="14:14" x14ac:dyDescent="0.3">
      <c r="N8698" t="str" cm="1">
        <f t="array" ref="N8698">IF(MOD(ROW()-ROW($B$2),16)=0,INDEX($M$2:$M$1000,(ROW()-ROW($B$2))/16+1),"")</f>
        <v/>
      </c>
    </row>
    <row r="8699" spans="14:14" x14ac:dyDescent="0.3">
      <c r="N8699" t="str" cm="1">
        <f t="array" ref="N8699">IF(MOD(ROW()-ROW($B$2),16)=0,INDEX($M$2:$M$1000,(ROW()-ROW($B$2))/16+1),"")</f>
        <v/>
      </c>
    </row>
    <row r="8700" spans="14:14" x14ac:dyDescent="0.3">
      <c r="N8700" t="str" cm="1">
        <f t="array" ref="N8700">IF(MOD(ROW()-ROW($B$2),16)=0,INDEX($M$2:$M$1000,(ROW()-ROW($B$2))/16+1),"")</f>
        <v/>
      </c>
    </row>
    <row r="8701" spans="14:14" x14ac:dyDescent="0.3">
      <c r="N8701" t="str" cm="1">
        <f t="array" ref="N8701">IF(MOD(ROW()-ROW($B$2),16)=0,INDEX($M$2:$M$1000,(ROW()-ROW($B$2))/16+1),"")</f>
        <v/>
      </c>
    </row>
    <row r="8702" spans="14:14" x14ac:dyDescent="0.3">
      <c r="N8702" t="str" cm="1">
        <f t="array" ref="N8702">IF(MOD(ROW()-ROW($B$2),16)=0,INDEX($M$2:$M$1000,(ROW()-ROW($B$2))/16+1),"")</f>
        <v/>
      </c>
    </row>
    <row r="8703" spans="14:14" x14ac:dyDescent="0.3">
      <c r="N8703" t="str" cm="1">
        <f t="array" ref="N8703">IF(MOD(ROW()-ROW($B$2),16)=0,INDEX($M$2:$M$1000,(ROW()-ROW($B$2))/16+1),"")</f>
        <v/>
      </c>
    </row>
    <row r="8704" spans="14:14" x14ac:dyDescent="0.3">
      <c r="N8704" t="str" cm="1">
        <f t="array" ref="N8704">IF(MOD(ROW()-ROW($B$2),16)=0,INDEX($M$2:$M$1000,(ROW()-ROW($B$2))/16+1),"")</f>
        <v/>
      </c>
    </row>
    <row r="8705" spans="14:14" x14ac:dyDescent="0.3">
      <c r="N8705" t="str" cm="1">
        <f t="array" ref="N8705">IF(MOD(ROW()-ROW($B$2),16)=0,INDEX($M$2:$M$1000,(ROW()-ROW($B$2))/16+1),"")</f>
        <v/>
      </c>
    </row>
    <row r="8706" spans="14:14" x14ac:dyDescent="0.3">
      <c r="N8706" t="str" cm="1">
        <f t="array" ref="N8706">IF(MOD(ROW()-ROW($B$2),16)=0,INDEX($M$2:$M$1000,(ROW()-ROW($B$2))/16+1),"")</f>
        <v/>
      </c>
    </row>
    <row r="8707" spans="14:14" x14ac:dyDescent="0.3">
      <c r="N8707" t="str" cm="1">
        <f t="array" ref="N8707">IF(MOD(ROW()-ROW($B$2),16)=0,INDEX($M$2:$M$1000,(ROW()-ROW($B$2))/16+1),"")</f>
        <v/>
      </c>
    </row>
    <row r="8708" spans="14:14" x14ac:dyDescent="0.3">
      <c r="N8708" t="str" cm="1">
        <f t="array" ref="N8708">IF(MOD(ROW()-ROW($B$2),16)=0,INDEX($M$2:$M$1000,(ROW()-ROW($B$2))/16+1),"")</f>
        <v/>
      </c>
    </row>
    <row r="8709" spans="14:14" x14ac:dyDescent="0.3">
      <c r="N8709" t="str" cm="1">
        <f t="array" ref="N8709">IF(MOD(ROW()-ROW($B$2),16)=0,INDEX($M$2:$M$1000,(ROW()-ROW($B$2))/16+1),"")</f>
        <v/>
      </c>
    </row>
    <row r="8710" spans="14:14" x14ac:dyDescent="0.3">
      <c r="N8710" t="str" cm="1">
        <f t="array" ref="N8710">IF(MOD(ROW()-ROW($B$2),16)=0,INDEX($M$2:$M$1000,(ROW()-ROW($B$2))/16+1),"")</f>
        <v/>
      </c>
    </row>
    <row r="8711" spans="14:14" x14ac:dyDescent="0.3">
      <c r="N8711" t="str" cm="1">
        <f t="array" ref="N8711">IF(MOD(ROW()-ROW($B$2),16)=0,INDEX($M$2:$M$1000,(ROW()-ROW($B$2))/16+1),"")</f>
        <v/>
      </c>
    </row>
    <row r="8712" spans="14:14" x14ac:dyDescent="0.3">
      <c r="N8712" t="str" cm="1">
        <f t="array" ref="N8712">IF(MOD(ROW()-ROW($B$2),16)=0,INDEX($M$2:$M$1000,(ROW()-ROW($B$2))/16+1),"")</f>
        <v/>
      </c>
    </row>
    <row r="8713" spans="14:14" x14ac:dyDescent="0.3">
      <c r="N8713" t="str" cm="1">
        <f t="array" ref="N8713">IF(MOD(ROW()-ROW($B$2),16)=0,INDEX($M$2:$M$1000,(ROW()-ROW($B$2))/16+1),"")</f>
        <v/>
      </c>
    </row>
    <row r="8714" spans="14:14" x14ac:dyDescent="0.3">
      <c r="N8714" t="str" cm="1">
        <f t="array" ref="N8714">IF(MOD(ROW()-ROW($B$2),16)=0,INDEX($M$2:$M$1000,(ROW()-ROW($B$2))/16+1),"")</f>
        <v/>
      </c>
    </row>
    <row r="8715" spans="14:14" x14ac:dyDescent="0.3">
      <c r="N8715" t="str" cm="1">
        <f t="array" ref="N8715">IF(MOD(ROW()-ROW($B$2),16)=0,INDEX($M$2:$M$1000,(ROW()-ROW($B$2))/16+1),"")</f>
        <v/>
      </c>
    </row>
    <row r="8716" spans="14:14" x14ac:dyDescent="0.3">
      <c r="N8716" t="str" cm="1">
        <f t="array" ref="N8716">IF(MOD(ROW()-ROW($B$2),16)=0,INDEX($M$2:$M$1000,(ROW()-ROW($B$2))/16+1),"")</f>
        <v/>
      </c>
    </row>
    <row r="8717" spans="14:14" x14ac:dyDescent="0.3">
      <c r="N8717" t="str" cm="1">
        <f t="array" ref="N8717">IF(MOD(ROW()-ROW($B$2),16)=0,INDEX($M$2:$M$1000,(ROW()-ROW($B$2))/16+1),"")</f>
        <v/>
      </c>
    </row>
    <row r="8718" spans="14:14" x14ac:dyDescent="0.3">
      <c r="N8718" t="str" cm="1">
        <f t="array" ref="N8718">IF(MOD(ROW()-ROW($B$2),16)=0,INDEX($M$2:$M$1000,(ROW()-ROW($B$2))/16+1),"")</f>
        <v/>
      </c>
    </row>
    <row r="8719" spans="14:14" x14ac:dyDescent="0.3">
      <c r="N8719" t="str" cm="1">
        <f t="array" ref="N8719">IF(MOD(ROW()-ROW($B$2),16)=0,INDEX($M$2:$M$1000,(ROW()-ROW($B$2))/16+1),"")</f>
        <v/>
      </c>
    </row>
    <row r="8720" spans="14:14" x14ac:dyDescent="0.3">
      <c r="N8720" t="str" cm="1">
        <f t="array" ref="N8720">IF(MOD(ROW()-ROW($B$2),16)=0,INDEX($M$2:$M$1000,(ROW()-ROW($B$2))/16+1),"")</f>
        <v/>
      </c>
    </row>
    <row r="8721" spans="14:14" x14ac:dyDescent="0.3">
      <c r="N8721" t="str" cm="1">
        <f t="array" ref="N8721">IF(MOD(ROW()-ROW($B$2),16)=0,INDEX($M$2:$M$1000,(ROW()-ROW($B$2))/16+1),"")</f>
        <v/>
      </c>
    </row>
    <row r="8722" spans="14:14" x14ac:dyDescent="0.3">
      <c r="N8722" t="str" cm="1">
        <f t="array" ref="N8722">IF(MOD(ROW()-ROW($B$2),16)=0,INDEX($M$2:$M$1000,(ROW()-ROW($B$2))/16+1),"")</f>
        <v/>
      </c>
    </row>
    <row r="8723" spans="14:14" x14ac:dyDescent="0.3">
      <c r="N8723" t="str" cm="1">
        <f t="array" ref="N8723">IF(MOD(ROW()-ROW($B$2),16)=0,INDEX($M$2:$M$1000,(ROW()-ROW($B$2))/16+1),"")</f>
        <v/>
      </c>
    </row>
    <row r="8724" spans="14:14" x14ac:dyDescent="0.3">
      <c r="N8724" t="str" cm="1">
        <f t="array" ref="N8724">IF(MOD(ROW()-ROW($B$2),16)=0,INDEX($M$2:$M$1000,(ROW()-ROW($B$2))/16+1),"")</f>
        <v/>
      </c>
    </row>
    <row r="8725" spans="14:14" x14ac:dyDescent="0.3">
      <c r="N8725" t="str" cm="1">
        <f t="array" ref="N8725">IF(MOD(ROW()-ROW($B$2),16)=0,INDEX($M$2:$M$1000,(ROW()-ROW($B$2))/16+1),"")</f>
        <v/>
      </c>
    </row>
    <row r="8726" spans="14:14" x14ac:dyDescent="0.3">
      <c r="N8726" t="str" cm="1">
        <f t="array" ref="N8726">IF(MOD(ROW()-ROW($B$2),16)=0,INDEX($M$2:$M$1000,(ROW()-ROW($B$2))/16+1),"")</f>
        <v/>
      </c>
    </row>
    <row r="8727" spans="14:14" x14ac:dyDescent="0.3">
      <c r="N8727" t="str" cm="1">
        <f t="array" ref="N8727">IF(MOD(ROW()-ROW($B$2),16)=0,INDEX($M$2:$M$1000,(ROW()-ROW($B$2))/16+1),"")</f>
        <v/>
      </c>
    </row>
    <row r="8728" spans="14:14" x14ac:dyDescent="0.3">
      <c r="N8728" t="str" cm="1">
        <f t="array" ref="N8728">IF(MOD(ROW()-ROW($B$2),16)=0,INDEX($M$2:$M$1000,(ROW()-ROW($B$2))/16+1),"")</f>
        <v/>
      </c>
    </row>
    <row r="8729" spans="14:14" x14ac:dyDescent="0.3">
      <c r="N8729" t="str" cm="1">
        <f t="array" ref="N8729">IF(MOD(ROW()-ROW($B$2),16)=0,INDEX($M$2:$M$1000,(ROW()-ROW($B$2))/16+1),"")</f>
        <v/>
      </c>
    </row>
    <row r="8730" spans="14:14" x14ac:dyDescent="0.3">
      <c r="N8730" t="str" cm="1">
        <f t="array" ref="N8730">IF(MOD(ROW()-ROW($B$2),16)=0,INDEX($M$2:$M$1000,(ROW()-ROW($B$2))/16+1),"")</f>
        <v/>
      </c>
    </row>
    <row r="8731" spans="14:14" x14ac:dyDescent="0.3">
      <c r="N8731" t="str" cm="1">
        <f t="array" ref="N8731">IF(MOD(ROW()-ROW($B$2),16)=0,INDEX($M$2:$M$1000,(ROW()-ROW($B$2))/16+1),"")</f>
        <v/>
      </c>
    </row>
    <row r="8732" spans="14:14" x14ac:dyDescent="0.3">
      <c r="N8732" t="str" cm="1">
        <f t="array" ref="N8732">IF(MOD(ROW()-ROW($B$2),16)=0,INDEX($M$2:$M$1000,(ROW()-ROW($B$2))/16+1),"")</f>
        <v/>
      </c>
    </row>
    <row r="8733" spans="14:14" x14ac:dyDescent="0.3">
      <c r="N8733" t="str" cm="1">
        <f t="array" ref="N8733">IF(MOD(ROW()-ROW($B$2),16)=0,INDEX($M$2:$M$1000,(ROW()-ROW($B$2))/16+1),"")</f>
        <v/>
      </c>
    </row>
    <row r="8734" spans="14:14" x14ac:dyDescent="0.3">
      <c r="N8734" t="str" cm="1">
        <f t="array" ref="N8734">IF(MOD(ROW()-ROW($B$2),16)=0,INDEX($M$2:$M$1000,(ROW()-ROW($B$2))/16+1),"")</f>
        <v/>
      </c>
    </row>
    <row r="8735" spans="14:14" x14ac:dyDescent="0.3">
      <c r="N8735" t="str" cm="1">
        <f t="array" ref="N8735">IF(MOD(ROW()-ROW($B$2),16)=0,INDEX($M$2:$M$1000,(ROW()-ROW($B$2))/16+1),"")</f>
        <v/>
      </c>
    </row>
    <row r="8736" spans="14:14" x14ac:dyDescent="0.3">
      <c r="N8736" t="str" cm="1">
        <f t="array" ref="N8736">IF(MOD(ROW()-ROW($B$2),16)=0,INDEX($M$2:$M$1000,(ROW()-ROW($B$2))/16+1),"")</f>
        <v/>
      </c>
    </row>
    <row r="8737" spans="14:14" x14ac:dyDescent="0.3">
      <c r="N8737" t="str" cm="1">
        <f t="array" ref="N8737">IF(MOD(ROW()-ROW($B$2),16)=0,INDEX($M$2:$M$1000,(ROW()-ROW($B$2))/16+1),"")</f>
        <v/>
      </c>
    </row>
    <row r="8738" spans="14:14" x14ac:dyDescent="0.3">
      <c r="N8738" t="str" cm="1">
        <f t="array" ref="N8738">IF(MOD(ROW()-ROW($B$2),16)=0,INDEX($M$2:$M$1000,(ROW()-ROW($B$2))/16+1),"")</f>
        <v/>
      </c>
    </row>
    <row r="8739" spans="14:14" x14ac:dyDescent="0.3">
      <c r="N8739" t="str" cm="1">
        <f t="array" ref="N8739">IF(MOD(ROW()-ROW($B$2),16)=0,INDEX($M$2:$M$1000,(ROW()-ROW($B$2))/16+1),"")</f>
        <v/>
      </c>
    </row>
    <row r="8740" spans="14:14" x14ac:dyDescent="0.3">
      <c r="N8740" t="str" cm="1">
        <f t="array" ref="N8740">IF(MOD(ROW()-ROW($B$2),16)=0,INDEX($M$2:$M$1000,(ROW()-ROW($B$2))/16+1),"")</f>
        <v/>
      </c>
    </row>
    <row r="8741" spans="14:14" x14ac:dyDescent="0.3">
      <c r="N8741" t="str" cm="1">
        <f t="array" ref="N8741">IF(MOD(ROW()-ROW($B$2),16)=0,INDEX($M$2:$M$1000,(ROW()-ROW($B$2))/16+1),"")</f>
        <v/>
      </c>
    </row>
    <row r="8742" spans="14:14" x14ac:dyDescent="0.3">
      <c r="N8742" t="str" cm="1">
        <f t="array" ref="N8742">IF(MOD(ROW()-ROW($B$2),16)=0,INDEX($M$2:$M$1000,(ROW()-ROW($B$2))/16+1),"")</f>
        <v/>
      </c>
    </row>
    <row r="8743" spans="14:14" x14ac:dyDescent="0.3">
      <c r="N8743" t="str" cm="1">
        <f t="array" ref="N8743">IF(MOD(ROW()-ROW($B$2),16)=0,INDEX($M$2:$M$1000,(ROW()-ROW($B$2))/16+1),"")</f>
        <v/>
      </c>
    </row>
    <row r="8744" spans="14:14" x14ac:dyDescent="0.3">
      <c r="N8744" t="str" cm="1">
        <f t="array" ref="N8744">IF(MOD(ROW()-ROW($B$2),16)=0,INDEX($M$2:$M$1000,(ROW()-ROW($B$2))/16+1),"")</f>
        <v/>
      </c>
    </row>
    <row r="8745" spans="14:14" x14ac:dyDescent="0.3">
      <c r="N8745" t="str" cm="1">
        <f t="array" ref="N8745">IF(MOD(ROW()-ROW($B$2),16)=0,INDEX($M$2:$M$1000,(ROW()-ROW($B$2))/16+1),"")</f>
        <v/>
      </c>
    </row>
    <row r="8746" spans="14:14" x14ac:dyDescent="0.3">
      <c r="N8746" t="str" cm="1">
        <f t="array" ref="N8746">IF(MOD(ROW()-ROW($B$2),16)=0,INDEX($M$2:$M$1000,(ROW()-ROW($B$2))/16+1),"")</f>
        <v/>
      </c>
    </row>
    <row r="8747" spans="14:14" x14ac:dyDescent="0.3">
      <c r="N8747" t="str" cm="1">
        <f t="array" ref="N8747">IF(MOD(ROW()-ROW($B$2),16)=0,INDEX($M$2:$M$1000,(ROW()-ROW($B$2))/16+1),"")</f>
        <v/>
      </c>
    </row>
    <row r="8748" spans="14:14" x14ac:dyDescent="0.3">
      <c r="N8748" t="str" cm="1">
        <f t="array" ref="N8748">IF(MOD(ROW()-ROW($B$2),16)=0,INDEX($M$2:$M$1000,(ROW()-ROW($B$2))/16+1),"")</f>
        <v/>
      </c>
    </row>
    <row r="8749" spans="14:14" x14ac:dyDescent="0.3">
      <c r="N8749" t="str" cm="1">
        <f t="array" ref="N8749">IF(MOD(ROW()-ROW($B$2),16)=0,INDEX($M$2:$M$1000,(ROW()-ROW($B$2))/16+1),"")</f>
        <v/>
      </c>
    </row>
    <row r="8750" spans="14:14" x14ac:dyDescent="0.3">
      <c r="N8750" t="str" cm="1">
        <f t="array" ref="N8750">IF(MOD(ROW()-ROW($B$2),16)=0,INDEX($M$2:$M$1000,(ROW()-ROW($B$2))/16+1),"")</f>
        <v/>
      </c>
    </row>
    <row r="8751" spans="14:14" x14ac:dyDescent="0.3">
      <c r="N8751" t="str" cm="1">
        <f t="array" ref="N8751">IF(MOD(ROW()-ROW($B$2),16)=0,INDEX($M$2:$M$1000,(ROW()-ROW($B$2))/16+1),"")</f>
        <v/>
      </c>
    </row>
    <row r="8752" spans="14:14" x14ac:dyDescent="0.3">
      <c r="N8752" t="str" cm="1">
        <f t="array" ref="N8752">IF(MOD(ROW()-ROW($B$2),16)=0,INDEX($M$2:$M$1000,(ROW()-ROW($B$2))/16+1),"")</f>
        <v/>
      </c>
    </row>
    <row r="8753" spans="14:14" x14ac:dyDescent="0.3">
      <c r="N8753" t="str" cm="1">
        <f t="array" ref="N8753">IF(MOD(ROW()-ROW($B$2),16)=0,INDEX($M$2:$M$1000,(ROW()-ROW($B$2))/16+1),"")</f>
        <v/>
      </c>
    </row>
    <row r="8754" spans="14:14" x14ac:dyDescent="0.3">
      <c r="N8754" t="str" cm="1">
        <f t="array" ref="N8754">IF(MOD(ROW()-ROW($B$2),16)=0,INDEX($M$2:$M$1000,(ROW()-ROW($B$2))/16+1),"")</f>
        <v/>
      </c>
    </row>
    <row r="8755" spans="14:14" x14ac:dyDescent="0.3">
      <c r="N8755" t="str" cm="1">
        <f t="array" ref="N8755">IF(MOD(ROW()-ROW($B$2),16)=0,INDEX($M$2:$M$1000,(ROW()-ROW($B$2))/16+1),"")</f>
        <v/>
      </c>
    </row>
    <row r="8756" spans="14:14" x14ac:dyDescent="0.3">
      <c r="N8756" t="str" cm="1">
        <f t="array" ref="N8756">IF(MOD(ROW()-ROW($B$2),16)=0,INDEX($M$2:$M$1000,(ROW()-ROW($B$2))/16+1),"")</f>
        <v/>
      </c>
    </row>
    <row r="8757" spans="14:14" x14ac:dyDescent="0.3">
      <c r="N8757" t="str" cm="1">
        <f t="array" ref="N8757">IF(MOD(ROW()-ROW($B$2),16)=0,INDEX($M$2:$M$1000,(ROW()-ROW($B$2))/16+1),"")</f>
        <v/>
      </c>
    </row>
    <row r="8758" spans="14:14" x14ac:dyDescent="0.3">
      <c r="N8758" t="str" cm="1">
        <f t="array" ref="N8758">IF(MOD(ROW()-ROW($B$2),16)=0,INDEX($M$2:$M$1000,(ROW()-ROW($B$2))/16+1),"")</f>
        <v/>
      </c>
    </row>
    <row r="8759" spans="14:14" x14ac:dyDescent="0.3">
      <c r="N8759" t="str" cm="1">
        <f t="array" ref="N8759">IF(MOD(ROW()-ROW($B$2),16)=0,INDEX($M$2:$M$1000,(ROW()-ROW($B$2))/16+1),"")</f>
        <v/>
      </c>
    </row>
    <row r="8760" spans="14:14" x14ac:dyDescent="0.3">
      <c r="N8760" t="str" cm="1">
        <f t="array" ref="N8760">IF(MOD(ROW()-ROW($B$2),16)=0,INDEX($M$2:$M$1000,(ROW()-ROW($B$2))/16+1),"")</f>
        <v/>
      </c>
    </row>
    <row r="8761" spans="14:14" x14ac:dyDescent="0.3">
      <c r="N8761" t="str" cm="1">
        <f t="array" ref="N8761">IF(MOD(ROW()-ROW($B$2),16)=0,INDEX($M$2:$M$1000,(ROW()-ROW($B$2))/16+1),"")</f>
        <v/>
      </c>
    </row>
    <row r="8762" spans="14:14" x14ac:dyDescent="0.3">
      <c r="N8762" t="str" cm="1">
        <f t="array" ref="N8762">IF(MOD(ROW()-ROW($B$2),16)=0,INDEX($M$2:$M$1000,(ROW()-ROW($B$2))/16+1),"")</f>
        <v/>
      </c>
    </row>
    <row r="8763" spans="14:14" x14ac:dyDescent="0.3">
      <c r="N8763" t="str" cm="1">
        <f t="array" ref="N8763">IF(MOD(ROW()-ROW($B$2),16)=0,INDEX($M$2:$M$1000,(ROW()-ROW($B$2))/16+1),"")</f>
        <v/>
      </c>
    </row>
    <row r="8764" spans="14:14" x14ac:dyDescent="0.3">
      <c r="N8764" t="str" cm="1">
        <f t="array" ref="N8764">IF(MOD(ROW()-ROW($B$2),16)=0,INDEX($M$2:$M$1000,(ROW()-ROW($B$2))/16+1),"")</f>
        <v/>
      </c>
    </row>
    <row r="8765" spans="14:14" x14ac:dyDescent="0.3">
      <c r="N8765" t="str" cm="1">
        <f t="array" ref="N8765">IF(MOD(ROW()-ROW($B$2),16)=0,INDEX($M$2:$M$1000,(ROW()-ROW($B$2))/16+1),"")</f>
        <v/>
      </c>
    </row>
    <row r="8766" spans="14:14" x14ac:dyDescent="0.3">
      <c r="N8766" t="str" cm="1">
        <f t="array" ref="N8766">IF(MOD(ROW()-ROW($B$2),16)=0,INDEX($M$2:$M$1000,(ROW()-ROW($B$2))/16+1),"")</f>
        <v/>
      </c>
    </row>
    <row r="8767" spans="14:14" x14ac:dyDescent="0.3">
      <c r="N8767" t="str" cm="1">
        <f t="array" ref="N8767">IF(MOD(ROW()-ROW($B$2),16)=0,INDEX($M$2:$M$1000,(ROW()-ROW($B$2))/16+1),"")</f>
        <v/>
      </c>
    </row>
    <row r="8768" spans="14:14" x14ac:dyDescent="0.3">
      <c r="N8768" t="str" cm="1">
        <f t="array" ref="N8768">IF(MOD(ROW()-ROW($B$2),16)=0,INDEX($M$2:$M$1000,(ROW()-ROW($B$2))/16+1),"")</f>
        <v/>
      </c>
    </row>
    <row r="8769" spans="14:14" x14ac:dyDescent="0.3">
      <c r="N8769" t="str" cm="1">
        <f t="array" ref="N8769">IF(MOD(ROW()-ROW($B$2),16)=0,INDEX($M$2:$M$1000,(ROW()-ROW($B$2))/16+1),"")</f>
        <v/>
      </c>
    </row>
    <row r="8770" spans="14:14" x14ac:dyDescent="0.3">
      <c r="N8770" t="str" cm="1">
        <f t="array" ref="N8770">IF(MOD(ROW()-ROW($B$2),16)=0,INDEX($M$2:$M$1000,(ROW()-ROW($B$2))/16+1),"")</f>
        <v/>
      </c>
    </row>
    <row r="8771" spans="14:14" x14ac:dyDescent="0.3">
      <c r="N8771" t="str" cm="1">
        <f t="array" ref="N8771">IF(MOD(ROW()-ROW($B$2),16)=0,INDEX($M$2:$M$1000,(ROW()-ROW($B$2))/16+1),"")</f>
        <v/>
      </c>
    </row>
    <row r="8772" spans="14:14" x14ac:dyDescent="0.3">
      <c r="N8772" t="str" cm="1">
        <f t="array" ref="N8772">IF(MOD(ROW()-ROW($B$2),16)=0,INDEX($M$2:$M$1000,(ROW()-ROW($B$2))/16+1),"")</f>
        <v/>
      </c>
    </row>
    <row r="8773" spans="14:14" x14ac:dyDescent="0.3">
      <c r="N8773" t="str" cm="1">
        <f t="array" ref="N8773">IF(MOD(ROW()-ROW($B$2),16)=0,INDEX($M$2:$M$1000,(ROW()-ROW($B$2))/16+1),"")</f>
        <v/>
      </c>
    </row>
    <row r="8774" spans="14:14" x14ac:dyDescent="0.3">
      <c r="N8774" t="str" cm="1">
        <f t="array" ref="N8774">IF(MOD(ROW()-ROW($B$2),16)=0,INDEX($M$2:$M$1000,(ROW()-ROW($B$2))/16+1),"")</f>
        <v/>
      </c>
    </row>
    <row r="8775" spans="14:14" x14ac:dyDescent="0.3">
      <c r="N8775" t="str" cm="1">
        <f t="array" ref="N8775">IF(MOD(ROW()-ROW($B$2),16)=0,INDEX($M$2:$M$1000,(ROW()-ROW($B$2))/16+1),"")</f>
        <v/>
      </c>
    </row>
    <row r="8776" spans="14:14" x14ac:dyDescent="0.3">
      <c r="N8776" t="str" cm="1">
        <f t="array" ref="N8776">IF(MOD(ROW()-ROW($B$2),16)=0,INDEX($M$2:$M$1000,(ROW()-ROW($B$2))/16+1),"")</f>
        <v/>
      </c>
    </row>
    <row r="8777" spans="14:14" x14ac:dyDescent="0.3">
      <c r="N8777" t="str" cm="1">
        <f t="array" ref="N8777">IF(MOD(ROW()-ROW($B$2),16)=0,INDEX($M$2:$M$1000,(ROW()-ROW($B$2))/16+1),"")</f>
        <v/>
      </c>
    </row>
    <row r="8778" spans="14:14" x14ac:dyDescent="0.3">
      <c r="N8778" t="str" cm="1">
        <f t="array" ref="N8778">IF(MOD(ROW()-ROW($B$2),16)=0,INDEX($M$2:$M$1000,(ROW()-ROW($B$2))/16+1),"")</f>
        <v/>
      </c>
    </row>
    <row r="8779" spans="14:14" x14ac:dyDescent="0.3">
      <c r="N8779" t="str" cm="1">
        <f t="array" ref="N8779">IF(MOD(ROW()-ROW($B$2),16)=0,INDEX($M$2:$M$1000,(ROW()-ROW($B$2))/16+1),"")</f>
        <v/>
      </c>
    </row>
    <row r="8780" spans="14:14" x14ac:dyDescent="0.3">
      <c r="N8780" t="str" cm="1">
        <f t="array" ref="N8780">IF(MOD(ROW()-ROW($B$2),16)=0,INDEX($M$2:$M$1000,(ROW()-ROW($B$2))/16+1),"")</f>
        <v/>
      </c>
    </row>
    <row r="8781" spans="14:14" x14ac:dyDescent="0.3">
      <c r="N8781" t="str" cm="1">
        <f t="array" ref="N8781">IF(MOD(ROW()-ROW($B$2),16)=0,INDEX($M$2:$M$1000,(ROW()-ROW($B$2))/16+1),"")</f>
        <v/>
      </c>
    </row>
    <row r="8782" spans="14:14" x14ac:dyDescent="0.3">
      <c r="N8782" t="str" cm="1">
        <f t="array" ref="N8782">IF(MOD(ROW()-ROW($B$2),16)=0,INDEX($M$2:$M$1000,(ROW()-ROW($B$2))/16+1),"")</f>
        <v/>
      </c>
    </row>
    <row r="8783" spans="14:14" x14ac:dyDescent="0.3">
      <c r="N8783" t="str" cm="1">
        <f t="array" ref="N8783">IF(MOD(ROW()-ROW($B$2),16)=0,INDEX($M$2:$M$1000,(ROW()-ROW($B$2))/16+1),"")</f>
        <v/>
      </c>
    </row>
    <row r="8784" spans="14:14" x14ac:dyDescent="0.3">
      <c r="N8784" t="str" cm="1">
        <f t="array" ref="N8784">IF(MOD(ROW()-ROW($B$2),16)=0,INDEX($M$2:$M$1000,(ROW()-ROW($B$2))/16+1),"")</f>
        <v/>
      </c>
    </row>
    <row r="8785" spans="14:14" x14ac:dyDescent="0.3">
      <c r="N8785" t="str" cm="1">
        <f t="array" ref="N8785">IF(MOD(ROW()-ROW($B$2),16)=0,INDEX($M$2:$M$1000,(ROW()-ROW($B$2))/16+1),"")</f>
        <v/>
      </c>
    </row>
    <row r="8786" spans="14:14" x14ac:dyDescent="0.3">
      <c r="N8786" t="str" cm="1">
        <f t="array" ref="N8786">IF(MOD(ROW()-ROW($B$2),16)=0,INDEX($M$2:$M$1000,(ROW()-ROW($B$2))/16+1),"")</f>
        <v/>
      </c>
    </row>
    <row r="8787" spans="14:14" x14ac:dyDescent="0.3">
      <c r="N8787" t="str" cm="1">
        <f t="array" ref="N8787">IF(MOD(ROW()-ROW($B$2),16)=0,INDEX($M$2:$M$1000,(ROW()-ROW($B$2))/16+1),"")</f>
        <v/>
      </c>
    </row>
    <row r="8788" spans="14:14" x14ac:dyDescent="0.3">
      <c r="N8788" t="str" cm="1">
        <f t="array" ref="N8788">IF(MOD(ROW()-ROW($B$2),16)=0,INDEX($M$2:$M$1000,(ROW()-ROW($B$2))/16+1),"")</f>
        <v/>
      </c>
    </row>
    <row r="8789" spans="14:14" x14ac:dyDescent="0.3">
      <c r="N8789" t="str" cm="1">
        <f t="array" ref="N8789">IF(MOD(ROW()-ROW($B$2),16)=0,INDEX($M$2:$M$1000,(ROW()-ROW($B$2))/16+1),"")</f>
        <v/>
      </c>
    </row>
    <row r="8790" spans="14:14" x14ac:dyDescent="0.3">
      <c r="N8790" t="str" cm="1">
        <f t="array" ref="N8790">IF(MOD(ROW()-ROW($B$2),16)=0,INDEX($M$2:$M$1000,(ROW()-ROW($B$2))/16+1),"")</f>
        <v/>
      </c>
    </row>
    <row r="8791" spans="14:14" x14ac:dyDescent="0.3">
      <c r="N8791" t="str" cm="1">
        <f t="array" ref="N8791">IF(MOD(ROW()-ROW($B$2),16)=0,INDEX($M$2:$M$1000,(ROW()-ROW($B$2))/16+1),"")</f>
        <v/>
      </c>
    </row>
    <row r="8792" spans="14:14" x14ac:dyDescent="0.3">
      <c r="N8792" t="str" cm="1">
        <f t="array" ref="N8792">IF(MOD(ROW()-ROW($B$2),16)=0,INDEX($M$2:$M$1000,(ROW()-ROW($B$2))/16+1),"")</f>
        <v/>
      </c>
    </row>
    <row r="8793" spans="14:14" x14ac:dyDescent="0.3">
      <c r="N8793" t="str" cm="1">
        <f t="array" ref="N8793">IF(MOD(ROW()-ROW($B$2),16)=0,INDEX($M$2:$M$1000,(ROW()-ROW($B$2))/16+1),"")</f>
        <v/>
      </c>
    </row>
    <row r="8794" spans="14:14" x14ac:dyDescent="0.3">
      <c r="N8794" t="str" cm="1">
        <f t="array" ref="N8794">IF(MOD(ROW()-ROW($B$2),16)=0,INDEX($M$2:$M$1000,(ROW()-ROW($B$2))/16+1),"")</f>
        <v/>
      </c>
    </row>
    <row r="8795" spans="14:14" x14ac:dyDescent="0.3">
      <c r="N8795" t="str" cm="1">
        <f t="array" ref="N8795">IF(MOD(ROW()-ROW($B$2),16)=0,INDEX($M$2:$M$1000,(ROW()-ROW($B$2))/16+1),"")</f>
        <v/>
      </c>
    </row>
    <row r="8796" spans="14:14" x14ac:dyDescent="0.3">
      <c r="N8796" t="str" cm="1">
        <f t="array" ref="N8796">IF(MOD(ROW()-ROW($B$2),16)=0,INDEX($M$2:$M$1000,(ROW()-ROW($B$2))/16+1),"")</f>
        <v/>
      </c>
    </row>
    <row r="8797" spans="14:14" x14ac:dyDescent="0.3">
      <c r="N8797" t="str" cm="1">
        <f t="array" ref="N8797">IF(MOD(ROW()-ROW($B$2),16)=0,INDEX($M$2:$M$1000,(ROW()-ROW($B$2))/16+1),"")</f>
        <v/>
      </c>
    </row>
    <row r="8798" spans="14:14" x14ac:dyDescent="0.3">
      <c r="N8798" t="str" cm="1">
        <f t="array" ref="N8798">IF(MOD(ROW()-ROW($B$2),16)=0,INDEX($M$2:$M$1000,(ROW()-ROW($B$2))/16+1),"")</f>
        <v/>
      </c>
    </row>
    <row r="8799" spans="14:14" x14ac:dyDescent="0.3">
      <c r="N8799" t="str" cm="1">
        <f t="array" ref="N8799">IF(MOD(ROW()-ROW($B$2),16)=0,INDEX($M$2:$M$1000,(ROW()-ROW($B$2))/16+1),"")</f>
        <v/>
      </c>
    </row>
    <row r="8800" spans="14:14" x14ac:dyDescent="0.3">
      <c r="N8800" t="str" cm="1">
        <f t="array" ref="N8800">IF(MOD(ROW()-ROW($B$2),16)=0,INDEX($M$2:$M$1000,(ROW()-ROW($B$2))/16+1),"")</f>
        <v/>
      </c>
    </row>
    <row r="8801" spans="14:14" x14ac:dyDescent="0.3">
      <c r="N8801" t="str" cm="1">
        <f t="array" ref="N8801">IF(MOD(ROW()-ROW($B$2),16)=0,INDEX($M$2:$M$1000,(ROW()-ROW($B$2))/16+1),"")</f>
        <v/>
      </c>
    </row>
    <row r="8802" spans="14:14" x14ac:dyDescent="0.3">
      <c r="N8802" t="str" cm="1">
        <f t="array" ref="N8802">IF(MOD(ROW()-ROW($B$2),16)=0,INDEX($M$2:$M$1000,(ROW()-ROW($B$2))/16+1),"")</f>
        <v/>
      </c>
    </row>
    <row r="8803" spans="14:14" x14ac:dyDescent="0.3">
      <c r="N8803" t="str" cm="1">
        <f t="array" ref="N8803">IF(MOD(ROW()-ROW($B$2),16)=0,INDEX($M$2:$M$1000,(ROW()-ROW($B$2))/16+1),"")</f>
        <v/>
      </c>
    </row>
    <row r="8804" spans="14:14" x14ac:dyDescent="0.3">
      <c r="N8804" t="str" cm="1">
        <f t="array" ref="N8804">IF(MOD(ROW()-ROW($B$2),16)=0,INDEX($M$2:$M$1000,(ROW()-ROW($B$2))/16+1),"")</f>
        <v/>
      </c>
    </row>
    <row r="8805" spans="14:14" x14ac:dyDescent="0.3">
      <c r="N8805" t="str" cm="1">
        <f t="array" ref="N8805">IF(MOD(ROW()-ROW($B$2),16)=0,INDEX($M$2:$M$1000,(ROW()-ROW($B$2))/16+1),"")</f>
        <v/>
      </c>
    </row>
    <row r="8806" spans="14:14" x14ac:dyDescent="0.3">
      <c r="N8806" t="str" cm="1">
        <f t="array" ref="N8806">IF(MOD(ROW()-ROW($B$2),16)=0,INDEX($M$2:$M$1000,(ROW()-ROW($B$2))/16+1),"")</f>
        <v/>
      </c>
    </row>
    <row r="8807" spans="14:14" x14ac:dyDescent="0.3">
      <c r="N8807" t="str" cm="1">
        <f t="array" ref="N8807">IF(MOD(ROW()-ROW($B$2),16)=0,INDEX($M$2:$M$1000,(ROW()-ROW($B$2))/16+1),"")</f>
        <v/>
      </c>
    </row>
    <row r="8808" spans="14:14" x14ac:dyDescent="0.3">
      <c r="N8808" t="str" cm="1">
        <f t="array" ref="N8808">IF(MOD(ROW()-ROW($B$2),16)=0,INDEX($M$2:$M$1000,(ROW()-ROW($B$2))/16+1),"")</f>
        <v/>
      </c>
    </row>
    <row r="8809" spans="14:14" x14ac:dyDescent="0.3">
      <c r="N8809" t="str" cm="1">
        <f t="array" ref="N8809">IF(MOD(ROW()-ROW($B$2),16)=0,INDEX($M$2:$M$1000,(ROW()-ROW($B$2))/16+1),"")</f>
        <v/>
      </c>
    </row>
    <row r="8810" spans="14:14" x14ac:dyDescent="0.3">
      <c r="N8810" t="str" cm="1">
        <f t="array" ref="N8810">IF(MOD(ROW()-ROW($B$2),16)=0,INDEX($M$2:$M$1000,(ROW()-ROW($B$2))/16+1),"")</f>
        <v/>
      </c>
    </row>
    <row r="8811" spans="14:14" x14ac:dyDescent="0.3">
      <c r="N8811" t="str" cm="1">
        <f t="array" ref="N8811">IF(MOD(ROW()-ROW($B$2),16)=0,INDEX($M$2:$M$1000,(ROW()-ROW($B$2))/16+1),"")</f>
        <v/>
      </c>
    </row>
    <row r="8812" spans="14:14" x14ac:dyDescent="0.3">
      <c r="N8812" t="str" cm="1">
        <f t="array" ref="N8812">IF(MOD(ROW()-ROW($B$2),16)=0,INDEX($M$2:$M$1000,(ROW()-ROW($B$2))/16+1),"")</f>
        <v/>
      </c>
    </row>
    <row r="8813" spans="14:14" x14ac:dyDescent="0.3">
      <c r="N8813" t="str" cm="1">
        <f t="array" ref="N8813">IF(MOD(ROW()-ROW($B$2),16)=0,INDEX($M$2:$M$1000,(ROW()-ROW($B$2))/16+1),"")</f>
        <v/>
      </c>
    </row>
    <row r="8814" spans="14:14" x14ac:dyDescent="0.3">
      <c r="N8814" t="str" cm="1">
        <f t="array" ref="N8814">IF(MOD(ROW()-ROW($B$2),16)=0,INDEX($M$2:$M$1000,(ROW()-ROW($B$2))/16+1),"")</f>
        <v/>
      </c>
    </row>
    <row r="8815" spans="14:14" x14ac:dyDescent="0.3">
      <c r="N8815" t="str" cm="1">
        <f t="array" ref="N8815">IF(MOD(ROW()-ROW($B$2),16)=0,INDEX($M$2:$M$1000,(ROW()-ROW($B$2))/16+1),"")</f>
        <v/>
      </c>
    </row>
    <row r="8816" spans="14:14" x14ac:dyDescent="0.3">
      <c r="N8816" t="str" cm="1">
        <f t="array" ref="N8816">IF(MOD(ROW()-ROW($B$2),16)=0,INDEX($M$2:$M$1000,(ROW()-ROW($B$2))/16+1),"")</f>
        <v/>
      </c>
    </row>
    <row r="8817" spans="14:14" x14ac:dyDescent="0.3">
      <c r="N8817" t="str" cm="1">
        <f t="array" ref="N8817">IF(MOD(ROW()-ROW($B$2),16)=0,INDEX($M$2:$M$1000,(ROW()-ROW($B$2))/16+1),"")</f>
        <v/>
      </c>
    </row>
    <row r="8818" spans="14:14" x14ac:dyDescent="0.3">
      <c r="N8818" t="str" cm="1">
        <f t="array" ref="N8818">IF(MOD(ROW()-ROW($B$2),16)=0,INDEX($M$2:$M$1000,(ROW()-ROW($B$2))/16+1),"")</f>
        <v/>
      </c>
    </row>
    <row r="8819" spans="14:14" x14ac:dyDescent="0.3">
      <c r="N8819" t="str" cm="1">
        <f t="array" ref="N8819">IF(MOD(ROW()-ROW($B$2),16)=0,INDEX($M$2:$M$1000,(ROW()-ROW($B$2))/16+1),"")</f>
        <v/>
      </c>
    </row>
    <row r="8820" spans="14:14" x14ac:dyDescent="0.3">
      <c r="N8820" t="str" cm="1">
        <f t="array" ref="N8820">IF(MOD(ROW()-ROW($B$2),16)=0,INDEX($M$2:$M$1000,(ROW()-ROW($B$2))/16+1),"")</f>
        <v/>
      </c>
    </row>
    <row r="8821" spans="14:14" x14ac:dyDescent="0.3">
      <c r="N8821" t="str" cm="1">
        <f t="array" ref="N8821">IF(MOD(ROW()-ROW($B$2),16)=0,INDEX($M$2:$M$1000,(ROW()-ROW($B$2))/16+1),"")</f>
        <v/>
      </c>
    </row>
    <row r="8822" spans="14:14" x14ac:dyDescent="0.3">
      <c r="N8822" t="str" cm="1">
        <f t="array" ref="N8822">IF(MOD(ROW()-ROW($B$2),16)=0,INDEX($M$2:$M$1000,(ROW()-ROW($B$2))/16+1),"")</f>
        <v/>
      </c>
    </row>
    <row r="8823" spans="14:14" x14ac:dyDescent="0.3">
      <c r="N8823" t="str" cm="1">
        <f t="array" ref="N8823">IF(MOD(ROW()-ROW($B$2),16)=0,INDEX($M$2:$M$1000,(ROW()-ROW($B$2))/16+1),"")</f>
        <v/>
      </c>
    </row>
    <row r="8824" spans="14:14" x14ac:dyDescent="0.3">
      <c r="N8824" t="str" cm="1">
        <f t="array" ref="N8824">IF(MOD(ROW()-ROW($B$2),16)=0,INDEX($M$2:$M$1000,(ROW()-ROW($B$2))/16+1),"")</f>
        <v/>
      </c>
    </row>
    <row r="8825" spans="14:14" x14ac:dyDescent="0.3">
      <c r="N8825" t="str" cm="1">
        <f t="array" ref="N8825">IF(MOD(ROW()-ROW($B$2),16)=0,INDEX($M$2:$M$1000,(ROW()-ROW($B$2))/16+1),"")</f>
        <v/>
      </c>
    </row>
    <row r="8826" spans="14:14" x14ac:dyDescent="0.3">
      <c r="N8826" t="str" cm="1">
        <f t="array" ref="N8826">IF(MOD(ROW()-ROW($B$2),16)=0,INDEX($M$2:$M$1000,(ROW()-ROW($B$2))/16+1),"")</f>
        <v/>
      </c>
    </row>
    <row r="8827" spans="14:14" x14ac:dyDescent="0.3">
      <c r="N8827" t="str" cm="1">
        <f t="array" ref="N8827">IF(MOD(ROW()-ROW($B$2),16)=0,INDEX($M$2:$M$1000,(ROW()-ROW($B$2))/16+1),"")</f>
        <v/>
      </c>
    </row>
    <row r="8828" spans="14:14" x14ac:dyDescent="0.3">
      <c r="N8828" t="str" cm="1">
        <f t="array" ref="N8828">IF(MOD(ROW()-ROW($B$2),16)=0,INDEX($M$2:$M$1000,(ROW()-ROW($B$2))/16+1),"")</f>
        <v/>
      </c>
    </row>
    <row r="8829" spans="14:14" x14ac:dyDescent="0.3">
      <c r="N8829" t="str" cm="1">
        <f t="array" ref="N8829">IF(MOD(ROW()-ROW($B$2),16)=0,INDEX($M$2:$M$1000,(ROW()-ROW($B$2))/16+1),"")</f>
        <v/>
      </c>
    </row>
    <row r="8830" spans="14:14" x14ac:dyDescent="0.3">
      <c r="N8830" t="str" cm="1">
        <f t="array" ref="N8830">IF(MOD(ROW()-ROW($B$2),16)=0,INDEX($M$2:$M$1000,(ROW()-ROW($B$2))/16+1),"")</f>
        <v/>
      </c>
    </row>
    <row r="8831" spans="14:14" x14ac:dyDescent="0.3">
      <c r="N8831" t="str" cm="1">
        <f t="array" ref="N8831">IF(MOD(ROW()-ROW($B$2),16)=0,INDEX($M$2:$M$1000,(ROW()-ROW($B$2))/16+1),"")</f>
        <v/>
      </c>
    </row>
    <row r="8832" spans="14:14" x14ac:dyDescent="0.3">
      <c r="N8832" t="str" cm="1">
        <f t="array" ref="N8832">IF(MOD(ROW()-ROW($B$2),16)=0,INDEX($M$2:$M$1000,(ROW()-ROW($B$2))/16+1),"")</f>
        <v/>
      </c>
    </row>
    <row r="8833" spans="14:14" x14ac:dyDescent="0.3">
      <c r="N8833" t="str" cm="1">
        <f t="array" ref="N8833">IF(MOD(ROW()-ROW($B$2),16)=0,INDEX($M$2:$M$1000,(ROW()-ROW($B$2))/16+1),"")</f>
        <v/>
      </c>
    </row>
    <row r="8834" spans="14:14" x14ac:dyDescent="0.3">
      <c r="N8834" t="str" cm="1">
        <f t="array" ref="N8834">IF(MOD(ROW()-ROW($B$2),16)=0,INDEX($M$2:$M$1000,(ROW()-ROW($B$2))/16+1),"")</f>
        <v/>
      </c>
    </row>
    <row r="8835" spans="14:14" x14ac:dyDescent="0.3">
      <c r="N8835" t="str" cm="1">
        <f t="array" ref="N8835">IF(MOD(ROW()-ROW($B$2),16)=0,INDEX($M$2:$M$1000,(ROW()-ROW($B$2))/16+1),"")</f>
        <v/>
      </c>
    </row>
    <row r="8836" spans="14:14" x14ac:dyDescent="0.3">
      <c r="N8836" t="str" cm="1">
        <f t="array" ref="N8836">IF(MOD(ROW()-ROW($B$2),16)=0,INDEX($M$2:$M$1000,(ROW()-ROW($B$2))/16+1),"")</f>
        <v/>
      </c>
    </row>
    <row r="8837" spans="14:14" x14ac:dyDescent="0.3">
      <c r="N8837" t="str" cm="1">
        <f t="array" ref="N8837">IF(MOD(ROW()-ROW($B$2),16)=0,INDEX($M$2:$M$1000,(ROW()-ROW($B$2))/16+1),"")</f>
        <v/>
      </c>
    </row>
    <row r="8838" spans="14:14" x14ac:dyDescent="0.3">
      <c r="N8838" t="str" cm="1">
        <f t="array" ref="N8838">IF(MOD(ROW()-ROW($B$2),16)=0,INDEX($M$2:$M$1000,(ROW()-ROW($B$2))/16+1),"")</f>
        <v/>
      </c>
    </row>
    <row r="8839" spans="14:14" x14ac:dyDescent="0.3">
      <c r="N8839" t="str" cm="1">
        <f t="array" ref="N8839">IF(MOD(ROW()-ROW($B$2),16)=0,INDEX($M$2:$M$1000,(ROW()-ROW($B$2))/16+1),"")</f>
        <v/>
      </c>
    </row>
    <row r="8840" spans="14:14" x14ac:dyDescent="0.3">
      <c r="N8840" t="str" cm="1">
        <f t="array" ref="N8840">IF(MOD(ROW()-ROW($B$2),16)=0,INDEX($M$2:$M$1000,(ROW()-ROW($B$2))/16+1),"")</f>
        <v/>
      </c>
    </row>
    <row r="8841" spans="14:14" x14ac:dyDescent="0.3">
      <c r="N8841" t="str" cm="1">
        <f t="array" ref="N8841">IF(MOD(ROW()-ROW($B$2),16)=0,INDEX($M$2:$M$1000,(ROW()-ROW($B$2))/16+1),"")</f>
        <v/>
      </c>
    </row>
    <row r="8842" spans="14:14" x14ac:dyDescent="0.3">
      <c r="N8842" t="str" cm="1">
        <f t="array" ref="N8842">IF(MOD(ROW()-ROW($B$2),16)=0,INDEX($M$2:$M$1000,(ROW()-ROW($B$2))/16+1),"")</f>
        <v/>
      </c>
    </row>
    <row r="8843" spans="14:14" x14ac:dyDescent="0.3">
      <c r="N8843" t="str" cm="1">
        <f t="array" ref="N8843">IF(MOD(ROW()-ROW($B$2),16)=0,INDEX($M$2:$M$1000,(ROW()-ROW($B$2))/16+1),"")</f>
        <v/>
      </c>
    </row>
    <row r="8844" spans="14:14" x14ac:dyDescent="0.3">
      <c r="N8844" t="str" cm="1">
        <f t="array" ref="N8844">IF(MOD(ROW()-ROW($B$2),16)=0,INDEX($M$2:$M$1000,(ROW()-ROW($B$2))/16+1),"")</f>
        <v/>
      </c>
    </row>
    <row r="8845" spans="14:14" x14ac:dyDescent="0.3">
      <c r="N8845" t="str" cm="1">
        <f t="array" ref="N8845">IF(MOD(ROW()-ROW($B$2),16)=0,INDEX($M$2:$M$1000,(ROW()-ROW($B$2))/16+1),"")</f>
        <v/>
      </c>
    </row>
    <row r="8846" spans="14:14" x14ac:dyDescent="0.3">
      <c r="N8846" t="str" cm="1">
        <f t="array" ref="N8846">IF(MOD(ROW()-ROW($B$2),16)=0,INDEX($M$2:$M$1000,(ROW()-ROW($B$2))/16+1),"")</f>
        <v/>
      </c>
    </row>
    <row r="8847" spans="14:14" x14ac:dyDescent="0.3">
      <c r="N8847" t="str" cm="1">
        <f t="array" ref="N8847">IF(MOD(ROW()-ROW($B$2),16)=0,INDEX($M$2:$M$1000,(ROW()-ROW($B$2))/16+1),"")</f>
        <v/>
      </c>
    </row>
    <row r="8848" spans="14:14" x14ac:dyDescent="0.3">
      <c r="N8848" t="str" cm="1">
        <f t="array" ref="N8848">IF(MOD(ROW()-ROW($B$2),16)=0,INDEX($M$2:$M$1000,(ROW()-ROW($B$2))/16+1),"")</f>
        <v/>
      </c>
    </row>
    <row r="8849" spans="14:14" x14ac:dyDescent="0.3">
      <c r="N8849" t="str" cm="1">
        <f t="array" ref="N8849">IF(MOD(ROW()-ROW($B$2),16)=0,INDEX($M$2:$M$1000,(ROW()-ROW($B$2))/16+1),"")</f>
        <v/>
      </c>
    </row>
    <row r="8850" spans="14:14" x14ac:dyDescent="0.3">
      <c r="N8850" t="str" cm="1">
        <f t="array" ref="N8850">IF(MOD(ROW()-ROW($B$2),16)=0,INDEX($M$2:$M$1000,(ROW()-ROW($B$2))/16+1),"")</f>
        <v/>
      </c>
    </row>
    <row r="8851" spans="14:14" x14ac:dyDescent="0.3">
      <c r="N8851" t="str" cm="1">
        <f t="array" ref="N8851">IF(MOD(ROW()-ROW($B$2),16)=0,INDEX($M$2:$M$1000,(ROW()-ROW($B$2))/16+1),"")</f>
        <v/>
      </c>
    </row>
    <row r="8852" spans="14:14" x14ac:dyDescent="0.3">
      <c r="N8852" t="str" cm="1">
        <f t="array" ref="N8852">IF(MOD(ROW()-ROW($B$2),16)=0,INDEX($M$2:$M$1000,(ROW()-ROW($B$2))/16+1),"")</f>
        <v/>
      </c>
    </row>
    <row r="8853" spans="14:14" x14ac:dyDescent="0.3">
      <c r="N8853" t="str" cm="1">
        <f t="array" ref="N8853">IF(MOD(ROW()-ROW($B$2),16)=0,INDEX($M$2:$M$1000,(ROW()-ROW($B$2))/16+1),"")</f>
        <v/>
      </c>
    </row>
    <row r="8854" spans="14:14" x14ac:dyDescent="0.3">
      <c r="N8854" t="str" cm="1">
        <f t="array" ref="N8854">IF(MOD(ROW()-ROW($B$2),16)=0,INDEX($M$2:$M$1000,(ROW()-ROW($B$2))/16+1),"")</f>
        <v/>
      </c>
    </row>
    <row r="8855" spans="14:14" x14ac:dyDescent="0.3">
      <c r="N8855" t="str" cm="1">
        <f t="array" ref="N8855">IF(MOD(ROW()-ROW($B$2),16)=0,INDEX($M$2:$M$1000,(ROW()-ROW($B$2))/16+1),"")</f>
        <v/>
      </c>
    </row>
    <row r="8856" spans="14:14" x14ac:dyDescent="0.3">
      <c r="N8856" t="str" cm="1">
        <f t="array" ref="N8856">IF(MOD(ROW()-ROW($B$2),16)=0,INDEX($M$2:$M$1000,(ROW()-ROW($B$2))/16+1),"")</f>
        <v/>
      </c>
    </row>
    <row r="8857" spans="14:14" x14ac:dyDescent="0.3">
      <c r="N8857" t="str" cm="1">
        <f t="array" ref="N8857">IF(MOD(ROW()-ROW($B$2),16)=0,INDEX($M$2:$M$1000,(ROW()-ROW($B$2))/16+1),"")</f>
        <v/>
      </c>
    </row>
    <row r="8858" spans="14:14" x14ac:dyDescent="0.3">
      <c r="N8858" t="str" cm="1">
        <f t="array" ref="N8858">IF(MOD(ROW()-ROW($B$2),16)=0,INDEX($M$2:$M$1000,(ROW()-ROW($B$2))/16+1),"")</f>
        <v/>
      </c>
    </row>
    <row r="8859" spans="14:14" x14ac:dyDescent="0.3">
      <c r="N8859" t="str" cm="1">
        <f t="array" ref="N8859">IF(MOD(ROW()-ROW($B$2),16)=0,INDEX($M$2:$M$1000,(ROW()-ROW($B$2))/16+1),"")</f>
        <v/>
      </c>
    </row>
    <row r="8860" spans="14:14" x14ac:dyDescent="0.3">
      <c r="N8860" t="str" cm="1">
        <f t="array" ref="N8860">IF(MOD(ROW()-ROW($B$2),16)=0,INDEX($M$2:$M$1000,(ROW()-ROW($B$2))/16+1),"")</f>
        <v/>
      </c>
    </row>
    <row r="8861" spans="14:14" x14ac:dyDescent="0.3">
      <c r="N8861" t="str" cm="1">
        <f t="array" ref="N8861">IF(MOD(ROW()-ROW($B$2),16)=0,INDEX($M$2:$M$1000,(ROW()-ROW($B$2))/16+1),"")</f>
        <v/>
      </c>
    </row>
    <row r="8862" spans="14:14" x14ac:dyDescent="0.3">
      <c r="N8862" t="str" cm="1">
        <f t="array" ref="N8862">IF(MOD(ROW()-ROW($B$2),16)=0,INDEX($M$2:$M$1000,(ROW()-ROW($B$2))/16+1),"")</f>
        <v/>
      </c>
    </row>
    <row r="8863" spans="14:14" x14ac:dyDescent="0.3">
      <c r="N8863" t="str" cm="1">
        <f t="array" ref="N8863">IF(MOD(ROW()-ROW($B$2),16)=0,INDEX($M$2:$M$1000,(ROW()-ROW($B$2))/16+1),"")</f>
        <v/>
      </c>
    </row>
    <row r="8864" spans="14:14" x14ac:dyDescent="0.3">
      <c r="N8864" t="str" cm="1">
        <f t="array" ref="N8864">IF(MOD(ROW()-ROW($B$2),16)=0,INDEX($M$2:$M$1000,(ROW()-ROW($B$2))/16+1),"")</f>
        <v/>
      </c>
    </row>
    <row r="8865" spans="14:14" x14ac:dyDescent="0.3">
      <c r="N8865" t="str" cm="1">
        <f t="array" ref="N8865">IF(MOD(ROW()-ROW($B$2),16)=0,INDEX($M$2:$M$1000,(ROW()-ROW($B$2))/16+1),"")</f>
        <v/>
      </c>
    </row>
    <row r="8866" spans="14:14" x14ac:dyDescent="0.3">
      <c r="N8866" t="str" cm="1">
        <f t="array" ref="N8866">IF(MOD(ROW()-ROW($B$2),16)=0,INDEX($M$2:$M$1000,(ROW()-ROW($B$2))/16+1),"")</f>
        <v/>
      </c>
    </row>
    <row r="8867" spans="14:14" x14ac:dyDescent="0.3">
      <c r="N8867" t="str" cm="1">
        <f t="array" ref="N8867">IF(MOD(ROW()-ROW($B$2),16)=0,INDEX($M$2:$M$1000,(ROW()-ROW($B$2))/16+1),"")</f>
        <v/>
      </c>
    </row>
    <row r="8868" spans="14:14" x14ac:dyDescent="0.3">
      <c r="N8868" t="str" cm="1">
        <f t="array" ref="N8868">IF(MOD(ROW()-ROW($B$2),16)=0,INDEX($M$2:$M$1000,(ROW()-ROW($B$2))/16+1),"")</f>
        <v/>
      </c>
    </row>
    <row r="8869" spans="14:14" x14ac:dyDescent="0.3">
      <c r="N8869" t="str" cm="1">
        <f t="array" ref="N8869">IF(MOD(ROW()-ROW($B$2),16)=0,INDEX($M$2:$M$1000,(ROW()-ROW($B$2))/16+1),"")</f>
        <v/>
      </c>
    </row>
    <row r="8870" spans="14:14" x14ac:dyDescent="0.3">
      <c r="N8870" t="str" cm="1">
        <f t="array" ref="N8870">IF(MOD(ROW()-ROW($B$2),16)=0,INDEX($M$2:$M$1000,(ROW()-ROW($B$2))/16+1),"")</f>
        <v/>
      </c>
    </row>
    <row r="8871" spans="14:14" x14ac:dyDescent="0.3">
      <c r="N8871" t="str" cm="1">
        <f t="array" ref="N8871">IF(MOD(ROW()-ROW($B$2),16)=0,INDEX($M$2:$M$1000,(ROW()-ROW($B$2))/16+1),"")</f>
        <v/>
      </c>
    </row>
    <row r="8872" spans="14:14" x14ac:dyDescent="0.3">
      <c r="N8872" t="str" cm="1">
        <f t="array" ref="N8872">IF(MOD(ROW()-ROW($B$2),16)=0,INDEX($M$2:$M$1000,(ROW()-ROW($B$2))/16+1),"")</f>
        <v/>
      </c>
    </row>
    <row r="8873" spans="14:14" x14ac:dyDescent="0.3">
      <c r="N8873" t="str" cm="1">
        <f t="array" ref="N8873">IF(MOD(ROW()-ROW($B$2),16)=0,INDEX($M$2:$M$1000,(ROW()-ROW($B$2))/16+1),"")</f>
        <v/>
      </c>
    </row>
    <row r="8874" spans="14:14" x14ac:dyDescent="0.3">
      <c r="N8874" t="str" cm="1">
        <f t="array" ref="N8874">IF(MOD(ROW()-ROW($B$2),16)=0,INDEX($M$2:$M$1000,(ROW()-ROW($B$2))/16+1),"")</f>
        <v/>
      </c>
    </row>
    <row r="8875" spans="14:14" x14ac:dyDescent="0.3">
      <c r="N8875" t="str" cm="1">
        <f t="array" ref="N8875">IF(MOD(ROW()-ROW($B$2),16)=0,INDEX($M$2:$M$1000,(ROW()-ROW($B$2))/16+1),"")</f>
        <v/>
      </c>
    </row>
    <row r="8876" spans="14:14" x14ac:dyDescent="0.3">
      <c r="N8876" t="str" cm="1">
        <f t="array" ref="N8876">IF(MOD(ROW()-ROW($B$2),16)=0,INDEX($M$2:$M$1000,(ROW()-ROW($B$2))/16+1),"")</f>
        <v/>
      </c>
    </row>
    <row r="8877" spans="14:14" x14ac:dyDescent="0.3">
      <c r="N8877" t="str" cm="1">
        <f t="array" ref="N8877">IF(MOD(ROW()-ROW($B$2),16)=0,INDEX($M$2:$M$1000,(ROW()-ROW($B$2))/16+1),"")</f>
        <v/>
      </c>
    </row>
    <row r="8878" spans="14:14" x14ac:dyDescent="0.3">
      <c r="N8878" t="str" cm="1">
        <f t="array" ref="N8878">IF(MOD(ROW()-ROW($B$2),16)=0,INDEX($M$2:$M$1000,(ROW()-ROW($B$2))/16+1),"")</f>
        <v/>
      </c>
    </row>
    <row r="8879" spans="14:14" x14ac:dyDescent="0.3">
      <c r="N8879" t="str" cm="1">
        <f t="array" ref="N8879">IF(MOD(ROW()-ROW($B$2),16)=0,INDEX($M$2:$M$1000,(ROW()-ROW($B$2))/16+1),"")</f>
        <v/>
      </c>
    </row>
    <row r="8880" spans="14:14" x14ac:dyDescent="0.3">
      <c r="N8880" t="str" cm="1">
        <f t="array" ref="N8880">IF(MOD(ROW()-ROW($B$2),16)=0,INDEX($M$2:$M$1000,(ROW()-ROW($B$2))/16+1),"")</f>
        <v/>
      </c>
    </row>
    <row r="8881" spans="14:14" x14ac:dyDescent="0.3">
      <c r="N8881" t="str" cm="1">
        <f t="array" ref="N8881">IF(MOD(ROW()-ROW($B$2),16)=0,INDEX($M$2:$M$1000,(ROW()-ROW($B$2))/16+1),"")</f>
        <v/>
      </c>
    </row>
    <row r="8882" spans="14:14" x14ac:dyDescent="0.3">
      <c r="N8882" t="str" cm="1">
        <f t="array" ref="N8882">IF(MOD(ROW()-ROW($B$2),16)=0,INDEX($M$2:$M$1000,(ROW()-ROW($B$2))/16+1),"")</f>
        <v/>
      </c>
    </row>
    <row r="8883" spans="14:14" x14ac:dyDescent="0.3">
      <c r="N8883" t="str" cm="1">
        <f t="array" ref="N8883">IF(MOD(ROW()-ROW($B$2),16)=0,INDEX($M$2:$M$1000,(ROW()-ROW($B$2))/16+1),"")</f>
        <v/>
      </c>
    </row>
    <row r="8884" spans="14:14" x14ac:dyDescent="0.3">
      <c r="N8884" t="str" cm="1">
        <f t="array" ref="N8884">IF(MOD(ROW()-ROW($B$2),16)=0,INDEX($M$2:$M$1000,(ROW()-ROW($B$2))/16+1),"")</f>
        <v/>
      </c>
    </row>
    <row r="8885" spans="14:14" x14ac:dyDescent="0.3">
      <c r="N8885" t="str" cm="1">
        <f t="array" ref="N8885">IF(MOD(ROW()-ROW($B$2),16)=0,INDEX($M$2:$M$1000,(ROW()-ROW($B$2))/16+1),"")</f>
        <v/>
      </c>
    </row>
    <row r="8886" spans="14:14" x14ac:dyDescent="0.3">
      <c r="N8886" t="str" cm="1">
        <f t="array" ref="N8886">IF(MOD(ROW()-ROW($B$2),16)=0,INDEX($M$2:$M$1000,(ROW()-ROW($B$2))/16+1),"")</f>
        <v/>
      </c>
    </row>
    <row r="8887" spans="14:14" x14ac:dyDescent="0.3">
      <c r="N8887" t="str" cm="1">
        <f t="array" ref="N8887">IF(MOD(ROW()-ROW($B$2),16)=0,INDEX($M$2:$M$1000,(ROW()-ROW($B$2))/16+1),"")</f>
        <v/>
      </c>
    </row>
    <row r="8888" spans="14:14" x14ac:dyDescent="0.3">
      <c r="N8888" t="str" cm="1">
        <f t="array" ref="N8888">IF(MOD(ROW()-ROW($B$2),16)=0,INDEX($M$2:$M$1000,(ROW()-ROW($B$2))/16+1),"")</f>
        <v/>
      </c>
    </row>
    <row r="8889" spans="14:14" x14ac:dyDescent="0.3">
      <c r="N8889" t="str" cm="1">
        <f t="array" ref="N8889">IF(MOD(ROW()-ROW($B$2),16)=0,INDEX($M$2:$M$1000,(ROW()-ROW($B$2))/16+1),"")</f>
        <v/>
      </c>
    </row>
    <row r="8890" spans="14:14" x14ac:dyDescent="0.3">
      <c r="N8890" t="str" cm="1">
        <f t="array" ref="N8890">IF(MOD(ROW()-ROW($B$2),16)=0,INDEX($M$2:$M$1000,(ROW()-ROW($B$2))/16+1),"")</f>
        <v/>
      </c>
    </row>
    <row r="8891" spans="14:14" x14ac:dyDescent="0.3">
      <c r="N8891" t="str" cm="1">
        <f t="array" ref="N8891">IF(MOD(ROW()-ROW($B$2),16)=0,INDEX($M$2:$M$1000,(ROW()-ROW($B$2))/16+1),"")</f>
        <v/>
      </c>
    </row>
    <row r="8892" spans="14:14" x14ac:dyDescent="0.3">
      <c r="N8892" t="str" cm="1">
        <f t="array" ref="N8892">IF(MOD(ROW()-ROW($B$2),16)=0,INDEX($M$2:$M$1000,(ROW()-ROW($B$2))/16+1),"")</f>
        <v/>
      </c>
    </row>
    <row r="8893" spans="14:14" x14ac:dyDescent="0.3">
      <c r="N8893" t="str" cm="1">
        <f t="array" ref="N8893">IF(MOD(ROW()-ROW($B$2),16)=0,INDEX($M$2:$M$1000,(ROW()-ROW($B$2))/16+1),"")</f>
        <v/>
      </c>
    </row>
    <row r="8894" spans="14:14" x14ac:dyDescent="0.3">
      <c r="N8894" t="str" cm="1">
        <f t="array" ref="N8894">IF(MOD(ROW()-ROW($B$2),16)=0,INDEX($M$2:$M$1000,(ROW()-ROW($B$2))/16+1),"")</f>
        <v/>
      </c>
    </row>
    <row r="8895" spans="14:14" x14ac:dyDescent="0.3">
      <c r="N8895" t="str" cm="1">
        <f t="array" ref="N8895">IF(MOD(ROW()-ROW($B$2),16)=0,INDEX($M$2:$M$1000,(ROW()-ROW($B$2))/16+1),"")</f>
        <v/>
      </c>
    </row>
    <row r="8896" spans="14:14" x14ac:dyDescent="0.3">
      <c r="N8896" t="str" cm="1">
        <f t="array" ref="N8896">IF(MOD(ROW()-ROW($B$2),16)=0,INDEX($M$2:$M$1000,(ROW()-ROW($B$2))/16+1),"")</f>
        <v/>
      </c>
    </row>
    <row r="8897" spans="14:14" x14ac:dyDescent="0.3">
      <c r="N8897" t="str" cm="1">
        <f t="array" ref="N8897">IF(MOD(ROW()-ROW($B$2),16)=0,INDEX($M$2:$M$1000,(ROW()-ROW($B$2))/16+1),"")</f>
        <v/>
      </c>
    </row>
    <row r="8898" spans="14:14" x14ac:dyDescent="0.3">
      <c r="N8898" t="str" cm="1">
        <f t="array" ref="N8898">IF(MOD(ROW()-ROW($B$2),16)=0,INDEX($M$2:$M$1000,(ROW()-ROW($B$2))/16+1),"")</f>
        <v/>
      </c>
    </row>
    <row r="8899" spans="14:14" x14ac:dyDescent="0.3">
      <c r="N8899" t="str" cm="1">
        <f t="array" ref="N8899">IF(MOD(ROW()-ROW($B$2),16)=0,INDEX($M$2:$M$1000,(ROW()-ROW($B$2))/16+1),"")</f>
        <v/>
      </c>
    </row>
    <row r="8900" spans="14:14" x14ac:dyDescent="0.3">
      <c r="N8900" t="str" cm="1">
        <f t="array" ref="N8900">IF(MOD(ROW()-ROW($B$2),16)=0,INDEX($M$2:$M$1000,(ROW()-ROW($B$2))/16+1),"")</f>
        <v/>
      </c>
    </row>
    <row r="8901" spans="14:14" x14ac:dyDescent="0.3">
      <c r="N8901" t="str" cm="1">
        <f t="array" ref="N8901">IF(MOD(ROW()-ROW($B$2),16)=0,INDEX($M$2:$M$1000,(ROW()-ROW($B$2))/16+1),"")</f>
        <v/>
      </c>
    </row>
    <row r="8902" spans="14:14" x14ac:dyDescent="0.3">
      <c r="N8902" t="str" cm="1">
        <f t="array" ref="N8902">IF(MOD(ROW()-ROW($B$2),16)=0,INDEX($M$2:$M$1000,(ROW()-ROW($B$2))/16+1),"")</f>
        <v/>
      </c>
    </row>
    <row r="8903" spans="14:14" x14ac:dyDescent="0.3">
      <c r="N8903" t="str" cm="1">
        <f t="array" ref="N8903">IF(MOD(ROW()-ROW($B$2),16)=0,INDEX($M$2:$M$1000,(ROW()-ROW($B$2))/16+1),"")</f>
        <v/>
      </c>
    </row>
    <row r="8904" spans="14:14" x14ac:dyDescent="0.3">
      <c r="N8904" t="str" cm="1">
        <f t="array" ref="N8904">IF(MOD(ROW()-ROW($B$2),16)=0,INDEX($M$2:$M$1000,(ROW()-ROW($B$2))/16+1),"")</f>
        <v/>
      </c>
    </row>
    <row r="8905" spans="14:14" x14ac:dyDescent="0.3">
      <c r="N8905" t="str" cm="1">
        <f t="array" ref="N8905">IF(MOD(ROW()-ROW($B$2),16)=0,INDEX($M$2:$M$1000,(ROW()-ROW($B$2))/16+1),"")</f>
        <v/>
      </c>
    </row>
    <row r="8906" spans="14:14" x14ac:dyDescent="0.3">
      <c r="N8906" t="str" cm="1">
        <f t="array" ref="N8906">IF(MOD(ROW()-ROW($B$2),16)=0,INDEX($M$2:$M$1000,(ROW()-ROW($B$2))/16+1),"")</f>
        <v/>
      </c>
    </row>
    <row r="8907" spans="14:14" x14ac:dyDescent="0.3">
      <c r="N8907" t="str" cm="1">
        <f t="array" ref="N8907">IF(MOD(ROW()-ROW($B$2),16)=0,INDEX($M$2:$M$1000,(ROW()-ROW($B$2))/16+1),"")</f>
        <v/>
      </c>
    </row>
    <row r="8908" spans="14:14" x14ac:dyDescent="0.3">
      <c r="N8908" t="str" cm="1">
        <f t="array" ref="N8908">IF(MOD(ROW()-ROW($B$2),16)=0,INDEX($M$2:$M$1000,(ROW()-ROW($B$2))/16+1),"")</f>
        <v/>
      </c>
    </row>
    <row r="8909" spans="14:14" x14ac:dyDescent="0.3">
      <c r="N8909" t="str" cm="1">
        <f t="array" ref="N8909">IF(MOD(ROW()-ROW($B$2),16)=0,INDEX($M$2:$M$1000,(ROW()-ROW($B$2))/16+1),"")</f>
        <v/>
      </c>
    </row>
    <row r="8910" spans="14:14" x14ac:dyDescent="0.3">
      <c r="N8910" t="str" cm="1">
        <f t="array" ref="N8910">IF(MOD(ROW()-ROW($B$2),16)=0,INDEX($M$2:$M$1000,(ROW()-ROW($B$2))/16+1),"")</f>
        <v/>
      </c>
    </row>
    <row r="8911" spans="14:14" x14ac:dyDescent="0.3">
      <c r="N8911" t="str" cm="1">
        <f t="array" ref="N8911">IF(MOD(ROW()-ROW($B$2),16)=0,INDEX($M$2:$M$1000,(ROW()-ROW($B$2))/16+1),"")</f>
        <v/>
      </c>
    </row>
    <row r="8912" spans="14:14" x14ac:dyDescent="0.3">
      <c r="N8912" t="str" cm="1">
        <f t="array" ref="N8912">IF(MOD(ROW()-ROW($B$2),16)=0,INDEX($M$2:$M$1000,(ROW()-ROW($B$2))/16+1),"")</f>
        <v/>
      </c>
    </row>
    <row r="8913" spans="14:14" x14ac:dyDescent="0.3">
      <c r="N8913" t="str" cm="1">
        <f t="array" ref="N8913">IF(MOD(ROW()-ROW($B$2),16)=0,INDEX($M$2:$M$1000,(ROW()-ROW($B$2))/16+1),"")</f>
        <v/>
      </c>
    </row>
    <row r="8914" spans="14:14" x14ac:dyDescent="0.3">
      <c r="N8914" t="str" cm="1">
        <f t="array" ref="N8914">IF(MOD(ROW()-ROW($B$2),16)=0,INDEX($M$2:$M$1000,(ROW()-ROW($B$2))/16+1),"")</f>
        <v/>
      </c>
    </row>
    <row r="8915" spans="14:14" x14ac:dyDescent="0.3">
      <c r="N8915" t="str" cm="1">
        <f t="array" ref="N8915">IF(MOD(ROW()-ROW($B$2),16)=0,INDEX($M$2:$M$1000,(ROW()-ROW($B$2))/16+1),"")</f>
        <v/>
      </c>
    </row>
    <row r="8916" spans="14:14" x14ac:dyDescent="0.3">
      <c r="N8916" t="str" cm="1">
        <f t="array" ref="N8916">IF(MOD(ROW()-ROW($B$2),16)=0,INDEX($M$2:$M$1000,(ROW()-ROW($B$2))/16+1),"")</f>
        <v/>
      </c>
    </row>
    <row r="8917" spans="14:14" x14ac:dyDescent="0.3">
      <c r="N8917" t="str" cm="1">
        <f t="array" ref="N8917">IF(MOD(ROW()-ROW($B$2),16)=0,INDEX($M$2:$M$1000,(ROW()-ROW($B$2))/16+1),"")</f>
        <v/>
      </c>
    </row>
    <row r="8918" spans="14:14" x14ac:dyDescent="0.3">
      <c r="N8918" t="str" cm="1">
        <f t="array" ref="N8918">IF(MOD(ROW()-ROW($B$2),16)=0,INDEX($M$2:$M$1000,(ROW()-ROW($B$2))/16+1),"")</f>
        <v/>
      </c>
    </row>
    <row r="8919" spans="14:14" x14ac:dyDescent="0.3">
      <c r="N8919" t="str" cm="1">
        <f t="array" ref="N8919">IF(MOD(ROW()-ROW($B$2),16)=0,INDEX($M$2:$M$1000,(ROW()-ROW($B$2))/16+1),"")</f>
        <v/>
      </c>
    </row>
    <row r="8920" spans="14:14" x14ac:dyDescent="0.3">
      <c r="N8920" t="str" cm="1">
        <f t="array" ref="N8920">IF(MOD(ROW()-ROW($B$2),16)=0,INDEX($M$2:$M$1000,(ROW()-ROW($B$2))/16+1),"")</f>
        <v/>
      </c>
    </row>
    <row r="8921" spans="14:14" x14ac:dyDescent="0.3">
      <c r="N8921" t="str" cm="1">
        <f t="array" ref="N8921">IF(MOD(ROW()-ROW($B$2),16)=0,INDEX($M$2:$M$1000,(ROW()-ROW($B$2))/16+1),"")</f>
        <v/>
      </c>
    </row>
    <row r="8922" spans="14:14" x14ac:dyDescent="0.3">
      <c r="N8922" t="str" cm="1">
        <f t="array" ref="N8922">IF(MOD(ROW()-ROW($B$2),16)=0,INDEX($M$2:$M$1000,(ROW()-ROW($B$2))/16+1),"")</f>
        <v/>
      </c>
    </row>
    <row r="8923" spans="14:14" x14ac:dyDescent="0.3">
      <c r="N8923" t="str" cm="1">
        <f t="array" ref="N8923">IF(MOD(ROW()-ROW($B$2),16)=0,INDEX($M$2:$M$1000,(ROW()-ROW($B$2))/16+1),"")</f>
        <v/>
      </c>
    </row>
    <row r="8924" spans="14:14" x14ac:dyDescent="0.3">
      <c r="N8924" t="str" cm="1">
        <f t="array" ref="N8924">IF(MOD(ROW()-ROW($B$2),16)=0,INDEX($M$2:$M$1000,(ROW()-ROW($B$2))/16+1),"")</f>
        <v/>
      </c>
    </row>
    <row r="8925" spans="14:14" x14ac:dyDescent="0.3">
      <c r="N8925" t="str" cm="1">
        <f t="array" ref="N8925">IF(MOD(ROW()-ROW($B$2),16)=0,INDEX($M$2:$M$1000,(ROW()-ROW($B$2))/16+1),"")</f>
        <v/>
      </c>
    </row>
    <row r="8926" spans="14:14" x14ac:dyDescent="0.3">
      <c r="N8926" t="str" cm="1">
        <f t="array" ref="N8926">IF(MOD(ROW()-ROW($B$2),16)=0,INDEX($M$2:$M$1000,(ROW()-ROW($B$2))/16+1),"")</f>
        <v/>
      </c>
    </row>
    <row r="8927" spans="14:14" x14ac:dyDescent="0.3">
      <c r="N8927" t="str" cm="1">
        <f t="array" ref="N8927">IF(MOD(ROW()-ROW($B$2),16)=0,INDEX($M$2:$M$1000,(ROW()-ROW($B$2))/16+1),"")</f>
        <v/>
      </c>
    </row>
    <row r="8928" spans="14:14" x14ac:dyDescent="0.3">
      <c r="N8928" t="str" cm="1">
        <f t="array" ref="N8928">IF(MOD(ROW()-ROW($B$2),16)=0,INDEX($M$2:$M$1000,(ROW()-ROW($B$2))/16+1),"")</f>
        <v/>
      </c>
    </row>
    <row r="8929" spans="14:14" x14ac:dyDescent="0.3">
      <c r="N8929" t="str" cm="1">
        <f t="array" ref="N8929">IF(MOD(ROW()-ROW($B$2),16)=0,INDEX($M$2:$M$1000,(ROW()-ROW($B$2))/16+1),"")</f>
        <v/>
      </c>
    </row>
    <row r="8930" spans="14:14" x14ac:dyDescent="0.3">
      <c r="N8930" t="str" cm="1">
        <f t="array" ref="N8930">IF(MOD(ROW()-ROW($B$2),16)=0,INDEX($M$2:$M$1000,(ROW()-ROW($B$2))/16+1),"")</f>
        <v/>
      </c>
    </row>
    <row r="8931" spans="14:14" x14ac:dyDescent="0.3">
      <c r="N8931" t="str" cm="1">
        <f t="array" ref="N8931">IF(MOD(ROW()-ROW($B$2),16)=0,INDEX($M$2:$M$1000,(ROW()-ROW($B$2))/16+1),"")</f>
        <v/>
      </c>
    </row>
    <row r="8932" spans="14:14" x14ac:dyDescent="0.3">
      <c r="N8932" t="str" cm="1">
        <f t="array" ref="N8932">IF(MOD(ROW()-ROW($B$2),16)=0,INDEX($M$2:$M$1000,(ROW()-ROW($B$2))/16+1),"")</f>
        <v/>
      </c>
    </row>
    <row r="8933" spans="14:14" x14ac:dyDescent="0.3">
      <c r="N8933" t="str" cm="1">
        <f t="array" ref="N8933">IF(MOD(ROW()-ROW($B$2),16)=0,INDEX($M$2:$M$1000,(ROW()-ROW($B$2))/16+1),"")</f>
        <v/>
      </c>
    </row>
    <row r="8934" spans="14:14" x14ac:dyDescent="0.3">
      <c r="N8934" t="str" cm="1">
        <f t="array" ref="N8934">IF(MOD(ROW()-ROW($B$2),16)=0,INDEX($M$2:$M$1000,(ROW()-ROW($B$2))/16+1),"")</f>
        <v/>
      </c>
    </row>
    <row r="8935" spans="14:14" x14ac:dyDescent="0.3">
      <c r="N8935" t="str" cm="1">
        <f t="array" ref="N8935">IF(MOD(ROW()-ROW($B$2),16)=0,INDEX($M$2:$M$1000,(ROW()-ROW($B$2))/16+1),"")</f>
        <v/>
      </c>
    </row>
    <row r="8936" spans="14:14" x14ac:dyDescent="0.3">
      <c r="N8936" t="str" cm="1">
        <f t="array" ref="N8936">IF(MOD(ROW()-ROW($B$2),16)=0,INDEX($M$2:$M$1000,(ROW()-ROW($B$2))/16+1),"")</f>
        <v/>
      </c>
    </row>
    <row r="8937" spans="14:14" x14ac:dyDescent="0.3">
      <c r="N8937" t="str" cm="1">
        <f t="array" ref="N8937">IF(MOD(ROW()-ROW($B$2),16)=0,INDEX($M$2:$M$1000,(ROW()-ROW($B$2))/16+1),"")</f>
        <v/>
      </c>
    </row>
    <row r="8938" spans="14:14" x14ac:dyDescent="0.3">
      <c r="N8938" t="str" cm="1">
        <f t="array" ref="N8938">IF(MOD(ROW()-ROW($B$2),16)=0,INDEX($M$2:$M$1000,(ROW()-ROW($B$2))/16+1),"")</f>
        <v/>
      </c>
    </row>
    <row r="8939" spans="14:14" x14ac:dyDescent="0.3">
      <c r="N8939" t="str" cm="1">
        <f t="array" ref="N8939">IF(MOD(ROW()-ROW($B$2),16)=0,INDEX($M$2:$M$1000,(ROW()-ROW($B$2))/16+1),"")</f>
        <v/>
      </c>
    </row>
    <row r="8940" spans="14:14" x14ac:dyDescent="0.3">
      <c r="N8940" t="str" cm="1">
        <f t="array" ref="N8940">IF(MOD(ROW()-ROW($B$2),16)=0,INDEX($M$2:$M$1000,(ROW()-ROW($B$2))/16+1),"")</f>
        <v/>
      </c>
    </row>
    <row r="8941" spans="14:14" x14ac:dyDescent="0.3">
      <c r="N8941" t="str" cm="1">
        <f t="array" ref="N8941">IF(MOD(ROW()-ROW($B$2),16)=0,INDEX($M$2:$M$1000,(ROW()-ROW($B$2))/16+1),"")</f>
        <v/>
      </c>
    </row>
    <row r="8942" spans="14:14" x14ac:dyDescent="0.3">
      <c r="N8942" t="str" cm="1">
        <f t="array" ref="N8942">IF(MOD(ROW()-ROW($B$2),16)=0,INDEX($M$2:$M$1000,(ROW()-ROW($B$2))/16+1),"")</f>
        <v/>
      </c>
    </row>
    <row r="8943" spans="14:14" x14ac:dyDescent="0.3">
      <c r="N8943" t="str" cm="1">
        <f t="array" ref="N8943">IF(MOD(ROW()-ROW($B$2),16)=0,INDEX($M$2:$M$1000,(ROW()-ROW($B$2))/16+1),"")</f>
        <v/>
      </c>
    </row>
    <row r="8944" spans="14:14" x14ac:dyDescent="0.3">
      <c r="N8944" t="str" cm="1">
        <f t="array" ref="N8944">IF(MOD(ROW()-ROW($B$2),16)=0,INDEX($M$2:$M$1000,(ROW()-ROW($B$2))/16+1),"")</f>
        <v/>
      </c>
    </row>
    <row r="8945" spans="14:14" x14ac:dyDescent="0.3">
      <c r="N8945" t="str" cm="1">
        <f t="array" ref="N8945">IF(MOD(ROW()-ROW($B$2),16)=0,INDEX($M$2:$M$1000,(ROW()-ROW($B$2))/16+1),"")</f>
        <v/>
      </c>
    </row>
    <row r="8946" spans="14:14" x14ac:dyDescent="0.3">
      <c r="N8946" t="str" cm="1">
        <f t="array" ref="N8946">IF(MOD(ROW()-ROW($B$2),16)=0,INDEX($M$2:$M$1000,(ROW()-ROW($B$2))/16+1),"")</f>
        <v/>
      </c>
    </row>
    <row r="8947" spans="14:14" x14ac:dyDescent="0.3">
      <c r="N8947" t="str" cm="1">
        <f t="array" ref="N8947">IF(MOD(ROW()-ROW($B$2),16)=0,INDEX($M$2:$M$1000,(ROW()-ROW($B$2))/16+1),"")</f>
        <v/>
      </c>
    </row>
    <row r="8948" spans="14:14" x14ac:dyDescent="0.3">
      <c r="N8948" t="str" cm="1">
        <f t="array" ref="N8948">IF(MOD(ROW()-ROW($B$2),16)=0,INDEX($M$2:$M$1000,(ROW()-ROW($B$2))/16+1),"")</f>
        <v/>
      </c>
    </row>
    <row r="8949" spans="14:14" x14ac:dyDescent="0.3">
      <c r="N8949" t="str" cm="1">
        <f t="array" ref="N8949">IF(MOD(ROW()-ROW($B$2),16)=0,INDEX($M$2:$M$1000,(ROW()-ROW($B$2))/16+1),"")</f>
        <v/>
      </c>
    </row>
    <row r="8950" spans="14:14" x14ac:dyDescent="0.3">
      <c r="N8950" t="str" cm="1">
        <f t="array" ref="N8950">IF(MOD(ROW()-ROW($B$2),16)=0,INDEX($M$2:$M$1000,(ROW()-ROW($B$2))/16+1),"")</f>
        <v/>
      </c>
    </row>
    <row r="8951" spans="14:14" x14ac:dyDescent="0.3">
      <c r="N8951" t="str" cm="1">
        <f t="array" ref="N8951">IF(MOD(ROW()-ROW($B$2),16)=0,INDEX($M$2:$M$1000,(ROW()-ROW($B$2))/16+1),"")</f>
        <v/>
      </c>
    </row>
    <row r="8952" spans="14:14" x14ac:dyDescent="0.3">
      <c r="N8952" t="str" cm="1">
        <f t="array" ref="N8952">IF(MOD(ROW()-ROW($B$2),16)=0,INDEX($M$2:$M$1000,(ROW()-ROW($B$2))/16+1),"")</f>
        <v/>
      </c>
    </row>
    <row r="8953" spans="14:14" x14ac:dyDescent="0.3">
      <c r="N8953" t="str" cm="1">
        <f t="array" ref="N8953">IF(MOD(ROW()-ROW($B$2),16)=0,INDEX($M$2:$M$1000,(ROW()-ROW($B$2))/16+1),"")</f>
        <v/>
      </c>
    </row>
    <row r="8954" spans="14:14" x14ac:dyDescent="0.3">
      <c r="N8954" t="str" cm="1">
        <f t="array" ref="N8954">IF(MOD(ROW()-ROW($B$2),16)=0,INDEX($M$2:$M$1000,(ROW()-ROW($B$2))/16+1),"")</f>
        <v/>
      </c>
    </row>
    <row r="8955" spans="14:14" x14ac:dyDescent="0.3">
      <c r="N8955" t="str" cm="1">
        <f t="array" ref="N8955">IF(MOD(ROW()-ROW($B$2),16)=0,INDEX($M$2:$M$1000,(ROW()-ROW($B$2))/16+1),"")</f>
        <v/>
      </c>
    </row>
    <row r="8956" spans="14:14" x14ac:dyDescent="0.3">
      <c r="N8956" t="str" cm="1">
        <f t="array" ref="N8956">IF(MOD(ROW()-ROW($B$2),16)=0,INDEX($M$2:$M$1000,(ROW()-ROW($B$2))/16+1),"")</f>
        <v/>
      </c>
    </row>
    <row r="8957" spans="14:14" x14ac:dyDescent="0.3">
      <c r="N8957" t="str" cm="1">
        <f t="array" ref="N8957">IF(MOD(ROW()-ROW($B$2),16)=0,INDEX($M$2:$M$1000,(ROW()-ROW($B$2))/16+1),"")</f>
        <v/>
      </c>
    </row>
    <row r="8958" spans="14:14" x14ac:dyDescent="0.3">
      <c r="N8958" t="str" cm="1">
        <f t="array" ref="N8958">IF(MOD(ROW()-ROW($B$2),16)=0,INDEX($M$2:$M$1000,(ROW()-ROW($B$2))/16+1),"")</f>
        <v/>
      </c>
    </row>
    <row r="8959" spans="14:14" x14ac:dyDescent="0.3">
      <c r="N8959" t="str" cm="1">
        <f t="array" ref="N8959">IF(MOD(ROW()-ROW($B$2),16)=0,INDEX($M$2:$M$1000,(ROW()-ROW($B$2))/16+1),"")</f>
        <v/>
      </c>
    </row>
    <row r="8960" spans="14:14" x14ac:dyDescent="0.3">
      <c r="N8960" t="str" cm="1">
        <f t="array" ref="N8960">IF(MOD(ROW()-ROW($B$2),16)=0,INDEX($M$2:$M$1000,(ROW()-ROW($B$2))/16+1),"")</f>
        <v/>
      </c>
    </row>
    <row r="8961" spans="14:14" x14ac:dyDescent="0.3">
      <c r="N8961" t="str" cm="1">
        <f t="array" ref="N8961">IF(MOD(ROW()-ROW($B$2),16)=0,INDEX($M$2:$M$1000,(ROW()-ROW($B$2))/16+1),"")</f>
        <v/>
      </c>
    </row>
    <row r="8962" spans="14:14" x14ac:dyDescent="0.3">
      <c r="N8962" t="str" cm="1">
        <f t="array" ref="N8962">IF(MOD(ROW()-ROW($B$2),16)=0,INDEX($M$2:$M$1000,(ROW()-ROW($B$2))/16+1),"")</f>
        <v/>
      </c>
    </row>
    <row r="8963" spans="14:14" x14ac:dyDescent="0.3">
      <c r="N8963" t="str" cm="1">
        <f t="array" ref="N8963">IF(MOD(ROW()-ROW($B$2),16)=0,INDEX($M$2:$M$1000,(ROW()-ROW($B$2))/16+1),"")</f>
        <v/>
      </c>
    </row>
    <row r="8964" spans="14:14" x14ac:dyDescent="0.3">
      <c r="N8964" t="str" cm="1">
        <f t="array" ref="N8964">IF(MOD(ROW()-ROW($B$2),16)=0,INDEX($M$2:$M$1000,(ROW()-ROW($B$2))/16+1),"")</f>
        <v/>
      </c>
    </row>
    <row r="8965" spans="14:14" x14ac:dyDescent="0.3">
      <c r="N8965" t="str" cm="1">
        <f t="array" ref="N8965">IF(MOD(ROW()-ROW($B$2),16)=0,INDEX($M$2:$M$1000,(ROW()-ROW($B$2))/16+1),"")</f>
        <v/>
      </c>
    </row>
    <row r="8966" spans="14:14" x14ac:dyDescent="0.3">
      <c r="N8966" t="str" cm="1">
        <f t="array" ref="N8966">IF(MOD(ROW()-ROW($B$2),16)=0,INDEX($M$2:$M$1000,(ROW()-ROW($B$2))/16+1),"")</f>
        <v/>
      </c>
    </row>
    <row r="8967" spans="14:14" x14ac:dyDescent="0.3">
      <c r="N8967" t="str" cm="1">
        <f t="array" ref="N8967">IF(MOD(ROW()-ROW($B$2),16)=0,INDEX($M$2:$M$1000,(ROW()-ROW($B$2))/16+1),"")</f>
        <v/>
      </c>
    </row>
    <row r="8968" spans="14:14" x14ac:dyDescent="0.3">
      <c r="N8968" t="str" cm="1">
        <f t="array" ref="N8968">IF(MOD(ROW()-ROW($B$2),16)=0,INDEX($M$2:$M$1000,(ROW()-ROW($B$2))/16+1),"")</f>
        <v/>
      </c>
    </row>
    <row r="8969" spans="14:14" x14ac:dyDescent="0.3">
      <c r="N8969" t="str" cm="1">
        <f t="array" ref="N8969">IF(MOD(ROW()-ROW($B$2),16)=0,INDEX($M$2:$M$1000,(ROW()-ROW($B$2))/16+1),"")</f>
        <v/>
      </c>
    </row>
    <row r="8970" spans="14:14" x14ac:dyDescent="0.3">
      <c r="N8970" t="str" cm="1">
        <f t="array" ref="N8970">IF(MOD(ROW()-ROW($B$2),16)=0,INDEX($M$2:$M$1000,(ROW()-ROW($B$2))/16+1),"")</f>
        <v/>
      </c>
    </row>
    <row r="8971" spans="14:14" x14ac:dyDescent="0.3">
      <c r="N8971" t="str" cm="1">
        <f t="array" ref="N8971">IF(MOD(ROW()-ROW($B$2),16)=0,INDEX($M$2:$M$1000,(ROW()-ROW($B$2))/16+1),"")</f>
        <v/>
      </c>
    </row>
    <row r="8972" spans="14:14" x14ac:dyDescent="0.3">
      <c r="N8972" t="str" cm="1">
        <f t="array" ref="N8972">IF(MOD(ROW()-ROW($B$2),16)=0,INDEX($M$2:$M$1000,(ROW()-ROW($B$2))/16+1),"")</f>
        <v/>
      </c>
    </row>
    <row r="8973" spans="14:14" x14ac:dyDescent="0.3">
      <c r="N8973" t="str" cm="1">
        <f t="array" ref="N8973">IF(MOD(ROW()-ROW($B$2),16)=0,INDEX($M$2:$M$1000,(ROW()-ROW($B$2))/16+1),"")</f>
        <v/>
      </c>
    </row>
    <row r="8974" spans="14:14" x14ac:dyDescent="0.3">
      <c r="N8974" t="str" cm="1">
        <f t="array" ref="N8974">IF(MOD(ROW()-ROW($B$2),16)=0,INDEX($M$2:$M$1000,(ROW()-ROW($B$2))/16+1),"")</f>
        <v/>
      </c>
    </row>
    <row r="8975" spans="14:14" x14ac:dyDescent="0.3">
      <c r="N8975" t="str" cm="1">
        <f t="array" ref="N8975">IF(MOD(ROW()-ROW($B$2),16)=0,INDEX($M$2:$M$1000,(ROW()-ROW($B$2))/16+1),"")</f>
        <v/>
      </c>
    </row>
    <row r="8976" spans="14:14" x14ac:dyDescent="0.3">
      <c r="N8976" t="str" cm="1">
        <f t="array" ref="N8976">IF(MOD(ROW()-ROW($B$2),16)=0,INDEX($M$2:$M$1000,(ROW()-ROW($B$2))/16+1),"")</f>
        <v/>
      </c>
    </row>
    <row r="8977" spans="14:14" x14ac:dyDescent="0.3">
      <c r="N8977" t="str" cm="1">
        <f t="array" ref="N8977">IF(MOD(ROW()-ROW($B$2),16)=0,INDEX($M$2:$M$1000,(ROW()-ROW($B$2))/16+1),"")</f>
        <v/>
      </c>
    </row>
    <row r="8978" spans="14:14" x14ac:dyDescent="0.3">
      <c r="N8978" t="str" cm="1">
        <f t="array" ref="N8978">IF(MOD(ROW()-ROW($B$2),16)=0,INDEX($M$2:$M$1000,(ROW()-ROW($B$2))/16+1),"")</f>
        <v/>
      </c>
    </row>
    <row r="8979" spans="14:14" x14ac:dyDescent="0.3">
      <c r="N8979" t="str" cm="1">
        <f t="array" ref="N8979">IF(MOD(ROW()-ROW($B$2),16)=0,INDEX($M$2:$M$1000,(ROW()-ROW($B$2))/16+1),"")</f>
        <v/>
      </c>
    </row>
    <row r="8980" spans="14:14" x14ac:dyDescent="0.3">
      <c r="N8980" t="str" cm="1">
        <f t="array" ref="N8980">IF(MOD(ROW()-ROW($B$2),16)=0,INDEX($M$2:$M$1000,(ROW()-ROW($B$2))/16+1),"")</f>
        <v/>
      </c>
    </row>
    <row r="8981" spans="14:14" x14ac:dyDescent="0.3">
      <c r="N8981" t="str" cm="1">
        <f t="array" ref="N8981">IF(MOD(ROW()-ROW($B$2),16)=0,INDEX($M$2:$M$1000,(ROW()-ROW($B$2))/16+1),"")</f>
        <v/>
      </c>
    </row>
    <row r="8982" spans="14:14" x14ac:dyDescent="0.3">
      <c r="N8982" t="str" cm="1">
        <f t="array" ref="N8982">IF(MOD(ROW()-ROW($B$2),16)=0,INDEX($M$2:$M$1000,(ROW()-ROW($B$2))/16+1),"")</f>
        <v/>
      </c>
    </row>
    <row r="8983" spans="14:14" x14ac:dyDescent="0.3">
      <c r="N8983" t="str" cm="1">
        <f t="array" ref="N8983">IF(MOD(ROW()-ROW($B$2),16)=0,INDEX($M$2:$M$1000,(ROW()-ROW($B$2))/16+1),"")</f>
        <v/>
      </c>
    </row>
    <row r="8984" spans="14:14" x14ac:dyDescent="0.3">
      <c r="N8984" t="str" cm="1">
        <f t="array" ref="N8984">IF(MOD(ROW()-ROW($B$2),16)=0,INDEX($M$2:$M$1000,(ROW()-ROW($B$2))/16+1),"")</f>
        <v/>
      </c>
    </row>
    <row r="8985" spans="14:14" x14ac:dyDescent="0.3">
      <c r="N8985" t="str" cm="1">
        <f t="array" ref="N8985">IF(MOD(ROW()-ROW($B$2),16)=0,INDEX($M$2:$M$1000,(ROW()-ROW($B$2))/16+1),"")</f>
        <v/>
      </c>
    </row>
    <row r="8986" spans="14:14" x14ac:dyDescent="0.3">
      <c r="N8986" t="str" cm="1">
        <f t="array" ref="N8986">IF(MOD(ROW()-ROW($B$2),16)=0,INDEX($M$2:$M$1000,(ROW()-ROW($B$2))/16+1),"")</f>
        <v/>
      </c>
    </row>
    <row r="8987" spans="14:14" x14ac:dyDescent="0.3">
      <c r="N8987" t="str" cm="1">
        <f t="array" ref="N8987">IF(MOD(ROW()-ROW($B$2),16)=0,INDEX($M$2:$M$1000,(ROW()-ROW($B$2))/16+1),"")</f>
        <v/>
      </c>
    </row>
    <row r="8988" spans="14:14" x14ac:dyDescent="0.3">
      <c r="N8988" t="str" cm="1">
        <f t="array" ref="N8988">IF(MOD(ROW()-ROW($B$2),16)=0,INDEX($M$2:$M$1000,(ROW()-ROW($B$2))/16+1),"")</f>
        <v/>
      </c>
    </row>
    <row r="8989" spans="14:14" x14ac:dyDescent="0.3">
      <c r="N8989" t="str" cm="1">
        <f t="array" ref="N8989">IF(MOD(ROW()-ROW($B$2),16)=0,INDEX($M$2:$M$1000,(ROW()-ROW($B$2))/16+1),"")</f>
        <v/>
      </c>
    </row>
    <row r="8990" spans="14:14" x14ac:dyDescent="0.3">
      <c r="N8990" t="str" cm="1">
        <f t="array" ref="N8990">IF(MOD(ROW()-ROW($B$2),16)=0,INDEX($M$2:$M$1000,(ROW()-ROW($B$2))/16+1),"")</f>
        <v/>
      </c>
    </row>
    <row r="8991" spans="14:14" x14ac:dyDescent="0.3">
      <c r="N8991" t="str" cm="1">
        <f t="array" ref="N8991">IF(MOD(ROW()-ROW($B$2),16)=0,INDEX($M$2:$M$1000,(ROW()-ROW($B$2))/16+1),"")</f>
        <v/>
      </c>
    </row>
    <row r="8992" spans="14:14" x14ac:dyDescent="0.3">
      <c r="N8992" t="str" cm="1">
        <f t="array" ref="N8992">IF(MOD(ROW()-ROW($B$2),16)=0,INDEX($M$2:$M$1000,(ROW()-ROW($B$2))/16+1),"")</f>
        <v/>
      </c>
    </row>
    <row r="8993" spans="14:14" x14ac:dyDescent="0.3">
      <c r="N8993" t="str" cm="1">
        <f t="array" ref="N8993">IF(MOD(ROW()-ROW($B$2),16)=0,INDEX($M$2:$M$1000,(ROW()-ROW($B$2))/16+1),"")</f>
        <v/>
      </c>
    </row>
    <row r="8994" spans="14:14" x14ac:dyDescent="0.3">
      <c r="N8994" t="str" cm="1">
        <f t="array" ref="N8994">IF(MOD(ROW()-ROW($B$2),16)=0,INDEX($M$2:$M$1000,(ROW()-ROW($B$2))/16+1),"")</f>
        <v/>
      </c>
    </row>
    <row r="8995" spans="14:14" x14ac:dyDescent="0.3">
      <c r="N8995" t="str" cm="1">
        <f t="array" ref="N8995">IF(MOD(ROW()-ROW($B$2),16)=0,INDEX($M$2:$M$1000,(ROW()-ROW($B$2))/16+1),"")</f>
        <v/>
      </c>
    </row>
    <row r="8996" spans="14:14" x14ac:dyDescent="0.3">
      <c r="N8996" t="str" cm="1">
        <f t="array" ref="N8996">IF(MOD(ROW()-ROW($B$2),16)=0,INDEX($M$2:$M$1000,(ROW()-ROW($B$2))/16+1),"")</f>
        <v/>
      </c>
    </row>
    <row r="8997" spans="14:14" x14ac:dyDescent="0.3">
      <c r="N8997" t="str" cm="1">
        <f t="array" ref="N8997">IF(MOD(ROW()-ROW($B$2),16)=0,INDEX($M$2:$M$1000,(ROW()-ROW($B$2))/16+1),"")</f>
        <v/>
      </c>
    </row>
    <row r="8998" spans="14:14" x14ac:dyDescent="0.3">
      <c r="N8998" t="str" cm="1">
        <f t="array" ref="N8998">IF(MOD(ROW()-ROW($B$2),16)=0,INDEX($M$2:$M$1000,(ROW()-ROW($B$2))/16+1),"")</f>
        <v/>
      </c>
    </row>
    <row r="8999" spans="14:14" x14ac:dyDescent="0.3">
      <c r="N8999" t="str" cm="1">
        <f t="array" ref="N8999">IF(MOD(ROW()-ROW($B$2),16)=0,INDEX($M$2:$M$1000,(ROW()-ROW($B$2))/16+1),"")</f>
        <v/>
      </c>
    </row>
    <row r="9000" spans="14:14" x14ac:dyDescent="0.3">
      <c r="N9000" t="str" cm="1">
        <f t="array" ref="N9000">IF(MOD(ROW()-ROW($B$2),16)=0,INDEX($M$2:$M$1000,(ROW()-ROW($B$2))/16+1),"")</f>
        <v/>
      </c>
    </row>
    <row r="9001" spans="14:14" x14ac:dyDescent="0.3">
      <c r="N9001" t="str" cm="1">
        <f t="array" ref="N9001">IF(MOD(ROW()-ROW($B$2),16)=0,INDEX($M$2:$M$1000,(ROW()-ROW($B$2))/16+1),"")</f>
        <v/>
      </c>
    </row>
    <row r="9002" spans="14:14" x14ac:dyDescent="0.3">
      <c r="N9002" t="str" cm="1">
        <f t="array" ref="N9002">IF(MOD(ROW()-ROW($B$2),16)=0,INDEX($M$2:$M$1000,(ROW()-ROW($B$2))/16+1),"")</f>
        <v/>
      </c>
    </row>
    <row r="9003" spans="14:14" x14ac:dyDescent="0.3">
      <c r="N9003" t="str" cm="1">
        <f t="array" ref="N9003">IF(MOD(ROW()-ROW($B$2),16)=0,INDEX($M$2:$M$1000,(ROW()-ROW($B$2))/16+1),"")</f>
        <v/>
      </c>
    </row>
    <row r="9004" spans="14:14" x14ac:dyDescent="0.3">
      <c r="N9004" t="str" cm="1">
        <f t="array" ref="N9004">IF(MOD(ROW()-ROW($B$2),16)=0,INDEX($M$2:$M$1000,(ROW()-ROW($B$2))/16+1),"")</f>
        <v/>
      </c>
    </row>
    <row r="9005" spans="14:14" x14ac:dyDescent="0.3">
      <c r="N9005" t="str" cm="1">
        <f t="array" ref="N9005">IF(MOD(ROW()-ROW($B$2),16)=0,INDEX($M$2:$M$1000,(ROW()-ROW($B$2))/16+1),"")</f>
        <v/>
      </c>
    </row>
    <row r="9006" spans="14:14" x14ac:dyDescent="0.3">
      <c r="N9006" t="str" cm="1">
        <f t="array" ref="N9006">IF(MOD(ROW()-ROW($B$2),16)=0,INDEX($M$2:$M$1000,(ROW()-ROW($B$2))/16+1),"")</f>
        <v/>
      </c>
    </row>
    <row r="9007" spans="14:14" x14ac:dyDescent="0.3">
      <c r="N9007" t="str" cm="1">
        <f t="array" ref="N9007">IF(MOD(ROW()-ROW($B$2),16)=0,INDEX($M$2:$M$1000,(ROW()-ROW($B$2))/16+1),"")</f>
        <v/>
      </c>
    </row>
    <row r="9008" spans="14:14" x14ac:dyDescent="0.3">
      <c r="N9008" t="str" cm="1">
        <f t="array" ref="N9008">IF(MOD(ROW()-ROW($B$2),16)=0,INDEX($M$2:$M$1000,(ROW()-ROW($B$2))/16+1),"")</f>
        <v/>
      </c>
    </row>
    <row r="9009" spans="14:14" x14ac:dyDescent="0.3">
      <c r="N9009" t="str" cm="1">
        <f t="array" ref="N9009">IF(MOD(ROW()-ROW($B$2),16)=0,INDEX($M$2:$M$1000,(ROW()-ROW($B$2))/16+1),"")</f>
        <v/>
      </c>
    </row>
    <row r="9010" spans="14:14" x14ac:dyDescent="0.3">
      <c r="N9010" t="str" cm="1">
        <f t="array" ref="N9010">IF(MOD(ROW()-ROW($B$2),16)=0,INDEX($M$2:$M$1000,(ROW()-ROW($B$2))/16+1),"")</f>
        <v/>
      </c>
    </row>
    <row r="9011" spans="14:14" x14ac:dyDescent="0.3">
      <c r="N9011" t="str" cm="1">
        <f t="array" ref="N9011">IF(MOD(ROW()-ROW($B$2),16)=0,INDEX($M$2:$M$1000,(ROW()-ROW($B$2))/16+1),"")</f>
        <v/>
      </c>
    </row>
    <row r="9012" spans="14:14" x14ac:dyDescent="0.3">
      <c r="N9012" t="str" cm="1">
        <f t="array" ref="N9012">IF(MOD(ROW()-ROW($B$2),16)=0,INDEX($M$2:$M$1000,(ROW()-ROW($B$2))/16+1),"")</f>
        <v/>
      </c>
    </row>
    <row r="9013" spans="14:14" x14ac:dyDescent="0.3">
      <c r="N9013" t="str" cm="1">
        <f t="array" ref="N9013">IF(MOD(ROW()-ROW($B$2),16)=0,INDEX($M$2:$M$1000,(ROW()-ROW($B$2))/16+1),"")</f>
        <v/>
      </c>
    </row>
    <row r="9014" spans="14:14" x14ac:dyDescent="0.3">
      <c r="N9014" t="str" cm="1">
        <f t="array" ref="N9014">IF(MOD(ROW()-ROW($B$2),16)=0,INDEX($M$2:$M$1000,(ROW()-ROW($B$2))/16+1),"")</f>
        <v/>
      </c>
    </row>
    <row r="9015" spans="14:14" x14ac:dyDescent="0.3">
      <c r="N9015" t="str" cm="1">
        <f t="array" ref="N9015">IF(MOD(ROW()-ROW($B$2),16)=0,INDEX($M$2:$M$1000,(ROW()-ROW($B$2))/16+1),"")</f>
        <v/>
      </c>
    </row>
    <row r="9016" spans="14:14" x14ac:dyDescent="0.3">
      <c r="N9016" t="str" cm="1">
        <f t="array" ref="N9016">IF(MOD(ROW()-ROW($B$2),16)=0,INDEX($M$2:$M$1000,(ROW()-ROW($B$2))/16+1),"")</f>
        <v/>
      </c>
    </row>
    <row r="9017" spans="14:14" x14ac:dyDescent="0.3">
      <c r="N9017" t="str" cm="1">
        <f t="array" ref="N9017">IF(MOD(ROW()-ROW($B$2),16)=0,INDEX($M$2:$M$1000,(ROW()-ROW($B$2))/16+1),"")</f>
        <v/>
      </c>
    </row>
    <row r="9018" spans="14:14" x14ac:dyDescent="0.3">
      <c r="N9018" t="str" cm="1">
        <f t="array" ref="N9018">IF(MOD(ROW()-ROW($B$2),16)=0,INDEX($M$2:$M$1000,(ROW()-ROW($B$2))/16+1),"")</f>
        <v/>
      </c>
    </row>
    <row r="9019" spans="14:14" x14ac:dyDescent="0.3">
      <c r="N9019" t="str" cm="1">
        <f t="array" ref="N9019">IF(MOD(ROW()-ROW($B$2),16)=0,INDEX($M$2:$M$1000,(ROW()-ROW($B$2))/16+1),"")</f>
        <v/>
      </c>
    </row>
    <row r="9020" spans="14:14" x14ac:dyDescent="0.3">
      <c r="N9020" t="str" cm="1">
        <f t="array" ref="N9020">IF(MOD(ROW()-ROW($B$2),16)=0,INDEX($M$2:$M$1000,(ROW()-ROW($B$2))/16+1),"")</f>
        <v/>
      </c>
    </row>
    <row r="9021" spans="14:14" x14ac:dyDescent="0.3">
      <c r="N9021" t="str" cm="1">
        <f t="array" ref="N9021">IF(MOD(ROW()-ROW($B$2),16)=0,INDEX($M$2:$M$1000,(ROW()-ROW($B$2))/16+1),"")</f>
        <v/>
      </c>
    </row>
    <row r="9022" spans="14:14" x14ac:dyDescent="0.3">
      <c r="N9022" t="str" cm="1">
        <f t="array" ref="N9022">IF(MOD(ROW()-ROW($B$2),16)=0,INDEX($M$2:$M$1000,(ROW()-ROW($B$2))/16+1),"")</f>
        <v/>
      </c>
    </row>
    <row r="9023" spans="14:14" x14ac:dyDescent="0.3">
      <c r="N9023" t="str" cm="1">
        <f t="array" ref="N9023">IF(MOD(ROW()-ROW($B$2),16)=0,INDEX($M$2:$M$1000,(ROW()-ROW($B$2))/16+1),"")</f>
        <v/>
      </c>
    </row>
    <row r="9024" spans="14:14" x14ac:dyDescent="0.3">
      <c r="N9024" t="str" cm="1">
        <f t="array" ref="N9024">IF(MOD(ROW()-ROW($B$2),16)=0,INDEX($M$2:$M$1000,(ROW()-ROW($B$2))/16+1),"")</f>
        <v/>
      </c>
    </row>
    <row r="9025" spans="14:14" x14ac:dyDescent="0.3">
      <c r="N9025" t="str" cm="1">
        <f t="array" ref="N9025">IF(MOD(ROW()-ROW($B$2),16)=0,INDEX($M$2:$M$1000,(ROW()-ROW($B$2))/16+1),"")</f>
        <v/>
      </c>
    </row>
    <row r="9026" spans="14:14" x14ac:dyDescent="0.3">
      <c r="N9026" t="str" cm="1">
        <f t="array" ref="N9026">IF(MOD(ROW()-ROW($B$2),16)=0,INDEX($M$2:$M$1000,(ROW()-ROW($B$2))/16+1),"")</f>
        <v/>
      </c>
    </row>
    <row r="9027" spans="14:14" x14ac:dyDescent="0.3">
      <c r="N9027" t="str" cm="1">
        <f t="array" ref="N9027">IF(MOD(ROW()-ROW($B$2),16)=0,INDEX($M$2:$M$1000,(ROW()-ROW($B$2))/16+1),"")</f>
        <v/>
      </c>
    </row>
    <row r="9028" spans="14:14" x14ac:dyDescent="0.3">
      <c r="N9028" t="str" cm="1">
        <f t="array" ref="N9028">IF(MOD(ROW()-ROW($B$2),16)=0,INDEX($M$2:$M$1000,(ROW()-ROW($B$2))/16+1),"")</f>
        <v/>
      </c>
    </row>
    <row r="9029" spans="14:14" x14ac:dyDescent="0.3">
      <c r="N9029" t="str" cm="1">
        <f t="array" ref="N9029">IF(MOD(ROW()-ROW($B$2),16)=0,INDEX($M$2:$M$1000,(ROW()-ROW($B$2))/16+1),"")</f>
        <v/>
      </c>
    </row>
    <row r="9030" spans="14:14" x14ac:dyDescent="0.3">
      <c r="N9030" t="str" cm="1">
        <f t="array" ref="N9030">IF(MOD(ROW()-ROW($B$2),16)=0,INDEX($M$2:$M$1000,(ROW()-ROW($B$2))/16+1),"")</f>
        <v/>
      </c>
    </row>
    <row r="9031" spans="14:14" x14ac:dyDescent="0.3">
      <c r="N9031" t="str" cm="1">
        <f t="array" ref="N9031">IF(MOD(ROW()-ROW($B$2),16)=0,INDEX($M$2:$M$1000,(ROW()-ROW($B$2))/16+1),"")</f>
        <v/>
      </c>
    </row>
    <row r="9032" spans="14:14" x14ac:dyDescent="0.3">
      <c r="N9032" t="str" cm="1">
        <f t="array" ref="N9032">IF(MOD(ROW()-ROW($B$2),16)=0,INDEX($M$2:$M$1000,(ROW()-ROW($B$2))/16+1),"")</f>
        <v/>
      </c>
    </row>
    <row r="9033" spans="14:14" x14ac:dyDescent="0.3">
      <c r="N9033" t="str" cm="1">
        <f t="array" ref="N9033">IF(MOD(ROW()-ROW($B$2),16)=0,INDEX($M$2:$M$1000,(ROW()-ROW($B$2))/16+1),"")</f>
        <v/>
      </c>
    </row>
    <row r="9034" spans="14:14" x14ac:dyDescent="0.3">
      <c r="N9034" t="str" cm="1">
        <f t="array" ref="N9034">IF(MOD(ROW()-ROW($B$2),16)=0,INDEX($M$2:$M$1000,(ROW()-ROW($B$2))/16+1),"")</f>
        <v/>
      </c>
    </row>
    <row r="9035" spans="14:14" x14ac:dyDescent="0.3">
      <c r="N9035" t="str" cm="1">
        <f t="array" ref="N9035">IF(MOD(ROW()-ROW($B$2),16)=0,INDEX($M$2:$M$1000,(ROW()-ROW($B$2))/16+1),"")</f>
        <v/>
      </c>
    </row>
    <row r="9036" spans="14:14" x14ac:dyDescent="0.3">
      <c r="N9036" t="str" cm="1">
        <f t="array" ref="N9036">IF(MOD(ROW()-ROW($B$2),16)=0,INDEX($M$2:$M$1000,(ROW()-ROW($B$2))/16+1),"")</f>
        <v/>
      </c>
    </row>
    <row r="9037" spans="14:14" x14ac:dyDescent="0.3">
      <c r="N9037" t="str" cm="1">
        <f t="array" ref="N9037">IF(MOD(ROW()-ROW($B$2),16)=0,INDEX($M$2:$M$1000,(ROW()-ROW($B$2))/16+1),"")</f>
        <v/>
      </c>
    </row>
    <row r="9038" spans="14:14" x14ac:dyDescent="0.3">
      <c r="N9038" t="str" cm="1">
        <f t="array" ref="N9038">IF(MOD(ROW()-ROW($B$2),16)=0,INDEX($M$2:$M$1000,(ROW()-ROW($B$2))/16+1),"")</f>
        <v/>
      </c>
    </row>
    <row r="9039" spans="14:14" x14ac:dyDescent="0.3">
      <c r="N9039" t="str" cm="1">
        <f t="array" ref="N9039">IF(MOD(ROW()-ROW($B$2),16)=0,INDEX($M$2:$M$1000,(ROW()-ROW($B$2))/16+1),"")</f>
        <v/>
      </c>
    </row>
    <row r="9040" spans="14:14" x14ac:dyDescent="0.3">
      <c r="N9040" t="str" cm="1">
        <f t="array" ref="N9040">IF(MOD(ROW()-ROW($B$2),16)=0,INDEX($M$2:$M$1000,(ROW()-ROW($B$2))/16+1),"")</f>
        <v/>
      </c>
    </row>
    <row r="9041" spans="14:14" x14ac:dyDescent="0.3">
      <c r="N9041" t="str" cm="1">
        <f t="array" ref="N9041">IF(MOD(ROW()-ROW($B$2),16)=0,INDEX($M$2:$M$1000,(ROW()-ROW($B$2))/16+1),"")</f>
        <v/>
      </c>
    </row>
    <row r="9042" spans="14:14" x14ac:dyDescent="0.3">
      <c r="N9042" t="str" cm="1">
        <f t="array" ref="N9042">IF(MOD(ROW()-ROW($B$2),16)=0,INDEX($M$2:$M$1000,(ROW()-ROW($B$2))/16+1),"")</f>
        <v/>
      </c>
    </row>
    <row r="9043" spans="14:14" x14ac:dyDescent="0.3">
      <c r="N9043" t="str" cm="1">
        <f t="array" ref="N9043">IF(MOD(ROW()-ROW($B$2),16)=0,INDEX($M$2:$M$1000,(ROW()-ROW($B$2))/16+1),"")</f>
        <v/>
      </c>
    </row>
    <row r="9044" spans="14:14" x14ac:dyDescent="0.3">
      <c r="N9044" t="str" cm="1">
        <f t="array" ref="N9044">IF(MOD(ROW()-ROW($B$2),16)=0,INDEX($M$2:$M$1000,(ROW()-ROW($B$2))/16+1),"")</f>
        <v/>
      </c>
    </row>
    <row r="9045" spans="14:14" x14ac:dyDescent="0.3">
      <c r="N9045" t="str" cm="1">
        <f t="array" ref="N9045">IF(MOD(ROW()-ROW($B$2),16)=0,INDEX($M$2:$M$1000,(ROW()-ROW($B$2))/16+1),"")</f>
        <v/>
      </c>
    </row>
    <row r="9046" spans="14:14" x14ac:dyDescent="0.3">
      <c r="N9046" t="str" cm="1">
        <f t="array" ref="N9046">IF(MOD(ROW()-ROW($B$2),16)=0,INDEX($M$2:$M$1000,(ROW()-ROW($B$2))/16+1),"")</f>
        <v/>
      </c>
    </row>
    <row r="9047" spans="14:14" x14ac:dyDescent="0.3">
      <c r="N9047" t="str" cm="1">
        <f t="array" ref="N9047">IF(MOD(ROW()-ROW($B$2),16)=0,INDEX($M$2:$M$1000,(ROW()-ROW($B$2))/16+1),"")</f>
        <v/>
      </c>
    </row>
    <row r="9048" spans="14:14" x14ac:dyDescent="0.3">
      <c r="N9048" t="str" cm="1">
        <f t="array" ref="N9048">IF(MOD(ROW()-ROW($B$2),16)=0,INDEX($M$2:$M$1000,(ROW()-ROW($B$2))/16+1),"")</f>
        <v/>
      </c>
    </row>
    <row r="9049" spans="14:14" x14ac:dyDescent="0.3">
      <c r="N9049" t="str" cm="1">
        <f t="array" ref="N9049">IF(MOD(ROW()-ROW($B$2),16)=0,INDEX($M$2:$M$1000,(ROW()-ROW($B$2))/16+1),"")</f>
        <v/>
      </c>
    </row>
    <row r="9050" spans="14:14" x14ac:dyDescent="0.3">
      <c r="N9050" t="str" cm="1">
        <f t="array" ref="N9050">IF(MOD(ROW()-ROW($B$2),16)=0,INDEX($M$2:$M$1000,(ROW()-ROW($B$2))/16+1),"")</f>
        <v/>
      </c>
    </row>
    <row r="9051" spans="14:14" x14ac:dyDescent="0.3">
      <c r="N9051" t="str" cm="1">
        <f t="array" ref="N9051">IF(MOD(ROW()-ROW($B$2),16)=0,INDEX($M$2:$M$1000,(ROW()-ROW($B$2))/16+1),"")</f>
        <v/>
      </c>
    </row>
    <row r="9052" spans="14:14" x14ac:dyDescent="0.3">
      <c r="N9052" t="str" cm="1">
        <f t="array" ref="N9052">IF(MOD(ROW()-ROW($B$2),16)=0,INDEX($M$2:$M$1000,(ROW()-ROW($B$2))/16+1),"")</f>
        <v/>
      </c>
    </row>
    <row r="9053" spans="14:14" x14ac:dyDescent="0.3">
      <c r="N9053" t="str" cm="1">
        <f t="array" ref="N9053">IF(MOD(ROW()-ROW($B$2),16)=0,INDEX($M$2:$M$1000,(ROW()-ROW($B$2))/16+1),"")</f>
        <v/>
      </c>
    </row>
    <row r="9054" spans="14:14" x14ac:dyDescent="0.3">
      <c r="N9054" t="str" cm="1">
        <f t="array" ref="N9054">IF(MOD(ROW()-ROW($B$2),16)=0,INDEX($M$2:$M$1000,(ROW()-ROW($B$2))/16+1),"")</f>
        <v/>
      </c>
    </row>
    <row r="9055" spans="14:14" x14ac:dyDescent="0.3">
      <c r="N9055" t="str" cm="1">
        <f t="array" ref="N9055">IF(MOD(ROW()-ROW($B$2),16)=0,INDEX($M$2:$M$1000,(ROW()-ROW($B$2))/16+1),"")</f>
        <v/>
      </c>
    </row>
    <row r="9056" spans="14:14" x14ac:dyDescent="0.3">
      <c r="N9056" t="str" cm="1">
        <f t="array" ref="N9056">IF(MOD(ROW()-ROW($B$2),16)=0,INDEX($M$2:$M$1000,(ROW()-ROW($B$2))/16+1),"")</f>
        <v/>
      </c>
    </row>
    <row r="9057" spans="14:14" x14ac:dyDescent="0.3">
      <c r="N9057" t="str" cm="1">
        <f t="array" ref="N9057">IF(MOD(ROW()-ROW($B$2),16)=0,INDEX($M$2:$M$1000,(ROW()-ROW($B$2))/16+1),"")</f>
        <v/>
      </c>
    </row>
    <row r="9058" spans="14:14" x14ac:dyDescent="0.3">
      <c r="N9058" t="str" cm="1">
        <f t="array" ref="N9058">IF(MOD(ROW()-ROW($B$2),16)=0,INDEX($M$2:$M$1000,(ROW()-ROW($B$2))/16+1),"")</f>
        <v/>
      </c>
    </row>
    <row r="9059" spans="14:14" x14ac:dyDescent="0.3">
      <c r="N9059" t="str" cm="1">
        <f t="array" ref="N9059">IF(MOD(ROW()-ROW($B$2),16)=0,INDEX($M$2:$M$1000,(ROW()-ROW($B$2))/16+1),"")</f>
        <v/>
      </c>
    </row>
    <row r="9060" spans="14:14" x14ac:dyDescent="0.3">
      <c r="N9060" t="str" cm="1">
        <f t="array" ref="N9060">IF(MOD(ROW()-ROW($B$2),16)=0,INDEX($M$2:$M$1000,(ROW()-ROW($B$2))/16+1),"")</f>
        <v/>
      </c>
    </row>
    <row r="9061" spans="14:14" x14ac:dyDescent="0.3">
      <c r="N9061" t="str" cm="1">
        <f t="array" ref="N9061">IF(MOD(ROW()-ROW($B$2),16)=0,INDEX($M$2:$M$1000,(ROW()-ROW($B$2))/16+1),"")</f>
        <v/>
      </c>
    </row>
    <row r="9062" spans="14:14" x14ac:dyDescent="0.3">
      <c r="N9062" t="str" cm="1">
        <f t="array" ref="N9062">IF(MOD(ROW()-ROW($B$2),16)=0,INDEX($M$2:$M$1000,(ROW()-ROW($B$2))/16+1),"")</f>
        <v/>
      </c>
    </row>
    <row r="9063" spans="14:14" x14ac:dyDescent="0.3">
      <c r="N9063" t="str" cm="1">
        <f t="array" ref="N9063">IF(MOD(ROW()-ROW($B$2),16)=0,INDEX($M$2:$M$1000,(ROW()-ROW($B$2))/16+1),"")</f>
        <v/>
      </c>
    </row>
    <row r="9064" spans="14:14" x14ac:dyDescent="0.3">
      <c r="N9064" t="str" cm="1">
        <f t="array" ref="N9064">IF(MOD(ROW()-ROW($B$2),16)=0,INDEX($M$2:$M$1000,(ROW()-ROW($B$2))/16+1),"")</f>
        <v/>
      </c>
    </row>
    <row r="9065" spans="14:14" x14ac:dyDescent="0.3">
      <c r="N9065" t="str" cm="1">
        <f t="array" ref="N9065">IF(MOD(ROW()-ROW($B$2),16)=0,INDEX($M$2:$M$1000,(ROW()-ROW($B$2))/16+1),"")</f>
        <v/>
      </c>
    </row>
    <row r="9066" spans="14:14" x14ac:dyDescent="0.3">
      <c r="N9066" t="str" cm="1">
        <f t="array" ref="N9066">IF(MOD(ROW()-ROW($B$2),16)=0,INDEX($M$2:$M$1000,(ROW()-ROW($B$2))/16+1),"")</f>
        <v/>
      </c>
    </row>
    <row r="9067" spans="14:14" x14ac:dyDescent="0.3">
      <c r="N9067" t="str" cm="1">
        <f t="array" ref="N9067">IF(MOD(ROW()-ROW($B$2),16)=0,INDEX($M$2:$M$1000,(ROW()-ROW($B$2))/16+1),"")</f>
        <v/>
      </c>
    </row>
    <row r="9068" spans="14:14" x14ac:dyDescent="0.3">
      <c r="N9068" t="str" cm="1">
        <f t="array" ref="N9068">IF(MOD(ROW()-ROW($B$2),16)=0,INDEX($M$2:$M$1000,(ROW()-ROW($B$2))/16+1),"")</f>
        <v/>
      </c>
    </row>
    <row r="9069" spans="14:14" x14ac:dyDescent="0.3">
      <c r="N9069" t="str" cm="1">
        <f t="array" ref="N9069">IF(MOD(ROW()-ROW($B$2),16)=0,INDEX($M$2:$M$1000,(ROW()-ROW($B$2))/16+1),"")</f>
        <v/>
      </c>
    </row>
    <row r="9070" spans="14:14" x14ac:dyDescent="0.3">
      <c r="N9070" t="str" cm="1">
        <f t="array" ref="N9070">IF(MOD(ROW()-ROW($B$2),16)=0,INDEX($M$2:$M$1000,(ROW()-ROW($B$2))/16+1),"")</f>
        <v/>
      </c>
    </row>
    <row r="9071" spans="14:14" x14ac:dyDescent="0.3">
      <c r="N9071" t="str" cm="1">
        <f t="array" ref="N9071">IF(MOD(ROW()-ROW($B$2),16)=0,INDEX($M$2:$M$1000,(ROW()-ROW($B$2))/16+1),"")</f>
        <v/>
      </c>
    </row>
    <row r="9072" spans="14:14" x14ac:dyDescent="0.3">
      <c r="N9072" t="str" cm="1">
        <f t="array" ref="N9072">IF(MOD(ROW()-ROW($B$2),16)=0,INDEX($M$2:$M$1000,(ROW()-ROW($B$2))/16+1),"")</f>
        <v/>
      </c>
    </row>
    <row r="9073" spans="14:14" x14ac:dyDescent="0.3">
      <c r="N9073" t="str" cm="1">
        <f t="array" ref="N9073">IF(MOD(ROW()-ROW($B$2),16)=0,INDEX($M$2:$M$1000,(ROW()-ROW($B$2))/16+1),"")</f>
        <v/>
      </c>
    </row>
    <row r="9074" spans="14:14" x14ac:dyDescent="0.3">
      <c r="N9074" t="str" cm="1">
        <f t="array" ref="N9074">IF(MOD(ROW()-ROW($B$2),16)=0,INDEX($M$2:$M$1000,(ROW()-ROW($B$2))/16+1),"")</f>
        <v/>
      </c>
    </row>
    <row r="9075" spans="14:14" x14ac:dyDescent="0.3">
      <c r="N9075" t="str" cm="1">
        <f t="array" ref="N9075">IF(MOD(ROW()-ROW($B$2),16)=0,INDEX($M$2:$M$1000,(ROW()-ROW($B$2))/16+1),"")</f>
        <v/>
      </c>
    </row>
    <row r="9076" spans="14:14" x14ac:dyDescent="0.3">
      <c r="N9076" t="str" cm="1">
        <f t="array" ref="N9076">IF(MOD(ROW()-ROW($B$2),16)=0,INDEX($M$2:$M$1000,(ROW()-ROW($B$2))/16+1),"")</f>
        <v/>
      </c>
    </row>
    <row r="9077" spans="14:14" x14ac:dyDescent="0.3">
      <c r="N9077" t="str" cm="1">
        <f t="array" ref="N9077">IF(MOD(ROW()-ROW($B$2),16)=0,INDEX($M$2:$M$1000,(ROW()-ROW($B$2))/16+1),"")</f>
        <v/>
      </c>
    </row>
    <row r="9078" spans="14:14" x14ac:dyDescent="0.3">
      <c r="N9078" t="str" cm="1">
        <f t="array" ref="N9078">IF(MOD(ROW()-ROW($B$2),16)=0,INDEX($M$2:$M$1000,(ROW()-ROW($B$2))/16+1),"")</f>
        <v/>
      </c>
    </row>
    <row r="9079" spans="14:14" x14ac:dyDescent="0.3">
      <c r="N9079" t="str" cm="1">
        <f t="array" ref="N9079">IF(MOD(ROW()-ROW($B$2),16)=0,INDEX($M$2:$M$1000,(ROW()-ROW($B$2))/16+1),"")</f>
        <v/>
      </c>
    </row>
    <row r="9080" spans="14:14" x14ac:dyDescent="0.3">
      <c r="N9080" t="str" cm="1">
        <f t="array" ref="N9080">IF(MOD(ROW()-ROW($B$2),16)=0,INDEX($M$2:$M$1000,(ROW()-ROW($B$2))/16+1),"")</f>
        <v/>
      </c>
    </row>
    <row r="9081" spans="14:14" x14ac:dyDescent="0.3">
      <c r="N9081" t="str" cm="1">
        <f t="array" ref="N9081">IF(MOD(ROW()-ROW($B$2),16)=0,INDEX($M$2:$M$1000,(ROW()-ROW($B$2))/16+1),"")</f>
        <v/>
      </c>
    </row>
    <row r="9082" spans="14:14" x14ac:dyDescent="0.3">
      <c r="N9082" t="str" cm="1">
        <f t="array" ref="N9082">IF(MOD(ROW()-ROW($B$2),16)=0,INDEX($M$2:$M$1000,(ROW()-ROW($B$2))/16+1),"")</f>
        <v/>
      </c>
    </row>
    <row r="9083" spans="14:14" x14ac:dyDescent="0.3">
      <c r="N9083" t="str" cm="1">
        <f t="array" ref="N9083">IF(MOD(ROW()-ROW($B$2),16)=0,INDEX($M$2:$M$1000,(ROW()-ROW($B$2))/16+1),"")</f>
        <v/>
      </c>
    </row>
    <row r="9084" spans="14:14" x14ac:dyDescent="0.3">
      <c r="N9084" t="str" cm="1">
        <f t="array" ref="N9084">IF(MOD(ROW()-ROW($B$2),16)=0,INDEX($M$2:$M$1000,(ROW()-ROW($B$2))/16+1),"")</f>
        <v/>
      </c>
    </row>
    <row r="9085" spans="14:14" x14ac:dyDescent="0.3">
      <c r="N9085" t="str" cm="1">
        <f t="array" ref="N9085">IF(MOD(ROW()-ROW($B$2),16)=0,INDEX($M$2:$M$1000,(ROW()-ROW($B$2))/16+1),"")</f>
        <v/>
      </c>
    </row>
    <row r="9086" spans="14:14" x14ac:dyDescent="0.3">
      <c r="N9086" t="str" cm="1">
        <f t="array" ref="N9086">IF(MOD(ROW()-ROW($B$2),16)=0,INDEX($M$2:$M$1000,(ROW()-ROW($B$2))/16+1),"")</f>
        <v/>
      </c>
    </row>
    <row r="9087" spans="14:14" x14ac:dyDescent="0.3">
      <c r="N9087" t="str" cm="1">
        <f t="array" ref="N9087">IF(MOD(ROW()-ROW($B$2),16)=0,INDEX($M$2:$M$1000,(ROW()-ROW($B$2))/16+1),"")</f>
        <v/>
      </c>
    </row>
    <row r="9088" spans="14:14" x14ac:dyDescent="0.3">
      <c r="N9088" t="str" cm="1">
        <f t="array" ref="N9088">IF(MOD(ROW()-ROW($B$2),16)=0,INDEX($M$2:$M$1000,(ROW()-ROW($B$2))/16+1),"")</f>
        <v/>
      </c>
    </row>
    <row r="9089" spans="14:14" x14ac:dyDescent="0.3">
      <c r="N9089" t="str" cm="1">
        <f t="array" ref="N9089">IF(MOD(ROW()-ROW($B$2),16)=0,INDEX($M$2:$M$1000,(ROW()-ROW($B$2))/16+1),"")</f>
        <v/>
      </c>
    </row>
    <row r="9090" spans="14:14" x14ac:dyDescent="0.3">
      <c r="N9090" t="str" cm="1">
        <f t="array" ref="N9090">IF(MOD(ROW()-ROW($B$2),16)=0,INDEX($M$2:$M$1000,(ROW()-ROW($B$2))/16+1),"")</f>
        <v/>
      </c>
    </row>
    <row r="9091" spans="14:14" x14ac:dyDescent="0.3">
      <c r="N9091" t="str" cm="1">
        <f t="array" ref="N9091">IF(MOD(ROW()-ROW($B$2),16)=0,INDEX($M$2:$M$1000,(ROW()-ROW($B$2))/16+1),"")</f>
        <v/>
      </c>
    </row>
    <row r="9092" spans="14:14" x14ac:dyDescent="0.3">
      <c r="N9092" t="str" cm="1">
        <f t="array" ref="N9092">IF(MOD(ROW()-ROW($B$2),16)=0,INDEX($M$2:$M$1000,(ROW()-ROW($B$2))/16+1),"")</f>
        <v/>
      </c>
    </row>
    <row r="9093" spans="14:14" x14ac:dyDescent="0.3">
      <c r="N9093" t="str" cm="1">
        <f t="array" ref="N9093">IF(MOD(ROW()-ROW($B$2),16)=0,INDEX($M$2:$M$1000,(ROW()-ROW($B$2))/16+1),"")</f>
        <v/>
      </c>
    </row>
    <row r="9094" spans="14:14" x14ac:dyDescent="0.3">
      <c r="N9094" t="str" cm="1">
        <f t="array" ref="N9094">IF(MOD(ROW()-ROW($B$2),16)=0,INDEX($M$2:$M$1000,(ROW()-ROW($B$2))/16+1),"")</f>
        <v/>
      </c>
    </row>
    <row r="9095" spans="14:14" x14ac:dyDescent="0.3">
      <c r="N9095" t="str" cm="1">
        <f t="array" ref="N9095">IF(MOD(ROW()-ROW($B$2),16)=0,INDEX($M$2:$M$1000,(ROW()-ROW($B$2))/16+1),"")</f>
        <v/>
      </c>
    </row>
    <row r="9096" spans="14:14" x14ac:dyDescent="0.3">
      <c r="N9096" t="str" cm="1">
        <f t="array" ref="N9096">IF(MOD(ROW()-ROW($B$2),16)=0,INDEX($M$2:$M$1000,(ROW()-ROW($B$2))/16+1),"")</f>
        <v/>
      </c>
    </row>
    <row r="9097" spans="14:14" x14ac:dyDescent="0.3">
      <c r="N9097" t="str" cm="1">
        <f t="array" ref="N9097">IF(MOD(ROW()-ROW($B$2),16)=0,INDEX($M$2:$M$1000,(ROW()-ROW($B$2))/16+1),"")</f>
        <v/>
      </c>
    </row>
    <row r="9098" spans="14:14" x14ac:dyDescent="0.3">
      <c r="N9098" t="str" cm="1">
        <f t="array" ref="N9098">IF(MOD(ROW()-ROW($B$2),16)=0,INDEX($M$2:$M$1000,(ROW()-ROW($B$2))/16+1),"")</f>
        <v/>
      </c>
    </row>
    <row r="9099" spans="14:14" x14ac:dyDescent="0.3">
      <c r="N9099" t="str" cm="1">
        <f t="array" ref="N9099">IF(MOD(ROW()-ROW($B$2),16)=0,INDEX($M$2:$M$1000,(ROW()-ROW($B$2))/16+1),"")</f>
        <v/>
      </c>
    </row>
    <row r="9100" spans="14:14" x14ac:dyDescent="0.3">
      <c r="N9100" t="str" cm="1">
        <f t="array" ref="N9100">IF(MOD(ROW()-ROW($B$2),16)=0,INDEX($M$2:$M$1000,(ROW()-ROW($B$2))/16+1),"")</f>
        <v/>
      </c>
    </row>
    <row r="9101" spans="14:14" x14ac:dyDescent="0.3">
      <c r="N9101" t="str" cm="1">
        <f t="array" ref="N9101">IF(MOD(ROW()-ROW($B$2),16)=0,INDEX($M$2:$M$1000,(ROW()-ROW($B$2))/16+1),"")</f>
        <v/>
      </c>
    </row>
    <row r="9102" spans="14:14" x14ac:dyDescent="0.3">
      <c r="N9102" t="str" cm="1">
        <f t="array" ref="N9102">IF(MOD(ROW()-ROW($B$2),16)=0,INDEX($M$2:$M$1000,(ROW()-ROW($B$2))/16+1),"")</f>
        <v/>
      </c>
    </row>
    <row r="9103" spans="14:14" x14ac:dyDescent="0.3">
      <c r="N9103" t="str" cm="1">
        <f t="array" ref="N9103">IF(MOD(ROW()-ROW($B$2),16)=0,INDEX($M$2:$M$1000,(ROW()-ROW($B$2))/16+1),"")</f>
        <v/>
      </c>
    </row>
    <row r="9104" spans="14:14" x14ac:dyDescent="0.3">
      <c r="N9104" t="str" cm="1">
        <f t="array" ref="N9104">IF(MOD(ROW()-ROW($B$2),16)=0,INDEX($M$2:$M$1000,(ROW()-ROW($B$2))/16+1),"")</f>
        <v/>
      </c>
    </row>
    <row r="9105" spans="14:14" x14ac:dyDescent="0.3">
      <c r="N9105" t="str" cm="1">
        <f t="array" ref="N9105">IF(MOD(ROW()-ROW($B$2),16)=0,INDEX($M$2:$M$1000,(ROW()-ROW($B$2))/16+1),"")</f>
        <v/>
      </c>
    </row>
    <row r="9106" spans="14:14" x14ac:dyDescent="0.3">
      <c r="N9106" t="str" cm="1">
        <f t="array" ref="N9106">IF(MOD(ROW()-ROW($B$2),16)=0,INDEX($M$2:$M$1000,(ROW()-ROW($B$2))/16+1),"")</f>
        <v/>
      </c>
    </row>
    <row r="9107" spans="14:14" x14ac:dyDescent="0.3">
      <c r="N9107" t="str" cm="1">
        <f t="array" ref="N9107">IF(MOD(ROW()-ROW($B$2),16)=0,INDEX($M$2:$M$1000,(ROW()-ROW($B$2))/16+1),"")</f>
        <v/>
      </c>
    </row>
    <row r="9108" spans="14:14" x14ac:dyDescent="0.3">
      <c r="N9108" t="str" cm="1">
        <f t="array" ref="N9108">IF(MOD(ROW()-ROW($B$2),16)=0,INDEX($M$2:$M$1000,(ROW()-ROW($B$2))/16+1),"")</f>
        <v/>
      </c>
    </row>
    <row r="9109" spans="14:14" x14ac:dyDescent="0.3">
      <c r="N9109" t="str" cm="1">
        <f t="array" ref="N9109">IF(MOD(ROW()-ROW($B$2),16)=0,INDEX($M$2:$M$1000,(ROW()-ROW($B$2))/16+1),"")</f>
        <v/>
      </c>
    </row>
    <row r="9110" spans="14:14" x14ac:dyDescent="0.3">
      <c r="N9110" t="str" cm="1">
        <f t="array" ref="N9110">IF(MOD(ROW()-ROW($B$2),16)=0,INDEX($M$2:$M$1000,(ROW()-ROW($B$2))/16+1),"")</f>
        <v/>
      </c>
    </row>
    <row r="9111" spans="14:14" x14ac:dyDescent="0.3">
      <c r="N9111" t="str" cm="1">
        <f t="array" ref="N9111">IF(MOD(ROW()-ROW($B$2),16)=0,INDEX($M$2:$M$1000,(ROW()-ROW($B$2))/16+1),"")</f>
        <v/>
      </c>
    </row>
    <row r="9112" spans="14:14" x14ac:dyDescent="0.3">
      <c r="N9112" t="str" cm="1">
        <f t="array" ref="N9112">IF(MOD(ROW()-ROW($B$2),16)=0,INDEX($M$2:$M$1000,(ROW()-ROW($B$2))/16+1),"")</f>
        <v/>
      </c>
    </row>
    <row r="9113" spans="14:14" x14ac:dyDescent="0.3">
      <c r="N9113" t="str" cm="1">
        <f t="array" ref="N9113">IF(MOD(ROW()-ROW($B$2),16)=0,INDEX($M$2:$M$1000,(ROW()-ROW($B$2))/16+1),"")</f>
        <v/>
      </c>
    </row>
    <row r="9114" spans="14:14" x14ac:dyDescent="0.3">
      <c r="N9114" t="str" cm="1">
        <f t="array" ref="N9114">IF(MOD(ROW()-ROW($B$2),16)=0,INDEX($M$2:$M$1000,(ROW()-ROW($B$2))/16+1),"")</f>
        <v/>
      </c>
    </row>
    <row r="9115" spans="14:14" x14ac:dyDescent="0.3">
      <c r="N9115" t="str" cm="1">
        <f t="array" ref="N9115">IF(MOD(ROW()-ROW($B$2),16)=0,INDEX($M$2:$M$1000,(ROW()-ROW($B$2))/16+1),"")</f>
        <v/>
      </c>
    </row>
    <row r="9116" spans="14:14" x14ac:dyDescent="0.3">
      <c r="N9116" t="str" cm="1">
        <f t="array" ref="N9116">IF(MOD(ROW()-ROW($B$2),16)=0,INDEX($M$2:$M$1000,(ROW()-ROW($B$2))/16+1),"")</f>
        <v/>
      </c>
    </row>
    <row r="9117" spans="14:14" x14ac:dyDescent="0.3">
      <c r="N9117" t="str" cm="1">
        <f t="array" ref="N9117">IF(MOD(ROW()-ROW($B$2),16)=0,INDEX($M$2:$M$1000,(ROW()-ROW($B$2))/16+1),"")</f>
        <v/>
      </c>
    </row>
    <row r="9118" spans="14:14" x14ac:dyDescent="0.3">
      <c r="N9118" t="str" cm="1">
        <f t="array" ref="N9118">IF(MOD(ROW()-ROW($B$2),16)=0,INDEX($M$2:$M$1000,(ROW()-ROW($B$2))/16+1),"")</f>
        <v/>
      </c>
    </row>
    <row r="9119" spans="14:14" x14ac:dyDescent="0.3">
      <c r="N9119" t="str" cm="1">
        <f t="array" ref="N9119">IF(MOD(ROW()-ROW($B$2),16)=0,INDEX($M$2:$M$1000,(ROW()-ROW($B$2))/16+1),"")</f>
        <v/>
      </c>
    </row>
    <row r="9120" spans="14:14" x14ac:dyDescent="0.3">
      <c r="N9120" t="str" cm="1">
        <f t="array" ref="N9120">IF(MOD(ROW()-ROW($B$2),16)=0,INDEX($M$2:$M$1000,(ROW()-ROW($B$2))/16+1),"")</f>
        <v/>
      </c>
    </row>
    <row r="9121" spans="14:14" x14ac:dyDescent="0.3">
      <c r="N9121" t="str" cm="1">
        <f t="array" ref="N9121">IF(MOD(ROW()-ROW($B$2),16)=0,INDEX($M$2:$M$1000,(ROW()-ROW($B$2))/16+1),"")</f>
        <v/>
      </c>
    </row>
    <row r="9122" spans="14:14" x14ac:dyDescent="0.3">
      <c r="N9122" t="str" cm="1">
        <f t="array" ref="N9122">IF(MOD(ROW()-ROW($B$2),16)=0,INDEX($M$2:$M$1000,(ROW()-ROW($B$2))/16+1),"")</f>
        <v/>
      </c>
    </row>
    <row r="9123" spans="14:14" x14ac:dyDescent="0.3">
      <c r="N9123" t="str" cm="1">
        <f t="array" ref="N9123">IF(MOD(ROW()-ROW($B$2),16)=0,INDEX($M$2:$M$1000,(ROW()-ROW($B$2))/16+1),"")</f>
        <v/>
      </c>
    </row>
    <row r="9124" spans="14:14" x14ac:dyDescent="0.3">
      <c r="N9124" t="str" cm="1">
        <f t="array" ref="N9124">IF(MOD(ROW()-ROW($B$2),16)=0,INDEX($M$2:$M$1000,(ROW()-ROW($B$2))/16+1),"")</f>
        <v/>
      </c>
    </row>
    <row r="9125" spans="14:14" x14ac:dyDescent="0.3">
      <c r="N9125" t="str" cm="1">
        <f t="array" ref="N9125">IF(MOD(ROW()-ROW($B$2),16)=0,INDEX($M$2:$M$1000,(ROW()-ROW($B$2))/16+1),"")</f>
        <v/>
      </c>
    </row>
    <row r="9126" spans="14:14" x14ac:dyDescent="0.3">
      <c r="N9126" t="str" cm="1">
        <f t="array" ref="N9126">IF(MOD(ROW()-ROW($B$2),16)=0,INDEX($M$2:$M$1000,(ROW()-ROW($B$2))/16+1),"")</f>
        <v/>
      </c>
    </row>
    <row r="9127" spans="14:14" x14ac:dyDescent="0.3">
      <c r="N9127" t="str" cm="1">
        <f t="array" ref="N9127">IF(MOD(ROW()-ROW($B$2),16)=0,INDEX($M$2:$M$1000,(ROW()-ROW($B$2))/16+1),"")</f>
        <v/>
      </c>
    </row>
    <row r="9128" spans="14:14" x14ac:dyDescent="0.3">
      <c r="N9128" t="str" cm="1">
        <f t="array" ref="N9128">IF(MOD(ROW()-ROW($B$2),16)=0,INDEX($M$2:$M$1000,(ROW()-ROW($B$2))/16+1),"")</f>
        <v/>
      </c>
    </row>
    <row r="9129" spans="14:14" x14ac:dyDescent="0.3">
      <c r="N9129" t="str" cm="1">
        <f t="array" ref="N9129">IF(MOD(ROW()-ROW($B$2),16)=0,INDEX($M$2:$M$1000,(ROW()-ROW($B$2))/16+1),"")</f>
        <v/>
      </c>
    </row>
    <row r="9130" spans="14:14" x14ac:dyDescent="0.3">
      <c r="N9130" t="str" cm="1">
        <f t="array" ref="N9130">IF(MOD(ROW()-ROW($B$2),16)=0,INDEX($M$2:$M$1000,(ROW()-ROW($B$2))/16+1),"")</f>
        <v/>
      </c>
    </row>
    <row r="9131" spans="14:14" x14ac:dyDescent="0.3">
      <c r="N9131" t="str" cm="1">
        <f t="array" ref="N9131">IF(MOD(ROW()-ROW($B$2),16)=0,INDEX($M$2:$M$1000,(ROW()-ROW($B$2))/16+1),"")</f>
        <v/>
      </c>
    </row>
    <row r="9132" spans="14:14" x14ac:dyDescent="0.3">
      <c r="N9132" t="str" cm="1">
        <f t="array" ref="N9132">IF(MOD(ROW()-ROW($B$2),16)=0,INDEX($M$2:$M$1000,(ROW()-ROW($B$2))/16+1),"")</f>
        <v/>
      </c>
    </row>
    <row r="9133" spans="14:14" x14ac:dyDescent="0.3">
      <c r="N9133" t="str" cm="1">
        <f t="array" ref="N9133">IF(MOD(ROW()-ROW($B$2),16)=0,INDEX($M$2:$M$1000,(ROW()-ROW($B$2))/16+1),"")</f>
        <v/>
      </c>
    </row>
    <row r="9134" spans="14:14" x14ac:dyDescent="0.3">
      <c r="N9134" t="str" cm="1">
        <f t="array" ref="N9134">IF(MOD(ROW()-ROW($B$2),16)=0,INDEX($M$2:$M$1000,(ROW()-ROW($B$2))/16+1),"")</f>
        <v/>
      </c>
    </row>
    <row r="9135" spans="14:14" x14ac:dyDescent="0.3">
      <c r="N9135" t="str" cm="1">
        <f t="array" ref="N9135">IF(MOD(ROW()-ROW($B$2),16)=0,INDEX($M$2:$M$1000,(ROW()-ROW($B$2))/16+1),"")</f>
        <v/>
      </c>
    </row>
    <row r="9136" spans="14:14" x14ac:dyDescent="0.3">
      <c r="N9136" t="str" cm="1">
        <f t="array" ref="N9136">IF(MOD(ROW()-ROW($B$2),16)=0,INDEX($M$2:$M$1000,(ROW()-ROW($B$2))/16+1),"")</f>
        <v/>
      </c>
    </row>
    <row r="9137" spans="14:14" x14ac:dyDescent="0.3">
      <c r="N9137" t="str" cm="1">
        <f t="array" ref="N9137">IF(MOD(ROW()-ROW($B$2),16)=0,INDEX($M$2:$M$1000,(ROW()-ROW($B$2))/16+1),"")</f>
        <v/>
      </c>
    </row>
    <row r="9138" spans="14:14" x14ac:dyDescent="0.3">
      <c r="N9138" t="str" cm="1">
        <f t="array" ref="N9138">IF(MOD(ROW()-ROW($B$2),16)=0,INDEX($M$2:$M$1000,(ROW()-ROW($B$2))/16+1),"")</f>
        <v/>
      </c>
    </row>
    <row r="9139" spans="14:14" x14ac:dyDescent="0.3">
      <c r="N9139" t="str" cm="1">
        <f t="array" ref="N9139">IF(MOD(ROW()-ROW($B$2),16)=0,INDEX($M$2:$M$1000,(ROW()-ROW($B$2))/16+1),"")</f>
        <v/>
      </c>
    </row>
    <row r="9140" spans="14:14" x14ac:dyDescent="0.3">
      <c r="N9140" t="str" cm="1">
        <f t="array" ref="N9140">IF(MOD(ROW()-ROW($B$2),16)=0,INDEX($M$2:$M$1000,(ROW()-ROW($B$2))/16+1),"")</f>
        <v/>
      </c>
    </row>
    <row r="9141" spans="14:14" x14ac:dyDescent="0.3">
      <c r="N9141" t="str" cm="1">
        <f t="array" ref="N9141">IF(MOD(ROW()-ROW($B$2),16)=0,INDEX($M$2:$M$1000,(ROW()-ROW($B$2))/16+1),"")</f>
        <v/>
      </c>
    </row>
    <row r="9142" spans="14:14" x14ac:dyDescent="0.3">
      <c r="N9142" t="str" cm="1">
        <f t="array" ref="N9142">IF(MOD(ROW()-ROW($B$2),16)=0,INDEX($M$2:$M$1000,(ROW()-ROW($B$2))/16+1),"")</f>
        <v/>
      </c>
    </row>
    <row r="9143" spans="14:14" x14ac:dyDescent="0.3">
      <c r="N9143" t="str" cm="1">
        <f t="array" ref="N9143">IF(MOD(ROW()-ROW($B$2),16)=0,INDEX($M$2:$M$1000,(ROW()-ROW($B$2))/16+1),"")</f>
        <v/>
      </c>
    </row>
    <row r="9144" spans="14:14" x14ac:dyDescent="0.3">
      <c r="N9144" t="str" cm="1">
        <f t="array" ref="N9144">IF(MOD(ROW()-ROW($B$2),16)=0,INDEX($M$2:$M$1000,(ROW()-ROW($B$2))/16+1),"")</f>
        <v/>
      </c>
    </row>
    <row r="9145" spans="14:14" x14ac:dyDescent="0.3">
      <c r="N9145" t="str" cm="1">
        <f t="array" ref="N9145">IF(MOD(ROW()-ROW($B$2),16)=0,INDEX($M$2:$M$1000,(ROW()-ROW($B$2))/16+1),"")</f>
        <v/>
      </c>
    </row>
    <row r="9146" spans="14:14" x14ac:dyDescent="0.3">
      <c r="N9146" t="str" cm="1">
        <f t="array" ref="N9146">IF(MOD(ROW()-ROW($B$2),16)=0,INDEX($M$2:$M$1000,(ROW()-ROW($B$2))/16+1),"")</f>
        <v/>
      </c>
    </row>
    <row r="9147" spans="14:14" x14ac:dyDescent="0.3">
      <c r="N9147" t="str" cm="1">
        <f t="array" ref="N9147">IF(MOD(ROW()-ROW($B$2),16)=0,INDEX($M$2:$M$1000,(ROW()-ROW($B$2))/16+1),"")</f>
        <v/>
      </c>
    </row>
    <row r="9148" spans="14:14" x14ac:dyDescent="0.3">
      <c r="N9148" t="str" cm="1">
        <f t="array" ref="N9148">IF(MOD(ROW()-ROW($B$2),16)=0,INDEX($M$2:$M$1000,(ROW()-ROW($B$2))/16+1),"")</f>
        <v/>
      </c>
    </row>
    <row r="9149" spans="14:14" x14ac:dyDescent="0.3">
      <c r="N9149" t="str" cm="1">
        <f t="array" ref="N9149">IF(MOD(ROW()-ROW($B$2),16)=0,INDEX($M$2:$M$1000,(ROW()-ROW($B$2))/16+1),"")</f>
        <v/>
      </c>
    </row>
    <row r="9150" spans="14:14" x14ac:dyDescent="0.3">
      <c r="N9150" t="str" cm="1">
        <f t="array" ref="N9150">IF(MOD(ROW()-ROW($B$2),16)=0,INDEX($M$2:$M$1000,(ROW()-ROW($B$2))/16+1),"")</f>
        <v/>
      </c>
    </row>
    <row r="9151" spans="14:14" x14ac:dyDescent="0.3">
      <c r="N9151" t="str" cm="1">
        <f t="array" ref="N9151">IF(MOD(ROW()-ROW($B$2),16)=0,INDEX($M$2:$M$1000,(ROW()-ROW($B$2))/16+1),"")</f>
        <v/>
      </c>
    </row>
    <row r="9152" spans="14:14" x14ac:dyDescent="0.3">
      <c r="N9152" t="str" cm="1">
        <f t="array" ref="N9152">IF(MOD(ROW()-ROW($B$2),16)=0,INDEX($M$2:$M$1000,(ROW()-ROW($B$2))/16+1),"")</f>
        <v/>
      </c>
    </row>
    <row r="9153" spans="14:14" x14ac:dyDescent="0.3">
      <c r="N9153" t="str" cm="1">
        <f t="array" ref="N9153">IF(MOD(ROW()-ROW($B$2),16)=0,INDEX($M$2:$M$1000,(ROW()-ROW($B$2))/16+1),"")</f>
        <v/>
      </c>
    </row>
    <row r="9154" spans="14:14" x14ac:dyDescent="0.3">
      <c r="N9154" t="str" cm="1">
        <f t="array" ref="N9154">IF(MOD(ROW()-ROW($B$2),16)=0,INDEX($M$2:$M$1000,(ROW()-ROW($B$2))/16+1),"")</f>
        <v/>
      </c>
    </row>
    <row r="9155" spans="14:14" x14ac:dyDescent="0.3">
      <c r="N9155" t="str" cm="1">
        <f t="array" ref="N9155">IF(MOD(ROW()-ROW($B$2),16)=0,INDEX($M$2:$M$1000,(ROW()-ROW($B$2))/16+1),"")</f>
        <v/>
      </c>
    </row>
    <row r="9156" spans="14:14" x14ac:dyDescent="0.3">
      <c r="N9156" t="str" cm="1">
        <f t="array" ref="N9156">IF(MOD(ROW()-ROW($B$2),16)=0,INDEX($M$2:$M$1000,(ROW()-ROW($B$2))/16+1),"")</f>
        <v/>
      </c>
    </row>
    <row r="9157" spans="14:14" x14ac:dyDescent="0.3">
      <c r="N9157" t="str" cm="1">
        <f t="array" ref="N9157">IF(MOD(ROW()-ROW($B$2),16)=0,INDEX($M$2:$M$1000,(ROW()-ROW($B$2))/16+1),"")</f>
        <v/>
      </c>
    </row>
    <row r="9158" spans="14:14" x14ac:dyDescent="0.3">
      <c r="N9158" t="str" cm="1">
        <f t="array" ref="N9158">IF(MOD(ROW()-ROW($B$2),16)=0,INDEX($M$2:$M$1000,(ROW()-ROW($B$2))/16+1),"")</f>
        <v/>
      </c>
    </row>
    <row r="9159" spans="14:14" x14ac:dyDescent="0.3">
      <c r="N9159" t="str" cm="1">
        <f t="array" ref="N9159">IF(MOD(ROW()-ROW($B$2),16)=0,INDEX($M$2:$M$1000,(ROW()-ROW($B$2))/16+1),"")</f>
        <v/>
      </c>
    </row>
    <row r="9160" spans="14:14" x14ac:dyDescent="0.3">
      <c r="N9160" t="str" cm="1">
        <f t="array" ref="N9160">IF(MOD(ROW()-ROW($B$2),16)=0,INDEX($M$2:$M$1000,(ROW()-ROW($B$2))/16+1),"")</f>
        <v/>
      </c>
    </row>
    <row r="9161" spans="14:14" x14ac:dyDescent="0.3">
      <c r="N9161" t="str" cm="1">
        <f t="array" ref="N9161">IF(MOD(ROW()-ROW($B$2),16)=0,INDEX($M$2:$M$1000,(ROW()-ROW($B$2))/16+1),"")</f>
        <v/>
      </c>
    </row>
    <row r="9162" spans="14:14" x14ac:dyDescent="0.3">
      <c r="N9162" t="str" cm="1">
        <f t="array" ref="N9162">IF(MOD(ROW()-ROW($B$2),16)=0,INDEX($M$2:$M$1000,(ROW()-ROW($B$2))/16+1),"")</f>
        <v/>
      </c>
    </row>
    <row r="9163" spans="14:14" x14ac:dyDescent="0.3">
      <c r="N9163" t="str" cm="1">
        <f t="array" ref="N9163">IF(MOD(ROW()-ROW($B$2),16)=0,INDEX($M$2:$M$1000,(ROW()-ROW($B$2))/16+1),"")</f>
        <v/>
      </c>
    </row>
    <row r="9164" spans="14:14" x14ac:dyDescent="0.3">
      <c r="N9164" t="str" cm="1">
        <f t="array" ref="N9164">IF(MOD(ROW()-ROW($B$2),16)=0,INDEX($M$2:$M$1000,(ROW()-ROW($B$2))/16+1),"")</f>
        <v/>
      </c>
    </row>
    <row r="9165" spans="14:14" x14ac:dyDescent="0.3">
      <c r="N9165" t="str" cm="1">
        <f t="array" ref="N9165">IF(MOD(ROW()-ROW($B$2),16)=0,INDEX($M$2:$M$1000,(ROW()-ROW($B$2))/16+1),"")</f>
        <v/>
      </c>
    </row>
    <row r="9166" spans="14:14" x14ac:dyDescent="0.3">
      <c r="N9166" t="str" cm="1">
        <f t="array" ref="N9166">IF(MOD(ROW()-ROW($B$2),16)=0,INDEX($M$2:$M$1000,(ROW()-ROW($B$2))/16+1),"")</f>
        <v/>
      </c>
    </row>
    <row r="9167" spans="14:14" x14ac:dyDescent="0.3">
      <c r="N9167" t="str" cm="1">
        <f t="array" ref="N9167">IF(MOD(ROW()-ROW($B$2),16)=0,INDEX($M$2:$M$1000,(ROW()-ROW($B$2))/16+1),"")</f>
        <v/>
      </c>
    </row>
    <row r="9168" spans="14:14" x14ac:dyDescent="0.3">
      <c r="N9168" t="str" cm="1">
        <f t="array" ref="N9168">IF(MOD(ROW()-ROW($B$2),16)=0,INDEX($M$2:$M$1000,(ROW()-ROW($B$2))/16+1),"")</f>
        <v/>
      </c>
    </row>
    <row r="9169" spans="14:14" x14ac:dyDescent="0.3">
      <c r="N9169" t="str" cm="1">
        <f t="array" ref="N9169">IF(MOD(ROW()-ROW($B$2),16)=0,INDEX($M$2:$M$1000,(ROW()-ROW($B$2))/16+1),"")</f>
        <v/>
      </c>
    </row>
    <row r="9170" spans="14:14" x14ac:dyDescent="0.3">
      <c r="N9170" t="str" cm="1">
        <f t="array" ref="N9170">IF(MOD(ROW()-ROW($B$2),16)=0,INDEX($M$2:$M$1000,(ROW()-ROW($B$2))/16+1),"")</f>
        <v/>
      </c>
    </row>
    <row r="9171" spans="14:14" x14ac:dyDescent="0.3">
      <c r="N9171" t="str" cm="1">
        <f t="array" ref="N9171">IF(MOD(ROW()-ROW($B$2),16)=0,INDEX($M$2:$M$1000,(ROW()-ROW($B$2))/16+1),"")</f>
        <v/>
      </c>
    </row>
    <row r="9172" spans="14:14" x14ac:dyDescent="0.3">
      <c r="N9172" t="str" cm="1">
        <f t="array" ref="N9172">IF(MOD(ROW()-ROW($B$2),16)=0,INDEX($M$2:$M$1000,(ROW()-ROW($B$2))/16+1),"")</f>
        <v/>
      </c>
    </row>
    <row r="9173" spans="14:14" x14ac:dyDescent="0.3">
      <c r="N9173" t="str" cm="1">
        <f t="array" ref="N9173">IF(MOD(ROW()-ROW($B$2),16)=0,INDEX($M$2:$M$1000,(ROW()-ROW($B$2))/16+1),"")</f>
        <v/>
      </c>
    </row>
    <row r="9174" spans="14:14" x14ac:dyDescent="0.3">
      <c r="N9174" t="str" cm="1">
        <f t="array" ref="N9174">IF(MOD(ROW()-ROW($B$2),16)=0,INDEX($M$2:$M$1000,(ROW()-ROW($B$2))/16+1),"")</f>
        <v/>
      </c>
    </row>
    <row r="9175" spans="14:14" x14ac:dyDescent="0.3">
      <c r="N9175" t="str" cm="1">
        <f t="array" ref="N9175">IF(MOD(ROW()-ROW($B$2),16)=0,INDEX($M$2:$M$1000,(ROW()-ROW($B$2))/16+1),"")</f>
        <v/>
      </c>
    </row>
    <row r="9176" spans="14:14" x14ac:dyDescent="0.3">
      <c r="N9176" t="str" cm="1">
        <f t="array" ref="N9176">IF(MOD(ROW()-ROW($B$2),16)=0,INDEX($M$2:$M$1000,(ROW()-ROW($B$2))/16+1),"")</f>
        <v/>
      </c>
    </row>
    <row r="9177" spans="14:14" x14ac:dyDescent="0.3">
      <c r="N9177" t="str" cm="1">
        <f t="array" ref="N9177">IF(MOD(ROW()-ROW($B$2),16)=0,INDEX($M$2:$M$1000,(ROW()-ROW($B$2))/16+1),"")</f>
        <v/>
      </c>
    </row>
    <row r="9178" spans="14:14" x14ac:dyDescent="0.3">
      <c r="N9178" t="str" cm="1">
        <f t="array" ref="N9178">IF(MOD(ROW()-ROW($B$2),16)=0,INDEX($M$2:$M$1000,(ROW()-ROW($B$2))/16+1),"")</f>
        <v/>
      </c>
    </row>
    <row r="9179" spans="14:14" x14ac:dyDescent="0.3">
      <c r="N9179" t="str" cm="1">
        <f t="array" ref="N9179">IF(MOD(ROW()-ROW($B$2),16)=0,INDEX($M$2:$M$1000,(ROW()-ROW($B$2))/16+1),"")</f>
        <v/>
      </c>
    </row>
    <row r="9180" spans="14:14" x14ac:dyDescent="0.3">
      <c r="N9180" t="str" cm="1">
        <f t="array" ref="N9180">IF(MOD(ROW()-ROW($B$2),16)=0,INDEX($M$2:$M$1000,(ROW()-ROW($B$2))/16+1),"")</f>
        <v/>
      </c>
    </row>
    <row r="9181" spans="14:14" x14ac:dyDescent="0.3">
      <c r="N9181" t="str" cm="1">
        <f t="array" ref="N9181">IF(MOD(ROW()-ROW($B$2),16)=0,INDEX($M$2:$M$1000,(ROW()-ROW($B$2))/16+1),"")</f>
        <v/>
      </c>
    </row>
    <row r="9182" spans="14:14" x14ac:dyDescent="0.3">
      <c r="N9182" t="str" cm="1">
        <f t="array" ref="N9182">IF(MOD(ROW()-ROW($B$2),16)=0,INDEX($M$2:$M$1000,(ROW()-ROW($B$2))/16+1),"")</f>
        <v/>
      </c>
    </row>
    <row r="9183" spans="14:14" x14ac:dyDescent="0.3">
      <c r="N9183" t="str" cm="1">
        <f t="array" ref="N9183">IF(MOD(ROW()-ROW($B$2),16)=0,INDEX($M$2:$M$1000,(ROW()-ROW($B$2))/16+1),"")</f>
        <v/>
      </c>
    </row>
    <row r="9184" spans="14:14" x14ac:dyDescent="0.3">
      <c r="N9184" t="str" cm="1">
        <f t="array" ref="N9184">IF(MOD(ROW()-ROW($B$2),16)=0,INDEX($M$2:$M$1000,(ROW()-ROW($B$2))/16+1),"")</f>
        <v/>
      </c>
    </row>
    <row r="9185" spans="14:14" x14ac:dyDescent="0.3">
      <c r="N9185" t="str" cm="1">
        <f t="array" ref="N9185">IF(MOD(ROW()-ROW($B$2),16)=0,INDEX($M$2:$M$1000,(ROW()-ROW($B$2))/16+1),"")</f>
        <v/>
      </c>
    </row>
    <row r="9186" spans="14:14" x14ac:dyDescent="0.3">
      <c r="N9186" t="str" cm="1">
        <f t="array" ref="N9186">IF(MOD(ROW()-ROW($B$2),16)=0,INDEX($M$2:$M$1000,(ROW()-ROW($B$2))/16+1),"")</f>
        <v/>
      </c>
    </row>
    <row r="9187" spans="14:14" x14ac:dyDescent="0.3">
      <c r="N9187" t="str" cm="1">
        <f t="array" ref="N9187">IF(MOD(ROW()-ROW($B$2),16)=0,INDEX($M$2:$M$1000,(ROW()-ROW($B$2))/16+1),"")</f>
        <v/>
      </c>
    </row>
    <row r="9188" spans="14:14" x14ac:dyDescent="0.3">
      <c r="N9188" t="str" cm="1">
        <f t="array" ref="N9188">IF(MOD(ROW()-ROW($B$2),16)=0,INDEX($M$2:$M$1000,(ROW()-ROW($B$2))/16+1),"")</f>
        <v/>
      </c>
    </row>
    <row r="9189" spans="14:14" x14ac:dyDescent="0.3">
      <c r="N9189" t="str" cm="1">
        <f t="array" ref="N9189">IF(MOD(ROW()-ROW($B$2),16)=0,INDEX($M$2:$M$1000,(ROW()-ROW($B$2))/16+1),"")</f>
        <v/>
      </c>
    </row>
    <row r="9190" spans="14:14" x14ac:dyDescent="0.3">
      <c r="N9190" t="str" cm="1">
        <f t="array" ref="N9190">IF(MOD(ROW()-ROW($B$2),16)=0,INDEX($M$2:$M$1000,(ROW()-ROW($B$2))/16+1),"")</f>
        <v/>
      </c>
    </row>
    <row r="9191" spans="14:14" x14ac:dyDescent="0.3">
      <c r="N9191" t="str" cm="1">
        <f t="array" ref="N9191">IF(MOD(ROW()-ROW($B$2),16)=0,INDEX($M$2:$M$1000,(ROW()-ROW($B$2))/16+1),"")</f>
        <v/>
      </c>
    </row>
    <row r="9192" spans="14:14" x14ac:dyDescent="0.3">
      <c r="N9192" t="str" cm="1">
        <f t="array" ref="N9192">IF(MOD(ROW()-ROW($B$2),16)=0,INDEX($M$2:$M$1000,(ROW()-ROW($B$2))/16+1),"")</f>
        <v/>
      </c>
    </row>
    <row r="9193" spans="14:14" x14ac:dyDescent="0.3">
      <c r="N9193" t="str" cm="1">
        <f t="array" ref="N9193">IF(MOD(ROW()-ROW($B$2),16)=0,INDEX($M$2:$M$1000,(ROW()-ROW($B$2))/16+1),"")</f>
        <v/>
      </c>
    </row>
    <row r="9194" spans="14:14" x14ac:dyDescent="0.3">
      <c r="N9194" t="str" cm="1">
        <f t="array" ref="N9194">IF(MOD(ROW()-ROW($B$2),16)=0,INDEX($M$2:$M$1000,(ROW()-ROW($B$2))/16+1),"")</f>
        <v/>
      </c>
    </row>
    <row r="9195" spans="14:14" x14ac:dyDescent="0.3">
      <c r="N9195" t="str" cm="1">
        <f t="array" ref="N9195">IF(MOD(ROW()-ROW($B$2),16)=0,INDEX($M$2:$M$1000,(ROW()-ROW($B$2))/16+1),"")</f>
        <v/>
      </c>
    </row>
    <row r="9196" spans="14:14" x14ac:dyDescent="0.3">
      <c r="N9196" t="str" cm="1">
        <f t="array" ref="N9196">IF(MOD(ROW()-ROW($B$2),16)=0,INDEX($M$2:$M$1000,(ROW()-ROW($B$2))/16+1),"")</f>
        <v/>
      </c>
    </row>
    <row r="9197" spans="14:14" x14ac:dyDescent="0.3">
      <c r="N9197" t="str" cm="1">
        <f t="array" ref="N9197">IF(MOD(ROW()-ROW($B$2),16)=0,INDEX($M$2:$M$1000,(ROW()-ROW($B$2))/16+1),"")</f>
        <v/>
      </c>
    </row>
    <row r="9198" spans="14:14" x14ac:dyDescent="0.3">
      <c r="N9198" t="str" cm="1">
        <f t="array" ref="N9198">IF(MOD(ROW()-ROW($B$2),16)=0,INDEX($M$2:$M$1000,(ROW()-ROW($B$2))/16+1),"")</f>
        <v/>
      </c>
    </row>
    <row r="9199" spans="14:14" x14ac:dyDescent="0.3">
      <c r="N9199" t="str" cm="1">
        <f t="array" ref="N9199">IF(MOD(ROW()-ROW($B$2),16)=0,INDEX($M$2:$M$1000,(ROW()-ROW($B$2))/16+1),"")</f>
        <v/>
      </c>
    </row>
    <row r="9200" spans="14:14" x14ac:dyDescent="0.3">
      <c r="N9200" t="str" cm="1">
        <f t="array" ref="N9200">IF(MOD(ROW()-ROW($B$2),16)=0,INDEX($M$2:$M$1000,(ROW()-ROW($B$2))/16+1),"")</f>
        <v/>
      </c>
    </row>
    <row r="9201" spans="14:14" x14ac:dyDescent="0.3">
      <c r="N9201" t="str" cm="1">
        <f t="array" ref="N9201">IF(MOD(ROW()-ROW($B$2),16)=0,INDEX($M$2:$M$1000,(ROW()-ROW($B$2))/16+1),"")</f>
        <v/>
      </c>
    </row>
    <row r="9202" spans="14:14" x14ac:dyDescent="0.3">
      <c r="N9202" t="str" cm="1">
        <f t="array" ref="N9202">IF(MOD(ROW()-ROW($B$2),16)=0,INDEX($M$2:$M$1000,(ROW()-ROW($B$2))/16+1),"")</f>
        <v/>
      </c>
    </row>
    <row r="9203" spans="14:14" x14ac:dyDescent="0.3">
      <c r="N9203" t="str" cm="1">
        <f t="array" ref="N9203">IF(MOD(ROW()-ROW($B$2),16)=0,INDEX($M$2:$M$1000,(ROW()-ROW($B$2))/16+1),"")</f>
        <v/>
      </c>
    </row>
    <row r="9204" spans="14:14" x14ac:dyDescent="0.3">
      <c r="N9204" t="str" cm="1">
        <f t="array" ref="N9204">IF(MOD(ROW()-ROW($B$2),16)=0,INDEX($M$2:$M$1000,(ROW()-ROW($B$2))/16+1),"")</f>
        <v/>
      </c>
    </row>
    <row r="9205" spans="14:14" x14ac:dyDescent="0.3">
      <c r="N9205" t="str" cm="1">
        <f t="array" ref="N9205">IF(MOD(ROW()-ROW($B$2),16)=0,INDEX($M$2:$M$1000,(ROW()-ROW($B$2))/16+1),"")</f>
        <v/>
      </c>
    </row>
    <row r="9206" spans="14:14" x14ac:dyDescent="0.3">
      <c r="N9206" t="str" cm="1">
        <f t="array" ref="N9206">IF(MOD(ROW()-ROW($B$2),16)=0,INDEX($M$2:$M$1000,(ROW()-ROW($B$2))/16+1),"")</f>
        <v/>
      </c>
    </row>
    <row r="9207" spans="14:14" x14ac:dyDescent="0.3">
      <c r="N9207" t="str" cm="1">
        <f t="array" ref="N9207">IF(MOD(ROW()-ROW($B$2),16)=0,INDEX($M$2:$M$1000,(ROW()-ROW($B$2))/16+1),"")</f>
        <v/>
      </c>
    </row>
    <row r="9208" spans="14:14" x14ac:dyDescent="0.3">
      <c r="N9208" t="str" cm="1">
        <f t="array" ref="N9208">IF(MOD(ROW()-ROW($B$2),16)=0,INDEX($M$2:$M$1000,(ROW()-ROW($B$2))/16+1),"")</f>
        <v/>
      </c>
    </row>
    <row r="9209" spans="14:14" x14ac:dyDescent="0.3">
      <c r="N9209" t="str" cm="1">
        <f t="array" ref="N9209">IF(MOD(ROW()-ROW($B$2),16)=0,INDEX($M$2:$M$1000,(ROW()-ROW($B$2))/16+1),"")</f>
        <v/>
      </c>
    </row>
    <row r="9210" spans="14:14" x14ac:dyDescent="0.3">
      <c r="N9210" t="str" cm="1">
        <f t="array" ref="N9210">IF(MOD(ROW()-ROW($B$2),16)=0,INDEX($M$2:$M$1000,(ROW()-ROW($B$2))/16+1),"")</f>
        <v/>
      </c>
    </row>
    <row r="9211" spans="14:14" x14ac:dyDescent="0.3">
      <c r="N9211" t="str" cm="1">
        <f t="array" ref="N9211">IF(MOD(ROW()-ROW($B$2),16)=0,INDEX($M$2:$M$1000,(ROW()-ROW($B$2))/16+1),"")</f>
        <v/>
      </c>
    </row>
    <row r="9212" spans="14:14" x14ac:dyDescent="0.3">
      <c r="N9212" t="str" cm="1">
        <f t="array" ref="N9212">IF(MOD(ROW()-ROW($B$2),16)=0,INDEX($M$2:$M$1000,(ROW()-ROW($B$2))/16+1),"")</f>
        <v/>
      </c>
    </row>
    <row r="9213" spans="14:14" x14ac:dyDescent="0.3">
      <c r="N9213" t="str" cm="1">
        <f t="array" ref="N9213">IF(MOD(ROW()-ROW($B$2),16)=0,INDEX($M$2:$M$1000,(ROW()-ROW($B$2))/16+1),"")</f>
        <v/>
      </c>
    </row>
    <row r="9214" spans="14:14" x14ac:dyDescent="0.3">
      <c r="N9214" t="str" cm="1">
        <f t="array" ref="N9214">IF(MOD(ROW()-ROW($B$2),16)=0,INDEX($M$2:$M$1000,(ROW()-ROW($B$2))/16+1),"")</f>
        <v/>
      </c>
    </row>
    <row r="9215" spans="14:14" x14ac:dyDescent="0.3">
      <c r="N9215" t="str" cm="1">
        <f t="array" ref="N9215">IF(MOD(ROW()-ROW($B$2),16)=0,INDEX($M$2:$M$1000,(ROW()-ROW($B$2))/16+1),"")</f>
        <v/>
      </c>
    </row>
    <row r="9216" spans="14:14" x14ac:dyDescent="0.3">
      <c r="N9216" t="str" cm="1">
        <f t="array" ref="N9216">IF(MOD(ROW()-ROW($B$2),16)=0,INDEX($M$2:$M$1000,(ROW()-ROW($B$2))/16+1),"")</f>
        <v/>
      </c>
    </row>
    <row r="9217" spans="14:14" x14ac:dyDescent="0.3">
      <c r="N9217" t="str" cm="1">
        <f t="array" ref="N9217">IF(MOD(ROW()-ROW($B$2),16)=0,INDEX($M$2:$M$1000,(ROW()-ROW($B$2))/16+1),"")</f>
        <v/>
      </c>
    </row>
    <row r="9218" spans="14:14" x14ac:dyDescent="0.3">
      <c r="N9218" t="str" cm="1">
        <f t="array" ref="N9218">IF(MOD(ROW()-ROW($B$2),16)=0,INDEX($M$2:$M$1000,(ROW()-ROW($B$2))/16+1),"")</f>
        <v/>
      </c>
    </row>
    <row r="9219" spans="14:14" x14ac:dyDescent="0.3">
      <c r="N9219" t="str" cm="1">
        <f t="array" ref="N9219">IF(MOD(ROW()-ROW($B$2),16)=0,INDEX($M$2:$M$1000,(ROW()-ROW($B$2))/16+1),"")</f>
        <v/>
      </c>
    </row>
    <row r="9220" spans="14:14" x14ac:dyDescent="0.3">
      <c r="N9220" t="str" cm="1">
        <f t="array" ref="N9220">IF(MOD(ROW()-ROW($B$2),16)=0,INDEX($M$2:$M$1000,(ROW()-ROW($B$2))/16+1),"")</f>
        <v/>
      </c>
    </row>
    <row r="9221" spans="14:14" x14ac:dyDescent="0.3">
      <c r="N9221" t="str" cm="1">
        <f t="array" ref="N9221">IF(MOD(ROW()-ROW($B$2),16)=0,INDEX($M$2:$M$1000,(ROW()-ROW($B$2))/16+1),"")</f>
        <v/>
      </c>
    </row>
    <row r="9222" spans="14:14" x14ac:dyDescent="0.3">
      <c r="N9222" t="str" cm="1">
        <f t="array" ref="N9222">IF(MOD(ROW()-ROW($B$2),16)=0,INDEX($M$2:$M$1000,(ROW()-ROW($B$2))/16+1),"")</f>
        <v/>
      </c>
    </row>
    <row r="9223" spans="14:14" x14ac:dyDescent="0.3">
      <c r="N9223" t="str" cm="1">
        <f t="array" ref="N9223">IF(MOD(ROW()-ROW($B$2),16)=0,INDEX($M$2:$M$1000,(ROW()-ROW($B$2))/16+1),"")</f>
        <v/>
      </c>
    </row>
    <row r="9224" spans="14:14" x14ac:dyDescent="0.3">
      <c r="N9224" t="str" cm="1">
        <f t="array" ref="N9224">IF(MOD(ROW()-ROW($B$2),16)=0,INDEX($M$2:$M$1000,(ROW()-ROW($B$2))/16+1),"")</f>
        <v/>
      </c>
    </row>
    <row r="9225" spans="14:14" x14ac:dyDescent="0.3">
      <c r="N9225" t="str" cm="1">
        <f t="array" ref="N9225">IF(MOD(ROW()-ROW($B$2),16)=0,INDEX($M$2:$M$1000,(ROW()-ROW($B$2))/16+1),"")</f>
        <v/>
      </c>
    </row>
    <row r="9226" spans="14:14" x14ac:dyDescent="0.3">
      <c r="N9226" t="str" cm="1">
        <f t="array" ref="N9226">IF(MOD(ROW()-ROW($B$2),16)=0,INDEX($M$2:$M$1000,(ROW()-ROW($B$2))/16+1),"")</f>
        <v/>
      </c>
    </row>
    <row r="9227" spans="14:14" x14ac:dyDescent="0.3">
      <c r="N9227" t="str" cm="1">
        <f t="array" ref="N9227">IF(MOD(ROW()-ROW($B$2),16)=0,INDEX($M$2:$M$1000,(ROW()-ROW($B$2))/16+1),"")</f>
        <v/>
      </c>
    </row>
    <row r="9228" spans="14:14" x14ac:dyDescent="0.3">
      <c r="N9228" t="str" cm="1">
        <f t="array" ref="N9228">IF(MOD(ROW()-ROW($B$2),16)=0,INDEX($M$2:$M$1000,(ROW()-ROW($B$2))/16+1),"")</f>
        <v/>
      </c>
    </row>
    <row r="9229" spans="14:14" x14ac:dyDescent="0.3">
      <c r="N9229" t="str" cm="1">
        <f t="array" ref="N9229">IF(MOD(ROW()-ROW($B$2),16)=0,INDEX($M$2:$M$1000,(ROW()-ROW($B$2))/16+1),"")</f>
        <v/>
      </c>
    </row>
    <row r="9230" spans="14:14" x14ac:dyDescent="0.3">
      <c r="N9230" t="str" cm="1">
        <f t="array" ref="N9230">IF(MOD(ROW()-ROW($B$2),16)=0,INDEX($M$2:$M$1000,(ROW()-ROW($B$2))/16+1),"")</f>
        <v/>
      </c>
    </row>
    <row r="9231" spans="14:14" x14ac:dyDescent="0.3">
      <c r="N9231" t="str" cm="1">
        <f t="array" ref="N9231">IF(MOD(ROW()-ROW($B$2),16)=0,INDEX($M$2:$M$1000,(ROW()-ROW($B$2))/16+1),"")</f>
        <v/>
      </c>
    </row>
    <row r="9232" spans="14:14" x14ac:dyDescent="0.3">
      <c r="N9232" t="str" cm="1">
        <f t="array" ref="N9232">IF(MOD(ROW()-ROW($B$2),16)=0,INDEX($M$2:$M$1000,(ROW()-ROW($B$2))/16+1),"")</f>
        <v/>
      </c>
    </row>
    <row r="9233" spans="14:14" x14ac:dyDescent="0.3">
      <c r="N9233" t="str" cm="1">
        <f t="array" ref="N9233">IF(MOD(ROW()-ROW($B$2),16)=0,INDEX($M$2:$M$1000,(ROW()-ROW($B$2))/16+1),"")</f>
        <v/>
      </c>
    </row>
    <row r="9234" spans="14:14" x14ac:dyDescent="0.3">
      <c r="N9234" t="str" cm="1">
        <f t="array" ref="N9234">IF(MOD(ROW()-ROW($B$2),16)=0,INDEX($M$2:$M$1000,(ROW()-ROW($B$2))/16+1),"")</f>
        <v/>
      </c>
    </row>
    <row r="9235" spans="14:14" x14ac:dyDescent="0.3">
      <c r="N9235" t="str" cm="1">
        <f t="array" ref="N9235">IF(MOD(ROW()-ROW($B$2),16)=0,INDEX($M$2:$M$1000,(ROW()-ROW($B$2))/16+1),"")</f>
        <v/>
      </c>
    </row>
    <row r="9236" spans="14:14" x14ac:dyDescent="0.3">
      <c r="N9236" t="str" cm="1">
        <f t="array" ref="N9236">IF(MOD(ROW()-ROW($B$2),16)=0,INDEX($M$2:$M$1000,(ROW()-ROW($B$2))/16+1),"")</f>
        <v/>
      </c>
    </row>
    <row r="9237" spans="14:14" x14ac:dyDescent="0.3">
      <c r="N9237" t="str" cm="1">
        <f t="array" ref="N9237">IF(MOD(ROW()-ROW($B$2),16)=0,INDEX($M$2:$M$1000,(ROW()-ROW($B$2))/16+1),"")</f>
        <v/>
      </c>
    </row>
    <row r="9238" spans="14:14" x14ac:dyDescent="0.3">
      <c r="N9238" t="str" cm="1">
        <f t="array" ref="N9238">IF(MOD(ROW()-ROW($B$2),16)=0,INDEX($M$2:$M$1000,(ROW()-ROW($B$2))/16+1),"")</f>
        <v/>
      </c>
    </row>
    <row r="9239" spans="14:14" x14ac:dyDescent="0.3">
      <c r="N9239" t="str" cm="1">
        <f t="array" ref="N9239">IF(MOD(ROW()-ROW($B$2),16)=0,INDEX($M$2:$M$1000,(ROW()-ROW($B$2))/16+1),"")</f>
        <v/>
      </c>
    </row>
    <row r="9240" spans="14:14" x14ac:dyDescent="0.3">
      <c r="N9240" t="str" cm="1">
        <f t="array" ref="N9240">IF(MOD(ROW()-ROW($B$2),16)=0,INDEX($M$2:$M$1000,(ROW()-ROW($B$2))/16+1),"")</f>
        <v/>
      </c>
    </row>
    <row r="9241" spans="14:14" x14ac:dyDescent="0.3">
      <c r="N9241" t="str" cm="1">
        <f t="array" ref="N9241">IF(MOD(ROW()-ROW($B$2),16)=0,INDEX($M$2:$M$1000,(ROW()-ROW($B$2))/16+1),"")</f>
        <v/>
      </c>
    </row>
    <row r="9242" spans="14:14" x14ac:dyDescent="0.3">
      <c r="N9242" t="str" cm="1">
        <f t="array" ref="N9242">IF(MOD(ROW()-ROW($B$2),16)=0,INDEX($M$2:$M$1000,(ROW()-ROW($B$2))/16+1),"")</f>
        <v/>
      </c>
    </row>
    <row r="9243" spans="14:14" x14ac:dyDescent="0.3">
      <c r="N9243" t="str" cm="1">
        <f t="array" ref="N9243">IF(MOD(ROW()-ROW($B$2),16)=0,INDEX($M$2:$M$1000,(ROW()-ROW($B$2))/16+1),"")</f>
        <v/>
      </c>
    </row>
    <row r="9244" spans="14:14" x14ac:dyDescent="0.3">
      <c r="N9244" t="str" cm="1">
        <f t="array" ref="N9244">IF(MOD(ROW()-ROW($B$2),16)=0,INDEX($M$2:$M$1000,(ROW()-ROW($B$2))/16+1),"")</f>
        <v/>
      </c>
    </row>
    <row r="9245" spans="14:14" x14ac:dyDescent="0.3">
      <c r="N9245" t="str" cm="1">
        <f t="array" ref="N9245">IF(MOD(ROW()-ROW($B$2),16)=0,INDEX($M$2:$M$1000,(ROW()-ROW($B$2))/16+1),"")</f>
        <v/>
      </c>
    </row>
    <row r="9246" spans="14:14" x14ac:dyDescent="0.3">
      <c r="N9246" t="str" cm="1">
        <f t="array" ref="N9246">IF(MOD(ROW()-ROW($B$2),16)=0,INDEX($M$2:$M$1000,(ROW()-ROW($B$2))/16+1),"")</f>
        <v/>
      </c>
    </row>
    <row r="9247" spans="14:14" x14ac:dyDescent="0.3">
      <c r="N9247" t="str" cm="1">
        <f t="array" ref="N9247">IF(MOD(ROW()-ROW($B$2),16)=0,INDEX($M$2:$M$1000,(ROW()-ROW($B$2))/16+1),"")</f>
        <v/>
      </c>
    </row>
    <row r="9248" spans="14:14" x14ac:dyDescent="0.3">
      <c r="N9248" t="str" cm="1">
        <f t="array" ref="N9248">IF(MOD(ROW()-ROW($B$2),16)=0,INDEX($M$2:$M$1000,(ROW()-ROW($B$2))/16+1),"")</f>
        <v/>
      </c>
    </row>
    <row r="9249" spans="14:14" x14ac:dyDescent="0.3">
      <c r="N9249" t="str" cm="1">
        <f t="array" ref="N9249">IF(MOD(ROW()-ROW($B$2),16)=0,INDEX($M$2:$M$1000,(ROW()-ROW($B$2))/16+1),"")</f>
        <v/>
      </c>
    </row>
    <row r="9250" spans="14:14" x14ac:dyDescent="0.3">
      <c r="N9250" t="str" cm="1">
        <f t="array" ref="N9250">IF(MOD(ROW()-ROW($B$2),16)=0,INDEX($M$2:$M$1000,(ROW()-ROW($B$2))/16+1),"")</f>
        <v/>
      </c>
    </row>
    <row r="9251" spans="14:14" x14ac:dyDescent="0.3">
      <c r="N9251" t="str" cm="1">
        <f t="array" ref="N9251">IF(MOD(ROW()-ROW($B$2),16)=0,INDEX($M$2:$M$1000,(ROW()-ROW($B$2))/16+1),"")</f>
        <v/>
      </c>
    </row>
    <row r="9252" spans="14:14" x14ac:dyDescent="0.3">
      <c r="N9252" t="str" cm="1">
        <f t="array" ref="N9252">IF(MOD(ROW()-ROW($B$2),16)=0,INDEX($M$2:$M$1000,(ROW()-ROW($B$2))/16+1),"")</f>
        <v/>
      </c>
    </row>
    <row r="9253" spans="14:14" x14ac:dyDescent="0.3">
      <c r="N9253" t="str" cm="1">
        <f t="array" ref="N9253">IF(MOD(ROW()-ROW($B$2),16)=0,INDEX($M$2:$M$1000,(ROW()-ROW($B$2))/16+1),"")</f>
        <v/>
      </c>
    </row>
    <row r="9254" spans="14:14" x14ac:dyDescent="0.3">
      <c r="N9254" t="str" cm="1">
        <f t="array" ref="N9254">IF(MOD(ROW()-ROW($B$2),16)=0,INDEX($M$2:$M$1000,(ROW()-ROW($B$2))/16+1),"")</f>
        <v/>
      </c>
    </row>
    <row r="9255" spans="14:14" x14ac:dyDescent="0.3">
      <c r="N9255" t="str" cm="1">
        <f t="array" ref="N9255">IF(MOD(ROW()-ROW($B$2),16)=0,INDEX($M$2:$M$1000,(ROW()-ROW($B$2))/16+1),"")</f>
        <v/>
      </c>
    </row>
    <row r="9256" spans="14:14" x14ac:dyDescent="0.3">
      <c r="N9256" t="str" cm="1">
        <f t="array" ref="N9256">IF(MOD(ROW()-ROW($B$2),16)=0,INDEX($M$2:$M$1000,(ROW()-ROW($B$2))/16+1),"")</f>
        <v/>
      </c>
    </row>
    <row r="9257" spans="14:14" x14ac:dyDescent="0.3">
      <c r="N9257" t="str" cm="1">
        <f t="array" ref="N9257">IF(MOD(ROW()-ROW($B$2),16)=0,INDEX($M$2:$M$1000,(ROW()-ROW($B$2))/16+1),"")</f>
        <v/>
      </c>
    </row>
    <row r="9258" spans="14:14" x14ac:dyDescent="0.3">
      <c r="N9258" t="str" cm="1">
        <f t="array" ref="N9258">IF(MOD(ROW()-ROW($B$2),16)=0,INDEX($M$2:$M$1000,(ROW()-ROW($B$2))/16+1),"")</f>
        <v/>
      </c>
    </row>
    <row r="9259" spans="14:14" x14ac:dyDescent="0.3">
      <c r="N9259" t="str" cm="1">
        <f t="array" ref="N9259">IF(MOD(ROW()-ROW($B$2),16)=0,INDEX($M$2:$M$1000,(ROW()-ROW($B$2))/16+1),"")</f>
        <v/>
      </c>
    </row>
    <row r="9260" spans="14:14" x14ac:dyDescent="0.3">
      <c r="N9260" t="str" cm="1">
        <f t="array" ref="N9260">IF(MOD(ROW()-ROW($B$2),16)=0,INDEX($M$2:$M$1000,(ROW()-ROW($B$2))/16+1),"")</f>
        <v/>
      </c>
    </row>
    <row r="9261" spans="14:14" x14ac:dyDescent="0.3">
      <c r="N9261" t="str" cm="1">
        <f t="array" ref="N9261">IF(MOD(ROW()-ROW($B$2),16)=0,INDEX($M$2:$M$1000,(ROW()-ROW($B$2))/16+1),"")</f>
        <v/>
      </c>
    </row>
    <row r="9262" spans="14:14" x14ac:dyDescent="0.3">
      <c r="N9262" t="str" cm="1">
        <f t="array" ref="N9262">IF(MOD(ROW()-ROW($B$2),16)=0,INDEX($M$2:$M$1000,(ROW()-ROW($B$2))/16+1),"")</f>
        <v/>
      </c>
    </row>
    <row r="9263" spans="14:14" x14ac:dyDescent="0.3">
      <c r="N9263" t="str" cm="1">
        <f t="array" ref="N9263">IF(MOD(ROW()-ROW($B$2),16)=0,INDEX($M$2:$M$1000,(ROW()-ROW($B$2))/16+1),"")</f>
        <v/>
      </c>
    </row>
    <row r="9264" spans="14:14" x14ac:dyDescent="0.3">
      <c r="N9264" t="str" cm="1">
        <f t="array" ref="N9264">IF(MOD(ROW()-ROW($B$2),16)=0,INDEX($M$2:$M$1000,(ROW()-ROW($B$2))/16+1),"")</f>
        <v/>
      </c>
    </row>
    <row r="9265" spans="14:14" x14ac:dyDescent="0.3">
      <c r="N9265" t="str" cm="1">
        <f t="array" ref="N9265">IF(MOD(ROW()-ROW($B$2),16)=0,INDEX($M$2:$M$1000,(ROW()-ROW($B$2))/16+1),"")</f>
        <v/>
      </c>
    </row>
    <row r="9266" spans="14:14" x14ac:dyDescent="0.3">
      <c r="N9266" t="str" cm="1">
        <f t="array" ref="N9266">IF(MOD(ROW()-ROW($B$2),16)=0,INDEX($M$2:$M$1000,(ROW()-ROW($B$2))/16+1),"")</f>
        <v/>
      </c>
    </row>
    <row r="9267" spans="14:14" x14ac:dyDescent="0.3">
      <c r="N9267" t="str" cm="1">
        <f t="array" ref="N9267">IF(MOD(ROW()-ROW($B$2),16)=0,INDEX($M$2:$M$1000,(ROW()-ROW($B$2))/16+1),"")</f>
        <v/>
      </c>
    </row>
    <row r="9268" spans="14:14" x14ac:dyDescent="0.3">
      <c r="N9268" t="str" cm="1">
        <f t="array" ref="N9268">IF(MOD(ROW()-ROW($B$2),16)=0,INDEX($M$2:$M$1000,(ROW()-ROW($B$2))/16+1),"")</f>
        <v/>
      </c>
    </row>
    <row r="9269" spans="14:14" x14ac:dyDescent="0.3">
      <c r="N9269" t="str" cm="1">
        <f t="array" ref="N9269">IF(MOD(ROW()-ROW($B$2),16)=0,INDEX($M$2:$M$1000,(ROW()-ROW($B$2))/16+1),"")</f>
        <v/>
      </c>
    </row>
    <row r="9270" spans="14:14" x14ac:dyDescent="0.3">
      <c r="N9270" t="str" cm="1">
        <f t="array" ref="N9270">IF(MOD(ROW()-ROW($B$2),16)=0,INDEX($M$2:$M$1000,(ROW()-ROW($B$2))/16+1),"")</f>
        <v/>
      </c>
    </row>
    <row r="9271" spans="14:14" x14ac:dyDescent="0.3">
      <c r="N9271" t="str" cm="1">
        <f t="array" ref="N9271">IF(MOD(ROW()-ROW($B$2),16)=0,INDEX($M$2:$M$1000,(ROW()-ROW($B$2))/16+1),"")</f>
        <v/>
      </c>
    </row>
    <row r="9272" spans="14:14" x14ac:dyDescent="0.3">
      <c r="N9272" t="str" cm="1">
        <f t="array" ref="N9272">IF(MOD(ROW()-ROW($B$2),16)=0,INDEX($M$2:$M$1000,(ROW()-ROW($B$2))/16+1),"")</f>
        <v/>
      </c>
    </row>
    <row r="9273" spans="14:14" x14ac:dyDescent="0.3">
      <c r="N9273" t="str" cm="1">
        <f t="array" ref="N9273">IF(MOD(ROW()-ROW($B$2),16)=0,INDEX($M$2:$M$1000,(ROW()-ROW($B$2))/16+1),"")</f>
        <v/>
      </c>
    </row>
    <row r="9274" spans="14:14" x14ac:dyDescent="0.3">
      <c r="N9274" t="str" cm="1">
        <f t="array" ref="N9274">IF(MOD(ROW()-ROW($B$2),16)=0,INDEX($M$2:$M$1000,(ROW()-ROW($B$2))/16+1),"")</f>
        <v/>
      </c>
    </row>
    <row r="9275" spans="14:14" x14ac:dyDescent="0.3">
      <c r="N9275" t="str" cm="1">
        <f t="array" ref="N9275">IF(MOD(ROW()-ROW($B$2),16)=0,INDEX($M$2:$M$1000,(ROW()-ROW($B$2))/16+1),"")</f>
        <v/>
      </c>
    </row>
    <row r="9276" spans="14:14" x14ac:dyDescent="0.3">
      <c r="N9276" t="str" cm="1">
        <f t="array" ref="N9276">IF(MOD(ROW()-ROW($B$2),16)=0,INDEX($M$2:$M$1000,(ROW()-ROW($B$2))/16+1),"")</f>
        <v/>
      </c>
    </row>
    <row r="9277" spans="14:14" x14ac:dyDescent="0.3">
      <c r="N9277" t="str" cm="1">
        <f t="array" ref="N9277">IF(MOD(ROW()-ROW($B$2),16)=0,INDEX($M$2:$M$1000,(ROW()-ROW($B$2))/16+1),"")</f>
        <v/>
      </c>
    </row>
    <row r="9278" spans="14:14" x14ac:dyDescent="0.3">
      <c r="N9278" t="str" cm="1">
        <f t="array" ref="N9278">IF(MOD(ROW()-ROW($B$2),16)=0,INDEX($M$2:$M$1000,(ROW()-ROW($B$2))/16+1),"")</f>
        <v/>
      </c>
    </row>
    <row r="9279" spans="14:14" x14ac:dyDescent="0.3">
      <c r="N9279" t="str" cm="1">
        <f t="array" ref="N9279">IF(MOD(ROW()-ROW($B$2),16)=0,INDEX($M$2:$M$1000,(ROW()-ROW($B$2))/16+1),"")</f>
        <v/>
      </c>
    </row>
    <row r="9280" spans="14:14" x14ac:dyDescent="0.3">
      <c r="N9280" t="str" cm="1">
        <f t="array" ref="N9280">IF(MOD(ROW()-ROW($B$2),16)=0,INDEX($M$2:$M$1000,(ROW()-ROW($B$2))/16+1),"")</f>
        <v/>
      </c>
    </row>
    <row r="9281" spans="14:14" x14ac:dyDescent="0.3">
      <c r="N9281" t="str" cm="1">
        <f t="array" ref="N9281">IF(MOD(ROW()-ROW($B$2),16)=0,INDEX($M$2:$M$1000,(ROW()-ROW($B$2))/16+1),"")</f>
        <v/>
      </c>
    </row>
    <row r="9282" spans="14:14" x14ac:dyDescent="0.3">
      <c r="N9282" t="str" cm="1">
        <f t="array" ref="N9282">IF(MOD(ROW()-ROW($B$2),16)=0,INDEX($M$2:$M$1000,(ROW()-ROW($B$2))/16+1),"")</f>
        <v/>
      </c>
    </row>
    <row r="9283" spans="14:14" x14ac:dyDescent="0.3">
      <c r="N9283" t="str" cm="1">
        <f t="array" ref="N9283">IF(MOD(ROW()-ROW($B$2),16)=0,INDEX($M$2:$M$1000,(ROW()-ROW($B$2))/16+1),"")</f>
        <v/>
      </c>
    </row>
    <row r="9284" spans="14:14" x14ac:dyDescent="0.3">
      <c r="N9284" t="str" cm="1">
        <f t="array" ref="N9284">IF(MOD(ROW()-ROW($B$2),16)=0,INDEX($M$2:$M$1000,(ROW()-ROW($B$2))/16+1),"")</f>
        <v/>
      </c>
    </row>
    <row r="9285" spans="14:14" x14ac:dyDescent="0.3">
      <c r="N9285" t="str" cm="1">
        <f t="array" ref="N9285">IF(MOD(ROW()-ROW($B$2),16)=0,INDEX($M$2:$M$1000,(ROW()-ROW($B$2))/16+1),"")</f>
        <v/>
      </c>
    </row>
    <row r="9286" spans="14:14" x14ac:dyDescent="0.3">
      <c r="N9286" t="str" cm="1">
        <f t="array" ref="N9286">IF(MOD(ROW()-ROW($B$2),16)=0,INDEX($M$2:$M$1000,(ROW()-ROW($B$2))/16+1),"")</f>
        <v/>
      </c>
    </row>
    <row r="9287" spans="14:14" x14ac:dyDescent="0.3">
      <c r="N9287" t="str" cm="1">
        <f t="array" ref="N9287">IF(MOD(ROW()-ROW($B$2),16)=0,INDEX($M$2:$M$1000,(ROW()-ROW($B$2))/16+1),"")</f>
        <v/>
      </c>
    </row>
    <row r="9288" spans="14:14" x14ac:dyDescent="0.3">
      <c r="N9288" t="str" cm="1">
        <f t="array" ref="N9288">IF(MOD(ROW()-ROW($B$2),16)=0,INDEX($M$2:$M$1000,(ROW()-ROW($B$2))/16+1),"")</f>
        <v/>
      </c>
    </row>
    <row r="9289" spans="14:14" x14ac:dyDescent="0.3">
      <c r="N9289" t="str" cm="1">
        <f t="array" ref="N9289">IF(MOD(ROW()-ROW($B$2),16)=0,INDEX($M$2:$M$1000,(ROW()-ROW($B$2))/16+1),"")</f>
        <v/>
      </c>
    </row>
    <row r="9290" spans="14:14" x14ac:dyDescent="0.3">
      <c r="N9290" t="str" cm="1">
        <f t="array" ref="N9290">IF(MOD(ROW()-ROW($B$2),16)=0,INDEX($M$2:$M$1000,(ROW()-ROW($B$2))/16+1),"")</f>
        <v/>
      </c>
    </row>
    <row r="9291" spans="14:14" x14ac:dyDescent="0.3">
      <c r="N9291" t="str" cm="1">
        <f t="array" ref="N9291">IF(MOD(ROW()-ROW($B$2),16)=0,INDEX($M$2:$M$1000,(ROW()-ROW($B$2))/16+1),"")</f>
        <v/>
      </c>
    </row>
    <row r="9292" spans="14:14" x14ac:dyDescent="0.3">
      <c r="N9292" t="str" cm="1">
        <f t="array" ref="N9292">IF(MOD(ROW()-ROW($B$2),16)=0,INDEX($M$2:$M$1000,(ROW()-ROW($B$2))/16+1),"")</f>
        <v/>
      </c>
    </row>
    <row r="9293" spans="14:14" x14ac:dyDescent="0.3">
      <c r="N9293" t="str" cm="1">
        <f t="array" ref="N9293">IF(MOD(ROW()-ROW($B$2),16)=0,INDEX($M$2:$M$1000,(ROW()-ROW($B$2))/16+1),"")</f>
        <v/>
      </c>
    </row>
    <row r="9294" spans="14:14" x14ac:dyDescent="0.3">
      <c r="N9294" t="str" cm="1">
        <f t="array" ref="N9294">IF(MOD(ROW()-ROW($B$2),16)=0,INDEX($M$2:$M$1000,(ROW()-ROW($B$2))/16+1),"")</f>
        <v/>
      </c>
    </row>
    <row r="9295" spans="14:14" x14ac:dyDescent="0.3">
      <c r="N9295" t="str" cm="1">
        <f t="array" ref="N9295">IF(MOD(ROW()-ROW($B$2),16)=0,INDEX($M$2:$M$1000,(ROW()-ROW($B$2))/16+1),"")</f>
        <v/>
      </c>
    </row>
    <row r="9296" spans="14:14" x14ac:dyDescent="0.3">
      <c r="N9296" t="str" cm="1">
        <f t="array" ref="N9296">IF(MOD(ROW()-ROW($B$2),16)=0,INDEX($M$2:$M$1000,(ROW()-ROW($B$2))/16+1),"")</f>
        <v/>
      </c>
    </row>
    <row r="9297" spans="14:14" x14ac:dyDescent="0.3">
      <c r="N9297" t="str" cm="1">
        <f t="array" ref="N9297">IF(MOD(ROW()-ROW($B$2),16)=0,INDEX($M$2:$M$1000,(ROW()-ROW($B$2))/16+1),"")</f>
        <v/>
      </c>
    </row>
    <row r="9298" spans="14:14" x14ac:dyDescent="0.3">
      <c r="N9298" t="str" cm="1">
        <f t="array" ref="N9298">IF(MOD(ROW()-ROW($B$2),16)=0,INDEX($M$2:$M$1000,(ROW()-ROW($B$2))/16+1),"")</f>
        <v/>
      </c>
    </row>
    <row r="9299" spans="14:14" x14ac:dyDescent="0.3">
      <c r="N9299" t="str" cm="1">
        <f t="array" ref="N9299">IF(MOD(ROW()-ROW($B$2),16)=0,INDEX($M$2:$M$1000,(ROW()-ROW($B$2))/16+1),"")</f>
        <v/>
      </c>
    </row>
    <row r="9300" spans="14:14" x14ac:dyDescent="0.3">
      <c r="N9300" t="str" cm="1">
        <f t="array" ref="N9300">IF(MOD(ROW()-ROW($B$2),16)=0,INDEX($M$2:$M$1000,(ROW()-ROW($B$2))/16+1),"")</f>
        <v/>
      </c>
    </row>
    <row r="9301" spans="14:14" x14ac:dyDescent="0.3">
      <c r="N9301" t="str" cm="1">
        <f t="array" ref="N9301">IF(MOD(ROW()-ROW($B$2),16)=0,INDEX($M$2:$M$1000,(ROW()-ROW($B$2))/16+1),"")</f>
        <v/>
      </c>
    </row>
    <row r="9302" spans="14:14" x14ac:dyDescent="0.3">
      <c r="N9302" t="str" cm="1">
        <f t="array" ref="N9302">IF(MOD(ROW()-ROW($B$2),16)=0,INDEX($M$2:$M$1000,(ROW()-ROW($B$2))/16+1),"")</f>
        <v/>
      </c>
    </row>
    <row r="9303" spans="14:14" x14ac:dyDescent="0.3">
      <c r="N9303" t="str" cm="1">
        <f t="array" ref="N9303">IF(MOD(ROW()-ROW($B$2),16)=0,INDEX($M$2:$M$1000,(ROW()-ROW($B$2))/16+1),"")</f>
        <v/>
      </c>
    </row>
    <row r="9304" spans="14:14" x14ac:dyDescent="0.3">
      <c r="N9304" t="str" cm="1">
        <f t="array" ref="N9304">IF(MOD(ROW()-ROW($B$2),16)=0,INDEX($M$2:$M$1000,(ROW()-ROW($B$2))/16+1),"")</f>
        <v/>
      </c>
    </row>
    <row r="9305" spans="14:14" x14ac:dyDescent="0.3">
      <c r="N9305" t="str" cm="1">
        <f t="array" ref="N9305">IF(MOD(ROW()-ROW($B$2),16)=0,INDEX($M$2:$M$1000,(ROW()-ROW($B$2))/16+1),"")</f>
        <v/>
      </c>
    </row>
    <row r="9306" spans="14:14" x14ac:dyDescent="0.3">
      <c r="N9306" t="str" cm="1">
        <f t="array" ref="N9306">IF(MOD(ROW()-ROW($B$2),16)=0,INDEX($M$2:$M$1000,(ROW()-ROW($B$2))/16+1),"")</f>
        <v/>
      </c>
    </row>
    <row r="9307" spans="14:14" x14ac:dyDescent="0.3">
      <c r="N9307" t="str" cm="1">
        <f t="array" ref="N9307">IF(MOD(ROW()-ROW($B$2),16)=0,INDEX($M$2:$M$1000,(ROW()-ROW($B$2))/16+1),"")</f>
        <v/>
      </c>
    </row>
    <row r="9308" spans="14:14" x14ac:dyDescent="0.3">
      <c r="N9308" t="str" cm="1">
        <f t="array" ref="N9308">IF(MOD(ROW()-ROW($B$2),16)=0,INDEX($M$2:$M$1000,(ROW()-ROW($B$2))/16+1),"")</f>
        <v/>
      </c>
    </row>
    <row r="9309" spans="14:14" x14ac:dyDescent="0.3">
      <c r="N9309" t="str" cm="1">
        <f t="array" ref="N9309">IF(MOD(ROW()-ROW($B$2),16)=0,INDEX($M$2:$M$1000,(ROW()-ROW($B$2))/16+1),"")</f>
        <v/>
      </c>
    </row>
    <row r="9310" spans="14:14" x14ac:dyDescent="0.3">
      <c r="N9310" t="str" cm="1">
        <f t="array" ref="N9310">IF(MOD(ROW()-ROW($B$2),16)=0,INDEX($M$2:$M$1000,(ROW()-ROW($B$2))/16+1),"")</f>
        <v/>
      </c>
    </row>
    <row r="9311" spans="14:14" x14ac:dyDescent="0.3">
      <c r="N9311" t="str" cm="1">
        <f t="array" ref="N9311">IF(MOD(ROW()-ROW($B$2),16)=0,INDEX($M$2:$M$1000,(ROW()-ROW($B$2))/16+1),"")</f>
        <v/>
      </c>
    </row>
    <row r="9312" spans="14:14" x14ac:dyDescent="0.3">
      <c r="N9312" t="str" cm="1">
        <f t="array" ref="N9312">IF(MOD(ROW()-ROW($B$2),16)=0,INDEX($M$2:$M$1000,(ROW()-ROW($B$2))/16+1),"")</f>
        <v/>
      </c>
    </row>
    <row r="9313" spans="14:14" x14ac:dyDescent="0.3">
      <c r="N9313" t="str" cm="1">
        <f t="array" ref="N9313">IF(MOD(ROW()-ROW($B$2),16)=0,INDEX($M$2:$M$1000,(ROW()-ROW($B$2))/16+1),"")</f>
        <v/>
      </c>
    </row>
    <row r="9314" spans="14:14" x14ac:dyDescent="0.3">
      <c r="N9314" t="str" cm="1">
        <f t="array" ref="N9314">IF(MOD(ROW()-ROW($B$2),16)=0,INDEX($M$2:$M$1000,(ROW()-ROW($B$2))/16+1),"")</f>
        <v/>
      </c>
    </row>
    <row r="9315" spans="14:14" x14ac:dyDescent="0.3">
      <c r="N9315" t="str" cm="1">
        <f t="array" ref="N9315">IF(MOD(ROW()-ROW($B$2),16)=0,INDEX($M$2:$M$1000,(ROW()-ROW($B$2))/16+1),"")</f>
        <v/>
      </c>
    </row>
    <row r="9316" spans="14:14" x14ac:dyDescent="0.3">
      <c r="N9316" t="str" cm="1">
        <f t="array" ref="N9316">IF(MOD(ROW()-ROW($B$2),16)=0,INDEX($M$2:$M$1000,(ROW()-ROW($B$2))/16+1),"")</f>
        <v/>
      </c>
    </row>
    <row r="9317" spans="14:14" x14ac:dyDescent="0.3">
      <c r="N9317" t="str" cm="1">
        <f t="array" ref="N9317">IF(MOD(ROW()-ROW($B$2),16)=0,INDEX($M$2:$M$1000,(ROW()-ROW($B$2))/16+1),"")</f>
        <v/>
      </c>
    </row>
    <row r="9318" spans="14:14" x14ac:dyDescent="0.3">
      <c r="N9318" t="str" cm="1">
        <f t="array" ref="N9318">IF(MOD(ROW()-ROW($B$2),16)=0,INDEX($M$2:$M$1000,(ROW()-ROW($B$2))/16+1),"")</f>
        <v/>
      </c>
    </row>
    <row r="9319" spans="14:14" x14ac:dyDescent="0.3">
      <c r="N9319" t="str" cm="1">
        <f t="array" ref="N9319">IF(MOD(ROW()-ROW($B$2),16)=0,INDEX($M$2:$M$1000,(ROW()-ROW($B$2))/16+1),"")</f>
        <v/>
      </c>
    </row>
    <row r="9320" spans="14:14" x14ac:dyDescent="0.3">
      <c r="N9320" t="str" cm="1">
        <f t="array" ref="N9320">IF(MOD(ROW()-ROW($B$2),16)=0,INDEX($M$2:$M$1000,(ROW()-ROW($B$2))/16+1),"")</f>
        <v/>
      </c>
    </row>
    <row r="9321" spans="14:14" x14ac:dyDescent="0.3">
      <c r="N9321" t="str" cm="1">
        <f t="array" ref="N9321">IF(MOD(ROW()-ROW($B$2),16)=0,INDEX($M$2:$M$1000,(ROW()-ROW($B$2))/16+1),"")</f>
        <v/>
      </c>
    </row>
    <row r="9322" spans="14:14" x14ac:dyDescent="0.3">
      <c r="N9322" t="str" cm="1">
        <f t="array" ref="N9322">IF(MOD(ROW()-ROW($B$2),16)=0,INDEX($M$2:$M$1000,(ROW()-ROW($B$2))/16+1),"")</f>
        <v/>
      </c>
    </row>
    <row r="9323" spans="14:14" x14ac:dyDescent="0.3">
      <c r="N9323" t="str" cm="1">
        <f t="array" ref="N9323">IF(MOD(ROW()-ROW($B$2),16)=0,INDEX($M$2:$M$1000,(ROW()-ROW($B$2))/16+1),"")</f>
        <v/>
      </c>
    </row>
    <row r="9324" spans="14:14" x14ac:dyDescent="0.3">
      <c r="N9324" t="str" cm="1">
        <f t="array" ref="N9324">IF(MOD(ROW()-ROW($B$2),16)=0,INDEX($M$2:$M$1000,(ROW()-ROW($B$2))/16+1),"")</f>
        <v/>
      </c>
    </row>
    <row r="9325" spans="14:14" x14ac:dyDescent="0.3">
      <c r="N9325" t="str" cm="1">
        <f t="array" ref="N9325">IF(MOD(ROW()-ROW($B$2),16)=0,INDEX($M$2:$M$1000,(ROW()-ROW($B$2))/16+1),"")</f>
        <v/>
      </c>
    </row>
    <row r="9326" spans="14:14" x14ac:dyDescent="0.3">
      <c r="N9326" t="str" cm="1">
        <f t="array" ref="N9326">IF(MOD(ROW()-ROW($B$2),16)=0,INDEX($M$2:$M$1000,(ROW()-ROW($B$2))/16+1),"")</f>
        <v/>
      </c>
    </row>
    <row r="9327" spans="14:14" x14ac:dyDescent="0.3">
      <c r="N9327" t="str" cm="1">
        <f t="array" ref="N9327">IF(MOD(ROW()-ROW($B$2),16)=0,INDEX($M$2:$M$1000,(ROW()-ROW($B$2))/16+1),"")</f>
        <v/>
      </c>
    </row>
    <row r="9328" spans="14:14" x14ac:dyDescent="0.3">
      <c r="N9328" t="str" cm="1">
        <f t="array" ref="N9328">IF(MOD(ROW()-ROW($B$2),16)=0,INDEX($M$2:$M$1000,(ROW()-ROW($B$2))/16+1),"")</f>
        <v/>
      </c>
    </row>
    <row r="9329" spans="14:14" x14ac:dyDescent="0.3">
      <c r="N9329" t="str" cm="1">
        <f t="array" ref="N9329">IF(MOD(ROW()-ROW($B$2),16)=0,INDEX($M$2:$M$1000,(ROW()-ROW($B$2))/16+1),"")</f>
        <v/>
      </c>
    </row>
    <row r="9330" spans="14:14" x14ac:dyDescent="0.3">
      <c r="N9330" t="str" cm="1">
        <f t="array" ref="N9330">IF(MOD(ROW()-ROW($B$2),16)=0,INDEX($M$2:$M$1000,(ROW()-ROW($B$2))/16+1),"")</f>
        <v/>
      </c>
    </row>
    <row r="9331" spans="14:14" x14ac:dyDescent="0.3">
      <c r="N9331" t="str" cm="1">
        <f t="array" ref="N9331">IF(MOD(ROW()-ROW($B$2),16)=0,INDEX($M$2:$M$1000,(ROW()-ROW($B$2))/16+1),"")</f>
        <v/>
      </c>
    </row>
    <row r="9332" spans="14:14" x14ac:dyDescent="0.3">
      <c r="N9332" t="str" cm="1">
        <f t="array" ref="N9332">IF(MOD(ROW()-ROW($B$2),16)=0,INDEX($M$2:$M$1000,(ROW()-ROW($B$2))/16+1),"")</f>
        <v/>
      </c>
    </row>
    <row r="9333" spans="14:14" x14ac:dyDescent="0.3">
      <c r="N9333" t="str" cm="1">
        <f t="array" ref="N9333">IF(MOD(ROW()-ROW($B$2),16)=0,INDEX($M$2:$M$1000,(ROW()-ROW($B$2))/16+1),"")</f>
        <v/>
      </c>
    </row>
    <row r="9334" spans="14:14" x14ac:dyDescent="0.3">
      <c r="N9334" t="str" cm="1">
        <f t="array" ref="N9334">IF(MOD(ROW()-ROW($B$2),16)=0,INDEX($M$2:$M$1000,(ROW()-ROW($B$2))/16+1),"")</f>
        <v/>
      </c>
    </row>
    <row r="9335" spans="14:14" x14ac:dyDescent="0.3">
      <c r="N9335" t="str" cm="1">
        <f t="array" ref="N9335">IF(MOD(ROW()-ROW($B$2),16)=0,INDEX($M$2:$M$1000,(ROW()-ROW($B$2))/16+1),"")</f>
        <v/>
      </c>
    </row>
    <row r="9336" spans="14:14" x14ac:dyDescent="0.3">
      <c r="N9336" t="str" cm="1">
        <f t="array" ref="N9336">IF(MOD(ROW()-ROW($B$2),16)=0,INDEX($M$2:$M$1000,(ROW()-ROW($B$2))/16+1),"")</f>
        <v/>
      </c>
    </row>
    <row r="9337" spans="14:14" x14ac:dyDescent="0.3">
      <c r="N9337" t="str" cm="1">
        <f t="array" ref="N9337">IF(MOD(ROW()-ROW($B$2),16)=0,INDEX($M$2:$M$1000,(ROW()-ROW($B$2))/16+1),"")</f>
        <v/>
      </c>
    </row>
    <row r="9338" spans="14:14" x14ac:dyDescent="0.3">
      <c r="N9338" t="str" cm="1">
        <f t="array" ref="N9338">IF(MOD(ROW()-ROW($B$2),16)=0,INDEX($M$2:$M$1000,(ROW()-ROW($B$2))/16+1),"")</f>
        <v/>
      </c>
    </row>
    <row r="9339" spans="14:14" x14ac:dyDescent="0.3">
      <c r="N9339" t="str" cm="1">
        <f t="array" ref="N9339">IF(MOD(ROW()-ROW($B$2),16)=0,INDEX($M$2:$M$1000,(ROW()-ROW($B$2))/16+1),"")</f>
        <v/>
      </c>
    </row>
    <row r="9340" spans="14:14" x14ac:dyDescent="0.3">
      <c r="N9340" t="str" cm="1">
        <f t="array" ref="N9340">IF(MOD(ROW()-ROW($B$2),16)=0,INDEX($M$2:$M$1000,(ROW()-ROW($B$2))/16+1),"")</f>
        <v/>
      </c>
    </row>
    <row r="9341" spans="14:14" x14ac:dyDescent="0.3">
      <c r="N9341" t="str" cm="1">
        <f t="array" ref="N9341">IF(MOD(ROW()-ROW($B$2),16)=0,INDEX($M$2:$M$1000,(ROW()-ROW($B$2))/16+1),"")</f>
        <v/>
      </c>
    </row>
    <row r="9342" spans="14:14" x14ac:dyDescent="0.3">
      <c r="N9342" t="str" cm="1">
        <f t="array" ref="N9342">IF(MOD(ROW()-ROW($B$2),16)=0,INDEX($M$2:$M$1000,(ROW()-ROW($B$2))/16+1),"")</f>
        <v/>
      </c>
    </row>
    <row r="9343" spans="14:14" x14ac:dyDescent="0.3">
      <c r="N9343" t="str" cm="1">
        <f t="array" ref="N9343">IF(MOD(ROW()-ROW($B$2),16)=0,INDEX($M$2:$M$1000,(ROW()-ROW($B$2))/16+1),"")</f>
        <v/>
      </c>
    </row>
    <row r="9344" spans="14:14" x14ac:dyDescent="0.3">
      <c r="N9344" t="str" cm="1">
        <f t="array" ref="N9344">IF(MOD(ROW()-ROW($B$2),16)=0,INDEX($M$2:$M$1000,(ROW()-ROW($B$2))/16+1),"")</f>
        <v/>
      </c>
    </row>
    <row r="9345" spans="14:14" x14ac:dyDescent="0.3">
      <c r="N9345" t="str" cm="1">
        <f t="array" ref="N9345">IF(MOD(ROW()-ROW($B$2),16)=0,INDEX($M$2:$M$1000,(ROW()-ROW($B$2))/16+1),"")</f>
        <v/>
      </c>
    </row>
    <row r="9346" spans="14:14" x14ac:dyDescent="0.3">
      <c r="N9346" t="str" cm="1">
        <f t="array" ref="N9346">IF(MOD(ROW()-ROW($B$2),16)=0,INDEX($M$2:$M$1000,(ROW()-ROW($B$2))/16+1),"")</f>
        <v/>
      </c>
    </row>
    <row r="9347" spans="14:14" x14ac:dyDescent="0.3">
      <c r="N9347" t="str" cm="1">
        <f t="array" ref="N9347">IF(MOD(ROW()-ROW($B$2),16)=0,INDEX($M$2:$M$1000,(ROW()-ROW($B$2))/16+1),"")</f>
        <v/>
      </c>
    </row>
    <row r="9348" spans="14:14" x14ac:dyDescent="0.3">
      <c r="N9348" t="str" cm="1">
        <f t="array" ref="N9348">IF(MOD(ROW()-ROW($B$2),16)=0,INDEX($M$2:$M$1000,(ROW()-ROW($B$2))/16+1),"")</f>
        <v/>
      </c>
    </row>
    <row r="9349" spans="14:14" x14ac:dyDescent="0.3">
      <c r="N9349" t="str" cm="1">
        <f t="array" ref="N9349">IF(MOD(ROW()-ROW($B$2),16)=0,INDEX($M$2:$M$1000,(ROW()-ROW($B$2))/16+1),"")</f>
        <v/>
      </c>
    </row>
    <row r="9350" spans="14:14" x14ac:dyDescent="0.3">
      <c r="N9350" t="str" cm="1">
        <f t="array" ref="N9350">IF(MOD(ROW()-ROW($B$2),16)=0,INDEX($M$2:$M$1000,(ROW()-ROW($B$2))/16+1),"")</f>
        <v/>
      </c>
    </row>
    <row r="9351" spans="14:14" x14ac:dyDescent="0.3">
      <c r="N9351" t="str" cm="1">
        <f t="array" ref="N9351">IF(MOD(ROW()-ROW($B$2),16)=0,INDEX($M$2:$M$1000,(ROW()-ROW($B$2))/16+1),"")</f>
        <v/>
      </c>
    </row>
    <row r="9352" spans="14:14" x14ac:dyDescent="0.3">
      <c r="N9352" t="str" cm="1">
        <f t="array" ref="N9352">IF(MOD(ROW()-ROW($B$2),16)=0,INDEX($M$2:$M$1000,(ROW()-ROW($B$2))/16+1),"")</f>
        <v/>
      </c>
    </row>
    <row r="9353" spans="14:14" x14ac:dyDescent="0.3">
      <c r="N9353" t="str" cm="1">
        <f t="array" ref="N9353">IF(MOD(ROW()-ROW($B$2),16)=0,INDEX($M$2:$M$1000,(ROW()-ROW($B$2))/16+1),"")</f>
        <v/>
      </c>
    </row>
    <row r="9354" spans="14:14" x14ac:dyDescent="0.3">
      <c r="N9354" t="str" cm="1">
        <f t="array" ref="N9354">IF(MOD(ROW()-ROW($B$2),16)=0,INDEX($M$2:$M$1000,(ROW()-ROW($B$2))/16+1),"")</f>
        <v/>
      </c>
    </row>
    <row r="9355" spans="14:14" x14ac:dyDescent="0.3">
      <c r="N9355" t="str" cm="1">
        <f t="array" ref="N9355">IF(MOD(ROW()-ROW($B$2),16)=0,INDEX($M$2:$M$1000,(ROW()-ROW($B$2))/16+1),"")</f>
        <v/>
      </c>
    </row>
    <row r="9356" spans="14:14" x14ac:dyDescent="0.3">
      <c r="N9356" t="str" cm="1">
        <f t="array" ref="N9356">IF(MOD(ROW()-ROW($B$2),16)=0,INDEX($M$2:$M$1000,(ROW()-ROW($B$2))/16+1),"")</f>
        <v/>
      </c>
    </row>
    <row r="9357" spans="14:14" x14ac:dyDescent="0.3">
      <c r="N9357" t="str" cm="1">
        <f t="array" ref="N9357">IF(MOD(ROW()-ROW($B$2),16)=0,INDEX($M$2:$M$1000,(ROW()-ROW($B$2))/16+1),"")</f>
        <v/>
      </c>
    </row>
    <row r="9358" spans="14:14" x14ac:dyDescent="0.3">
      <c r="N9358" t="str" cm="1">
        <f t="array" ref="N9358">IF(MOD(ROW()-ROW($B$2),16)=0,INDEX($M$2:$M$1000,(ROW()-ROW($B$2))/16+1),"")</f>
        <v/>
      </c>
    </row>
    <row r="9359" spans="14:14" x14ac:dyDescent="0.3">
      <c r="N9359" t="str" cm="1">
        <f t="array" ref="N9359">IF(MOD(ROW()-ROW($B$2),16)=0,INDEX($M$2:$M$1000,(ROW()-ROW($B$2))/16+1),"")</f>
        <v/>
      </c>
    </row>
    <row r="9360" spans="14:14" x14ac:dyDescent="0.3">
      <c r="N9360" t="str" cm="1">
        <f t="array" ref="N9360">IF(MOD(ROW()-ROW($B$2),16)=0,INDEX($M$2:$M$1000,(ROW()-ROW($B$2))/16+1),"")</f>
        <v/>
      </c>
    </row>
    <row r="9361" spans="14:14" x14ac:dyDescent="0.3">
      <c r="N9361" t="str" cm="1">
        <f t="array" ref="N9361">IF(MOD(ROW()-ROW($B$2),16)=0,INDEX($M$2:$M$1000,(ROW()-ROW($B$2))/16+1),"")</f>
        <v/>
      </c>
    </row>
    <row r="9362" spans="14:14" x14ac:dyDescent="0.3">
      <c r="N9362" t="str" cm="1">
        <f t="array" ref="N9362">IF(MOD(ROW()-ROW($B$2),16)=0,INDEX($M$2:$M$1000,(ROW()-ROW($B$2))/16+1),"")</f>
        <v/>
      </c>
    </row>
    <row r="9363" spans="14:14" x14ac:dyDescent="0.3">
      <c r="N9363" t="str" cm="1">
        <f t="array" ref="N9363">IF(MOD(ROW()-ROW($B$2),16)=0,INDEX($M$2:$M$1000,(ROW()-ROW($B$2))/16+1),"")</f>
        <v/>
      </c>
    </row>
    <row r="9364" spans="14:14" x14ac:dyDescent="0.3">
      <c r="N9364" t="str" cm="1">
        <f t="array" ref="N9364">IF(MOD(ROW()-ROW($B$2),16)=0,INDEX($M$2:$M$1000,(ROW()-ROW($B$2))/16+1),"")</f>
        <v/>
      </c>
    </row>
    <row r="9365" spans="14:14" x14ac:dyDescent="0.3">
      <c r="N9365" t="str" cm="1">
        <f t="array" ref="N9365">IF(MOD(ROW()-ROW($B$2),16)=0,INDEX($M$2:$M$1000,(ROW()-ROW($B$2))/16+1),"")</f>
        <v/>
      </c>
    </row>
    <row r="9366" spans="14:14" x14ac:dyDescent="0.3">
      <c r="N9366" t="str" cm="1">
        <f t="array" ref="N9366">IF(MOD(ROW()-ROW($B$2),16)=0,INDEX($M$2:$M$1000,(ROW()-ROW($B$2))/16+1),"")</f>
        <v/>
      </c>
    </row>
    <row r="9367" spans="14:14" x14ac:dyDescent="0.3">
      <c r="N9367" t="str" cm="1">
        <f t="array" ref="N9367">IF(MOD(ROW()-ROW($B$2),16)=0,INDEX($M$2:$M$1000,(ROW()-ROW($B$2))/16+1),"")</f>
        <v/>
      </c>
    </row>
    <row r="9368" spans="14:14" x14ac:dyDescent="0.3">
      <c r="N9368" t="str" cm="1">
        <f t="array" ref="N9368">IF(MOD(ROW()-ROW($B$2),16)=0,INDEX($M$2:$M$1000,(ROW()-ROW($B$2))/16+1),"")</f>
        <v/>
      </c>
    </row>
    <row r="9369" spans="14:14" x14ac:dyDescent="0.3">
      <c r="N9369" t="str" cm="1">
        <f t="array" ref="N9369">IF(MOD(ROW()-ROW($B$2),16)=0,INDEX($M$2:$M$1000,(ROW()-ROW($B$2))/16+1),"")</f>
        <v/>
      </c>
    </row>
    <row r="9370" spans="14:14" x14ac:dyDescent="0.3">
      <c r="N9370" t="str" cm="1">
        <f t="array" ref="N9370">IF(MOD(ROW()-ROW($B$2),16)=0,INDEX($M$2:$M$1000,(ROW()-ROW($B$2))/16+1),"")</f>
        <v/>
      </c>
    </row>
    <row r="9371" spans="14:14" x14ac:dyDescent="0.3">
      <c r="N9371" t="str" cm="1">
        <f t="array" ref="N9371">IF(MOD(ROW()-ROW($B$2),16)=0,INDEX($M$2:$M$1000,(ROW()-ROW($B$2))/16+1),"")</f>
        <v/>
      </c>
    </row>
    <row r="9372" spans="14:14" x14ac:dyDescent="0.3">
      <c r="N9372" t="str" cm="1">
        <f t="array" ref="N9372">IF(MOD(ROW()-ROW($B$2),16)=0,INDEX($M$2:$M$1000,(ROW()-ROW($B$2))/16+1),"")</f>
        <v/>
      </c>
    </row>
    <row r="9373" spans="14:14" x14ac:dyDescent="0.3">
      <c r="N9373" t="str" cm="1">
        <f t="array" ref="N9373">IF(MOD(ROW()-ROW($B$2),16)=0,INDEX($M$2:$M$1000,(ROW()-ROW($B$2))/16+1),"")</f>
        <v/>
      </c>
    </row>
    <row r="9374" spans="14:14" x14ac:dyDescent="0.3">
      <c r="N9374" t="str" cm="1">
        <f t="array" ref="N9374">IF(MOD(ROW()-ROW($B$2),16)=0,INDEX($M$2:$M$1000,(ROW()-ROW($B$2))/16+1),"")</f>
        <v/>
      </c>
    </row>
    <row r="9375" spans="14:14" x14ac:dyDescent="0.3">
      <c r="N9375" t="str" cm="1">
        <f t="array" ref="N9375">IF(MOD(ROW()-ROW($B$2),16)=0,INDEX($M$2:$M$1000,(ROW()-ROW($B$2))/16+1),"")</f>
        <v/>
      </c>
    </row>
    <row r="9376" spans="14:14" x14ac:dyDescent="0.3">
      <c r="N9376" t="str" cm="1">
        <f t="array" ref="N9376">IF(MOD(ROW()-ROW($B$2),16)=0,INDEX($M$2:$M$1000,(ROW()-ROW($B$2))/16+1),"")</f>
        <v/>
      </c>
    </row>
    <row r="9377" spans="14:14" x14ac:dyDescent="0.3">
      <c r="N9377" t="str" cm="1">
        <f t="array" ref="N9377">IF(MOD(ROW()-ROW($B$2),16)=0,INDEX($M$2:$M$1000,(ROW()-ROW($B$2))/16+1),"")</f>
        <v/>
      </c>
    </row>
    <row r="9378" spans="14:14" x14ac:dyDescent="0.3">
      <c r="N9378" t="str" cm="1">
        <f t="array" ref="N9378">IF(MOD(ROW()-ROW($B$2),16)=0,INDEX($M$2:$M$1000,(ROW()-ROW($B$2))/16+1),"")</f>
        <v/>
      </c>
    </row>
    <row r="9379" spans="14:14" x14ac:dyDescent="0.3">
      <c r="N9379" t="str" cm="1">
        <f t="array" ref="N9379">IF(MOD(ROW()-ROW($B$2),16)=0,INDEX($M$2:$M$1000,(ROW()-ROW($B$2))/16+1),"")</f>
        <v/>
      </c>
    </row>
    <row r="9380" spans="14:14" x14ac:dyDescent="0.3">
      <c r="N9380" t="str" cm="1">
        <f t="array" ref="N9380">IF(MOD(ROW()-ROW($B$2),16)=0,INDEX($M$2:$M$1000,(ROW()-ROW($B$2))/16+1),"")</f>
        <v/>
      </c>
    </row>
    <row r="9381" spans="14:14" x14ac:dyDescent="0.3">
      <c r="N9381" t="str" cm="1">
        <f t="array" ref="N9381">IF(MOD(ROW()-ROW($B$2),16)=0,INDEX($M$2:$M$1000,(ROW()-ROW($B$2))/16+1),"")</f>
        <v/>
      </c>
    </row>
    <row r="9382" spans="14:14" x14ac:dyDescent="0.3">
      <c r="N9382" t="str" cm="1">
        <f t="array" ref="N9382">IF(MOD(ROW()-ROW($B$2),16)=0,INDEX($M$2:$M$1000,(ROW()-ROW($B$2))/16+1),"")</f>
        <v/>
      </c>
    </row>
    <row r="9383" spans="14:14" x14ac:dyDescent="0.3">
      <c r="N9383" t="str" cm="1">
        <f t="array" ref="N9383">IF(MOD(ROW()-ROW($B$2),16)=0,INDEX($M$2:$M$1000,(ROW()-ROW($B$2))/16+1),"")</f>
        <v/>
      </c>
    </row>
    <row r="9384" spans="14:14" x14ac:dyDescent="0.3">
      <c r="N9384" t="str" cm="1">
        <f t="array" ref="N9384">IF(MOD(ROW()-ROW($B$2),16)=0,INDEX($M$2:$M$1000,(ROW()-ROW($B$2))/16+1),"")</f>
        <v/>
      </c>
    </row>
    <row r="9385" spans="14:14" x14ac:dyDescent="0.3">
      <c r="N9385" t="str" cm="1">
        <f t="array" ref="N9385">IF(MOD(ROW()-ROW($B$2),16)=0,INDEX($M$2:$M$1000,(ROW()-ROW($B$2))/16+1),"")</f>
        <v/>
      </c>
    </row>
    <row r="9386" spans="14:14" x14ac:dyDescent="0.3">
      <c r="N9386" t="str" cm="1">
        <f t="array" ref="N9386">IF(MOD(ROW()-ROW($B$2),16)=0,INDEX($M$2:$M$1000,(ROW()-ROW($B$2))/16+1),"")</f>
        <v/>
      </c>
    </row>
    <row r="9387" spans="14:14" x14ac:dyDescent="0.3">
      <c r="N9387" t="str" cm="1">
        <f t="array" ref="N9387">IF(MOD(ROW()-ROW($B$2),16)=0,INDEX($M$2:$M$1000,(ROW()-ROW($B$2))/16+1),"")</f>
        <v/>
      </c>
    </row>
    <row r="9388" spans="14:14" x14ac:dyDescent="0.3">
      <c r="N9388" t="str" cm="1">
        <f t="array" ref="N9388">IF(MOD(ROW()-ROW($B$2),16)=0,INDEX($M$2:$M$1000,(ROW()-ROW($B$2))/16+1),"")</f>
        <v/>
      </c>
    </row>
    <row r="9389" spans="14:14" x14ac:dyDescent="0.3">
      <c r="N9389" t="str" cm="1">
        <f t="array" ref="N9389">IF(MOD(ROW()-ROW($B$2),16)=0,INDEX($M$2:$M$1000,(ROW()-ROW($B$2))/16+1),"")</f>
        <v/>
      </c>
    </row>
    <row r="9390" spans="14:14" x14ac:dyDescent="0.3">
      <c r="N9390" t="str" cm="1">
        <f t="array" ref="N9390">IF(MOD(ROW()-ROW($B$2),16)=0,INDEX($M$2:$M$1000,(ROW()-ROW($B$2))/16+1),"")</f>
        <v/>
      </c>
    </row>
    <row r="9391" spans="14:14" x14ac:dyDescent="0.3">
      <c r="N9391" t="str" cm="1">
        <f t="array" ref="N9391">IF(MOD(ROW()-ROW($B$2),16)=0,INDEX($M$2:$M$1000,(ROW()-ROW($B$2))/16+1),"")</f>
        <v/>
      </c>
    </row>
    <row r="9392" spans="14:14" x14ac:dyDescent="0.3">
      <c r="N9392" t="str" cm="1">
        <f t="array" ref="N9392">IF(MOD(ROW()-ROW($B$2),16)=0,INDEX($M$2:$M$1000,(ROW()-ROW($B$2))/16+1),"")</f>
        <v/>
      </c>
    </row>
    <row r="9393" spans="14:14" x14ac:dyDescent="0.3">
      <c r="N9393" t="str" cm="1">
        <f t="array" ref="N9393">IF(MOD(ROW()-ROW($B$2),16)=0,INDEX($M$2:$M$1000,(ROW()-ROW($B$2))/16+1),"")</f>
        <v/>
      </c>
    </row>
    <row r="9394" spans="14:14" x14ac:dyDescent="0.3">
      <c r="N9394" t="str" cm="1">
        <f t="array" ref="N9394">IF(MOD(ROW()-ROW($B$2),16)=0,INDEX($M$2:$M$1000,(ROW()-ROW($B$2))/16+1),"")</f>
        <v/>
      </c>
    </row>
    <row r="9395" spans="14:14" x14ac:dyDescent="0.3">
      <c r="N9395" t="str" cm="1">
        <f t="array" ref="N9395">IF(MOD(ROW()-ROW($B$2),16)=0,INDEX($M$2:$M$1000,(ROW()-ROW($B$2))/16+1),"")</f>
        <v/>
      </c>
    </row>
    <row r="9396" spans="14:14" x14ac:dyDescent="0.3">
      <c r="N9396" t="str" cm="1">
        <f t="array" ref="N9396">IF(MOD(ROW()-ROW($B$2),16)=0,INDEX($M$2:$M$1000,(ROW()-ROW($B$2))/16+1),"")</f>
        <v/>
      </c>
    </row>
    <row r="9397" spans="14:14" x14ac:dyDescent="0.3">
      <c r="N9397" t="str" cm="1">
        <f t="array" ref="N9397">IF(MOD(ROW()-ROW($B$2),16)=0,INDEX($M$2:$M$1000,(ROW()-ROW($B$2))/16+1),"")</f>
        <v/>
      </c>
    </row>
    <row r="9398" spans="14:14" x14ac:dyDescent="0.3">
      <c r="N9398" t="str" cm="1">
        <f t="array" ref="N9398">IF(MOD(ROW()-ROW($B$2),16)=0,INDEX($M$2:$M$1000,(ROW()-ROW($B$2))/16+1),"")</f>
        <v/>
      </c>
    </row>
    <row r="9399" spans="14:14" x14ac:dyDescent="0.3">
      <c r="N9399" t="str" cm="1">
        <f t="array" ref="N9399">IF(MOD(ROW()-ROW($B$2),16)=0,INDEX($M$2:$M$1000,(ROW()-ROW($B$2))/16+1),"")</f>
        <v/>
      </c>
    </row>
    <row r="9400" spans="14:14" x14ac:dyDescent="0.3">
      <c r="N9400" t="str" cm="1">
        <f t="array" ref="N9400">IF(MOD(ROW()-ROW($B$2),16)=0,INDEX($M$2:$M$1000,(ROW()-ROW($B$2))/16+1),"")</f>
        <v/>
      </c>
    </row>
    <row r="9401" spans="14:14" x14ac:dyDescent="0.3">
      <c r="N9401" t="str" cm="1">
        <f t="array" ref="N9401">IF(MOD(ROW()-ROW($B$2),16)=0,INDEX($M$2:$M$1000,(ROW()-ROW($B$2))/16+1),"")</f>
        <v/>
      </c>
    </row>
    <row r="9402" spans="14:14" x14ac:dyDescent="0.3">
      <c r="N9402" t="str" cm="1">
        <f t="array" ref="N9402">IF(MOD(ROW()-ROW($B$2),16)=0,INDEX($M$2:$M$1000,(ROW()-ROW($B$2))/16+1),"")</f>
        <v/>
      </c>
    </row>
    <row r="9403" spans="14:14" x14ac:dyDescent="0.3">
      <c r="N9403" t="str" cm="1">
        <f t="array" ref="N9403">IF(MOD(ROW()-ROW($B$2),16)=0,INDEX($M$2:$M$1000,(ROW()-ROW($B$2))/16+1),"")</f>
        <v/>
      </c>
    </row>
    <row r="9404" spans="14:14" x14ac:dyDescent="0.3">
      <c r="N9404" t="str" cm="1">
        <f t="array" ref="N9404">IF(MOD(ROW()-ROW($B$2),16)=0,INDEX($M$2:$M$1000,(ROW()-ROW($B$2))/16+1),"")</f>
        <v/>
      </c>
    </row>
    <row r="9405" spans="14:14" x14ac:dyDescent="0.3">
      <c r="N9405" t="str" cm="1">
        <f t="array" ref="N9405">IF(MOD(ROW()-ROW($B$2),16)=0,INDEX($M$2:$M$1000,(ROW()-ROW($B$2))/16+1),"")</f>
        <v/>
      </c>
    </row>
    <row r="9406" spans="14:14" x14ac:dyDescent="0.3">
      <c r="N9406" t="str" cm="1">
        <f t="array" ref="N9406">IF(MOD(ROW()-ROW($B$2),16)=0,INDEX($M$2:$M$1000,(ROW()-ROW($B$2))/16+1),"")</f>
        <v/>
      </c>
    </row>
    <row r="9407" spans="14:14" x14ac:dyDescent="0.3">
      <c r="N9407" t="str" cm="1">
        <f t="array" ref="N9407">IF(MOD(ROW()-ROW($B$2),16)=0,INDEX($M$2:$M$1000,(ROW()-ROW($B$2))/16+1),"")</f>
        <v/>
      </c>
    </row>
    <row r="9408" spans="14:14" x14ac:dyDescent="0.3">
      <c r="N9408" t="str" cm="1">
        <f t="array" ref="N9408">IF(MOD(ROW()-ROW($B$2),16)=0,INDEX($M$2:$M$1000,(ROW()-ROW($B$2))/16+1),"")</f>
        <v/>
      </c>
    </row>
    <row r="9409" spans="14:14" x14ac:dyDescent="0.3">
      <c r="N9409" t="str" cm="1">
        <f t="array" ref="N9409">IF(MOD(ROW()-ROW($B$2),16)=0,INDEX($M$2:$M$1000,(ROW()-ROW($B$2))/16+1),"")</f>
        <v/>
      </c>
    </row>
    <row r="9410" spans="14:14" x14ac:dyDescent="0.3">
      <c r="N9410" t="str" cm="1">
        <f t="array" ref="N9410">IF(MOD(ROW()-ROW($B$2),16)=0,INDEX($M$2:$M$1000,(ROW()-ROW($B$2))/16+1),"")</f>
        <v/>
      </c>
    </row>
    <row r="9411" spans="14:14" x14ac:dyDescent="0.3">
      <c r="N9411" t="str" cm="1">
        <f t="array" ref="N9411">IF(MOD(ROW()-ROW($B$2),16)=0,INDEX($M$2:$M$1000,(ROW()-ROW($B$2))/16+1),"")</f>
        <v/>
      </c>
    </row>
    <row r="9412" spans="14:14" x14ac:dyDescent="0.3">
      <c r="N9412" t="str" cm="1">
        <f t="array" ref="N9412">IF(MOD(ROW()-ROW($B$2),16)=0,INDEX($M$2:$M$1000,(ROW()-ROW($B$2))/16+1),"")</f>
        <v/>
      </c>
    </row>
    <row r="9413" spans="14:14" x14ac:dyDescent="0.3">
      <c r="N9413" t="str" cm="1">
        <f t="array" ref="N9413">IF(MOD(ROW()-ROW($B$2),16)=0,INDEX($M$2:$M$1000,(ROW()-ROW($B$2))/16+1),"")</f>
        <v/>
      </c>
    </row>
    <row r="9414" spans="14:14" x14ac:dyDescent="0.3">
      <c r="N9414" t="str" cm="1">
        <f t="array" ref="N9414">IF(MOD(ROW()-ROW($B$2),16)=0,INDEX($M$2:$M$1000,(ROW()-ROW($B$2))/16+1),"")</f>
        <v/>
      </c>
    </row>
    <row r="9415" spans="14:14" x14ac:dyDescent="0.3">
      <c r="N9415" t="str" cm="1">
        <f t="array" ref="N9415">IF(MOD(ROW()-ROW($B$2),16)=0,INDEX($M$2:$M$1000,(ROW()-ROW($B$2))/16+1),"")</f>
        <v/>
      </c>
    </row>
    <row r="9416" spans="14:14" x14ac:dyDescent="0.3">
      <c r="N9416" t="str" cm="1">
        <f t="array" ref="N9416">IF(MOD(ROW()-ROW($B$2),16)=0,INDEX($M$2:$M$1000,(ROW()-ROW($B$2))/16+1),"")</f>
        <v/>
      </c>
    </row>
    <row r="9417" spans="14:14" x14ac:dyDescent="0.3">
      <c r="N9417" t="str" cm="1">
        <f t="array" ref="N9417">IF(MOD(ROW()-ROW($B$2),16)=0,INDEX($M$2:$M$1000,(ROW()-ROW($B$2))/16+1),"")</f>
        <v/>
      </c>
    </row>
    <row r="9418" spans="14:14" x14ac:dyDescent="0.3">
      <c r="N9418" t="str" cm="1">
        <f t="array" ref="N9418">IF(MOD(ROW()-ROW($B$2),16)=0,INDEX($M$2:$M$1000,(ROW()-ROW($B$2))/16+1),"")</f>
        <v/>
      </c>
    </row>
    <row r="9419" spans="14:14" x14ac:dyDescent="0.3">
      <c r="N9419" t="str" cm="1">
        <f t="array" ref="N9419">IF(MOD(ROW()-ROW($B$2),16)=0,INDEX($M$2:$M$1000,(ROW()-ROW($B$2))/16+1),"")</f>
        <v/>
      </c>
    </row>
    <row r="9420" spans="14:14" x14ac:dyDescent="0.3">
      <c r="N9420" t="str" cm="1">
        <f t="array" ref="N9420">IF(MOD(ROW()-ROW($B$2),16)=0,INDEX($M$2:$M$1000,(ROW()-ROW($B$2))/16+1),"")</f>
        <v/>
      </c>
    </row>
    <row r="9421" spans="14:14" x14ac:dyDescent="0.3">
      <c r="N9421" t="str" cm="1">
        <f t="array" ref="N9421">IF(MOD(ROW()-ROW($B$2),16)=0,INDEX($M$2:$M$1000,(ROW()-ROW($B$2))/16+1),"")</f>
        <v/>
      </c>
    </row>
    <row r="9422" spans="14:14" x14ac:dyDescent="0.3">
      <c r="N9422" t="str" cm="1">
        <f t="array" ref="N9422">IF(MOD(ROW()-ROW($B$2),16)=0,INDEX($M$2:$M$1000,(ROW()-ROW($B$2))/16+1),"")</f>
        <v/>
      </c>
    </row>
    <row r="9423" spans="14:14" x14ac:dyDescent="0.3">
      <c r="N9423" t="str" cm="1">
        <f t="array" ref="N9423">IF(MOD(ROW()-ROW($B$2),16)=0,INDEX($M$2:$M$1000,(ROW()-ROW($B$2))/16+1),"")</f>
        <v/>
      </c>
    </row>
    <row r="9424" spans="14:14" x14ac:dyDescent="0.3">
      <c r="N9424" t="str" cm="1">
        <f t="array" ref="N9424">IF(MOD(ROW()-ROW($B$2),16)=0,INDEX($M$2:$M$1000,(ROW()-ROW($B$2))/16+1),"")</f>
        <v/>
      </c>
    </row>
    <row r="9425" spans="14:14" x14ac:dyDescent="0.3">
      <c r="N9425" t="str" cm="1">
        <f t="array" ref="N9425">IF(MOD(ROW()-ROW($B$2),16)=0,INDEX($M$2:$M$1000,(ROW()-ROW($B$2))/16+1),"")</f>
        <v/>
      </c>
    </row>
    <row r="9426" spans="14:14" x14ac:dyDescent="0.3">
      <c r="N9426" t="str" cm="1">
        <f t="array" ref="N9426">IF(MOD(ROW()-ROW($B$2),16)=0,INDEX($M$2:$M$1000,(ROW()-ROW($B$2))/16+1),"")</f>
        <v/>
      </c>
    </row>
    <row r="9427" spans="14:14" x14ac:dyDescent="0.3">
      <c r="N9427" t="str" cm="1">
        <f t="array" ref="N9427">IF(MOD(ROW()-ROW($B$2),16)=0,INDEX($M$2:$M$1000,(ROW()-ROW($B$2))/16+1),"")</f>
        <v/>
      </c>
    </row>
    <row r="9428" spans="14:14" x14ac:dyDescent="0.3">
      <c r="N9428" t="str" cm="1">
        <f t="array" ref="N9428">IF(MOD(ROW()-ROW($B$2),16)=0,INDEX($M$2:$M$1000,(ROW()-ROW($B$2))/16+1),"")</f>
        <v/>
      </c>
    </row>
    <row r="9429" spans="14:14" x14ac:dyDescent="0.3">
      <c r="N9429" t="str" cm="1">
        <f t="array" ref="N9429">IF(MOD(ROW()-ROW($B$2),16)=0,INDEX($M$2:$M$1000,(ROW()-ROW($B$2))/16+1),"")</f>
        <v/>
      </c>
    </row>
    <row r="9430" spans="14:14" x14ac:dyDescent="0.3">
      <c r="N9430" t="str" cm="1">
        <f t="array" ref="N9430">IF(MOD(ROW()-ROW($B$2),16)=0,INDEX($M$2:$M$1000,(ROW()-ROW($B$2))/16+1),"")</f>
        <v/>
      </c>
    </row>
    <row r="9431" spans="14:14" x14ac:dyDescent="0.3">
      <c r="N9431" t="str" cm="1">
        <f t="array" ref="N9431">IF(MOD(ROW()-ROW($B$2),16)=0,INDEX($M$2:$M$1000,(ROW()-ROW($B$2))/16+1),"")</f>
        <v/>
      </c>
    </row>
    <row r="9432" spans="14:14" x14ac:dyDescent="0.3">
      <c r="N9432" t="str" cm="1">
        <f t="array" ref="N9432">IF(MOD(ROW()-ROW($B$2),16)=0,INDEX($M$2:$M$1000,(ROW()-ROW($B$2))/16+1),"")</f>
        <v/>
      </c>
    </row>
    <row r="9433" spans="14:14" x14ac:dyDescent="0.3">
      <c r="N9433" t="str" cm="1">
        <f t="array" ref="N9433">IF(MOD(ROW()-ROW($B$2),16)=0,INDEX($M$2:$M$1000,(ROW()-ROW($B$2))/16+1),"")</f>
        <v/>
      </c>
    </row>
    <row r="9434" spans="14:14" x14ac:dyDescent="0.3">
      <c r="N9434" t="str" cm="1">
        <f t="array" ref="N9434">IF(MOD(ROW()-ROW($B$2),16)=0,INDEX($M$2:$M$1000,(ROW()-ROW($B$2))/16+1),"")</f>
        <v/>
      </c>
    </row>
    <row r="9435" spans="14:14" x14ac:dyDescent="0.3">
      <c r="N9435" t="str" cm="1">
        <f t="array" ref="N9435">IF(MOD(ROW()-ROW($B$2),16)=0,INDEX($M$2:$M$1000,(ROW()-ROW($B$2))/16+1),"")</f>
        <v/>
      </c>
    </row>
    <row r="9436" spans="14:14" x14ac:dyDescent="0.3">
      <c r="N9436" t="str" cm="1">
        <f t="array" ref="N9436">IF(MOD(ROW()-ROW($B$2),16)=0,INDEX($M$2:$M$1000,(ROW()-ROW($B$2))/16+1),"")</f>
        <v/>
      </c>
    </row>
    <row r="9437" spans="14:14" x14ac:dyDescent="0.3">
      <c r="N9437" t="str" cm="1">
        <f t="array" ref="N9437">IF(MOD(ROW()-ROW($B$2),16)=0,INDEX($M$2:$M$1000,(ROW()-ROW($B$2))/16+1),"")</f>
        <v/>
      </c>
    </row>
    <row r="9438" spans="14:14" x14ac:dyDescent="0.3">
      <c r="N9438" t="str" cm="1">
        <f t="array" ref="N9438">IF(MOD(ROW()-ROW($B$2),16)=0,INDEX($M$2:$M$1000,(ROW()-ROW($B$2))/16+1),"")</f>
        <v/>
      </c>
    </row>
    <row r="9439" spans="14:14" x14ac:dyDescent="0.3">
      <c r="N9439" t="str" cm="1">
        <f t="array" ref="N9439">IF(MOD(ROW()-ROW($B$2),16)=0,INDEX($M$2:$M$1000,(ROW()-ROW($B$2))/16+1),"")</f>
        <v/>
      </c>
    </row>
    <row r="9440" spans="14:14" x14ac:dyDescent="0.3">
      <c r="N9440" t="str" cm="1">
        <f t="array" ref="N9440">IF(MOD(ROW()-ROW($B$2),16)=0,INDEX($M$2:$M$1000,(ROW()-ROW($B$2))/16+1),"")</f>
        <v/>
      </c>
    </row>
    <row r="9441" spans="14:14" x14ac:dyDescent="0.3">
      <c r="N9441" t="str" cm="1">
        <f t="array" ref="N9441">IF(MOD(ROW()-ROW($B$2),16)=0,INDEX($M$2:$M$1000,(ROW()-ROW($B$2))/16+1),"")</f>
        <v/>
      </c>
    </row>
    <row r="9442" spans="14:14" x14ac:dyDescent="0.3">
      <c r="N9442" t="str" cm="1">
        <f t="array" ref="N9442">IF(MOD(ROW()-ROW($B$2),16)=0,INDEX($M$2:$M$1000,(ROW()-ROW($B$2))/16+1),"")</f>
        <v/>
      </c>
    </row>
    <row r="9443" spans="14:14" x14ac:dyDescent="0.3">
      <c r="N9443" t="str" cm="1">
        <f t="array" ref="N9443">IF(MOD(ROW()-ROW($B$2),16)=0,INDEX($M$2:$M$1000,(ROW()-ROW($B$2))/16+1),"")</f>
        <v/>
      </c>
    </row>
    <row r="9444" spans="14:14" x14ac:dyDescent="0.3">
      <c r="N9444" t="str" cm="1">
        <f t="array" ref="N9444">IF(MOD(ROW()-ROW($B$2),16)=0,INDEX($M$2:$M$1000,(ROW()-ROW($B$2))/16+1),"")</f>
        <v/>
      </c>
    </row>
    <row r="9445" spans="14:14" x14ac:dyDescent="0.3">
      <c r="N9445" t="str" cm="1">
        <f t="array" ref="N9445">IF(MOD(ROW()-ROW($B$2),16)=0,INDEX($M$2:$M$1000,(ROW()-ROW($B$2))/16+1),"")</f>
        <v/>
      </c>
    </row>
    <row r="9446" spans="14:14" x14ac:dyDescent="0.3">
      <c r="N9446" t="str" cm="1">
        <f t="array" ref="N9446">IF(MOD(ROW()-ROW($B$2),16)=0,INDEX($M$2:$M$1000,(ROW()-ROW($B$2))/16+1),"")</f>
        <v/>
      </c>
    </row>
    <row r="9447" spans="14:14" x14ac:dyDescent="0.3">
      <c r="N9447" t="str" cm="1">
        <f t="array" ref="N9447">IF(MOD(ROW()-ROW($B$2),16)=0,INDEX($M$2:$M$1000,(ROW()-ROW($B$2))/16+1),"")</f>
        <v/>
      </c>
    </row>
    <row r="9448" spans="14:14" x14ac:dyDescent="0.3">
      <c r="N9448" t="str" cm="1">
        <f t="array" ref="N9448">IF(MOD(ROW()-ROW($B$2),16)=0,INDEX($M$2:$M$1000,(ROW()-ROW($B$2))/16+1),"")</f>
        <v/>
      </c>
    </row>
    <row r="9449" spans="14:14" x14ac:dyDescent="0.3">
      <c r="N9449" t="str" cm="1">
        <f t="array" ref="N9449">IF(MOD(ROW()-ROW($B$2),16)=0,INDEX($M$2:$M$1000,(ROW()-ROW($B$2))/16+1),"")</f>
        <v/>
      </c>
    </row>
    <row r="9450" spans="14:14" x14ac:dyDescent="0.3">
      <c r="N9450" t="str" cm="1">
        <f t="array" ref="N9450">IF(MOD(ROW()-ROW($B$2),16)=0,INDEX($M$2:$M$1000,(ROW()-ROW($B$2))/16+1),"")</f>
        <v/>
      </c>
    </row>
    <row r="9451" spans="14:14" x14ac:dyDescent="0.3">
      <c r="N9451" t="str" cm="1">
        <f t="array" ref="N9451">IF(MOD(ROW()-ROW($B$2),16)=0,INDEX($M$2:$M$1000,(ROW()-ROW($B$2))/16+1),"")</f>
        <v/>
      </c>
    </row>
    <row r="9452" spans="14:14" x14ac:dyDescent="0.3">
      <c r="N9452" t="str" cm="1">
        <f t="array" ref="N9452">IF(MOD(ROW()-ROW($B$2),16)=0,INDEX($M$2:$M$1000,(ROW()-ROW($B$2))/16+1),"")</f>
        <v/>
      </c>
    </row>
    <row r="9453" spans="14:14" x14ac:dyDescent="0.3">
      <c r="N9453" t="str" cm="1">
        <f t="array" ref="N9453">IF(MOD(ROW()-ROW($B$2),16)=0,INDEX($M$2:$M$1000,(ROW()-ROW($B$2))/16+1),"")</f>
        <v/>
      </c>
    </row>
    <row r="9454" spans="14:14" x14ac:dyDescent="0.3">
      <c r="N9454" t="str" cm="1">
        <f t="array" ref="N9454">IF(MOD(ROW()-ROW($B$2),16)=0,INDEX($M$2:$M$1000,(ROW()-ROW($B$2))/16+1),"")</f>
        <v/>
      </c>
    </row>
    <row r="9455" spans="14:14" x14ac:dyDescent="0.3">
      <c r="N9455" t="str" cm="1">
        <f t="array" ref="N9455">IF(MOD(ROW()-ROW($B$2),16)=0,INDEX($M$2:$M$1000,(ROW()-ROW($B$2))/16+1),"")</f>
        <v/>
      </c>
    </row>
    <row r="9456" spans="14:14" x14ac:dyDescent="0.3">
      <c r="N9456" t="str" cm="1">
        <f t="array" ref="N9456">IF(MOD(ROW()-ROW($B$2),16)=0,INDEX($M$2:$M$1000,(ROW()-ROW($B$2))/16+1),"")</f>
        <v/>
      </c>
    </row>
    <row r="9457" spans="14:14" x14ac:dyDescent="0.3">
      <c r="N9457" t="str" cm="1">
        <f t="array" ref="N9457">IF(MOD(ROW()-ROW($B$2),16)=0,INDEX($M$2:$M$1000,(ROW()-ROW($B$2))/16+1),"")</f>
        <v/>
      </c>
    </row>
    <row r="9458" spans="14:14" x14ac:dyDescent="0.3">
      <c r="N9458" t="str" cm="1">
        <f t="array" ref="N9458">IF(MOD(ROW()-ROW($B$2),16)=0,INDEX($M$2:$M$1000,(ROW()-ROW($B$2))/16+1),"")</f>
        <v/>
      </c>
    </row>
    <row r="9459" spans="14:14" x14ac:dyDescent="0.3">
      <c r="N9459" t="str" cm="1">
        <f t="array" ref="N9459">IF(MOD(ROW()-ROW($B$2),16)=0,INDEX($M$2:$M$1000,(ROW()-ROW($B$2))/16+1),"")</f>
        <v/>
      </c>
    </row>
    <row r="9460" spans="14:14" x14ac:dyDescent="0.3">
      <c r="N9460" t="str" cm="1">
        <f t="array" ref="N9460">IF(MOD(ROW()-ROW($B$2),16)=0,INDEX($M$2:$M$1000,(ROW()-ROW($B$2))/16+1),"")</f>
        <v/>
      </c>
    </row>
    <row r="9461" spans="14:14" x14ac:dyDescent="0.3">
      <c r="N9461" t="str" cm="1">
        <f t="array" ref="N9461">IF(MOD(ROW()-ROW($B$2),16)=0,INDEX($M$2:$M$1000,(ROW()-ROW($B$2))/16+1),"")</f>
        <v/>
      </c>
    </row>
    <row r="9462" spans="14:14" x14ac:dyDescent="0.3">
      <c r="N9462" t="str" cm="1">
        <f t="array" ref="N9462">IF(MOD(ROW()-ROW($B$2),16)=0,INDEX($M$2:$M$1000,(ROW()-ROW($B$2))/16+1),"")</f>
        <v/>
      </c>
    </row>
    <row r="9463" spans="14:14" x14ac:dyDescent="0.3">
      <c r="N9463" t="str" cm="1">
        <f t="array" ref="N9463">IF(MOD(ROW()-ROW($B$2),16)=0,INDEX($M$2:$M$1000,(ROW()-ROW($B$2))/16+1),"")</f>
        <v/>
      </c>
    </row>
    <row r="9464" spans="14:14" x14ac:dyDescent="0.3">
      <c r="N9464" t="str" cm="1">
        <f t="array" ref="N9464">IF(MOD(ROW()-ROW($B$2),16)=0,INDEX($M$2:$M$1000,(ROW()-ROW($B$2))/16+1),"")</f>
        <v/>
      </c>
    </row>
    <row r="9465" spans="14:14" x14ac:dyDescent="0.3">
      <c r="N9465" t="str" cm="1">
        <f t="array" ref="N9465">IF(MOD(ROW()-ROW($B$2),16)=0,INDEX($M$2:$M$1000,(ROW()-ROW($B$2))/16+1),"")</f>
        <v/>
      </c>
    </row>
    <row r="9466" spans="14:14" x14ac:dyDescent="0.3">
      <c r="N9466" t="str" cm="1">
        <f t="array" ref="N9466">IF(MOD(ROW()-ROW($B$2),16)=0,INDEX($M$2:$M$1000,(ROW()-ROW($B$2))/16+1),"")</f>
        <v/>
      </c>
    </row>
    <row r="9467" spans="14:14" x14ac:dyDescent="0.3">
      <c r="N9467" t="str" cm="1">
        <f t="array" ref="N9467">IF(MOD(ROW()-ROW($B$2),16)=0,INDEX($M$2:$M$1000,(ROW()-ROW($B$2))/16+1),"")</f>
        <v/>
      </c>
    </row>
    <row r="9468" spans="14:14" x14ac:dyDescent="0.3">
      <c r="N9468" t="str" cm="1">
        <f t="array" ref="N9468">IF(MOD(ROW()-ROW($B$2),16)=0,INDEX($M$2:$M$1000,(ROW()-ROW($B$2))/16+1),"")</f>
        <v/>
      </c>
    </row>
    <row r="9469" spans="14:14" x14ac:dyDescent="0.3">
      <c r="N9469" t="str" cm="1">
        <f t="array" ref="N9469">IF(MOD(ROW()-ROW($B$2),16)=0,INDEX($M$2:$M$1000,(ROW()-ROW($B$2))/16+1),"")</f>
        <v/>
      </c>
    </row>
    <row r="9470" spans="14:14" x14ac:dyDescent="0.3">
      <c r="N9470" t="str" cm="1">
        <f t="array" ref="N9470">IF(MOD(ROW()-ROW($B$2),16)=0,INDEX($M$2:$M$1000,(ROW()-ROW($B$2))/16+1),"")</f>
        <v/>
      </c>
    </row>
    <row r="9471" spans="14:14" x14ac:dyDescent="0.3">
      <c r="N9471" t="str" cm="1">
        <f t="array" ref="N9471">IF(MOD(ROW()-ROW($B$2),16)=0,INDEX($M$2:$M$1000,(ROW()-ROW($B$2))/16+1),"")</f>
        <v/>
      </c>
    </row>
    <row r="9472" spans="14:14" x14ac:dyDescent="0.3">
      <c r="N9472" t="str" cm="1">
        <f t="array" ref="N9472">IF(MOD(ROW()-ROW($B$2),16)=0,INDEX($M$2:$M$1000,(ROW()-ROW($B$2))/16+1),"")</f>
        <v/>
      </c>
    </row>
    <row r="9473" spans="14:14" x14ac:dyDescent="0.3">
      <c r="N9473" t="str" cm="1">
        <f t="array" ref="N9473">IF(MOD(ROW()-ROW($B$2),16)=0,INDEX($M$2:$M$1000,(ROW()-ROW($B$2))/16+1),"")</f>
        <v/>
      </c>
    </row>
    <row r="9474" spans="14:14" x14ac:dyDescent="0.3">
      <c r="N9474" t="str" cm="1">
        <f t="array" ref="N9474">IF(MOD(ROW()-ROW($B$2),16)=0,INDEX($M$2:$M$1000,(ROW()-ROW($B$2))/16+1),"")</f>
        <v/>
      </c>
    </row>
    <row r="9475" spans="14:14" x14ac:dyDescent="0.3">
      <c r="N9475" t="str" cm="1">
        <f t="array" ref="N9475">IF(MOD(ROW()-ROW($B$2),16)=0,INDEX($M$2:$M$1000,(ROW()-ROW($B$2))/16+1),"")</f>
        <v/>
      </c>
    </row>
    <row r="9476" spans="14:14" x14ac:dyDescent="0.3">
      <c r="N9476" t="str" cm="1">
        <f t="array" ref="N9476">IF(MOD(ROW()-ROW($B$2),16)=0,INDEX($M$2:$M$1000,(ROW()-ROW($B$2))/16+1),"")</f>
        <v/>
      </c>
    </row>
    <row r="9477" spans="14:14" x14ac:dyDescent="0.3">
      <c r="N9477" t="str" cm="1">
        <f t="array" ref="N9477">IF(MOD(ROW()-ROW($B$2),16)=0,INDEX($M$2:$M$1000,(ROW()-ROW($B$2))/16+1),"")</f>
        <v/>
      </c>
    </row>
    <row r="9478" spans="14:14" x14ac:dyDescent="0.3">
      <c r="N9478" t="str" cm="1">
        <f t="array" ref="N9478">IF(MOD(ROW()-ROW($B$2),16)=0,INDEX($M$2:$M$1000,(ROW()-ROW($B$2))/16+1),"")</f>
        <v/>
      </c>
    </row>
    <row r="9479" spans="14:14" x14ac:dyDescent="0.3">
      <c r="N9479" t="str" cm="1">
        <f t="array" ref="N9479">IF(MOD(ROW()-ROW($B$2),16)=0,INDEX($M$2:$M$1000,(ROW()-ROW($B$2))/16+1),"")</f>
        <v/>
      </c>
    </row>
    <row r="9480" spans="14:14" x14ac:dyDescent="0.3">
      <c r="N9480" t="str" cm="1">
        <f t="array" ref="N9480">IF(MOD(ROW()-ROW($B$2),16)=0,INDEX($M$2:$M$1000,(ROW()-ROW($B$2))/16+1),"")</f>
        <v/>
      </c>
    </row>
    <row r="9481" spans="14:14" x14ac:dyDescent="0.3">
      <c r="N9481" t="str" cm="1">
        <f t="array" ref="N9481">IF(MOD(ROW()-ROW($B$2),16)=0,INDEX($M$2:$M$1000,(ROW()-ROW($B$2))/16+1),"")</f>
        <v/>
      </c>
    </row>
    <row r="9482" spans="14:14" x14ac:dyDescent="0.3">
      <c r="N9482" t="str" cm="1">
        <f t="array" ref="N9482">IF(MOD(ROW()-ROW($B$2),16)=0,INDEX($M$2:$M$1000,(ROW()-ROW($B$2))/16+1),"")</f>
        <v/>
      </c>
    </row>
    <row r="9483" spans="14:14" x14ac:dyDescent="0.3">
      <c r="N9483" t="str" cm="1">
        <f t="array" ref="N9483">IF(MOD(ROW()-ROW($B$2),16)=0,INDEX($M$2:$M$1000,(ROW()-ROW($B$2))/16+1),"")</f>
        <v/>
      </c>
    </row>
    <row r="9484" spans="14:14" x14ac:dyDescent="0.3">
      <c r="N9484" t="str" cm="1">
        <f t="array" ref="N9484">IF(MOD(ROW()-ROW($B$2),16)=0,INDEX($M$2:$M$1000,(ROW()-ROW($B$2))/16+1),"")</f>
        <v/>
      </c>
    </row>
    <row r="9485" spans="14:14" x14ac:dyDescent="0.3">
      <c r="N9485" t="str" cm="1">
        <f t="array" ref="N9485">IF(MOD(ROW()-ROW($B$2),16)=0,INDEX($M$2:$M$1000,(ROW()-ROW($B$2))/16+1),"")</f>
        <v/>
      </c>
    </row>
    <row r="9486" spans="14:14" x14ac:dyDescent="0.3">
      <c r="N9486" t="str" cm="1">
        <f t="array" ref="N9486">IF(MOD(ROW()-ROW($B$2),16)=0,INDEX($M$2:$M$1000,(ROW()-ROW($B$2))/16+1),"")</f>
        <v/>
      </c>
    </row>
    <row r="9487" spans="14:14" x14ac:dyDescent="0.3">
      <c r="N9487" t="str" cm="1">
        <f t="array" ref="N9487">IF(MOD(ROW()-ROW($B$2),16)=0,INDEX($M$2:$M$1000,(ROW()-ROW($B$2))/16+1),"")</f>
        <v/>
      </c>
    </row>
    <row r="9488" spans="14:14" x14ac:dyDescent="0.3">
      <c r="N9488" t="str" cm="1">
        <f t="array" ref="N9488">IF(MOD(ROW()-ROW($B$2),16)=0,INDEX($M$2:$M$1000,(ROW()-ROW($B$2))/16+1),"")</f>
        <v/>
      </c>
    </row>
    <row r="9489" spans="14:14" x14ac:dyDescent="0.3">
      <c r="N9489" t="str" cm="1">
        <f t="array" ref="N9489">IF(MOD(ROW()-ROW($B$2),16)=0,INDEX($M$2:$M$1000,(ROW()-ROW($B$2))/16+1),"")</f>
        <v/>
      </c>
    </row>
    <row r="9490" spans="14:14" x14ac:dyDescent="0.3">
      <c r="N9490" t="str" cm="1">
        <f t="array" ref="N9490">IF(MOD(ROW()-ROW($B$2),16)=0,INDEX($M$2:$M$1000,(ROW()-ROW($B$2))/16+1),"")</f>
        <v/>
      </c>
    </row>
    <row r="9491" spans="14:14" x14ac:dyDescent="0.3">
      <c r="N9491" t="str" cm="1">
        <f t="array" ref="N9491">IF(MOD(ROW()-ROW($B$2),16)=0,INDEX($M$2:$M$1000,(ROW()-ROW($B$2))/16+1),"")</f>
        <v/>
      </c>
    </row>
    <row r="9492" spans="14:14" x14ac:dyDescent="0.3">
      <c r="N9492" t="str" cm="1">
        <f t="array" ref="N9492">IF(MOD(ROW()-ROW($B$2),16)=0,INDEX($M$2:$M$1000,(ROW()-ROW($B$2))/16+1),"")</f>
        <v/>
      </c>
    </row>
    <row r="9493" spans="14:14" x14ac:dyDescent="0.3">
      <c r="N9493" t="str" cm="1">
        <f t="array" ref="N9493">IF(MOD(ROW()-ROW($B$2),16)=0,INDEX($M$2:$M$1000,(ROW()-ROW($B$2))/16+1),"")</f>
        <v/>
      </c>
    </row>
    <row r="9494" spans="14:14" x14ac:dyDescent="0.3">
      <c r="N9494" t="str" cm="1">
        <f t="array" ref="N9494">IF(MOD(ROW()-ROW($B$2),16)=0,INDEX($M$2:$M$1000,(ROW()-ROW($B$2))/16+1),"")</f>
        <v/>
      </c>
    </row>
    <row r="9495" spans="14:14" x14ac:dyDescent="0.3">
      <c r="N9495" t="str" cm="1">
        <f t="array" ref="N9495">IF(MOD(ROW()-ROW($B$2),16)=0,INDEX($M$2:$M$1000,(ROW()-ROW($B$2))/16+1),"")</f>
        <v/>
      </c>
    </row>
    <row r="9496" spans="14:14" x14ac:dyDescent="0.3">
      <c r="N9496" t="str" cm="1">
        <f t="array" ref="N9496">IF(MOD(ROW()-ROW($B$2),16)=0,INDEX($M$2:$M$1000,(ROW()-ROW($B$2))/16+1),"")</f>
        <v/>
      </c>
    </row>
    <row r="9497" spans="14:14" x14ac:dyDescent="0.3">
      <c r="N9497" t="str" cm="1">
        <f t="array" ref="N9497">IF(MOD(ROW()-ROW($B$2),16)=0,INDEX($M$2:$M$1000,(ROW()-ROW($B$2))/16+1),"")</f>
        <v/>
      </c>
    </row>
    <row r="9498" spans="14:14" x14ac:dyDescent="0.3">
      <c r="N9498" t="str" cm="1">
        <f t="array" ref="N9498">IF(MOD(ROW()-ROW($B$2),16)=0,INDEX($M$2:$M$1000,(ROW()-ROW($B$2))/16+1),"")</f>
        <v/>
      </c>
    </row>
    <row r="9499" spans="14:14" x14ac:dyDescent="0.3">
      <c r="N9499" t="str" cm="1">
        <f t="array" ref="N9499">IF(MOD(ROW()-ROW($B$2),16)=0,INDEX($M$2:$M$1000,(ROW()-ROW($B$2))/16+1),"")</f>
        <v/>
      </c>
    </row>
    <row r="9500" spans="14:14" x14ac:dyDescent="0.3">
      <c r="N9500" t="str" cm="1">
        <f t="array" ref="N9500">IF(MOD(ROW()-ROW($B$2),16)=0,INDEX($M$2:$M$1000,(ROW()-ROW($B$2))/16+1),"")</f>
        <v/>
      </c>
    </row>
    <row r="9501" spans="14:14" x14ac:dyDescent="0.3">
      <c r="N9501" t="str" cm="1">
        <f t="array" ref="N9501">IF(MOD(ROW()-ROW($B$2),16)=0,INDEX($M$2:$M$1000,(ROW()-ROW($B$2))/16+1),"")</f>
        <v/>
      </c>
    </row>
    <row r="9502" spans="14:14" x14ac:dyDescent="0.3">
      <c r="N9502" t="str" cm="1">
        <f t="array" ref="N9502">IF(MOD(ROW()-ROW($B$2),16)=0,INDEX($M$2:$M$1000,(ROW()-ROW($B$2))/16+1),"")</f>
        <v/>
      </c>
    </row>
    <row r="9503" spans="14:14" x14ac:dyDescent="0.3">
      <c r="N9503" t="str" cm="1">
        <f t="array" ref="N9503">IF(MOD(ROW()-ROW($B$2),16)=0,INDEX($M$2:$M$1000,(ROW()-ROW($B$2))/16+1),"")</f>
        <v/>
      </c>
    </row>
    <row r="9504" spans="14:14" x14ac:dyDescent="0.3">
      <c r="N9504" t="str" cm="1">
        <f t="array" ref="N9504">IF(MOD(ROW()-ROW($B$2),16)=0,INDEX($M$2:$M$1000,(ROW()-ROW($B$2))/16+1),"")</f>
        <v/>
      </c>
    </row>
    <row r="9505" spans="14:14" x14ac:dyDescent="0.3">
      <c r="N9505" t="str" cm="1">
        <f t="array" ref="N9505">IF(MOD(ROW()-ROW($B$2),16)=0,INDEX($M$2:$M$1000,(ROW()-ROW($B$2))/16+1),"")</f>
        <v/>
      </c>
    </row>
    <row r="9506" spans="14:14" x14ac:dyDescent="0.3">
      <c r="N9506" t="str" cm="1">
        <f t="array" ref="N9506">IF(MOD(ROW()-ROW($B$2),16)=0,INDEX($M$2:$M$1000,(ROW()-ROW($B$2))/16+1),"")</f>
        <v/>
      </c>
    </row>
    <row r="9507" spans="14:14" x14ac:dyDescent="0.3">
      <c r="N9507" t="str" cm="1">
        <f t="array" ref="N9507">IF(MOD(ROW()-ROW($B$2),16)=0,INDEX($M$2:$M$1000,(ROW()-ROW($B$2))/16+1),"")</f>
        <v/>
      </c>
    </row>
    <row r="9508" spans="14:14" x14ac:dyDescent="0.3">
      <c r="N9508" t="str" cm="1">
        <f t="array" ref="N9508">IF(MOD(ROW()-ROW($B$2),16)=0,INDEX($M$2:$M$1000,(ROW()-ROW($B$2))/16+1),"")</f>
        <v/>
      </c>
    </row>
    <row r="9509" spans="14:14" x14ac:dyDescent="0.3">
      <c r="N9509" t="str" cm="1">
        <f t="array" ref="N9509">IF(MOD(ROW()-ROW($B$2),16)=0,INDEX($M$2:$M$1000,(ROW()-ROW($B$2))/16+1),"")</f>
        <v/>
      </c>
    </row>
    <row r="9510" spans="14:14" x14ac:dyDescent="0.3">
      <c r="N9510" t="str" cm="1">
        <f t="array" ref="N9510">IF(MOD(ROW()-ROW($B$2),16)=0,INDEX($M$2:$M$1000,(ROW()-ROW($B$2))/16+1),"")</f>
        <v/>
      </c>
    </row>
    <row r="9511" spans="14:14" x14ac:dyDescent="0.3">
      <c r="N9511" t="str" cm="1">
        <f t="array" ref="N9511">IF(MOD(ROW()-ROW($B$2),16)=0,INDEX($M$2:$M$1000,(ROW()-ROW($B$2))/16+1),"")</f>
        <v/>
      </c>
    </row>
    <row r="9512" spans="14:14" x14ac:dyDescent="0.3">
      <c r="N9512" t="str" cm="1">
        <f t="array" ref="N9512">IF(MOD(ROW()-ROW($B$2),16)=0,INDEX($M$2:$M$1000,(ROW()-ROW($B$2))/16+1),"")</f>
        <v/>
      </c>
    </row>
    <row r="9513" spans="14:14" x14ac:dyDescent="0.3">
      <c r="N9513" t="str" cm="1">
        <f t="array" ref="N9513">IF(MOD(ROW()-ROW($B$2),16)=0,INDEX($M$2:$M$1000,(ROW()-ROW($B$2))/16+1),"")</f>
        <v/>
      </c>
    </row>
    <row r="9514" spans="14:14" x14ac:dyDescent="0.3">
      <c r="N9514" t="str" cm="1">
        <f t="array" ref="N9514">IF(MOD(ROW()-ROW($B$2),16)=0,INDEX($M$2:$M$1000,(ROW()-ROW($B$2))/16+1),"")</f>
        <v/>
      </c>
    </row>
    <row r="9515" spans="14:14" x14ac:dyDescent="0.3">
      <c r="N9515" t="str" cm="1">
        <f t="array" ref="N9515">IF(MOD(ROW()-ROW($B$2),16)=0,INDEX($M$2:$M$1000,(ROW()-ROW($B$2))/16+1),"")</f>
        <v/>
      </c>
    </row>
    <row r="9516" spans="14:14" x14ac:dyDescent="0.3">
      <c r="N9516" t="str" cm="1">
        <f t="array" ref="N9516">IF(MOD(ROW()-ROW($B$2),16)=0,INDEX($M$2:$M$1000,(ROW()-ROW($B$2))/16+1),"")</f>
        <v/>
      </c>
    </row>
    <row r="9517" spans="14:14" x14ac:dyDescent="0.3">
      <c r="N9517" t="str" cm="1">
        <f t="array" ref="N9517">IF(MOD(ROW()-ROW($B$2),16)=0,INDEX($M$2:$M$1000,(ROW()-ROW($B$2))/16+1),"")</f>
        <v/>
      </c>
    </row>
    <row r="9518" spans="14:14" x14ac:dyDescent="0.3">
      <c r="N9518" t="str" cm="1">
        <f t="array" ref="N9518">IF(MOD(ROW()-ROW($B$2),16)=0,INDEX($M$2:$M$1000,(ROW()-ROW($B$2))/16+1),"")</f>
        <v/>
      </c>
    </row>
    <row r="9519" spans="14:14" x14ac:dyDescent="0.3">
      <c r="N9519" t="str" cm="1">
        <f t="array" ref="N9519">IF(MOD(ROW()-ROW($B$2),16)=0,INDEX($M$2:$M$1000,(ROW()-ROW($B$2))/16+1),"")</f>
        <v/>
      </c>
    </row>
    <row r="9520" spans="14:14" x14ac:dyDescent="0.3">
      <c r="N9520" t="str" cm="1">
        <f t="array" ref="N9520">IF(MOD(ROW()-ROW($B$2),16)=0,INDEX($M$2:$M$1000,(ROW()-ROW($B$2))/16+1),"")</f>
        <v/>
      </c>
    </row>
    <row r="9521" spans="14:14" x14ac:dyDescent="0.3">
      <c r="N9521" t="str" cm="1">
        <f t="array" ref="N9521">IF(MOD(ROW()-ROW($B$2),16)=0,INDEX($M$2:$M$1000,(ROW()-ROW($B$2))/16+1),"")</f>
        <v/>
      </c>
    </row>
    <row r="9522" spans="14:14" x14ac:dyDescent="0.3">
      <c r="N9522" t="str" cm="1">
        <f t="array" ref="N9522">IF(MOD(ROW()-ROW($B$2),16)=0,INDEX($M$2:$M$1000,(ROW()-ROW($B$2))/16+1),"")</f>
        <v/>
      </c>
    </row>
    <row r="9523" spans="14:14" x14ac:dyDescent="0.3">
      <c r="N9523" t="str" cm="1">
        <f t="array" ref="N9523">IF(MOD(ROW()-ROW($B$2),16)=0,INDEX($M$2:$M$1000,(ROW()-ROW($B$2))/16+1),"")</f>
        <v/>
      </c>
    </row>
    <row r="9524" spans="14:14" x14ac:dyDescent="0.3">
      <c r="N9524" t="str" cm="1">
        <f t="array" ref="N9524">IF(MOD(ROW()-ROW($B$2),16)=0,INDEX($M$2:$M$1000,(ROW()-ROW($B$2))/16+1),"")</f>
        <v/>
      </c>
    </row>
    <row r="9525" spans="14:14" x14ac:dyDescent="0.3">
      <c r="N9525" t="str" cm="1">
        <f t="array" ref="N9525">IF(MOD(ROW()-ROW($B$2),16)=0,INDEX($M$2:$M$1000,(ROW()-ROW($B$2))/16+1),"")</f>
        <v/>
      </c>
    </row>
    <row r="9526" spans="14:14" x14ac:dyDescent="0.3">
      <c r="N9526" t="str" cm="1">
        <f t="array" ref="N9526">IF(MOD(ROW()-ROW($B$2),16)=0,INDEX($M$2:$M$1000,(ROW()-ROW($B$2))/16+1),"")</f>
        <v/>
      </c>
    </row>
    <row r="9527" spans="14:14" x14ac:dyDescent="0.3">
      <c r="N9527" t="str" cm="1">
        <f t="array" ref="N9527">IF(MOD(ROW()-ROW($B$2),16)=0,INDEX($M$2:$M$1000,(ROW()-ROW($B$2))/16+1),"")</f>
        <v/>
      </c>
    </row>
    <row r="9528" spans="14:14" x14ac:dyDescent="0.3">
      <c r="N9528" t="str" cm="1">
        <f t="array" ref="N9528">IF(MOD(ROW()-ROW($B$2),16)=0,INDEX($M$2:$M$1000,(ROW()-ROW($B$2))/16+1),"")</f>
        <v/>
      </c>
    </row>
    <row r="9529" spans="14:14" x14ac:dyDescent="0.3">
      <c r="N9529" t="str" cm="1">
        <f t="array" ref="N9529">IF(MOD(ROW()-ROW($B$2),16)=0,INDEX($M$2:$M$1000,(ROW()-ROW($B$2))/16+1),"")</f>
        <v/>
      </c>
    </row>
    <row r="9530" spans="14:14" x14ac:dyDescent="0.3">
      <c r="N9530" t="str" cm="1">
        <f t="array" ref="N9530">IF(MOD(ROW()-ROW($B$2),16)=0,INDEX($M$2:$M$1000,(ROW()-ROW($B$2))/16+1),"")</f>
        <v/>
      </c>
    </row>
    <row r="9531" spans="14:14" x14ac:dyDescent="0.3">
      <c r="N9531" t="str" cm="1">
        <f t="array" ref="N9531">IF(MOD(ROW()-ROW($B$2),16)=0,INDEX($M$2:$M$1000,(ROW()-ROW($B$2))/16+1),"")</f>
        <v/>
      </c>
    </row>
    <row r="9532" spans="14:14" x14ac:dyDescent="0.3">
      <c r="N9532" t="str" cm="1">
        <f t="array" ref="N9532">IF(MOD(ROW()-ROW($B$2),16)=0,INDEX($M$2:$M$1000,(ROW()-ROW($B$2))/16+1),"")</f>
        <v/>
      </c>
    </row>
    <row r="9533" spans="14:14" x14ac:dyDescent="0.3">
      <c r="N9533" t="str" cm="1">
        <f t="array" ref="N9533">IF(MOD(ROW()-ROW($B$2),16)=0,INDEX($M$2:$M$1000,(ROW()-ROW($B$2))/16+1),"")</f>
        <v/>
      </c>
    </row>
    <row r="9534" spans="14:14" x14ac:dyDescent="0.3">
      <c r="N9534" t="str" cm="1">
        <f t="array" ref="N9534">IF(MOD(ROW()-ROW($B$2),16)=0,INDEX($M$2:$M$1000,(ROW()-ROW($B$2))/16+1),"")</f>
        <v/>
      </c>
    </row>
    <row r="9535" spans="14:14" x14ac:dyDescent="0.3">
      <c r="N9535" t="str" cm="1">
        <f t="array" ref="N9535">IF(MOD(ROW()-ROW($B$2),16)=0,INDEX($M$2:$M$1000,(ROW()-ROW($B$2))/16+1),"")</f>
        <v/>
      </c>
    </row>
    <row r="9536" spans="14:14" x14ac:dyDescent="0.3">
      <c r="N9536" t="str" cm="1">
        <f t="array" ref="N9536">IF(MOD(ROW()-ROW($B$2),16)=0,INDEX($M$2:$M$1000,(ROW()-ROW($B$2))/16+1),"")</f>
        <v/>
      </c>
    </row>
    <row r="9537" spans="14:14" x14ac:dyDescent="0.3">
      <c r="N9537" t="str" cm="1">
        <f t="array" ref="N9537">IF(MOD(ROW()-ROW($B$2),16)=0,INDEX($M$2:$M$1000,(ROW()-ROW($B$2))/16+1),"")</f>
        <v/>
      </c>
    </row>
    <row r="9538" spans="14:14" x14ac:dyDescent="0.3">
      <c r="N9538" t="str" cm="1">
        <f t="array" ref="N9538">IF(MOD(ROW()-ROW($B$2),16)=0,INDEX($M$2:$M$1000,(ROW()-ROW($B$2))/16+1),"")</f>
        <v/>
      </c>
    </row>
    <row r="9539" spans="14:14" x14ac:dyDescent="0.3">
      <c r="N9539" t="str" cm="1">
        <f t="array" ref="N9539">IF(MOD(ROW()-ROW($B$2),16)=0,INDEX($M$2:$M$1000,(ROW()-ROW($B$2))/16+1),"")</f>
        <v/>
      </c>
    </row>
    <row r="9540" spans="14:14" x14ac:dyDescent="0.3">
      <c r="N9540" t="str" cm="1">
        <f t="array" ref="N9540">IF(MOD(ROW()-ROW($B$2),16)=0,INDEX($M$2:$M$1000,(ROW()-ROW($B$2))/16+1),"")</f>
        <v/>
      </c>
    </row>
    <row r="9541" spans="14:14" x14ac:dyDescent="0.3">
      <c r="N9541" t="str" cm="1">
        <f t="array" ref="N9541">IF(MOD(ROW()-ROW($B$2),16)=0,INDEX($M$2:$M$1000,(ROW()-ROW($B$2))/16+1),"")</f>
        <v/>
      </c>
    </row>
    <row r="9542" spans="14:14" x14ac:dyDescent="0.3">
      <c r="N9542" t="str" cm="1">
        <f t="array" ref="N9542">IF(MOD(ROW()-ROW($B$2),16)=0,INDEX($M$2:$M$1000,(ROW()-ROW($B$2))/16+1),"")</f>
        <v/>
      </c>
    </row>
    <row r="9543" spans="14:14" x14ac:dyDescent="0.3">
      <c r="N9543" t="str" cm="1">
        <f t="array" ref="N9543">IF(MOD(ROW()-ROW($B$2),16)=0,INDEX($M$2:$M$1000,(ROW()-ROW($B$2))/16+1),"")</f>
        <v/>
      </c>
    </row>
    <row r="9544" spans="14:14" x14ac:dyDescent="0.3">
      <c r="N9544" t="str" cm="1">
        <f t="array" ref="N9544">IF(MOD(ROW()-ROW($B$2),16)=0,INDEX($M$2:$M$1000,(ROW()-ROW($B$2))/16+1),"")</f>
        <v/>
      </c>
    </row>
    <row r="9545" spans="14:14" x14ac:dyDescent="0.3">
      <c r="N9545" t="str" cm="1">
        <f t="array" ref="N9545">IF(MOD(ROW()-ROW($B$2),16)=0,INDEX($M$2:$M$1000,(ROW()-ROW($B$2))/16+1),"")</f>
        <v/>
      </c>
    </row>
    <row r="9546" spans="14:14" x14ac:dyDescent="0.3">
      <c r="N9546" t="str" cm="1">
        <f t="array" ref="N9546">IF(MOD(ROW()-ROW($B$2),16)=0,INDEX($M$2:$M$1000,(ROW()-ROW($B$2))/16+1),"")</f>
        <v/>
      </c>
    </row>
    <row r="9547" spans="14:14" x14ac:dyDescent="0.3">
      <c r="N9547" t="str" cm="1">
        <f t="array" ref="N9547">IF(MOD(ROW()-ROW($B$2),16)=0,INDEX($M$2:$M$1000,(ROW()-ROW($B$2))/16+1),"")</f>
        <v/>
      </c>
    </row>
    <row r="9548" spans="14:14" x14ac:dyDescent="0.3">
      <c r="N9548" t="str" cm="1">
        <f t="array" ref="N9548">IF(MOD(ROW()-ROW($B$2),16)=0,INDEX($M$2:$M$1000,(ROW()-ROW($B$2))/16+1),"")</f>
        <v/>
      </c>
    </row>
    <row r="9549" spans="14:14" x14ac:dyDescent="0.3">
      <c r="N9549" t="str" cm="1">
        <f t="array" ref="N9549">IF(MOD(ROW()-ROW($B$2),16)=0,INDEX($M$2:$M$1000,(ROW()-ROW($B$2))/16+1),"")</f>
        <v/>
      </c>
    </row>
    <row r="9550" spans="14:14" x14ac:dyDescent="0.3">
      <c r="N9550" t="str" cm="1">
        <f t="array" ref="N9550">IF(MOD(ROW()-ROW($B$2),16)=0,INDEX($M$2:$M$1000,(ROW()-ROW($B$2))/16+1),"")</f>
        <v/>
      </c>
    </row>
    <row r="9551" spans="14:14" x14ac:dyDescent="0.3">
      <c r="N9551" t="str" cm="1">
        <f t="array" ref="N9551">IF(MOD(ROW()-ROW($B$2),16)=0,INDEX($M$2:$M$1000,(ROW()-ROW($B$2))/16+1),"")</f>
        <v/>
      </c>
    </row>
    <row r="9552" spans="14:14" x14ac:dyDescent="0.3">
      <c r="N9552" t="str" cm="1">
        <f t="array" ref="N9552">IF(MOD(ROW()-ROW($B$2),16)=0,INDEX($M$2:$M$1000,(ROW()-ROW($B$2))/16+1),"")</f>
        <v/>
      </c>
    </row>
    <row r="9553" spans="14:14" x14ac:dyDescent="0.3">
      <c r="N9553" t="str" cm="1">
        <f t="array" ref="N9553">IF(MOD(ROW()-ROW($B$2),16)=0,INDEX($M$2:$M$1000,(ROW()-ROW($B$2))/16+1),"")</f>
        <v/>
      </c>
    </row>
    <row r="9554" spans="14:14" x14ac:dyDescent="0.3">
      <c r="N9554" t="str" cm="1">
        <f t="array" ref="N9554">IF(MOD(ROW()-ROW($B$2),16)=0,INDEX($M$2:$M$1000,(ROW()-ROW($B$2))/16+1),"")</f>
        <v/>
      </c>
    </row>
    <row r="9555" spans="14:14" x14ac:dyDescent="0.3">
      <c r="N9555" t="str" cm="1">
        <f t="array" ref="N9555">IF(MOD(ROW()-ROW($B$2),16)=0,INDEX($M$2:$M$1000,(ROW()-ROW($B$2))/16+1),"")</f>
        <v/>
      </c>
    </row>
    <row r="9556" spans="14:14" x14ac:dyDescent="0.3">
      <c r="N9556" t="str" cm="1">
        <f t="array" ref="N9556">IF(MOD(ROW()-ROW($B$2),16)=0,INDEX($M$2:$M$1000,(ROW()-ROW($B$2))/16+1),"")</f>
        <v/>
      </c>
    </row>
    <row r="9557" spans="14:14" x14ac:dyDescent="0.3">
      <c r="N9557" t="str" cm="1">
        <f t="array" ref="N9557">IF(MOD(ROW()-ROW($B$2),16)=0,INDEX($M$2:$M$1000,(ROW()-ROW($B$2))/16+1),"")</f>
        <v/>
      </c>
    </row>
    <row r="9558" spans="14:14" x14ac:dyDescent="0.3">
      <c r="N9558" t="str" cm="1">
        <f t="array" ref="N9558">IF(MOD(ROW()-ROW($B$2),16)=0,INDEX($M$2:$M$1000,(ROW()-ROW($B$2))/16+1),"")</f>
        <v/>
      </c>
    </row>
    <row r="9559" spans="14:14" x14ac:dyDescent="0.3">
      <c r="N9559" t="str" cm="1">
        <f t="array" ref="N9559">IF(MOD(ROW()-ROW($B$2),16)=0,INDEX($M$2:$M$1000,(ROW()-ROW($B$2))/16+1),"")</f>
        <v/>
      </c>
    </row>
    <row r="9560" spans="14:14" x14ac:dyDescent="0.3">
      <c r="N9560" t="str" cm="1">
        <f t="array" ref="N9560">IF(MOD(ROW()-ROW($B$2),16)=0,INDEX($M$2:$M$1000,(ROW()-ROW($B$2))/16+1),"")</f>
        <v/>
      </c>
    </row>
    <row r="9561" spans="14:14" x14ac:dyDescent="0.3">
      <c r="N9561" t="str" cm="1">
        <f t="array" ref="N9561">IF(MOD(ROW()-ROW($B$2),16)=0,INDEX($M$2:$M$1000,(ROW()-ROW($B$2))/16+1),"")</f>
        <v/>
      </c>
    </row>
    <row r="9562" spans="14:14" x14ac:dyDescent="0.3">
      <c r="N9562" t="str" cm="1">
        <f t="array" ref="N9562">IF(MOD(ROW()-ROW($B$2),16)=0,INDEX($M$2:$M$1000,(ROW()-ROW($B$2))/16+1),"")</f>
        <v/>
      </c>
    </row>
    <row r="9563" spans="14:14" x14ac:dyDescent="0.3">
      <c r="N9563" t="str" cm="1">
        <f t="array" ref="N9563">IF(MOD(ROW()-ROW($B$2),16)=0,INDEX($M$2:$M$1000,(ROW()-ROW($B$2))/16+1),"")</f>
        <v/>
      </c>
    </row>
    <row r="9564" spans="14:14" x14ac:dyDescent="0.3">
      <c r="N9564" t="str" cm="1">
        <f t="array" ref="N9564">IF(MOD(ROW()-ROW($B$2),16)=0,INDEX($M$2:$M$1000,(ROW()-ROW($B$2))/16+1),"")</f>
        <v/>
      </c>
    </row>
    <row r="9565" spans="14:14" x14ac:dyDescent="0.3">
      <c r="N9565" t="str" cm="1">
        <f t="array" ref="N9565">IF(MOD(ROW()-ROW($B$2),16)=0,INDEX($M$2:$M$1000,(ROW()-ROW($B$2))/16+1),"")</f>
        <v/>
      </c>
    </row>
    <row r="9566" spans="14:14" x14ac:dyDescent="0.3">
      <c r="N9566" t="str" cm="1">
        <f t="array" ref="N9566">IF(MOD(ROW()-ROW($B$2),16)=0,INDEX($M$2:$M$1000,(ROW()-ROW($B$2))/16+1),"")</f>
        <v/>
      </c>
    </row>
    <row r="9567" spans="14:14" x14ac:dyDescent="0.3">
      <c r="N9567" t="str" cm="1">
        <f t="array" ref="N9567">IF(MOD(ROW()-ROW($B$2),16)=0,INDEX($M$2:$M$1000,(ROW()-ROW($B$2))/16+1),"")</f>
        <v/>
      </c>
    </row>
    <row r="9568" spans="14:14" x14ac:dyDescent="0.3">
      <c r="N9568" t="str" cm="1">
        <f t="array" ref="N9568">IF(MOD(ROW()-ROW($B$2),16)=0,INDEX($M$2:$M$1000,(ROW()-ROW($B$2))/16+1),"")</f>
        <v/>
      </c>
    </row>
    <row r="9569" spans="14:14" x14ac:dyDescent="0.3">
      <c r="N9569" t="str" cm="1">
        <f t="array" ref="N9569">IF(MOD(ROW()-ROW($B$2),16)=0,INDEX($M$2:$M$1000,(ROW()-ROW($B$2))/16+1),"")</f>
        <v/>
      </c>
    </row>
    <row r="9570" spans="14:14" x14ac:dyDescent="0.3">
      <c r="N9570" t="str" cm="1">
        <f t="array" ref="N9570">IF(MOD(ROW()-ROW($B$2),16)=0,INDEX($M$2:$M$1000,(ROW()-ROW($B$2))/16+1),"")</f>
        <v/>
      </c>
    </row>
    <row r="9571" spans="14:14" x14ac:dyDescent="0.3">
      <c r="N9571" t="str" cm="1">
        <f t="array" ref="N9571">IF(MOD(ROW()-ROW($B$2),16)=0,INDEX($M$2:$M$1000,(ROW()-ROW($B$2))/16+1),"")</f>
        <v/>
      </c>
    </row>
    <row r="9572" spans="14:14" x14ac:dyDescent="0.3">
      <c r="N9572" t="str" cm="1">
        <f t="array" ref="N9572">IF(MOD(ROW()-ROW($B$2),16)=0,INDEX($M$2:$M$1000,(ROW()-ROW($B$2))/16+1),"")</f>
        <v/>
      </c>
    </row>
    <row r="9573" spans="14:14" x14ac:dyDescent="0.3">
      <c r="N9573" t="str" cm="1">
        <f t="array" ref="N9573">IF(MOD(ROW()-ROW($B$2),16)=0,INDEX($M$2:$M$1000,(ROW()-ROW($B$2))/16+1),"")</f>
        <v/>
      </c>
    </row>
    <row r="9574" spans="14:14" x14ac:dyDescent="0.3">
      <c r="N9574" t="str" cm="1">
        <f t="array" ref="N9574">IF(MOD(ROW()-ROW($B$2),16)=0,INDEX($M$2:$M$1000,(ROW()-ROW($B$2))/16+1),"")</f>
        <v/>
      </c>
    </row>
    <row r="9575" spans="14:14" x14ac:dyDescent="0.3">
      <c r="N9575" t="str" cm="1">
        <f t="array" ref="N9575">IF(MOD(ROW()-ROW($B$2),16)=0,INDEX($M$2:$M$1000,(ROW()-ROW($B$2))/16+1),"")</f>
        <v/>
      </c>
    </row>
    <row r="9576" spans="14:14" x14ac:dyDescent="0.3">
      <c r="N9576" t="str" cm="1">
        <f t="array" ref="N9576">IF(MOD(ROW()-ROW($B$2),16)=0,INDEX($M$2:$M$1000,(ROW()-ROW($B$2))/16+1),"")</f>
        <v/>
      </c>
    </row>
    <row r="9577" spans="14:14" x14ac:dyDescent="0.3">
      <c r="N9577" t="str" cm="1">
        <f t="array" ref="N9577">IF(MOD(ROW()-ROW($B$2),16)=0,INDEX($M$2:$M$1000,(ROW()-ROW($B$2))/16+1),"")</f>
        <v/>
      </c>
    </row>
    <row r="9578" spans="14:14" x14ac:dyDescent="0.3">
      <c r="N9578" t="str" cm="1">
        <f t="array" ref="N9578">IF(MOD(ROW()-ROW($B$2),16)=0,INDEX($M$2:$M$1000,(ROW()-ROW($B$2))/16+1),"")</f>
        <v/>
      </c>
    </row>
    <row r="9579" spans="14:14" x14ac:dyDescent="0.3">
      <c r="N9579" t="str" cm="1">
        <f t="array" ref="N9579">IF(MOD(ROW()-ROW($B$2),16)=0,INDEX($M$2:$M$1000,(ROW()-ROW($B$2))/16+1),"")</f>
        <v/>
      </c>
    </row>
    <row r="9580" spans="14:14" x14ac:dyDescent="0.3">
      <c r="N9580" t="str" cm="1">
        <f t="array" ref="N9580">IF(MOD(ROW()-ROW($B$2),16)=0,INDEX($M$2:$M$1000,(ROW()-ROW($B$2))/16+1),"")</f>
        <v/>
      </c>
    </row>
    <row r="9581" spans="14:14" x14ac:dyDescent="0.3">
      <c r="N9581" t="str" cm="1">
        <f t="array" ref="N9581">IF(MOD(ROW()-ROW($B$2),16)=0,INDEX($M$2:$M$1000,(ROW()-ROW($B$2))/16+1),"")</f>
        <v/>
      </c>
    </row>
    <row r="9582" spans="14:14" x14ac:dyDescent="0.3">
      <c r="N9582" t="str" cm="1">
        <f t="array" ref="N9582">IF(MOD(ROW()-ROW($B$2),16)=0,INDEX($M$2:$M$1000,(ROW()-ROW($B$2))/16+1),"")</f>
        <v/>
      </c>
    </row>
    <row r="9583" spans="14:14" x14ac:dyDescent="0.3">
      <c r="N9583" t="str" cm="1">
        <f t="array" ref="N9583">IF(MOD(ROW()-ROW($B$2),16)=0,INDEX($M$2:$M$1000,(ROW()-ROW($B$2))/16+1),"")</f>
        <v/>
      </c>
    </row>
    <row r="9584" spans="14:14" x14ac:dyDescent="0.3">
      <c r="N9584" t="str" cm="1">
        <f t="array" ref="N9584">IF(MOD(ROW()-ROW($B$2),16)=0,INDEX($M$2:$M$1000,(ROW()-ROW($B$2))/16+1),"")</f>
        <v/>
      </c>
    </row>
    <row r="9585" spans="14:14" x14ac:dyDescent="0.3">
      <c r="N9585" t="str" cm="1">
        <f t="array" ref="N9585">IF(MOD(ROW()-ROW($B$2),16)=0,INDEX($M$2:$M$1000,(ROW()-ROW($B$2))/16+1),"")</f>
        <v/>
      </c>
    </row>
    <row r="9586" spans="14:14" x14ac:dyDescent="0.3">
      <c r="N9586" t="str" cm="1">
        <f t="array" ref="N9586">IF(MOD(ROW()-ROW($B$2),16)=0,INDEX($M$2:$M$1000,(ROW()-ROW($B$2))/16+1),"")</f>
        <v/>
      </c>
    </row>
    <row r="9587" spans="14:14" x14ac:dyDescent="0.3">
      <c r="N9587" t="str" cm="1">
        <f t="array" ref="N9587">IF(MOD(ROW()-ROW($B$2),16)=0,INDEX($M$2:$M$1000,(ROW()-ROW($B$2))/16+1),"")</f>
        <v/>
      </c>
    </row>
    <row r="9588" spans="14:14" x14ac:dyDescent="0.3">
      <c r="N9588" t="str" cm="1">
        <f t="array" ref="N9588">IF(MOD(ROW()-ROW($B$2),16)=0,INDEX($M$2:$M$1000,(ROW()-ROW($B$2))/16+1),"")</f>
        <v/>
      </c>
    </row>
    <row r="9589" spans="14:14" x14ac:dyDescent="0.3">
      <c r="N9589" t="str" cm="1">
        <f t="array" ref="N9589">IF(MOD(ROW()-ROW($B$2),16)=0,INDEX($M$2:$M$1000,(ROW()-ROW($B$2))/16+1),"")</f>
        <v/>
      </c>
    </row>
    <row r="9590" spans="14:14" x14ac:dyDescent="0.3">
      <c r="N9590" t="str" cm="1">
        <f t="array" ref="N9590">IF(MOD(ROW()-ROW($B$2),16)=0,INDEX($M$2:$M$1000,(ROW()-ROW($B$2))/16+1),"")</f>
        <v/>
      </c>
    </row>
    <row r="9591" spans="14:14" x14ac:dyDescent="0.3">
      <c r="N9591" t="str" cm="1">
        <f t="array" ref="N9591">IF(MOD(ROW()-ROW($B$2),16)=0,INDEX($M$2:$M$1000,(ROW()-ROW($B$2))/16+1),"")</f>
        <v/>
      </c>
    </row>
    <row r="9592" spans="14:14" x14ac:dyDescent="0.3">
      <c r="N9592" t="str" cm="1">
        <f t="array" ref="N9592">IF(MOD(ROW()-ROW($B$2),16)=0,INDEX($M$2:$M$1000,(ROW()-ROW($B$2))/16+1),"")</f>
        <v/>
      </c>
    </row>
    <row r="9593" spans="14:14" x14ac:dyDescent="0.3">
      <c r="N9593" t="str" cm="1">
        <f t="array" ref="N9593">IF(MOD(ROW()-ROW($B$2),16)=0,INDEX($M$2:$M$1000,(ROW()-ROW($B$2))/16+1),"")</f>
        <v/>
      </c>
    </row>
    <row r="9594" spans="14:14" x14ac:dyDescent="0.3">
      <c r="N9594" t="str" cm="1">
        <f t="array" ref="N9594">IF(MOD(ROW()-ROW($B$2),16)=0,INDEX($M$2:$M$1000,(ROW()-ROW($B$2))/16+1),"")</f>
        <v/>
      </c>
    </row>
    <row r="9595" spans="14:14" x14ac:dyDescent="0.3">
      <c r="N9595" t="str" cm="1">
        <f t="array" ref="N9595">IF(MOD(ROW()-ROW($B$2),16)=0,INDEX($M$2:$M$1000,(ROW()-ROW($B$2))/16+1),"")</f>
        <v/>
      </c>
    </row>
    <row r="9596" spans="14:14" x14ac:dyDescent="0.3">
      <c r="N9596" t="str" cm="1">
        <f t="array" ref="N9596">IF(MOD(ROW()-ROW($B$2),16)=0,INDEX($M$2:$M$1000,(ROW()-ROW($B$2))/16+1),"")</f>
        <v/>
      </c>
    </row>
    <row r="9597" spans="14:14" x14ac:dyDescent="0.3">
      <c r="N9597" t="str" cm="1">
        <f t="array" ref="N9597">IF(MOD(ROW()-ROW($B$2),16)=0,INDEX($M$2:$M$1000,(ROW()-ROW($B$2))/16+1),"")</f>
        <v/>
      </c>
    </row>
    <row r="9598" spans="14:14" x14ac:dyDescent="0.3">
      <c r="N9598" t="str" cm="1">
        <f t="array" ref="N9598">IF(MOD(ROW()-ROW($B$2),16)=0,INDEX($M$2:$M$1000,(ROW()-ROW($B$2))/16+1),"")</f>
        <v/>
      </c>
    </row>
    <row r="9599" spans="14:14" x14ac:dyDescent="0.3">
      <c r="N9599" t="str" cm="1">
        <f t="array" ref="N9599">IF(MOD(ROW()-ROW($B$2),16)=0,INDEX($M$2:$M$1000,(ROW()-ROW($B$2))/16+1),"")</f>
        <v/>
      </c>
    </row>
    <row r="9600" spans="14:14" x14ac:dyDescent="0.3">
      <c r="N9600" t="str" cm="1">
        <f t="array" ref="N9600">IF(MOD(ROW()-ROW($B$2),16)=0,INDEX($M$2:$M$1000,(ROW()-ROW($B$2))/16+1),"")</f>
        <v/>
      </c>
    </row>
    <row r="9601" spans="14:14" x14ac:dyDescent="0.3">
      <c r="N9601" t="str" cm="1">
        <f t="array" ref="N9601">IF(MOD(ROW()-ROW($B$2),16)=0,INDEX($M$2:$M$1000,(ROW()-ROW($B$2))/16+1),"")</f>
        <v/>
      </c>
    </row>
    <row r="9602" spans="14:14" x14ac:dyDescent="0.3">
      <c r="N9602" t="str" cm="1">
        <f t="array" ref="N9602">IF(MOD(ROW()-ROW($B$2),16)=0,INDEX($M$2:$M$1000,(ROW()-ROW($B$2))/16+1),"")</f>
        <v/>
      </c>
    </row>
    <row r="9603" spans="14:14" x14ac:dyDescent="0.3">
      <c r="N9603" t="str" cm="1">
        <f t="array" ref="N9603">IF(MOD(ROW()-ROW($B$2),16)=0,INDEX($M$2:$M$1000,(ROW()-ROW($B$2))/16+1),"")</f>
        <v/>
      </c>
    </row>
    <row r="9604" spans="14:14" x14ac:dyDescent="0.3">
      <c r="N9604" t="str" cm="1">
        <f t="array" ref="N9604">IF(MOD(ROW()-ROW($B$2),16)=0,INDEX($M$2:$M$1000,(ROW()-ROW($B$2))/16+1),"")</f>
        <v/>
      </c>
    </row>
    <row r="9605" spans="14:14" x14ac:dyDescent="0.3">
      <c r="N9605" t="str" cm="1">
        <f t="array" ref="N9605">IF(MOD(ROW()-ROW($B$2),16)=0,INDEX($M$2:$M$1000,(ROW()-ROW($B$2))/16+1),"")</f>
        <v/>
      </c>
    </row>
    <row r="9606" spans="14:14" x14ac:dyDescent="0.3">
      <c r="N9606" t="str" cm="1">
        <f t="array" ref="N9606">IF(MOD(ROW()-ROW($B$2),16)=0,INDEX($M$2:$M$1000,(ROW()-ROW($B$2))/16+1),"")</f>
        <v/>
      </c>
    </row>
    <row r="9607" spans="14:14" x14ac:dyDescent="0.3">
      <c r="N9607" t="str" cm="1">
        <f t="array" ref="N9607">IF(MOD(ROW()-ROW($B$2),16)=0,INDEX($M$2:$M$1000,(ROW()-ROW($B$2))/16+1),"")</f>
        <v/>
      </c>
    </row>
    <row r="9608" spans="14:14" x14ac:dyDescent="0.3">
      <c r="N9608" t="str" cm="1">
        <f t="array" ref="N9608">IF(MOD(ROW()-ROW($B$2),16)=0,INDEX($M$2:$M$1000,(ROW()-ROW($B$2))/16+1),"")</f>
        <v/>
      </c>
    </row>
    <row r="9609" spans="14:14" x14ac:dyDescent="0.3">
      <c r="N9609" t="str" cm="1">
        <f t="array" ref="N9609">IF(MOD(ROW()-ROW($B$2),16)=0,INDEX($M$2:$M$1000,(ROW()-ROW($B$2))/16+1),"")</f>
        <v/>
      </c>
    </row>
    <row r="9610" spans="14:14" x14ac:dyDescent="0.3">
      <c r="N9610" t="str" cm="1">
        <f t="array" ref="N9610">IF(MOD(ROW()-ROW($B$2),16)=0,INDEX($M$2:$M$1000,(ROW()-ROW($B$2))/16+1),"")</f>
        <v/>
      </c>
    </row>
    <row r="9611" spans="14:14" x14ac:dyDescent="0.3">
      <c r="N9611" t="str" cm="1">
        <f t="array" ref="N9611">IF(MOD(ROW()-ROW($B$2),16)=0,INDEX($M$2:$M$1000,(ROW()-ROW($B$2))/16+1),"")</f>
        <v/>
      </c>
    </row>
    <row r="9612" spans="14:14" x14ac:dyDescent="0.3">
      <c r="N9612" t="str" cm="1">
        <f t="array" ref="N9612">IF(MOD(ROW()-ROW($B$2),16)=0,INDEX($M$2:$M$1000,(ROW()-ROW($B$2))/16+1),"")</f>
        <v/>
      </c>
    </row>
    <row r="9613" spans="14:14" x14ac:dyDescent="0.3">
      <c r="N9613" t="str" cm="1">
        <f t="array" ref="N9613">IF(MOD(ROW()-ROW($B$2),16)=0,INDEX($M$2:$M$1000,(ROW()-ROW($B$2))/16+1),"")</f>
        <v/>
      </c>
    </row>
    <row r="9614" spans="14:14" x14ac:dyDescent="0.3">
      <c r="N9614" t="str" cm="1">
        <f t="array" ref="N9614">IF(MOD(ROW()-ROW($B$2),16)=0,INDEX($M$2:$M$1000,(ROW()-ROW($B$2))/16+1),"")</f>
        <v/>
      </c>
    </row>
    <row r="9615" spans="14:14" x14ac:dyDescent="0.3">
      <c r="N9615" t="str" cm="1">
        <f t="array" ref="N9615">IF(MOD(ROW()-ROW($B$2),16)=0,INDEX($M$2:$M$1000,(ROW()-ROW($B$2))/16+1),"")</f>
        <v/>
      </c>
    </row>
    <row r="9616" spans="14:14" x14ac:dyDescent="0.3">
      <c r="N9616" t="str" cm="1">
        <f t="array" ref="N9616">IF(MOD(ROW()-ROW($B$2),16)=0,INDEX($M$2:$M$1000,(ROW()-ROW($B$2))/16+1),"")</f>
        <v/>
      </c>
    </row>
    <row r="9617" spans="14:14" x14ac:dyDescent="0.3">
      <c r="N9617" t="str" cm="1">
        <f t="array" ref="N9617">IF(MOD(ROW()-ROW($B$2),16)=0,INDEX($M$2:$M$1000,(ROW()-ROW($B$2))/16+1),"")</f>
        <v/>
      </c>
    </row>
    <row r="9618" spans="14:14" x14ac:dyDescent="0.3">
      <c r="N9618" t="str" cm="1">
        <f t="array" ref="N9618">IF(MOD(ROW()-ROW($B$2),16)=0,INDEX($M$2:$M$1000,(ROW()-ROW($B$2))/16+1),"")</f>
        <v/>
      </c>
    </row>
    <row r="9619" spans="14:14" x14ac:dyDescent="0.3">
      <c r="N9619" t="str" cm="1">
        <f t="array" ref="N9619">IF(MOD(ROW()-ROW($B$2),16)=0,INDEX($M$2:$M$1000,(ROW()-ROW($B$2))/16+1),"")</f>
        <v/>
      </c>
    </row>
    <row r="9620" spans="14:14" x14ac:dyDescent="0.3">
      <c r="N9620" t="str" cm="1">
        <f t="array" ref="N9620">IF(MOD(ROW()-ROW($B$2),16)=0,INDEX($M$2:$M$1000,(ROW()-ROW($B$2))/16+1),"")</f>
        <v/>
      </c>
    </row>
    <row r="9621" spans="14:14" x14ac:dyDescent="0.3">
      <c r="N9621" t="str" cm="1">
        <f t="array" ref="N9621">IF(MOD(ROW()-ROW($B$2),16)=0,INDEX($M$2:$M$1000,(ROW()-ROW($B$2))/16+1),"")</f>
        <v/>
      </c>
    </row>
    <row r="9622" spans="14:14" x14ac:dyDescent="0.3">
      <c r="N9622" t="str" cm="1">
        <f t="array" ref="N9622">IF(MOD(ROW()-ROW($B$2),16)=0,INDEX($M$2:$M$1000,(ROW()-ROW($B$2))/16+1),"")</f>
        <v/>
      </c>
    </row>
    <row r="9623" spans="14:14" x14ac:dyDescent="0.3">
      <c r="N9623" t="str" cm="1">
        <f t="array" ref="N9623">IF(MOD(ROW()-ROW($B$2),16)=0,INDEX($M$2:$M$1000,(ROW()-ROW($B$2))/16+1),"")</f>
        <v/>
      </c>
    </row>
    <row r="9624" spans="14:14" x14ac:dyDescent="0.3">
      <c r="N9624" t="str" cm="1">
        <f t="array" ref="N9624">IF(MOD(ROW()-ROW($B$2),16)=0,INDEX($M$2:$M$1000,(ROW()-ROW($B$2))/16+1),"")</f>
        <v/>
      </c>
    </row>
    <row r="9625" spans="14:14" x14ac:dyDescent="0.3">
      <c r="N9625" t="str" cm="1">
        <f t="array" ref="N9625">IF(MOD(ROW()-ROW($B$2),16)=0,INDEX($M$2:$M$1000,(ROW()-ROW($B$2))/16+1),"")</f>
        <v/>
      </c>
    </row>
    <row r="9626" spans="14:14" x14ac:dyDescent="0.3">
      <c r="N9626" t="str" cm="1">
        <f t="array" ref="N9626">IF(MOD(ROW()-ROW($B$2),16)=0,INDEX($M$2:$M$1000,(ROW()-ROW($B$2))/16+1),"")</f>
        <v/>
      </c>
    </row>
    <row r="9627" spans="14:14" x14ac:dyDescent="0.3">
      <c r="N9627" t="str" cm="1">
        <f t="array" ref="N9627">IF(MOD(ROW()-ROW($B$2),16)=0,INDEX($M$2:$M$1000,(ROW()-ROW($B$2))/16+1),"")</f>
        <v/>
      </c>
    </row>
    <row r="9628" spans="14:14" x14ac:dyDescent="0.3">
      <c r="N9628" t="str" cm="1">
        <f t="array" ref="N9628">IF(MOD(ROW()-ROW($B$2),16)=0,INDEX($M$2:$M$1000,(ROW()-ROW($B$2))/16+1),"")</f>
        <v/>
      </c>
    </row>
    <row r="9629" spans="14:14" x14ac:dyDescent="0.3">
      <c r="N9629" t="str" cm="1">
        <f t="array" ref="N9629">IF(MOD(ROW()-ROW($B$2),16)=0,INDEX($M$2:$M$1000,(ROW()-ROW($B$2))/16+1),"")</f>
        <v/>
      </c>
    </row>
    <row r="9630" spans="14:14" x14ac:dyDescent="0.3">
      <c r="N9630" t="str" cm="1">
        <f t="array" ref="N9630">IF(MOD(ROW()-ROW($B$2),16)=0,INDEX($M$2:$M$1000,(ROW()-ROW($B$2))/16+1),"")</f>
        <v/>
      </c>
    </row>
    <row r="9631" spans="14:14" x14ac:dyDescent="0.3">
      <c r="N9631" t="str" cm="1">
        <f t="array" ref="N9631">IF(MOD(ROW()-ROW($B$2),16)=0,INDEX($M$2:$M$1000,(ROW()-ROW($B$2))/16+1),"")</f>
        <v/>
      </c>
    </row>
    <row r="9632" spans="14:14" x14ac:dyDescent="0.3">
      <c r="N9632" t="str" cm="1">
        <f t="array" ref="N9632">IF(MOD(ROW()-ROW($B$2),16)=0,INDEX($M$2:$M$1000,(ROW()-ROW($B$2))/16+1),"")</f>
        <v/>
      </c>
    </row>
    <row r="9633" spans="14:14" x14ac:dyDescent="0.3">
      <c r="N9633" t="str" cm="1">
        <f t="array" ref="N9633">IF(MOD(ROW()-ROW($B$2),16)=0,INDEX($M$2:$M$1000,(ROW()-ROW($B$2))/16+1),"")</f>
        <v/>
      </c>
    </row>
    <row r="9634" spans="14:14" x14ac:dyDescent="0.3">
      <c r="N9634" t="str" cm="1">
        <f t="array" ref="N9634">IF(MOD(ROW()-ROW($B$2),16)=0,INDEX($M$2:$M$1000,(ROW()-ROW($B$2))/16+1),"")</f>
        <v/>
      </c>
    </row>
    <row r="9635" spans="14:14" x14ac:dyDescent="0.3">
      <c r="N9635" t="str" cm="1">
        <f t="array" ref="N9635">IF(MOD(ROW()-ROW($B$2),16)=0,INDEX($M$2:$M$1000,(ROW()-ROW($B$2))/16+1),"")</f>
        <v/>
      </c>
    </row>
    <row r="9636" spans="14:14" x14ac:dyDescent="0.3">
      <c r="N9636" t="str" cm="1">
        <f t="array" ref="N9636">IF(MOD(ROW()-ROW($B$2),16)=0,INDEX($M$2:$M$1000,(ROW()-ROW($B$2))/16+1),"")</f>
        <v/>
      </c>
    </row>
    <row r="9637" spans="14:14" x14ac:dyDescent="0.3">
      <c r="N9637" t="str" cm="1">
        <f t="array" ref="N9637">IF(MOD(ROW()-ROW($B$2),16)=0,INDEX($M$2:$M$1000,(ROW()-ROW($B$2))/16+1),"")</f>
        <v/>
      </c>
    </row>
    <row r="9638" spans="14:14" x14ac:dyDescent="0.3">
      <c r="N9638" t="str" cm="1">
        <f t="array" ref="N9638">IF(MOD(ROW()-ROW($B$2),16)=0,INDEX($M$2:$M$1000,(ROW()-ROW($B$2))/16+1),"")</f>
        <v/>
      </c>
    </row>
    <row r="9639" spans="14:14" x14ac:dyDescent="0.3">
      <c r="N9639" t="str" cm="1">
        <f t="array" ref="N9639">IF(MOD(ROW()-ROW($B$2),16)=0,INDEX($M$2:$M$1000,(ROW()-ROW($B$2))/16+1),"")</f>
        <v/>
      </c>
    </row>
    <row r="9640" spans="14:14" x14ac:dyDescent="0.3">
      <c r="N9640" t="str" cm="1">
        <f t="array" ref="N9640">IF(MOD(ROW()-ROW($B$2),16)=0,INDEX($M$2:$M$1000,(ROW()-ROW($B$2))/16+1),"")</f>
        <v/>
      </c>
    </row>
    <row r="9641" spans="14:14" x14ac:dyDescent="0.3">
      <c r="N9641" t="str" cm="1">
        <f t="array" ref="N9641">IF(MOD(ROW()-ROW($B$2),16)=0,INDEX($M$2:$M$1000,(ROW()-ROW($B$2))/16+1),"")</f>
        <v/>
      </c>
    </row>
    <row r="9642" spans="14:14" x14ac:dyDescent="0.3">
      <c r="N9642" t="str" cm="1">
        <f t="array" ref="N9642">IF(MOD(ROW()-ROW($B$2),16)=0,INDEX($M$2:$M$1000,(ROW()-ROW($B$2))/16+1),"")</f>
        <v/>
      </c>
    </row>
    <row r="9643" spans="14:14" x14ac:dyDescent="0.3">
      <c r="N9643" t="str" cm="1">
        <f t="array" ref="N9643">IF(MOD(ROW()-ROW($B$2),16)=0,INDEX($M$2:$M$1000,(ROW()-ROW($B$2))/16+1),"")</f>
        <v/>
      </c>
    </row>
    <row r="9644" spans="14:14" x14ac:dyDescent="0.3">
      <c r="N9644" t="str" cm="1">
        <f t="array" ref="N9644">IF(MOD(ROW()-ROW($B$2),16)=0,INDEX($M$2:$M$1000,(ROW()-ROW($B$2))/16+1),"")</f>
        <v/>
      </c>
    </row>
    <row r="9645" spans="14:14" x14ac:dyDescent="0.3">
      <c r="N9645" t="str" cm="1">
        <f t="array" ref="N9645">IF(MOD(ROW()-ROW($B$2),16)=0,INDEX($M$2:$M$1000,(ROW()-ROW($B$2))/16+1),"")</f>
        <v/>
      </c>
    </row>
    <row r="9646" spans="14:14" x14ac:dyDescent="0.3">
      <c r="N9646" t="str" cm="1">
        <f t="array" ref="N9646">IF(MOD(ROW()-ROW($B$2),16)=0,INDEX($M$2:$M$1000,(ROW()-ROW($B$2))/16+1),"")</f>
        <v/>
      </c>
    </row>
    <row r="9647" spans="14:14" x14ac:dyDescent="0.3">
      <c r="N9647" t="str" cm="1">
        <f t="array" ref="N9647">IF(MOD(ROW()-ROW($B$2),16)=0,INDEX($M$2:$M$1000,(ROW()-ROW($B$2))/16+1),"")</f>
        <v/>
      </c>
    </row>
    <row r="9648" spans="14:14" x14ac:dyDescent="0.3">
      <c r="N9648" t="str" cm="1">
        <f t="array" ref="N9648">IF(MOD(ROW()-ROW($B$2),16)=0,INDEX($M$2:$M$1000,(ROW()-ROW($B$2))/16+1),"")</f>
        <v/>
      </c>
    </row>
    <row r="9649" spans="14:14" x14ac:dyDescent="0.3">
      <c r="N9649" t="str" cm="1">
        <f t="array" ref="N9649">IF(MOD(ROW()-ROW($B$2),16)=0,INDEX($M$2:$M$1000,(ROW()-ROW($B$2))/16+1),"")</f>
        <v/>
      </c>
    </row>
    <row r="9650" spans="14:14" x14ac:dyDescent="0.3">
      <c r="N9650" t="str" cm="1">
        <f t="array" ref="N9650">IF(MOD(ROW()-ROW($B$2),16)=0,INDEX($M$2:$M$1000,(ROW()-ROW($B$2))/16+1),"")</f>
        <v/>
      </c>
    </row>
    <row r="9651" spans="14:14" x14ac:dyDescent="0.3">
      <c r="N9651" t="str" cm="1">
        <f t="array" ref="N9651">IF(MOD(ROW()-ROW($B$2),16)=0,INDEX($M$2:$M$1000,(ROW()-ROW($B$2))/16+1),"")</f>
        <v/>
      </c>
    </row>
    <row r="9652" spans="14:14" x14ac:dyDescent="0.3">
      <c r="N9652" t="str" cm="1">
        <f t="array" ref="N9652">IF(MOD(ROW()-ROW($B$2),16)=0,INDEX($M$2:$M$1000,(ROW()-ROW($B$2))/16+1),"")</f>
        <v/>
      </c>
    </row>
    <row r="9653" spans="14:14" x14ac:dyDescent="0.3">
      <c r="N9653" t="str" cm="1">
        <f t="array" ref="N9653">IF(MOD(ROW()-ROW($B$2),16)=0,INDEX($M$2:$M$1000,(ROW()-ROW($B$2))/16+1),"")</f>
        <v/>
      </c>
    </row>
    <row r="9654" spans="14:14" x14ac:dyDescent="0.3">
      <c r="N9654" t="str" cm="1">
        <f t="array" ref="N9654">IF(MOD(ROW()-ROW($B$2),16)=0,INDEX($M$2:$M$1000,(ROW()-ROW($B$2))/16+1),"")</f>
        <v/>
      </c>
    </row>
    <row r="9655" spans="14:14" x14ac:dyDescent="0.3">
      <c r="N9655" t="str" cm="1">
        <f t="array" ref="N9655">IF(MOD(ROW()-ROW($B$2),16)=0,INDEX($M$2:$M$1000,(ROW()-ROW($B$2))/16+1),"")</f>
        <v/>
      </c>
    </row>
    <row r="9656" spans="14:14" x14ac:dyDescent="0.3">
      <c r="N9656" t="str" cm="1">
        <f t="array" ref="N9656">IF(MOD(ROW()-ROW($B$2),16)=0,INDEX($M$2:$M$1000,(ROW()-ROW($B$2))/16+1),"")</f>
        <v/>
      </c>
    </row>
    <row r="9657" spans="14:14" x14ac:dyDescent="0.3">
      <c r="N9657" t="str" cm="1">
        <f t="array" ref="N9657">IF(MOD(ROW()-ROW($B$2),16)=0,INDEX($M$2:$M$1000,(ROW()-ROW($B$2))/16+1),"")</f>
        <v/>
      </c>
    </row>
    <row r="9658" spans="14:14" x14ac:dyDescent="0.3">
      <c r="N9658" t="str" cm="1">
        <f t="array" ref="N9658">IF(MOD(ROW()-ROW($B$2),16)=0,INDEX($M$2:$M$1000,(ROW()-ROW($B$2))/16+1),"")</f>
        <v/>
      </c>
    </row>
    <row r="9659" spans="14:14" x14ac:dyDescent="0.3">
      <c r="N9659" t="str" cm="1">
        <f t="array" ref="N9659">IF(MOD(ROW()-ROW($B$2),16)=0,INDEX($M$2:$M$1000,(ROW()-ROW($B$2))/16+1),"")</f>
        <v/>
      </c>
    </row>
    <row r="9660" spans="14:14" x14ac:dyDescent="0.3">
      <c r="N9660" t="str" cm="1">
        <f t="array" ref="N9660">IF(MOD(ROW()-ROW($B$2),16)=0,INDEX($M$2:$M$1000,(ROW()-ROW($B$2))/16+1),"")</f>
        <v/>
      </c>
    </row>
    <row r="9661" spans="14:14" x14ac:dyDescent="0.3">
      <c r="N9661" t="str" cm="1">
        <f t="array" ref="N9661">IF(MOD(ROW()-ROW($B$2),16)=0,INDEX($M$2:$M$1000,(ROW()-ROW($B$2))/16+1),"")</f>
        <v/>
      </c>
    </row>
    <row r="9662" spans="14:14" x14ac:dyDescent="0.3">
      <c r="N9662" t="str" cm="1">
        <f t="array" ref="N9662">IF(MOD(ROW()-ROW($B$2),16)=0,INDEX($M$2:$M$1000,(ROW()-ROW($B$2))/16+1),"")</f>
        <v/>
      </c>
    </row>
    <row r="9663" spans="14:14" x14ac:dyDescent="0.3">
      <c r="N9663" t="str" cm="1">
        <f t="array" ref="N9663">IF(MOD(ROW()-ROW($B$2),16)=0,INDEX($M$2:$M$1000,(ROW()-ROW($B$2))/16+1),"")</f>
        <v/>
      </c>
    </row>
    <row r="9664" spans="14:14" x14ac:dyDescent="0.3">
      <c r="N9664" t="str" cm="1">
        <f t="array" ref="N9664">IF(MOD(ROW()-ROW($B$2),16)=0,INDEX($M$2:$M$1000,(ROW()-ROW($B$2))/16+1),"")</f>
        <v/>
      </c>
    </row>
    <row r="9665" spans="14:14" x14ac:dyDescent="0.3">
      <c r="N9665" t="str" cm="1">
        <f t="array" ref="N9665">IF(MOD(ROW()-ROW($B$2),16)=0,INDEX($M$2:$M$1000,(ROW()-ROW($B$2))/16+1),"")</f>
        <v/>
      </c>
    </row>
    <row r="9666" spans="14:14" x14ac:dyDescent="0.3">
      <c r="N9666" t="str" cm="1">
        <f t="array" ref="N9666">IF(MOD(ROW()-ROW($B$2),16)=0,INDEX($M$2:$M$1000,(ROW()-ROW($B$2))/16+1),"")</f>
        <v/>
      </c>
    </row>
    <row r="9667" spans="14:14" x14ac:dyDescent="0.3">
      <c r="N9667" t="str" cm="1">
        <f t="array" ref="N9667">IF(MOD(ROW()-ROW($B$2),16)=0,INDEX($M$2:$M$1000,(ROW()-ROW($B$2))/16+1),"")</f>
        <v/>
      </c>
    </row>
    <row r="9668" spans="14:14" x14ac:dyDescent="0.3">
      <c r="N9668" t="str" cm="1">
        <f t="array" ref="N9668">IF(MOD(ROW()-ROW($B$2),16)=0,INDEX($M$2:$M$1000,(ROW()-ROW($B$2))/16+1),"")</f>
        <v/>
      </c>
    </row>
    <row r="9669" spans="14:14" x14ac:dyDescent="0.3">
      <c r="N9669" t="str" cm="1">
        <f t="array" ref="N9669">IF(MOD(ROW()-ROW($B$2),16)=0,INDEX($M$2:$M$1000,(ROW()-ROW($B$2))/16+1),"")</f>
        <v/>
      </c>
    </row>
    <row r="9670" spans="14:14" x14ac:dyDescent="0.3">
      <c r="N9670" t="str" cm="1">
        <f t="array" ref="N9670">IF(MOD(ROW()-ROW($B$2),16)=0,INDEX($M$2:$M$1000,(ROW()-ROW($B$2))/16+1),"")</f>
        <v/>
      </c>
    </row>
    <row r="9671" spans="14:14" x14ac:dyDescent="0.3">
      <c r="N9671" t="str" cm="1">
        <f t="array" ref="N9671">IF(MOD(ROW()-ROW($B$2),16)=0,INDEX($M$2:$M$1000,(ROW()-ROW($B$2))/16+1),"")</f>
        <v/>
      </c>
    </row>
    <row r="9672" spans="14:14" x14ac:dyDescent="0.3">
      <c r="N9672" t="str" cm="1">
        <f t="array" ref="N9672">IF(MOD(ROW()-ROW($B$2),16)=0,INDEX($M$2:$M$1000,(ROW()-ROW($B$2))/16+1),"")</f>
        <v/>
      </c>
    </row>
    <row r="9673" spans="14:14" x14ac:dyDescent="0.3">
      <c r="N9673" t="str" cm="1">
        <f t="array" ref="N9673">IF(MOD(ROW()-ROW($B$2),16)=0,INDEX($M$2:$M$1000,(ROW()-ROW($B$2))/16+1),"")</f>
        <v/>
      </c>
    </row>
    <row r="9674" spans="14:14" x14ac:dyDescent="0.3">
      <c r="N9674" t="str" cm="1">
        <f t="array" ref="N9674">IF(MOD(ROW()-ROW($B$2),16)=0,INDEX($M$2:$M$1000,(ROW()-ROW($B$2))/16+1),"")</f>
        <v/>
      </c>
    </row>
    <row r="9675" spans="14:14" x14ac:dyDescent="0.3">
      <c r="N9675" t="str" cm="1">
        <f t="array" ref="N9675">IF(MOD(ROW()-ROW($B$2),16)=0,INDEX($M$2:$M$1000,(ROW()-ROW($B$2))/16+1),"")</f>
        <v/>
      </c>
    </row>
    <row r="9676" spans="14:14" x14ac:dyDescent="0.3">
      <c r="N9676" t="str" cm="1">
        <f t="array" ref="N9676">IF(MOD(ROW()-ROW($B$2),16)=0,INDEX($M$2:$M$1000,(ROW()-ROW($B$2))/16+1),"")</f>
        <v/>
      </c>
    </row>
    <row r="9677" spans="14:14" x14ac:dyDescent="0.3">
      <c r="N9677" t="str" cm="1">
        <f t="array" ref="N9677">IF(MOD(ROW()-ROW($B$2),16)=0,INDEX($M$2:$M$1000,(ROW()-ROW($B$2))/16+1),"")</f>
        <v/>
      </c>
    </row>
    <row r="9678" spans="14:14" x14ac:dyDescent="0.3">
      <c r="N9678" t="str" cm="1">
        <f t="array" ref="N9678">IF(MOD(ROW()-ROW($B$2),16)=0,INDEX($M$2:$M$1000,(ROW()-ROW($B$2))/16+1),"")</f>
        <v/>
      </c>
    </row>
    <row r="9679" spans="14:14" x14ac:dyDescent="0.3">
      <c r="N9679" t="str" cm="1">
        <f t="array" ref="N9679">IF(MOD(ROW()-ROW($B$2),16)=0,INDEX($M$2:$M$1000,(ROW()-ROW($B$2))/16+1),"")</f>
        <v/>
      </c>
    </row>
    <row r="9680" spans="14:14" x14ac:dyDescent="0.3">
      <c r="N9680" t="str" cm="1">
        <f t="array" ref="N9680">IF(MOD(ROW()-ROW($B$2),16)=0,INDEX($M$2:$M$1000,(ROW()-ROW($B$2))/16+1),"")</f>
        <v/>
      </c>
    </row>
    <row r="9681" spans="14:14" x14ac:dyDescent="0.3">
      <c r="N9681" t="str" cm="1">
        <f t="array" ref="N9681">IF(MOD(ROW()-ROW($B$2),16)=0,INDEX($M$2:$M$1000,(ROW()-ROW($B$2))/16+1),"")</f>
        <v/>
      </c>
    </row>
    <row r="9682" spans="14:14" x14ac:dyDescent="0.3">
      <c r="N9682" t="str" cm="1">
        <f t="array" ref="N9682">IF(MOD(ROW()-ROW($B$2),16)=0,INDEX($M$2:$M$1000,(ROW()-ROW($B$2))/16+1),"")</f>
        <v/>
      </c>
    </row>
    <row r="9683" spans="14:14" x14ac:dyDescent="0.3">
      <c r="N9683" t="str" cm="1">
        <f t="array" ref="N9683">IF(MOD(ROW()-ROW($B$2),16)=0,INDEX($M$2:$M$1000,(ROW()-ROW($B$2))/16+1),"")</f>
        <v/>
      </c>
    </row>
    <row r="9684" spans="14:14" x14ac:dyDescent="0.3">
      <c r="N9684" t="str" cm="1">
        <f t="array" ref="N9684">IF(MOD(ROW()-ROW($B$2),16)=0,INDEX($M$2:$M$1000,(ROW()-ROW($B$2))/16+1),"")</f>
        <v/>
      </c>
    </row>
    <row r="9685" spans="14:14" x14ac:dyDescent="0.3">
      <c r="N9685" t="str" cm="1">
        <f t="array" ref="N9685">IF(MOD(ROW()-ROW($B$2),16)=0,INDEX($M$2:$M$1000,(ROW()-ROW($B$2))/16+1),"")</f>
        <v/>
      </c>
    </row>
    <row r="9686" spans="14:14" x14ac:dyDescent="0.3">
      <c r="N9686" t="str" cm="1">
        <f t="array" ref="N9686">IF(MOD(ROW()-ROW($B$2),16)=0,INDEX($M$2:$M$1000,(ROW()-ROW($B$2))/16+1),"")</f>
        <v/>
      </c>
    </row>
    <row r="9687" spans="14:14" x14ac:dyDescent="0.3">
      <c r="N9687" t="str" cm="1">
        <f t="array" ref="N9687">IF(MOD(ROW()-ROW($B$2),16)=0,INDEX($M$2:$M$1000,(ROW()-ROW($B$2))/16+1),"")</f>
        <v/>
      </c>
    </row>
    <row r="9688" spans="14:14" x14ac:dyDescent="0.3">
      <c r="N9688" t="str" cm="1">
        <f t="array" ref="N9688">IF(MOD(ROW()-ROW($B$2),16)=0,INDEX($M$2:$M$1000,(ROW()-ROW($B$2))/16+1),"")</f>
        <v/>
      </c>
    </row>
    <row r="9689" spans="14:14" x14ac:dyDescent="0.3">
      <c r="N9689" t="str" cm="1">
        <f t="array" ref="N9689">IF(MOD(ROW()-ROW($B$2),16)=0,INDEX($M$2:$M$1000,(ROW()-ROW($B$2))/16+1),"")</f>
        <v/>
      </c>
    </row>
    <row r="9690" spans="14:14" x14ac:dyDescent="0.3">
      <c r="N9690" t="str" cm="1">
        <f t="array" ref="N9690">IF(MOD(ROW()-ROW($B$2),16)=0,INDEX($M$2:$M$1000,(ROW()-ROW($B$2))/16+1),"")</f>
        <v/>
      </c>
    </row>
    <row r="9691" spans="14:14" x14ac:dyDescent="0.3">
      <c r="N9691" t="str" cm="1">
        <f t="array" ref="N9691">IF(MOD(ROW()-ROW($B$2),16)=0,INDEX($M$2:$M$1000,(ROW()-ROW($B$2))/16+1),"")</f>
        <v/>
      </c>
    </row>
    <row r="9692" spans="14:14" x14ac:dyDescent="0.3">
      <c r="N9692" t="str" cm="1">
        <f t="array" ref="N9692">IF(MOD(ROW()-ROW($B$2),16)=0,INDEX($M$2:$M$1000,(ROW()-ROW($B$2))/16+1),"")</f>
        <v/>
      </c>
    </row>
    <row r="9693" spans="14:14" x14ac:dyDescent="0.3">
      <c r="N9693" t="str" cm="1">
        <f t="array" ref="N9693">IF(MOD(ROW()-ROW($B$2),16)=0,INDEX($M$2:$M$1000,(ROW()-ROW($B$2))/16+1),"")</f>
        <v/>
      </c>
    </row>
    <row r="9694" spans="14:14" x14ac:dyDescent="0.3">
      <c r="N9694" t="str" cm="1">
        <f t="array" ref="N9694">IF(MOD(ROW()-ROW($B$2),16)=0,INDEX($M$2:$M$1000,(ROW()-ROW($B$2))/16+1),"")</f>
        <v/>
      </c>
    </row>
    <row r="9695" spans="14:14" x14ac:dyDescent="0.3">
      <c r="N9695" t="str" cm="1">
        <f t="array" ref="N9695">IF(MOD(ROW()-ROW($B$2),16)=0,INDEX($M$2:$M$1000,(ROW()-ROW($B$2))/16+1),"")</f>
        <v/>
      </c>
    </row>
    <row r="9696" spans="14:14" x14ac:dyDescent="0.3">
      <c r="N9696" t="str" cm="1">
        <f t="array" ref="N9696">IF(MOD(ROW()-ROW($B$2),16)=0,INDEX($M$2:$M$1000,(ROW()-ROW($B$2))/16+1),"")</f>
        <v/>
      </c>
    </row>
    <row r="9697" spans="14:14" x14ac:dyDescent="0.3">
      <c r="N9697" t="str" cm="1">
        <f t="array" ref="N9697">IF(MOD(ROW()-ROW($B$2),16)=0,INDEX($M$2:$M$1000,(ROW()-ROW($B$2))/16+1),"")</f>
        <v/>
      </c>
    </row>
    <row r="9698" spans="14:14" x14ac:dyDescent="0.3">
      <c r="N9698" t="str" cm="1">
        <f t="array" ref="N9698">IF(MOD(ROW()-ROW($B$2),16)=0,INDEX($M$2:$M$1000,(ROW()-ROW($B$2))/16+1),"")</f>
        <v/>
      </c>
    </row>
    <row r="9699" spans="14:14" x14ac:dyDescent="0.3">
      <c r="N9699" t="str" cm="1">
        <f t="array" ref="N9699">IF(MOD(ROW()-ROW($B$2),16)=0,INDEX($M$2:$M$1000,(ROW()-ROW($B$2))/16+1),"")</f>
        <v/>
      </c>
    </row>
    <row r="9700" spans="14:14" x14ac:dyDescent="0.3">
      <c r="N9700" t="str" cm="1">
        <f t="array" ref="N9700">IF(MOD(ROW()-ROW($B$2),16)=0,INDEX($M$2:$M$1000,(ROW()-ROW($B$2))/16+1),"")</f>
        <v/>
      </c>
    </row>
    <row r="9701" spans="14:14" x14ac:dyDescent="0.3">
      <c r="N9701" t="str" cm="1">
        <f t="array" ref="N9701">IF(MOD(ROW()-ROW($B$2),16)=0,INDEX($M$2:$M$1000,(ROW()-ROW($B$2))/16+1),"")</f>
        <v/>
      </c>
    </row>
    <row r="9702" spans="14:14" x14ac:dyDescent="0.3">
      <c r="N9702" t="str" cm="1">
        <f t="array" ref="N9702">IF(MOD(ROW()-ROW($B$2),16)=0,INDEX($M$2:$M$1000,(ROW()-ROW($B$2))/16+1),"")</f>
        <v/>
      </c>
    </row>
    <row r="9703" spans="14:14" x14ac:dyDescent="0.3">
      <c r="N9703" t="str" cm="1">
        <f t="array" ref="N9703">IF(MOD(ROW()-ROW($B$2),16)=0,INDEX($M$2:$M$1000,(ROW()-ROW($B$2))/16+1),"")</f>
        <v/>
      </c>
    </row>
    <row r="9704" spans="14:14" x14ac:dyDescent="0.3">
      <c r="N9704" t="str" cm="1">
        <f t="array" ref="N9704">IF(MOD(ROW()-ROW($B$2),16)=0,INDEX($M$2:$M$1000,(ROW()-ROW($B$2))/16+1),"")</f>
        <v/>
      </c>
    </row>
    <row r="9705" spans="14:14" x14ac:dyDescent="0.3">
      <c r="N9705" t="str" cm="1">
        <f t="array" ref="N9705">IF(MOD(ROW()-ROW($B$2),16)=0,INDEX($M$2:$M$1000,(ROW()-ROW($B$2))/16+1),"")</f>
        <v/>
      </c>
    </row>
    <row r="9706" spans="14:14" x14ac:dyDescent="0.3">
      <c r="N9706" t="str" cm="1">
        <f t="array" ref="N9706">IF(MOD(ROW()-ROW($B$2),16)=0,INDEX($M$2:$M$1000,(ROW()-ROW($B$2))/16+1),"")</f>
        <v/>
      </c>
    </row>
    <row r="9707" spans="14:14" x14ac:dyDescent="0.3">
      <c r="N9707" t="str" cm="1">
        <f t="array" ref="N9707">IF(MOD(ROW()-ROW($B$2),16)=0,INDEX($M$2:$M$1000,(ROW()-ROW($B$2))/16+1),"")</f>
        <v/>
      </c>
    </row>
    <row r="9708" spans="14:14" x14ac:dyDescent="0.3">
      <c r="N9708" t="str" cm="1">
        <f t="array" ref="N9708">IF(MOD(ROW()-ROW($B$2),16)=0,INDEX($M$2:$M$1000,(ROW()-ROW($B$2))/16+1),"")</f>
        <v/>
      </c>
    </row>
    <row r="9709" spans="14:14" x14ac:dyDescent="0.3">
      <c r="N9709" t="str" cm="1">
        <f t="array" ref="N9709">IF(MOD(ROW()-ROW($B$2),16)=0,INDEX($M$2:$M$1000,(ROW()-ROW($B$2))/16+1),"")</f>
        <v/>
      </c>
    </row>
    <row r="9710" spans="14:14" x14ac:dyDescent="0.3">
      <c r="N9710" t="str" cm="1">
        <f t="array" ref="N9710">IF(MOD(ROW()-ROW($B$2),16)=0,INDEX($M$2:$M$1000,(ROW()-ROW($B$2))/16+1),"")</f>
        <v/>
      </c>
    </row>
    <row r="9711" spans="14:14" x14ac:dyDescent="0.3">
      <c r="N9711" t="str" cm="1">
        <f t="array" ref="N9711">IF(MOD(ROW()-ROW($B$2),16)=0,INDEX($M$2:$M$1000,(ROW()-ROW($B$2))/16+1),"")</f>
        <v/>
      </c>
    </row>
    <row r="9712" spans="14:14" x14ac:dyDescent="0.3">
      <c r="N9712" t="str" cm="1">
        <f t="array" ref="N9712">IF(MOD(ROW()-ROW($B$2),16)=0,INDEX($M$2:$M$1000,(ROW()-ROW($B$2))/16+1),"")</f>
        <v/>
      </c>
    </row>
    <row r="9713" spans="14:14" x14ac:dyDescent="0.3">
      <c r="N9713" t="str" cm="1">
        <f t="array" ref="N9713">IF(MOD(ROW()-ROW($B$2),16)=0,INDEX($M$2:$M$1000,(ROW()-ROW($B$2))/16+1),"")</f>
        <v/>
      </c>
    </row>
    <row r="9714" spans="14:14" x14ac:dyDescent="0.3">
      <c r="N9714" t="str" cm="1">
        <f t="array" ref="N9714">IF(MOD(ROW()-ROW($B$2),16)=0,INDEX($M$2:$M$1000,(ROW()-ROW($B$2))/16+1),"")</f>
        <v/>
      </c>
    </row>
    <row r="9715" spans="14:14" x14ac:dyDescent="0.3">
      <c r="N9715" t="str" cm="1">
        <f t="array" ref="N9715">IF(MOD(ROW()-ROW($B$2),16)=0,INDEX($M$2:$M$1000,(ROW()-ROW($B$2))/16+1),"")</f>
        <v/>
      </c>
    </row>
    <row r="9716" spans="14:14" x14ac:dyDescent="0.3">
      <c r="N9716" t="str" cm="1">
        <f t="array" ref="N9716">IF(MOD(ROW()-ROW($B$2),16)=0,INDEX($M$2:$M$1000,(ROW()-ROW($B$2))/16+1),"")</f>
        <v/>
      </c>
    </row>
    <row r="9717" spans="14:14" x14ac:dyDescent="0.3">
      <c r="N9717" t="str" cm="1">
        <f t="array" ref="N9717">IF(MOD(ROW()-ROW($B$2),16)=0,INDEX($M$2:$M$1000,(ROW()-ROW($B$2))/16+1),"")</f>
        <v/>
      </c>
    </row>
    <row r="9718" spans="14:14" x14ac:dyDescent="0.3">
      <c r="N9718" t="str" cm="1">
        <f t="array" ref="N9718">IF(MOD(ROW()-ROW($B$2),16)=0,INDEX($M$2:$M$1000,(ROW()-ROW($B$2))/16+1),"")</f>
        <v/>
      </c>
    </row>
    <row r="9719" spans="14:14" x14ac:dyDescent="0.3">
      <c r="N9719" t="str" cm="1">
        <f t="array" ref="N9719">IF(MOD(ROW()-ROW($B$2),16)=0,INDEX($M$2:$M$1000,(ROW()-ROW($B$2))/16+1),"")</f>
        <v/>
      </c>
    </row>
    <row r="9720" spans="14:14" x14ac:dyDescent="0.3">
      <c r="N9720" t="str" cm="1">
        <f t="array" ref="N9720">IF(MOD(ROW()-ROW($B$2),16)=0,INDEX($M$2:$M$1000,(ROW()-ROW($B$2))/16+1),"")</f>
        <v/>
      </c>
    </row>
    <row r="9721" spans="14:14" x14ac:dyDescent="0.3">
      <c r="N9721" t="str" cm="1">
        <f t="array" ref="N9721">IF(MOD(ROW()-ROW($B$2),16)=0,INDEX($M$2:$M$1000,(ROW()-ROW($B$2))/16+1),"")</f>
        <v/>
      </c>
    </row>
    <row r="9722" spans="14:14" x14ac:dyDescent="0.3">
      <c r="N9722" t="str" cm="1">
        <f t="array" ref="N9722">IF(MOD(ROW()-ROW($B$2),16)=0,INDEX($M$2:$M$1000,(ROW()-ROW($B$2))/16+1),"")</f>
        <v/>
      </c>
    </row>
    <row r="9723" spans="14:14" x14ac:dyDescent="0.3">
      <c r="N9723" t="str" cm="1">
        <f t="array" ref="N9723">IF(MOD(ROW()-ROW($B$2),16)=0,INDEX($M$2:$M$1000,(ROW()-ROW($B$2))/16+1),"")</f>
        <v/>
      </c>
    </row>
    <row r="9724" spans="14:14" x14ac:dyDescent="0.3">
      <c r="N9724" t="str" cm="1">
        <f t="array" ref="N9724">IF(MOD(ROW()-ROW($B$2),16)=0,INDEX($M$2:$M$1000,(ROW()-ROW($B$2))/16+1),"")</f>
        <v/>
      </c>
    </row>
    <row r="9725" spans="14:14" x14ac:dyDescent="0.3">
      <c r="N9725" t="str" cm="1">
        <f t="array" ref="N9725">IF(MOD(ROW()-ROW($B$2),16)=0,INDEX($M$2:$M$1000,(ROW()-ROW($B$2))/16+1),"")</f>
        <v/>
      </c>
    </row>
    <row r="9726" spans="14:14" x14ac:dyDescent="0.3">
      <c r="N9726" t="str" cm="1">
        <f t="array" ref="N9726">IF(MOD(ROW()-ROW($B$2),16)=0,INDEX($M$2:$M$1000,(ROW()-ROW($B$2))/16+1),"")</f>
        <v/>
      </c>
    </row>
    <row r="9727" spans="14:14" x14ac:dyDescent="0.3">
      <c r="N9727" t="str" cm="1">
        <f t="array" ref="N9727">IF(MOD(ROW()-ROW($B$2),16)=0,INDEX($M$2:$M$1000,(ROW()-ROW($B$2))/16+1),"")</f>
        <v/>
      </c>
    </row>
    <row r="9728" spans="14:14" x14ac:dyDescent="0.3">
      <c r="N9728" t="str" cm="1">
        <f t="array" ref="N9728">IF(MOD(ROW()-ROW($B$2),16)=0,INDEX($M$2:$M$1000,(ROW()-ROW($B$2))/16+1),"")</f>
        <v/>
      </c>
    </row>
    <row r="9729" spans="14:14" x14ac:dyDescent="0.3">
      <c r="N9729" t="str" cm="1">
        <f t="array" ref="N9729">IF(MOD(ROW()-ROW($B$2),16)=0,INDEX($M$2:$M$1000,(ROW()-ROW($B$2))/16+1),"")</f>
        <v/>
      </c>
    </row>
    <row r="9730" spans="14:14" x14ac:dyDescent="0.3">
      <c r="N9730" t="str" cm="1">
        <f t="array" ref="N9730">IF(MOD(ROW()-ROW($B$2),16)=0,INDEX($M$2:$M$1000,(ROW()-ROW($B$2))/16+1),"")</f>
        <v/>
      </c>
    </row>
    <row r="9731" spans="14:14" x14ac:dyDescent="0.3">
      <c r="N9731" t="str" cm="1">
        <f t="array" ref="N9731">IF(MOD(ROW()-ROW($B$2),16)=0,INDEX($M$2:$M$1000,(ROW()-ROW($B$2))/16+1),"")</f>
        <v/>
      </c>
    </row>
    <row r="9732" spans="14:14" x14ac:dyDescent="0.3">
      <c r="N9732" t="str" cm="1">
        <f t="array" ref="N9732">IF(MOD(ROW()-ROW($B$2),16)=0,INDEX($M$2:$M$1000,(ROW()-ROW($B$2))/16+1),"")</f>
        <v/>
      </c>
    </row>
    <row r="9733" spans="14:14" x14ac:dyDescent="0.3">
      <c r="N9733" t="str" cm="1">
        <f t="array" ref="N9733">IF(MOD(ROW()-ROW($B$2),16)=0,INDEX($M$2:$M$1000,(ROW()-ROW($B$2))/16+1),"")</f>
        <v/>
      </c>
    </row>
    <row r="9734" spans="14:14" x14ac:dyDescent="0.3">
      <c r="N9734" t="str" cm="1">
        <f t="array" ref="N9734">IF(MOD(ROW()-ROW($B$2),16)=0,INDEX($M$2:$M$1000,(ROW()-ROW($B$2))/16+1),"")</f>
        <v/>
      </c>
    </row>
    <row r="9735" spans="14:14" x14ac:dyDescent="0.3">
      <c r="N9735" t="str" cm="1">
        <f t="array" ref="N9735">IF(MOD(ROW()-ROW($B$2),16)=0,INDEX($M$2:$M$1000,(ROW()-ROW($B$2))/16+1),"")</f>
        <v/>
      </c>
    </row>
    <row r="9736" spans="14:14" x14ac:dyDescent="0.3">
      <c r="N9736" t="str" cm="1">
        <f t="array" ref="N9736">IF(MOD(ROW()-ROW($B$2),16)=0,INDEX($M$2:$M$1000,(ROW()-ROW($B$2))/16+1),"")</f>
        <v/>
      </c>
    </row>
    <row r="9737" spans="14:14" x14ac:dyDescent="0.3">
      <c r="N9737" t="str" cm="1">
        <f t="array" ref="N9737">IF(MOD(ROW()-ROW($B$2),16)=0,INDEX($M$2:$M$1000,(ROW()-ROW($B$2))/16+1),"")</f>
        <v/>
      </c>
    </row>
    <row r="9738" spans="14:14" x14ac:dyDescent="0.3">
      <c r="N9738" t="str" cm="1">
        <f t="array" ref="N9738">IF(MOD(ROW()-ROW($B$2),16)=0,INDEX($M$2:$M$1000,(ROW()-ROW($B$2))/16+1),"")</f>
        <v/>
      </c>
    </row>
    <row r="9739" spans="14:14" x14ac:dyDescent="0.3">
      <c r="N9739" t="str" cm="1">
        <f t="array" ref="N9739">IF(MOD(ROW()-ROW($B$2),16)=0,INDEX($M$2:$M$1000,(ROW()-ROW($B$2))/16+1),"")</f>
        <v/>
      </c>
    </row>
    <row r="9740" spans="14:14" x14ac:dyDescent="0.3">
      <c r="N9740" t="str" cm="1">
        <f t="array" ref="N9740">IF(MOD(ROW()-ROW($B$2),16)=0,INDEX($M$2:$M$1000,(ROW()-ROW($B$2))/16+1),"")</f>
        <v/>
      </c>
    </row>
    <row r="9741" spans="14:14" x14ac:dyDescent="0.3">
      <c r="N9741" t="str" cm="1">
        <f t="array" ref="N9741">IF(MOD(ROW()-ROW($B$2),16)=0,INDEX($M$2:$M$1000,(ROW()-ROW($B$2))/16+1),"")</f>
        <v/>
      </c>
    </row>
    <row r="9742" spans="14:14" x14ac:dyDescent="0.3">
      <c r="N9742" t="str" cm="1">
        <f t="array" ref="N9742">IF(MOD(ROW()-ROW($B$2),16)=0,INDEX($M$2:$M$1000,(ROW()-ROW($B$2))/16+1),"")</f>
        <v/>
      </c>
    </row>
    <row r="9743" spans="14:14" x14ac:dyDescent="0.3">
      <c r="N9743" t="str" cm="1">
        <f t="array" ref="N9743">IF(MOD(ROW()-ROW($B$2),16)=0,INDEX($M$2:$M$1000,(ROW()-ROW($B$2))/16+1),"")</f>
        <v/>
      </c>
    </row>
    <row r="9744" spans="14:14" x14ac:dyDescent="0.3">
      <c r="N9744" t="str" cm="1">
        <f t="array" ref="N9744">IF(MOD(ROW()-ROW($B$2),16)=0,INDEX($M$2:$M$1000,(ROW()-ROW($B$2))/16+1),"")</f>
        <v/>
      </c>
    </row>
    <row r="9745" spans="14:14" x14ac:dyDescent="0.3">
      <c r="N9745" t="str" cm="1">
        <f t="array" ref="N9745">IF(MOD(ROW()-ROW($B$2),16)=0,INDEX($M$2:$M$1000,(ROW()-ROW($B$2))/16+1),"")</f>
        <v/>
      </c>
    </row>
    <row r="9746" spans="14:14" x14ac:dyDescent="0.3">
      <c r="N9746" t="str" cm="1">
        <f t="array" ref="N9746">IF(MOD(ROW()-ROW($B$2),16)=0,INDEX($M$2:$M$1000,(ROW()-ROW($B$2))/16+1),"")</f>
        <v/>
      </c>
    </row>
    <row r="9747" spans="14:14" x14ac:dyDescent="0.3">
      <c r="N9747" t="str" cm="1">
        <f t="array" ref="N9747">IF(MOD(ROW()-ROW($B$2),16)=0,INDEX($M$2:$M$1000,(ROW()-ROW($B$2))/16+1),"")</f>
        <v/>
      </c>
    </row>
    <row r="9748" spans="14:14" x14ac:dyDescent="0.3">
      <c r="N9748" t="str" cm="1">
        <f t="array" ref="N9748">IF(MOD(ROW()-ROW($B$2),16)=0,INDEX($M$2:$M$1000,(ROW()-ROW($B$2))/16+1),"")</f>
        <v/>
      </c>
    </row>
    <row r="9749" spans="14:14" x14ac:dyDescent="0.3">
      <c r="N9749" t="str" cm="1">
        <f t="array" ref="N9749">IF(MOD(ROW()-ROW($B$2),16)=0,INDEX($M$2:$M$1000,(ROW()-ROW($B$2))/16+1),"")</f>
        <v/>
      </c>
    </row>
    <row r="9750" spans="14:14" x14ac:dyDescent="0.3">
      <c r="N9750" t="str" cm="1">
        <f t="array" ref="N9750">IF(MOD(ROW()-ROW($B$2),16)=0,INDEX($M$2:$M$1000,(ROW()-ROW($B$2))/16+1),"")</f>
        <v/>
      </c>
    </row>
    <row r="9751" spans="14:14" x14ac:dyDescent="0.3">
      <c r="N9751" t="str" cm="1">
        <f t="array" ref="N9751">IF(MOD(ROW()-ROW($B$2),16)=0,INDEX($M$2:$M$1000,(ROW()-ROW($B$2))/16+1),"")</f>
        <v/>
      </c>
    </row>
    <row r="9752" spans="14:14" x14ac:dyDescent="0.3">
      <c r="N9752" t="str" cm="1">
        <f t="array" ref="N9752">IF(MOD(ROW()-ROW($B$2),16)=0,INDEX($M$2:$M$1000,(ROW()-ROW($B$2))/16+1),"")</f>
        <v/>
      </c>
    </row>
    <row r="9753" spans="14:14" x14ac:dyDescent="0.3">
      <c r="N9753" t="str" cm="1">
        <f t="array" ref="N9753">IF(MOD(ROW()-ROW($B$2),16)=0,INDEX($M$2:$M$1000,(ROW()-ROW($B$2))/16+1),"")</f>
        <v/>
      </c>
    </row>
    <row r="9754" spans="14:14" x14ac:dyDescent="0.3">
      <c r="N9754" t="str" cm="1">
        <f t="array" ref="N9754">IF(MOD(ROW()-ROW($B$2),16)=0,INDEX($M$2:$M$1000,(ROW()-ROW($B$2))/16+1),"")</f>
        <v/>
      </c>
    </row>
    <row r="9755" spans="14:14" x14ac:dyDescent="0.3">
      <c r="N9755" t="str" cm="1">
        <f t="array" ref="N9755">IF(MOD(ROW()-ROW($B$2),16)=0,INDEX($M$2:$M$1000,(ROW()-ROW($B$2))/16+1),"")</f>
        <v/>
      </c>
    </row>
    <row r="9756" spans="14:14" x14ac:dyDescent="0.3">
      <c r="N9756" t="str" cm="1">
        <f t="array" ref="N9756">IF(MOD(ROW()-ROW($B$2),16)=0,INDEX($M$2:$M$1000,(ROW()-ROW($B$2))/16+1),"")</f>
        <v/>
      </c>
    </row>
    <row r="9757" spans="14:14" x14ac:dyDescent="0.3">
      <c r="N9757" t="str" cm="1">
        <f t="array" ref="N9757">IF(MOD(ROW()-ROW($B$2),16)=0,INDEX($M$2:$M$1000,(ROW()-ROW($B$2))/16+1),"")</f>
        <v/>
      </c>
    </row>
    <row r="9758" spans="14:14" x14ac:dyDescent="0.3">
      <c r="N9758" t="str" cm="1">
        <f t="array" ref="N9758">IF(MOD(ROW()-ROW($B$2),16)=0,INDEX($M$2:$M$1000,(ROW()-ROW($B$2))/16+1),"")</f>
        <v/>
      </c>
    </row>
    <row r="9759" spans="14:14" x14ac:dyDescent="0.3">
      <c r="N9759" t="str" cm="1">
        <f t="array" ref="N9759">IF(MOD(ROW()-ROW($B$2),16)=0,INDEX($M$2:$M$1000,(ROW()-ROW($B$2))/16+1),"")</f>
        <v/>
      </c>
    </row>
    <row r="9760" spans="14:14" x14ac:dyDescent="0.3">
      <c r="N9760" t="str" cm="1">
        <f t="array" ref="N9760">IF(MOD(ROW()-ROW($B$2),16)=0,INDEX($M$2:$M$1000,(ROW()-ROW($B$2))/16+1),"")</f>
        <v/>
      </c>
    </row>
    <row r="9761" spans="14:14" x14ac:dyDescent="0.3">
      <c r="N9761" t="str" cm="1">
        <f t="array" ref="N9761">IF(MOD(ROW()-ROW($B$2),16)=0,INDEX($M$2:$M$1000,(ROW()-ROW($B$2))/16+1),"")</f>
        <v/>
      </c>
    </row>
    <row r="9762" spans="14:14" x14ac:dyDescent="0.3">
      <c r="N9762" t="str" cm="1">
        <f t="array" ref="N9762">IF(MOD(ROW()-ROW($B$2),16)=0,INDEX($M$2:$M$1000,(ROW()-ROW($B$2))/16+1),"")</f>
        <v/>
      </c>
    </row>
    <row r="9763" spans="14:14" x14ac:dyDescent="0.3">
      <c r="N9763" t="str" cm="1">
        <f t="array" ref="N9763">IF(MOD(ROW()-ROW($B$2),16)=0,INDEX($M$2:$M$1000,(ROW()-ROW($B$2))/16+1),"")</f>
        <v/>
      </c>
    </row>
    <row r="9764" spans="14:14" x14ac:dyDescent="0.3">
      <c r="N9764" t="str" cm="1">
        <f t="array" ref="N9764">IF(MOD(ROW()-ROW($B$2),16)=0,INDEX($M$2:$M$1000,(ROW()-ROW($B$2))/16+1),"")</f>
        <v/>
      </c>
    </row>
    <row r="9765" spans="14:14" x14ac:dyDescent="0.3">
      <c r="N9765" t="str" cm="1">
        <f t="array" ref="N9765">IF(MOD(ROW()-ROW($B$2),16)=0,INDEX($M$2:$M$1000,(ROW()-ROW($B$2))/16+1),"")</f>
        <v/>
      </c>
    </row>
    <row r="9766" spans="14:14" x14ac:dyDescent="0.3">
      <c r="N9766" t="str" cm="1">
        <f t="array" ref="N9766">IF(MOD(ROW()-ROW($B$2),16)=0,INDEX($M$2:$M$1000,(ROW()-ROW($B$2))/16+1),"")</f>
        <v/>
      </c>
    </row>
    <row r="9767" spans="14:14" x14ac:dyDescent="0.3">
      <c r="N9767" t="str" cm="1">
        <f t="array" ref="N9767">IF(MOD(ROW()-ROW($B$2),16)=0,INDEX($M$2:$M$1000,(ROW()-ROW($B$2))/16+1),"")</f>
        <v/>
      </c>
    </row>
    <row r="9768" spans="14:14" x14ac:dyDescent="0.3">
      <c r="N9768" t="str" cm="1">
        <f t="array" ref="N9768">IF(MOD(ROW()-ROW($B$2),16)=0,INDEX($M$2:$M$1000,(ROW()-ROW($B$2))/16+1),"")</f>
        <v/>
      </c>
    </row>
    <row r="9769" spans="14:14" x14ac:dyDescent="0.3">
      <c r="N9769" t="str" cm="1">
        <f t="array" ref="N9769">IF(MOD(ROW()-ROW($B$2),16)=0,INDEX($M$2:$M$1000,(ROW()-ROW($B$2))/16+1),"")</f>
        <v/>
      </c>
    </row>
    <row r="9770" spans="14:14" x14ac:dyDescent="0.3">
      <c r="N9770" t="str" cm="1">
        <f t="array" ref="N9770">IF(MOD(ROW()-ROW($B$2),16)=0,INDEX($M$2:$M$1000,(ROW()-ROW($B$2))/16+1),"")</f>
        <v/>
      </c>
    </row>
    <row r="9771" spans="14:14" x14ac:dyDescent="0.3">
      <c r="N9771" t="str" cm="1">
        <f t="array" ref="N9771">IF(MOD(ROW()-ROW($B$2),16)=0,INDEX($M$2:$M$1000,(ROW()-ROW($B$2))/16+1),"")</f>
        <v/>
      </c>
    </row>
    <row r="9772" spans="14:14" x14ac:dyDescent="0.3">
      <c r="N9772" t="str" cm="1">
        <f t="array" ref="N9772">IF(MOD(ROW()-ROW($B$2),16)=0,INDEX($M$2:$M$1000,(ROW()-ROW($B$2))/16+1),"")</f>
        <v/>
      </c>
    </row>
    <row r="9773" spans="14:14" x14ac:dyDescent="0.3">
      <c r="N9773" t="str" cm="1">
        <f t="array" ref="N9773">IF(MOD(ROW()-ROW($B$2),16)=0,INDEX($M$2:$M$1000,(ROW()-ROW($B$2))/16+1),"")</f>
        <v/>
      </c>
    </row>
    <row r="9774" spans="14:14" x14ac:dyDescent="0.3">
      <c r="N9774" t="str" cm="1">
        <f t="array" ref="N9774">IF(MOD(ROW()-ROW($B$2),16)=0,INDEX($M$2:$M$1000,(ROW()-ROW($B$2))/16+1),"")</f>
        <v/>
      </c>
    </row>
    <row r="9775" spans="14:14" x14ac:dyDescent="0.3">
      <c r="N9775" t="str" cm="1">
        <f t="array" ref="N9775">IF(MOD(ROW()-ROW($B$2),16)=0,INDEX($M$2:$M$1000,(ROW()-ROW($B$2))/16+1),"")</f>
        <v/>
      </c>
    </row>
    <row r="9776" spans="14:14" x14ac:dyDescent="0.3">
      <c r="N9776" t="str" cm="1">
        <f t="array" ref="N9776">IF(MOD(ROW()-ROW($B$2),16)=0,INDEX($M$2:$M$1000,(ROW()-ROW($B$2))/16+1),"")</f>
        <v/>
      </c>
    </row>
    <row r="9777" spans="14:14" x14ac:dyDescent="0.3">
      <c r="N9777" t="str" cm="1">
        <f t="array" ref="N9777">IF(MOD(ROW()-ROW($B$2),16)=0,INDEX($M$2:$M$1000,(ROW()-ROW($B$2))/16+1),"")</f>
        <v/>
      </c>
    </row>
    <row r="9778" spans="14:14" x14ac:dyDescent="0.3">
      <c r="N9778" t="str" cm="1">
        <f t="array" ref="N9778">IF(MOD(ROW()-ROW($B$2),16)=0,INDEX($M$2:$M$1000,(ROW()-ROW($B$2))/16+1),"")</f>
        <v/>
      </c>
    </row>
    <row r="9779" spans="14:14" x14ac:dyDescent="0.3">
      <c r="N9779" t="str" cm="1">
        <f t="array" ref="N9779">IF(MOD(ROW()-ROW($B$2),16)=0,INDEX($M$2:$M$1000,(ROW()-ROW($B$2))/16+1),"")</f>
        <v/>
      </c>
    </row>
    <row r="9780" spans="14:14" x14ac:dyDescent="0.3">
      <c r="N9780" t="str" cm="1">
        <f t="array" ref="N9780">IF(MOD(ROW()-ROW($B$2),16)=0,INDEX($M$2:$M$1000,(ROW()-ROW($B$2))/16+1),"")</f>
        <v/>
      </c>
    </row>
    <row r="9781" spans="14:14" x14ac:dyDescent="0.3">
      <c r="N9781" t="str" cm="1">
        <f t="array" ref="N9781">IF(MOD(ROW()-ROW($B$2),16)=0,INDEX($M$2:$M$1000,(ROW()-ROW($B$2))/16+1),"")</f>
        <v/>
      </c>
    </row>
    <row r="9782" spans="14:14" x14ac:dyDescent="0.3">
      <c r="N9782" t="str" cm="1">
        <f t="array" ref="N9782">IF(MOD(ROW()-ROW($B$2),16)=0,INDEX($M$2:$M$1000,(ROW()-ROW($B$2))/16+1),"")</f>
        <v/>
      </c>
    </row>
    <row r="9783" spans="14:14" x14ac:dyDescent="0.3">
      <c r="N9783" t="str" cm="1">
        <f t="array" ref="N9783">IF(MOD(ROW()-ROW($B$2),16)=0,INDEX($M$2:$M$1000,(ROW()-ROW($B$2))/16+1),"")</f>
        <v/>
      </c>
    </row>
    <row r="9784" spans="14:14" x14ac:dyDescent="0.3">
      <c r="N9784" t="str" cm="1">
        <f t="array" ref="N9784">IF(MOD(ROW()-ROW($B$2),16)=0,INDEX($M$2:$M$1000,(ROW()-ROW($B$2))/16+1),"")</f>
        <v/>
      </c>
    </row>
    <row r="9785" spans="14:14" x14ac:dyDescent="0.3">
      <c r="N9785" t="str" cm="1">
        <f t="array" ref="N9785">IF(MOD(ROW()-ROW($B$2),16)=0,INDEX($M$2:$M$1000,(ROW()-ROW($B$2))/16+1),"")</f>
        <v/>
      </c>
    </row>
    <row r="9786" spans="14:14" x14ac:dyDescent="0.3">
      <c r="N9786" t="str" cm="1">
        <f t="array" ref="N9786">IF(MOD(ROW()-ROW($B$2),16)=0,INDEX($M$2:$M$1000,(ROW()-ROW($B$2))/16+1),"")</f>
        <v/>
      </c>
    </row>
    <row r="9787" spans="14:14" x14ac:dyDescent="0.3">
      <c r="N9787" t="str" cm="1">
        <f t="array" ref="N9787">IF(MOD(ROW()-ROW($B$2),16)=0,INDEX($M$2:$M$1000,(ROW()-ROW($B$2))/16+1),"")</f>
        <v/>
      </c>
    </row>
    <row r="9788" spans="14:14" x14ac:dyDescent="0.3">
      <c r="N9788" t="str" cm="1">
        <f t="array" ref="N9788">IF(MOD(ROW()-ROW($B$2),16)=0,INDEX($M$2:$M$1000,(ROW()-ROW($B$2))/16+1),"")</f>
        <v/>
      </c>
    </row>
    <row r="9789" spans="14:14" x14ac:dyDescent="0.3">
      <c r="N9789" t="str" cm="1">
        <f t="array" ref="N9789">IF(MOD(ROW()-ROW($B$2),16)=0,INDEX($M$2:$M$1000,(ROW()-ROW($B$2))/16+1),"")</f>
        <v/>
      </c>
    </row>
    <row r="9790" spans="14:14" x14ac:dyDescent="0.3">
      <c r="N9790" t="str" cm="1">
        <f t="array" ref="N9790">IF(MOD(ROW()-ROW($B$2),16)=0,INDEX($M$2:$M$1000,(ROW()-ROW($B$2))/16+1),"")</f>
        <v/>
      </c>
    </row>
    <row r="9791" spans="14:14" x14ac:dyDescent="0.3">
      <c r="N9791" t="str" cm="1">
        <f t="array" ref="N9791">IF(MOD(ROW()-ROW($B$2),16)=0,INDEX($M$2:$M$1000,(ROW()-ROW($B$2))/16+1),"")</f>
        <v/>
      </c>
    </row>
    <row r="9792" spans="14:14" x14ac:dyDescent="0.3">
      <c r="N9792" t="str" cm="1">
        <f t="array" ref="N9792">IF(MOD(ROW()-ROW($B$2),16)=0,INDEX($M$2:$M$1000,(ROW()-ROW($B$2))/16+1),"")</f>
        <v/>
      </c>
    </row>
    <row r="9793" spans="14:14" x14ac:dyDescent="0.3">
      <c r="N9793" t="str" cm="1">
        <f t="array" ref="N9793">IF(MOD(ROW()-ROW($B$2),16)=0,INDEX($M$2:$M$1000,(ROW()-ROW($B$2))/16+1),"")</f>
        <v/>
      </c>
    </row>
    <row r="9794" spans="14:14" x14ac:dyDescent="0.3">
      <c r="N9794" t="str" cm="1">
        <f t="array" ref="N9794">IF(MOD(ROW()-ROW($B$2),16)=0,INDEX($M$2:$M$1000,(ROW()-ROW($B$2))/16+1),"")</f>
        <v/>
      </c>
    </row>
    <row r="9795" spans="14:14" x14ac:dyDescent="0.3">
      <c r="N9795" t="str" cm="1">
        <f t="array" ref="N9795">IF(MOD(ROW()-ROW($B$2),16)=0,INDEX($M$2:$M$1000,(ROW()-ROW($B$2))/16+1),"")</f>
        <v/>
      </c>
    </row>
    <row r="9796" spans="14:14" x14ac:dyDescent="0.3">
      <c r="N9796" t="str" cm="1">
        <f t="array" ref="N9796">IF(MOD(ROW()-ROW($B$2),16)=0,INDEX($M$2:$M$1000,(ROW()-ROW($B$2))/16+1),"")</f>
        <v/>
      </c>
    </row>
    <row r="9797" spans="14:14" x14ac:dyDescent="0.3">
      <c r="N9797" t="str" cm="1">
        <f t="array" ref="N9797">IF(MOD(ROW()-ROW($B$2),16)=0,INDEX($M$2:$M$1000,(ROW()-ROW($B$2))/16+1),"")</f>
        <v/>
      </c>
    </row>
    <row r="9798" spans="14:14" x14ac:dyDescent="0.3">
      <c r="N9798" t="str" cm="1">
        <f t="array" ref="N9798">IF(MOD(ROW()-ROW($B$2),16)=0,INDEX($M$2:$M$1000,(ROW()-ROW($B$2))/16+1),"")</f>
        <v/>
      </c>
    </row>
    <row r="9799" spans="14:14" x14ac:dyDescent="0.3">
      <c r="N9799" t="str" cm="1">
        <f t="array" ref="N9799">IF(MOD(ROW()-ROW($B$2),16)=0,INDEX($M$2:$M$1000,(ROW()-ROW($B$2))/16+1),"")</f>
        <v/>
      </c>
    </row>
    <row r="9800" spans="14:14" x14ac:dyDescent="0.3">
      <c r="N9800" t="str" cm="1">
        <f t="array" ref="N9800">IF(MOD(ROW()-ROW($B$2),16)=0,INDEX($M$2:$M$1000,(ROW()-ROW($B$2))/16+1),"")</f>
        <v/>
      </c>
    </row>
    <row r="9801" spans="14:14" x14ac:dyDescent="0.3">
      <c r="N9801" t="str" cm="1">
        <f t="array" ref="N9801">IF(MOD(ROW()-ROW($B$2),16)=0,INDEX($M$2:$M$1000,(ROW()-ROW($B$2))/16+1),"")</f>
        <v/>
      </c>
    </row>
    <row r="9802" spans="14:14" x14ac:dyDescent="0.3">
      <c r="N9802" t="str" cm="1">
        <f t="array" ref="N9802">IF(MOD(ROW()-ROW($B$2),16)=0,INDEX($M$2:$M$1000,(ROW()-ROW($B$2))/16+1),"")</f>
        <v/>
      </c>
    </row>
    <row r="9803" spans="14:14" x14ac:dyDescent="0.3">
      <c r="N9803" t="str" cm="1">
        <f t="array" ref="N9803">IF(MOD(ROW()-ROW($B$2),16)=0,INDEX($M$2:$M$1000,(ROW()-ROW($B$2))/16+1),"")</f>
        <v/>
      </c>
    </row>
    <row r="9804" spans="14:14" x14ac:dyDescent="0.3">
      <c r="N9804" t="str" cm="1">
        <f t="array" ref="N9804">IF(MOD(ROW()-ROW($B$2),16)=0,INDEX($M$2:$M$1000,(ROW()-ROW($B$2))/16+1),"")</f>
        <v/>
      </c>
    </row>
    <row r="9805" spans="14:14" x14ac:dyDescent="0.3">
      <c r="N9805" t="str" cm="1">
        <f t="array" ref="N9805">IF(MOD(ROW()-ROW($B$2),16)=0,INDEX($M$2:$M$1000,(ROW()-ROW($B$2))/16+1),"")</f>
        <v/>
      </c>
    </row>
    <row r="9806" spans="14:14" x14ac:dyDescent="0.3">
      <c r="N9806" t="str" cm="1">
        <f t="array" ref="N9806">IF(MOD(ROW()-ROW($B$2),16)=0,INDEX($M$2:$M$1000,(ROW()-ROW($B$2))/16+1),"")</f>
        <v/>
      </c>
    </row>
    <row r="9807" spans="14:14" x14ac:dyDescent="0.3">
      <c r="N9807" t="str" cm="1">
        <f t="array" ref="N9807">IF(MOD(ROW()-ROW($B$2),16)=0,INDEX($M$2:$M$1000,(ROW()-ROW($B$2))/16+1),"")</f>
        <v/>
      </c>
    </row>
    <row r="9808" spans="14:14" x14ac:dyDescent="0.3">
      <c r="N9808" t="str" cm="1">
        <f t="array" ref="N9808">IF(MOD(ROW()-ROW($B$2),16)=0,INDEX($M$2:$M$1000,(ROW()-ROW($B$2))/16+1),"")</f>
        <v/>
      </c>
    </row>
    <row r="9809" spans="14:14" x14ac:dyDescent="0.3">
      <c r="N9809" t="str" cm="1">
        <f t="array" ref="N9809">IF(MOD(ROW()-ROW($B$2),16)=0,INDEX($M$2:$M$1000,(ROW()-ROW($B$2))/16+1),"")</f>
        <v/>
      </c>
    </row>
    <row r="9810" spans="14:14" x14ac:dyDescent="0.3">
      <c r="N9810" t="str" cm="1">
        <f t="array" ref="N9810">IF(MOD(ROW()-ROW($B$2),16)=0,INDEX($M$2:$M$1000,(ROW()-ROW($B$2))/16+1),"")</f>
        <v/>
      </c>
    </row>
    <row r="9811" spans="14:14" x14ac:dyDescent="0.3">
      <c r="N9811" t="str" cm="1">
        <f t="array" ref="N9811">IF(MOD(ROW()-ROW($B$2),16)=0,INDEX($M$2:$M$1000,(ROW()-ROW($B$2))/16+1),"")</f>
        <v/>
      </c>
    </row>
    <row r="9812" spans="14:14" x14ac:dyDescent="0.3">
      <c r="N9812" t="str" cm="1">
        <f t="array" ref="N9812">IF(MOD(ROW()-ROW($B$2),16)=0,INDEX($M$2:$M$1000,(ROW()-ROW($B$2))/16+1),"")</f>
        <v/>
      </c>
    </row>
    <row r="9813" spans="14:14" x14ac:dyDescent="0.3">
      <c r="N9813" t="str" cm="1">
        <f t="array" ref="N9813">IF(MOD(ROW()-ROW($B$2),16)=0,INDEX($M$2:$M$1000,(ROW()-ROW($B$2))/16+1),"")</f>
        <v/>
      </c>
    </row>
    <row r="9814" spans="14:14" x14ac:dyDescent="0.3">
      <c r="N9814" t="str" cm="1">
        <f t="array" ref="N9814">IF(MOD(ROW()-ROW($B$2),16)=0,INDEX($M$2:$M$1000,(ROW()-ROW($B$2))/16+1),"")</f>
        <v/>
      </c>
    </row>
    <row r="9815" spans="14:14" x14ac:dyDescent="0.3">
      <c r="N9815" t="str" cm="1">
        <f t="array" ref="N9815">IF(MOD(ROW()-ROW($B$2),16)=0,INDEX($M$2:$M$1000,(ROW()-ROW($B$2))/16+1),"")</f>
        <v/>
      </c>
    </row>
    <row r="9816" spans="14:14" x14ac:dyDescent="0.3">
      <c r="N9816" t="str" cm="1">
        <f t="array" ref="N9816">IF(MOD(ROW()-ROW($B$2),16)=0,INDEX($M$2:$M$1000,(ROW()-ROW($B$2))/16+1),"")</f>
        <v/>
      </c>
    </row>
    <row r="9817" spans="14:14" x14ac:dyDescent="0.3">
      <c r="N9817" t="str" cm="1">
        <f t="array" ref="N9817">IF(MOD(ROW()-ROW($B$2),16)=0,INDEX($M$2:$M$1000,(ROW()-ROW($B$2))/16+1),"")</f>
        <v/>
      </c>
    </row>
    <row r="9818" spans="14:14" x14ac:dyDescent="0.3">
      <c r="N9818" t="str" cm="1">
        <f t="array" ref="N9818">IF(MOD(ROW()-ROW($B$2),16)=0,INDEX($M$2:$M$1000,(ROW()-ROW($B$2))/16+1),"")</f>
        <v/>
      </c>
    </row>
    <row r="9819" spans="14:14" x14ac:dyDescent="0.3">
      <c r="N9819" t="str" cm="1">
        <f t="array" ref="N9819">IF(MOD(ROW()-ROW($B$2),16)=0,INDEX($M$2:$M$1000,(ROW()-ROW($B$2))/16+1),"")</f>
        <v/>
      </c>
    </row>
    <row r="9820" spans="14:14" x14ac:dyDescent="0.3">
      <c r="N9820" t="str" cm="1">
        <f t="array" ref="N9820">IF(MOD(ROW()-ROW($B$2),16)=0,INDEX($M$2:$M$1000,(ROW()-ROW($B$2))/16+1),"")</f>
        <v/>
      </c>
    </row>
    <row r="9821" spans="14:14" x14ac:dyDescent="0.3">
      <c r="N9821" t="str" cm="1">
        <f t="array" ref="N9821">IF(MOD(ROW()-ROW($B$2),16)=0,INDEX($M$2:$M$1000,(ROW()-ROW($B$2))/16+1),"")</f>
        <v/>
      </c>
    </row>
    <row r="9822" spans="14:14" x14ac:dyDescent="0.3">
      <c r="N9822" t="str" cm="1">
        <f t="array" ref="N9822">IF(MOD(ROW()-ROW($B$2),16)=0,INDEX($M$2:$M$1000,(ROW()-ROW($B$2))/16+1),"")</f>
        <v/>
      </c>
    </row>
    <row r="9823" spans="14:14" x14ac:dyDescent="0.3">
      <c r="N9823" t="str" cm="1">
        <f t="array" ref="N9823">IF(MOD(ROW()-ROW($B$2),16)=0,INDEX($M$2:$M$1000,(ROW()-ROW($B$2))/16+1),"")</f>
        <v/>
      </c>
    </row>
    <row r="9824" spans="14:14" x14ac:dyDescent="0.3">
      <c r="N9824" t="str" cm="1">
        <f t="array" ref="N9824">IF(MOD(ROW()-ROW($B$2),16)=0,INDEX($M$2:$M$1000,(ROW()-ROW($B$2))/16+1),"")</f>
        <v/>
      </c>
    </row>
    <row r="9825" spans="14:14" x14ac:dyDescent="0.3">
      <c r="N9825" t="str" cm="1">
        <f t="array" ref="N9825">IF(MOD(ROW()-ROW($B$2),16)=0,INDEX($M$2:$M$1000,(ROW()-ROW($B$2))/16+1),"")</f>
        <v/>
      </c>
    </row>
    <row r="9826" spans="14:14" x14ac:dyDescent="0.3">
      <c r="N9826" t="str" cm="1">
        <f t="array" ref="N9826">IF(MOD(ROW()-ROW($B$2),16)=0,INDEX($M$2:$M$1000,(ROW()-ROW($B$2))/16+1),"")</f>
        <v/>
      </c>
    </row>
    <row r="9827" spans="14:14" x14ac:dyDescent="0.3">
      <c r="N9827" t="str" cm="1">
        <f t="array" ref="N9827">IF(MOD(ROW()-ROW($B$2),16)=0,INDEX($M$2:$M$1000,(ROW()-ROW($B$2))/16+1),"")</f>
        <v/>
      </c>
    </row>
    <row r="9828" spans="14:14" x14ac:dyDescent="0.3">
      <c r="N9828" t="str" cm="1">
        <f t="array" ref="N9828">IF(MOD(ROW()-ROW($B$2),16)=0,INDEX($M$2:$M$1000,(ROW()-ROW($B$2))/16+1),"")</f>
        <v/>
      </c>
    </row>
    <row r="9829" spans="14:14" x14ac:dyDescent="0.3">
      <c r="N9829" t="str" cm="1">
        <f t="array" ref="N9829">IF(MOD(ROW()-ROW($B$2),16)=0,INDEX($M$2:$M$1000,(ROW()-ROW($B$2))/16+1),"")</f>
        <v/>
      </c>
    </row>
    <row r="9830" spans="14:14" x14ac:dyDescent="0.3">
      <c r="N9830" t="str" cm="1">
        <f t="array" ref="N9830">IF(MOD(ROW()-ROW($B$2),16)=0,INDEX($M$2:$M$1000,(ROW()-ROW($B$2))/16+1),"")</f>
        <v/>
      </c>
    </row>
    <row r="9831" spans="14:14" x14ac:dyDescent="0.3">
      <c r="N9831" t="str" cm="1">
        <f t="array" ref="N9831">IF(MOD(ROW()-ROW($B$2),16)=0,INDEX($M$2:$M$1000,(ROW()-ROW($B$2))/16+1),"")</f>
        <v/>
      </c>
    </row>
    <row r="9832" spans="14:14" x14ac:dyDescent="0.3">
      <c r="N9832" t="str" cm="1">
        <f t="array" ref="N9832">IF(MOD(ROW()-ROW($B$2),16)=0,INDEX($M$2:$M$1000,(ROW()-ROW($B$2))/16+1),"")</f>
        <v/>
      </c>
    </row>
    <row r="9833" spans="14:14" x14ac:dyDescent="0.3">
      <c r="N9833" t="str" cm="1">
        <f t="array" ref="N9833">IF(MOD(ROW()-ROW($B$2),16)=0,INDEX($M$2:$M$1000,(ROW()-ROW($B$2))/16+1),"")</f>
        <v/>
      </c>
    </row>
    <row r="9834" spans="14:14" x14ac:dyDescent="0.3">
      <c r="N9834" t="str" cm="1">
        <f t="array" ref="N9834">IF(MOD(ROW()-ROW($B$2),16)=0,INDEX($M$2:$M$1000,(ROW()-ROW($B$2))/16+1),"")</f>
        <v/>
      </c>
    </row>
    <row r="9835" spans="14:14" x14ac:dyDescent="0.3">
      <c r="N9835" t="str" cm="1">
        <f t="array" ref="N9835">IF(MOD(ROW()-ROW($B$2),16)=0,INDEX($M$2:$M$1000,(ROW()-ROW($B$2))/16+1),"")</f>
        <v/>
      </c>
    </row>
    <row r="9836" spans="14:14" x14ac:dyDescent="0.3">
      <c r="N9836" t="str" cm="1">
        <f t="array" ref="N9836">IF(MOD(ROW()-ROW($B$2),16)=0,INDEX($M$2:$M$1000,(ROW()-ROW($B$2))/16+1),"")</f>
        <v/>
      </c>
    </row>
    <row r="9837" spans="14:14" x14ac:dyDescent="0.3">
      <c r="N9837" t="str" cm="1">
        <f t="array" ref="N9837">IF(MOD(ROW()-ROW($B$2),16)=0,INDEX($M$2:$M$1000,(ROW()-ROW($B$2))/16+1),"")</f>
        <v/>
      </c>
    </row>
    <row r="9838" spans="14:14" x14ac:dyDescent="0.3">
      <c r="N9838" t="str" cm="1">
        <f t="array" ref="N9838">IF(MOD(ROW()-ROW($B$2),16)=0,INDEX($M$2:$M$1000,(ROW()-ROW($B$2))/16+1),"")</f>
        <v/>
      </c>
    </row>
    <row r="9839" spans="14:14" x14ac:dyDescent="0.3">
      <c r="N9839" t="str" cm="1">
        <f t="array" ref="N9839">IF(MOD(ROW()-ROW($B$2),16)=0,INDEX($M$2:$M$1000,(ROW()-ROW($B$2))/16+1),"")</f>
        <v/>
      </c>
    </row>
    <row r="9840" spans="14:14" x14ac:dyDescent="0.3">
      <c r="N9840" t="str" cm="1">
        <f t="array" ref="N9840">IF(MOD(ROW()-ROW($B$2),16)=0,INDEX($M$2:$M$1000,(ROW()-ROW($B$2))/16+1),"")</f>
        <v/>
      </c>
    </row>
    <row r="9841" spans="14:14" x14ac:dyDescent="0.3">
      <c r="N9841" t="str" cm="1">
        <f t="array" ref="N9841">IF(MOD(ROW()-ROW($B$2),16)=0,INDEX($M$2:$M$1000,(ROW()-ROW($B$2))/16+1),"")</f>
        <v/>
      </c>
    </row>
    <row r="9842" spans="14:14" x14ac:dyDescent="0.3">
      <c r="N9842" t="str" cm="1">
        <f t="array" ref="N9842">IF(MOD(ROW()-ROW($B$2),16)=0,INDEX($M$2:$M$1000,(ROW()-ROW($B$2))/16+1),"")</f>
        <v/>
      </c>
    </row>
    <row r="9843" spans="14:14" x14ac:dyDescent="0.3">
      <c r="N9843" t="str" cm="1">
        <f t="array" ref="N9843">IF(MOD(ROW()-ROW($B$2),16)=0,INDEX($M$2:$M$1000,(ROW()-ROW($B$2))/16+1),"")</f>
        <v/>
      </c>
    </row>
    <row r="9844" spans="14:14" x14ac:dyDescent="0.3">
      <c r="N9844" t="str" cm="1">
        <f t="array" ref="N9844">IF(MOD(ROW()-ROW($B$2),16)=0,INDEX($M$2:$M$1000,(ROW()-ROW($B$2))/16+1),"")</f>
        <v/>
      </c>
    </row>
    <row r="9845" spans="14:14" x14ac:dyDescent="0.3">
      <c r="N9845" t="str" cm="1">
        <f t="array" ref="N9845">IF(MOD(ROW()-ROW($B$2),16)=0,INDEX($M$2:$M$1000,(ROW()-ROW($B$2))/16+1),"")</f>
        <v/>
      </c>
    </row>
    <row r="9846" spans="14:14" x14ac:dyDescent="0.3">
      <c r="N9846" t="str" cm="1">
        <f t="array" ref="N9846">IF(MOD(ROW()-ROW($B$2),16)=0,INDEX($M$2:$M$1000,(ROW()-ROW($B$2))/16+1),"")</f>
        <v/>
      </c>
    </row>
    <row r="9847" spans="14:14" x14ac:dyDescent="0.3">
      <c r="N9847" t="str" cm="1">
        <f t="array" ref="N9847">IF(MOD(ROW()-ROW($B$2),16)=0,INDEX($M$2:$M$1000,(ROW()-ROW($B$2))/16+1),"")</f>
        <v/>
      </c>
    </row>
    <row r="9848" spans="14:14" x14ac:dyDescent="0.3">
      <c r="N9848" t="str" cm="1">
        <f t="array" ref="N9848">IF(MOD(ROW()-ROW($B$2),16)=0,INDEX($M$2:$M$1000,(ROW()-ROW($B$2))/16+1),"")</f>
        <v/>
      </c>
    </row>
    <row r="9849" spans="14:14" x14ac:dyDescent="0.3">
      <c r="N9849" t="str" cm="1">
        <f t="array" ref="N9849">IF(MOD(ROW()-ROW($B$2),16)=0,INDEX($M$2:$M$1000,(ROW()-ROW($B$2))/16+1),"")</f>
        <v/>
      </c>
    </row>
    <row r="9850" spans="14:14" x14ac:dyDescent="0.3">
      <c r="N9850" t="str" cm="1">
        <f t="array" ref="N9850">IF(MOD(ROW()-ROW($B$2),16)=0,INDEX($M$2:$M$1000,(ROW()-ROW($B$2))/16+1),"")</f>
        <v/>
      </c>
    </row>
    <row r="9851" spans="14:14" x14ac:dyDescent="0.3">
      <c r="N9851" t="str" cm="1">
        <f t="array" ref="N9851">IF(MOD(ROW()-ROW($B$2),16)=0,INDEX($M$2:$M$1000,(ROW()-ROW($B$2))/16+1),"")</f>
        <v/>
      </c>
    </row>
    <row r="9852" spans="14:14" x14ac:dyDescent="0.3">
      <c r="N9852" t="str" cm="1">
        <f t="array" ref="N9852">IF(MOD(ROW()-ROW($B$2),16)=0,INDEX($M$2:$M$1000,(ROW()-ROW($B$2))/16+1),"")</f>
        <v/>
      </c>
    </row>
    <row r="9853" spans="14:14" x14ac:dyDescent="0.3">
      <c r="N9853" t="str" cm="1">
        <f t="array" ref="N9853">IF(MOD(ROW()-ROW($B$2),16)=0,INDEX($M$2:$M$1000,(ROW()-ROW($B$2))/16+1),"")</f>
        <v/>
      </c>
    </row>
    <row r="9854" spans="14:14" x14ac:dyDescent="0.3">
      <c r="N9854" t="str" cm="1">
        <f t="array" ref="N9854">IF(MOD(ROW()-ROW($B$2),16)=0,INDEX($M$2:$M$1000,(ROW()-ROW($B$2))/16+1),"")</f>
        <v/>
      </c>
    </row>
    <row r="9855" spans="14:14" x14ac:dyDescent="0.3">
      <c r="N9855" t="str" cm="1">
        <f t="array" ref="N9855">IF(MOD(ROW()-ROW($B$2),16)=0,INDEX($M$2:$M$1000,(ROW()-ROW($B$2))/16+1),"")</f>
        <v/>
      </c>
    </row>
    <row r="9856" spans="14:14" x14ac:dyDescent="0.3">
      <c r="N9856" t="str" cm="1">
        <f t="array" ref="N9856">IF(MOD(ROW()-ROW($B$2),16)=0,INDEX($M$2:$M$1000,(ROW()-ROW($B$2))/16+1),"")</f>
        <v/>
      </c>
    </row>
    <row r="9857" spans="14:14" x14ac:dyDescent="0.3">
      <c r="N9857" t="str" cm="1">
        <f t="array" ref="N9857">IF(MOD(ROW()-ROW($B$2),16)=0,INDEX($M$2:$M$1000,(ROW()-ROW($B$2))/16+1),"")</f>
        <v/>
      </c>
    </row>
    <row r="9858" spans="14:14" x14ac:dyDescent="0.3">
      <c r="N9858" t="str" cm="1">
        <f t="array" ref="N9858">IF(MOD(ROW()-ROW($B$2),16)=0,INDEX($M$2:$M$1000,(ROW()-ROW($B$2))/16+1),"")</f>
        <v/>
      </c>
    </row>
    <row r="9859" spans="14:14" x14ac:dyDescent="0.3">
      <c r="N9859" t="str" cm="1">
        <f t="array" ref="N9859">IF(MOD(ROW()-ROW($B$2),16)=0,INDEX($M$2:$M$1000,(ROW()-ROW($B$2))/16+1),"")</f>
        <v/>
      </c>
    </row>
    <row r="9860" spans="14:14" x14ac:dyDescent="0.3">
      <c r="N9860" t="str" cm="1">
        <f t="array" ref="N9860">IF(MOD(ROW()-ROW($B$2),16)=0,INDEX($M$2:$M$1000,(ROW()-ROW($B$2))/16+1),"")</f>
        <v/>
      </c>
    </row>
    <row r="9861" spans="14:14" x14ac:dyDescent="0.3">
      <c r="N9861" t="str" cm="1">
        <f t="array" ref="N9861">IF(MOD(ROW()-ROW($B$2),16)=0,INDEX($M$2:$M$1000,(ROW()-ROW($B$2))/16+1),"")</f>
        <v/>
      </c>
    </row>
    <row r="9862" spans="14:14" x14ac:dyDescent="0.3">
      <c r="N9862" t="str" cm="1">
        <f t="array" ref="N9862">IF(MOD(ROW()-ROW($B$2),16)=0,INDEX($M$2:$M$1000,(ROW()-ROW($B$2))/16+1),"")</f>
        <v/>
      </c>
    </row>
    <row r="9863" spans="14:14" x14ac:dyDescent="0.3">
      <c r="N9863" t="str" cm="1">
        <f t="array" ref="N9863">IF(MOD(ROW()-ROW($B$2),16)=0,INDEX($M$2:$M$1000,(ROW()-ROW($B$2))/16+1),"")</f>
        <v/>
      </c>
    </row>
    <row r="9864" spans="14:14" x14ac:dyDescent="0.3">
      <c r="N9864" t="str" cm="1">
        <f t="array" ref="N9864">IF(MOD(ROW()-ROW($B$2),16)=0,INDEX($M$2:$M$1000,(ROW()-ROW($B$2))/16+1),"")</f>
        <v/>
      </c>
    </row>
    <row r="9865" spans="14:14" x14ac:dyDescent="0.3">
      <c r="N9865" t="str" cm="1">
        <f t="array" ref="N9865">IF(MOD(ROW()-ROW($B$2),16)=0,INDEX($M$2:$M$1000,(ROW()-ROW($B$2))/16+1),"")</f>
        <v/>
      </c>
    </row>
    <row r="9866" spans="14:14" x14ac:dyDescent="0.3">
      <c r="N9866" t="str" cm="1">
        <f t="array" ref="N9866">IF(MOD(ROW()-ROW($B$2),16)=0,INDEX($M$2:$M$1000,(ROW()-ROW($B$2))/16+1),"")</f>
        <v/>
      </c>
    </row>
    <row r="9867" spans="14:14" x14ac:dyDescent="0.3">
      <c r="N9867" t="str" cm="1">
        <f t="array" ref="N9867">IF(MOD(ROW()-ROW($B$2),16)=0,INDEX($M$2:$M$1000,(ROW()-ROW($B$2))/16+1),"")</f>
        <v/>
      </c>
    </row>
    <row r="9868" spans="14:14" x14ac:dyDescent="0.3">
      <c r="N9868" t="str" cm="1">
        <f t="array" ref="N9868">IF(MOD(ROW()-ROW($B$2),16)=0,INDEX($M$2:$M$1000,(ROW()-ROW($B$2))/16+1),"")</f>
        <v/>
      </c>
    </row>
    <row r="9869" spans="14:14" x14ac:dyDescent="0.3">
      <c r="N9869" t="str" cm="1">
        <f t="array" ref="N9869">IF(MOD(ROW()-ROW($B$2),16)=0,INDEX($M$2:$M$1000,(ROW()-ROW($B$2))/16+1),"")</f>
        <v/>
      </c>
    </row>
    <row r="9870" spans="14:14" x14ac:dyDescent="0.3">
      <c r="N9870" t="str" cm="1">
        <f t="array" ref="N9870">IF(MOD(ROW()-ROW($B$2),16)=0,INDEX($M$2:$M$1000,(ROW()-ROW($B$2))/16+1),"")</f>
        <v/>
      </c>
    </row>
    <row r="9871" spans="14:14" x14ac:dyDescent="0.3">
      <c r="N9871" t="str" cm="1">
        <f t="array" ref="N9871">IF(MOD(ROW()-ROW($B$2),16)=0,INDEX($M$2:$M$1000,(ROW()-ROW($B$2))/16+1),"")</f>
        <v/>
      </c>
    </row>
    <row r="9872" spans="14:14" x14ac:dyDescent="0.3">
      <c r="N9872" t="str" cm="1">
        <f t="array" ref="N9872">IF(MOD(ROW()-ROW($B$2),16)=0,INDEX($M$2:$M$1000,(ROW()-ROW($B$2))/16+1),"")</f>
        <v/>
      </c>
    </row>
    <row r="9873" spans="14:14" x14ac:dyDescent="0.3">
      <c r="N9873" t="str" cm="1">
        <f t="array" ref="N9873">IF(MOD(ROW()-ROW($B$2),16)=0,INDEX($M$2:$M$1000,(ROW()-ROW($B$2))/16+1),"")</f>
        <v/>
      </c>
    </row>
    <row r="9874" spans="14:14" x14ac:dyDescent="0.3">
      <c r="N9874" t="str" cm="1">
        <f t="array" ref="N9874">IF(MOD(ROW()-ROW($B$2),16)=0,INDEX($M$2:$M$1000,(ROW()-ROW($B$2))/16+1),"")</f>
        <v/>
      </c>
    </row>
    <row r="9875" spans="14:14" x14ac:dyDescent="0.3">
      <c r="N9875" t="str" cm="1">
        <f t="array" ref="N9875">IF(MOD(ROW()-ROW($B$2),16)=0,INDEX($M$2:$M$1000,(ROW()-ROW($B$2))/16+1),"")</f>
        <v/>
      </c>
    </row>
    <row r="9876" spans="14:14" x14ac:dyDescent="0.3">
      <c r="N9876" t="str" cm="1">
        <f t="array" ref="N9876">IF(MOD(ROW()-ROW($B$2),16)=0,INDEX($M$2:$M$1000,(ROW()-ROW($B$2))/16+1),"")</f>
        <v/>
      </c>
    </row>
    <row r="9877" spans="14:14" x14ac:dyDescent="0.3">
      <c r="N9877" t="str" cm="1">
        <f t="array" ref="N9877">IF(MOD(ROW()-ROW($B$2),16)=0,INDEX($M$2:$M$1000,(ROW()-ROW($B$2))/16+1),"")</f>
        <v/>
      </c>
    </row>
    <row r="9878" spans="14:14" x14ac:dyDescent="0.3">
      <c r="N9878" t="str" cm="1">
        <f t="array" ref="N9878">IF(MOD(ROW()-ROW($B$2),16)=0,INDEX($M$2:$M$1000,(ROW()-ROW($B$2))/16+1),"")</f>
        <v/>
      </c>
    </row>
    <row r="9879" spans="14:14" x14ac:dyDescent="0.3">
      <c r="N9879" t="str" cm="1">
        <f t="array" ref="N9879">IF(MOD(ROW()-ROW($B$2),16)=0,INDEX($M$2:$M$1000,(ROW()-ROW($B$2))/16+1),"")</f>
        <v/>
      </c>
    </row>
    <row r="9880" spans="14:14" x14ac:dyDescent="0.3">
      <c r="N9880" t="str" cm="1">
        <f t="array" ref="N9880">IF(MOD(ROW()-ROW($B$2),16)=0,INDEX($M$2:$M$1000,(ROW()-ROW($B$2))/16+1),"")</f>
        <v/>
      </c>
    </row>
    <row r="9881" spans="14:14" x14ac:dyDescent="0.3">
      <c r="N9881" t="str" cm="1">
        <f t="array" ref="N9881">IF(MOD(ROW()-ROW($B$2),16)=0,INDEX($M$2:$M$1000,(ROW()-ROW($B$2))/16+1),"")</f>
        <v/>
      </c>
    </row>
    <row r="9882" spans="14:14" x14ac:dyDescent="0.3">
      <c r="N9882" t="str" cm="1">
        <f t="array" ref="N9882">IF(MOD(ROW()-ROW($B$2),16)=0,INDEX($M$2:$M$1000,(ROW()-ROW($B$2))/16+1),"")</f>
        <v/>
      </c>
    </row>
    <row r="9883" spans="14:14" x14ac:dyDescent="0.3">
      <c r="N9883" t="str" cm="1">
        <f t="array" ref="N9883">IF(MOD(ROW()-ROW($B$2),16)=0,INDEX($M$2:$M$1000,(ROW()-ROW($B$2))/16+1),"")</f>
        <v/>
      </c>
    </row>
    <row r="9884" spans="14:14" x14ac:dyDescent="0.3">
      <c r="N9884" t="str" cm="1">
        <f t="array" ref="N9884">IF(MOD(ROW()-ROW($B$2),16)=0,INDEX($M$2:$M$1000,(ROW()-ROW($B$2))/16+1),"")</f>
        <v/>
      </c>
    </row>
    <row r="9885" spans="14:14" x14ac:dyDescent="0.3">
      <c r="N9885" t="str" cm="1">
        <f t="array" ref="N9885">IF(MOD(ROW()-ROW($B$2),16)=0,INDEX($M$2:$M$1000,(ROW()-ROW($B$2))/16+1),"")</f>
        <v/>
      </c>
    </row>
    <row r="9886" spans="14:14" x14ac:dyDescent="0.3">
      <c r="N9886" t="str" cm="1">
        <f t="array" ref="N9886">IF(MOD(ROW()-ROW($B$2),16)=0,INDEX($M$2:$M$1000,(ROW()-ROW($B$2))/16+1),"")</f>
        <v/>
      </c>
    </row>
    <row r="9887" spans="14:14" x14ac:dyDescent="0.3">
      <c r="N9887" t="str" cm="1">
        <f t="array" ref="N9887">IF(MOD(ROW()-ROW($B$2),16)=0,INDEX($M$2:$M$1000,(ROW()-ROW($B$2))/16+1),"")</f>
        <v/>
      </c>
    </row>
    <row r="9888" spans="14:14" x14ac:dyDescent="0.3">
      <c r="N9888" t="str" cm="1">
        <f t="array" ref="N9888">IF(MOD(ROW()-ROW($B$2),16)=0,INDEX($M$2:$M$1000,(ROW()-ROW($B$2))/16+1),"")</f>
        <v/>
      </c>
    </row>
    <row r="9889" spans="14:14" x14ac:dyDescent="0.3">
      <c r="N9889" t="str" cm="1">
        <f t="array" ref="N9889">IF(MOD(ROW()-ROW($B$2),16)=0,INDEX($M$2:$M$1000,(ROW()-ROW($B$2))/16+1),"")</f>
        <v/>
      </c>
    </row>
    <row r="9890" spans="14:14" x14ac:dyDescent="0.3">
      <c r="N9890" t="str" cm="1">
        <f t="array" ref="N9890">IF(MOD(ROW()-ROW($B$2),16)=0,INDEX($M$2:$M$1000,(ROW()-ROW($B$2))/16+1),"")</f>
        <v/>
      </c>
    </row>
    <row r="9891" spans="14:14" x14ac:dyDescent="0.3">
      <c r="N9891" t="str" cm="1">
        <f t="array" ref="N9891">IF(MOD(ROW()-ROW($B$2),16)=0,INDEX($M$2:$M$1000,(ROW()-ROW($B$2))/16+1),"")</f>
        <v/>
      </c>
    </row>
    <row r="9892" spans="14:14" x14ac:dyDescent="0.3">
      <c r="N9892" t="str" cm="1">
        <f t="array" ref="N9892">IF(MOD(ROW()-ROW($B$2),16)=0,INDEX($M$2:$M$1000,(ROW()-ROW($B$2))/16+1),"")</f>
        <v/>
      </c>
    </row>
    <row r="9893" spans="14:14" x14ac:dyDescent="0.3">
      <c r="N9893" t="str" cm="1">
        <f t="array" ref="N9893">IF(MOD(ROW()-ROW($B$2),16)=0,INDEX($M$2:$M$1000,(ROW()-ROW($B$2))/16+1),"")</f>
        <v/>
      </c>
    </row>
    <row r="9894" spans="14:14" x14ac:dyDescent="0.3">
      <c r="N9894" t="str" cm="1">
        <f t="array" ref="N9894">IF(MOD(ROW()-ROW($B$2),16)=0,INDEX($M$2:$M$1000,(ROW()-ROW($B$2))/16+1),"")</f>
        <v/>
      </c>
    </row>
    <row r="9895" spans="14:14" x14ac:dyDescent="0.3">
      <c r="N9895" t="str" cm="1">
        <f t="array" ref="N9895">IF(MOD(ROW()-ROW($B$2),16)=0,INDEX($M$2:$M$1000,(ROW()-ROW($B$2))/16+1),"")</f>
        <v/>
      </c>
    </row>
    <row r="9896" spans="14:14" x14ac:dyDescent="0.3">
      <c r="N9896" t="str" cm="1">
        <f t="array" ref="N9896">IF(MOD(ROW()-ROW($B$2),16)=0,INDEX($M$2:$M$1000,(ROW()-ROW($B$2))/16+1),"")</f>
        <v/>
      </c>
    </row>
    <row r="9897" spans="14:14" x14ac:dyDescent="0.3">
      <c r="N9897" t="str" cm="1">
        <f t="array" ref="N9897">IF(MOD(ROW()-ROW($B$2),16)=0,INDEX($M$2:$M$1000,(ROW()-ROW($B$2))/16+1),"")</f>
        <v/>
      </c>
    </row>
    <row r="9898" spans="14:14" x14ac:dyDescent="0.3">
      <c r="N9898" t="str" cm="1">
        <f t="array" ref="N9898">IF(MOD(ROW()-ROW($B$2),16)=0,INDEX($M$2:$M$1000,(ROW()-ROW($B$2))/16+1),"")</f>
        <v/>
      </c>
    </row>
    <row r="9899" spans="14:14" x14ac:dyDescent="0.3">
      <c r="N9899" t="str" cm="1">
        <f t="array" ref="N9899">IF(MOD(ROW()-ROW($B$2),16)=0,INDEX($M$2:$M$1000,(ROW()-ROW($B$2))/16+1),"")</f>
        <v/>
      </c>
    </row>
    <row r="9900" spans="14:14" x14ac:dyDescent="0.3">
      <c r="N9900" t="str" cm="1">
        <f t="array" ref="N9900">IF(MOD(ROW()-ROW($B$2),16)=0,INDEX($M$2:$M$1000,(ROW()-ROW($B$2))/16+1),"")</f>
        <v/>
      </c>
    </row>
    <row r="9901" spans="14:14" x14ac:dyDescent="0.3">
      <c r="N9901" t="str" cm="1">
        <f t="array" ref="N9901">IF(MOD(ROW()-ROW($B$2),16)=0,INDEX($M$2:$M$1000,(ROW()-ROW($B$2))/16+1),"")</f>
        <v/>
      </c>
    </row>
    <row r="9902" spans="14:14" x14ac:dyDescent="0.3">
      <c r="N9902" t="str" cm="1">
        <f t="array" ref="N9902">IF(MOD(ROW()-ROW($B$2),16)=0,INDEX($M$2:$M$1000,(ROW()-ROW($B$2))/16+1),"")</f>
        <v/>
      </c>
    </row>
    <row r="9903" spans="14:14" x14ac:dyDescent="0.3">
      <c r="N9903" t="str" cm="1">
        <f t="array" ref="N9903">IF(MOD(ROW()-ROW($B$2),16)=0,INDEX($M$2:$M$1000,(ROW()-ROW($B$2))/16+1),"")</f>
        <v/>
      </c>
    </row>
    <row r="9904" spans="14:14" x14ac:dyDescent="0.3">
      <c r="N9904" t="str" cm="1">
        <f t="array" ref="N9904">IF(MOD(ROW()-ROW($B$2),16)=0,INDEX($M$2:$M$1000,(ROW()-ROW($B$2))/16+1),"")</f>
        <v/>
      </c>
    </row>
    <row r="9905" spans="14:14" x14ac:dyDescent="0.3">
      <c r="N9905" t="str" cm="1">
        <f t="array" ref="N9905">IF(MOD(ROW()-ROW($B$2),16)=0,INDEX($M$2:$M$1000,(ROW()-ROW($B$2))/16+1),"")</f>
        <v/>
      </c>
    </row>
    <row r="9906" spans="14:14" x14ac:dyDescent="0.3">
      <c r="N9906" t="str" cm="1">
        <f t="array" ref="N9906">IF(MOD(ROW()-ROW($B$2),16)=0,INDEX($M$2:$M$1000,(ROW()-ROW($B$2))/16+1),"")</f>
        <v/>
      </c>
    </row>
    <row r="9907" spans="14:14" x14ac:dyDescent="0.3">
      <c r="N9907" t="str" cm="1">
        <f t="array" ref="N9907">IF(MOD(ROW()-ROW($B$2),16)=0,INDEX($M$2:$M$1000,(ROW()-ROW($B$2))/16+1),"")</f>
        <v/>
      </c>
    </row>
    <row r="9908" spans="14:14" x14ac:dyDescent="0.3">
      <c r="N9908" t="str" cm="1">
        <f t="array" ref="N9908">IF(MOD(ROW()-ROW($B$2),16)=0,INDEX($M$2:$M$1000,(ROW()-ROW($B$2))/16+1),"")</f>
        <v/>
      </c>
    </row>
    <row r="9909" spans="14:14" x14ac:dyDescent="0.3">
      <c r="N9909" t="str" cm="1">
        <f t="array" ref="N9909">IF(MOD(ROW()-ROW($B$2),16)=0,INDEX($M$2:$M$1000,(ROW()-ROW($B$2))/16+1),"")</f>
        <v/>
      </c>
    </row>
    <row r="9910" spans="14:14" x14ac:dyDescent="0.3">
      <c r="N9910" t="str" cm="1">
        <f t="array" ref="N9910">IF(MOD(ROW()-ROW($B$2),16)=0,INDEX($M$2:$M$1000,(ROW()-ROW($B$2))/16+1),"")</f>
        <v/>
      </c>
    </row>
    <row r="9911" spans="14:14" x14ac:dyDescent="0.3">
      <c r="N9911" t="str" cm="1">
        <f t="array" ref="N9911">IF(MOD(ROW()-ROW($B$2),16)=0,INDEX($M$2:$M$1000,(ROW()-ROW($B$2))/16+1),"")</f>
        <v/>
      </c>
    </row>
    <row r="9912" spans="14:14" x14ac:dyDescent="0.3">
      <c r="N9912" t="str" cm="1">
        <f t="array" ref="N9912">IF(MOD(ROW()-ROW($B$2),16)=0,INDEX($M$2:$M$1000,(ROW()-ROW($B$2))/16+1),"")</f>
        <v/>
      </c>
    </row>
    <row r="9913" spans="14:14" x14ac:dyDescent="0.3">
      <c r="N9913" t="str" cm="1">
        <f t="array" ref="N9913">IF(MOD(ROW()-ROW($B$2),16)=0,INDEX($M$2:$M$1000,(ROW()-ROW($B$2))/16+1),"")</f>
        <v/>
      </c>
    </row>
    <row r="9914" spans="14:14" x14ac:dyDescent="0.3">
      <c r="N9914" t="str" cm="1">
        <f t="array" ref="N9914">IF(MOD(ROW()-ROW($B$2),16)=0,INDEX($M$2:$M$1000,(ROW()-ROW($B$2))/16+1),"")</f>
        <v/>
      </c>
    </row>
    <row r="9915" spans="14:14" x14ac:dyDescent="0.3">
      <c r="N9915" t="str" cm="1">
        <f t="array" ref="N9915">IF(MOD(ROW()-ROW($B$2),16)=0,INDEX($M$2:$M$1000,(ROW()-ROW($B$2))/16+1),"")</f>
        <v/>
      </c>
    </row>
    <row r="9916" spans="14:14" x14ac:dyDescent="0.3">
      <c r="N9916" t="str" cm="1">
        <f t="array" ref="N9916">IF(MOD(ROW()-ROW($B$2),16)=0,INDEX($M$2:$M$1000,(ROW()-ROW($B$2))/16+1),"")</f>
        <v/>
      </c>
    </row>
    <row r="9917" spans="14:14" x14ac:dyDescent="0.3">
      <c r="N9917" t="str" cm="1">
        <f t="array" ref="N9917">IF(MOD(ROW()-ROW($B$2),16)=0,INDEX($M$2:$M$1000,(ROW()-ROW($B$2))/16+1),"")</f>
        <v/>
      </c>
    </row>
    <row r="9918" spans="14:14" x14ac:dyDescent="0.3">
      <c r="N9918" t="str" cm="1">
        <f t="array" ref="N9918">IF(MOD(ROW()-ROW($B$2),16)=0,INDEX($M$2:$M$1000,(ROW()-ROW($B$2))/16+1),"")</f>
        <v/>
      </c>
    </row>
    <row r="9919" spans="14:14" x14ac:dyDescent="0.3">
      <c r="N9919" t="str" cm="1">
        <f t="array" ref="N9919">IF(MOD(ROW()-ROW($B$2),16)=0,INDEX($M$2:$M$1000,(ROW()-ROW($B$2))/16+1),"")</f>
        <v/>
      </c>
    </row>
    <row r="9920" spans="14:14" x14ac:dyDescent="0.3">
      <c r="N9920" t="str" cm="1">
        <f t="array" ref="N9920">IF(MOD(ROW()-ROW($B$2),16)=0,INDEX($M$2:$M$1000,(ROW()-ROW($B$2))/16+1),"")</f>
        <v/>
      </c>
    </row>
    <row r="9921" spans="14:14" x14ac:dyDescent="0.3">
      <c r="N9921" t="str" cm="1">
        <f t="array" ref="N9921">IF(MOD(ROW()-ROW($B$2),16)=0,INDEX($M$2:$M$1000,(ROW()-ROW($B$2))/16+1),"")</f>
        <v/>
      </c>
    </row>
    <row r="9922" spans="14:14" x14ac:dyDescent="0.3">
      <c r="N9922" t="str" cm="1">
        <f t="array" ref="N9922">IF(MOD(ROW()-ROW($B$2),16)=0,INDEX($M$2:$M$1000,(ROW()-ROW($B$2))/16+1),"")</f>
        <v/>
      </c>
    </row>
    <row r="9923" spans="14:14" x14ac:dyDescent="0.3">
      <c r="N9923" t="str" cm="1">
        <f t="array" ref="N9923">IF(MOD(ROW()-ROW($B$2),16)=0,INDEX($M$2:$M$1000,(ROW()-ROW($B$2))/16+1),"")</f>
        <v/>
      </c>
    </row>
    <row r="9924" spans="14:14" x14ac:dyDescent="0.3">
      <c r="N9924" t="str" cm="1">
        <f t="array" ref="N9924">IF(MOD(ROW()-ROW($B$2),16)=0,INDEX($M$2:$M$1000,(ROW()-ROW($B$2))/16+1),"")</f>
        <v/>
      </c>
    </row>
    <row r="9925" spans="14:14" x14ac:dyDescent="0.3">
      <c r="N9925" t="str" cm="1">
        <f t="array" ref="N9925">IF(MOD(ROW()-ROW($B$2),16)=0,INDEX($M$2:$M$1000,(ROW()-ROW($B$2))/16+1),"")</f>
        <v/>
      </c>
    </row>
    <row r="9926" spans="14:14" x14ac:dyDescent="0.3">
      <c r="N9926" t="str" cm="1">
        <f t="array" ref="N9926">IF(MOD(ROW()-ROW($B$2),16)=0,INDEX($M$2:$M$1000,(ROW()-ROW($B$2))/16+1),"")</f>
        <v/>
      </c>
    </row>
    <row r="9927" spans="14:14" x14ac:dyDescent="0.3">
      <c r="N9927" t="str" cm="1">
        <f t="array" ref="N9927">IF(MOD(ROW()-ROW($B$2),16)=0,INDEX($M$2:$M$1000,(ROW()-ROW($B$2))/16+1),"")</f>
        <v/>
      </c>
    </row>
    <row r="9928" spans="14:14" x14ac:dyDescent="0.3">
      <c r="N9928" t="str" cm="1">
        <f t="array" ref="N9928">IF(MOD(ROW()-ROW($B$2),16)=0,INDEX($M$2:$M$1000,(ROW()-ROW($B$2))/16+1),"")</f>
        <v/>
      </c>
    </row>
    <row r="9929" spans="14:14" x14ac:dyDescent="0.3">
      <c r="N9929" t="str" cm="1">
        <f t="array" ref="N9929">IF(MOD(ROW()-ROW($B$2),16)=0,INDEX($M$2:$M$1000,(ROW()-ROW($B$2))/16+1),"")</f>
        <v/>
      </c>
    </row>
    <row r="9930" spans="14:14" x14ac:dyDescent="0.3">
      <c r="N9930" t="str" cm="1">
        <f t="array" ref="N9930">IF(MOD(ROW()-ROW($B$2),16)=0,INDEX($M$2:$M$1000,(ROW()-ROW($B$2))/16+1),"")</f>
        <v/>
      </c>
    </row>
    <row r="9931" spans="14:14" x14ac:dyDescent="0.3">
      <c r="N9931" t="str" cm="1">
        <f t="array" ref="N9931">IF(MOD(ROW()-ROW($B$2),16)=0,INDEX($M$2:$M$1000,(ROW()-ROW($B$2))/16+1),"")</f>
        <v/>
      </c>
    </row>
    <row r="9932" spans="14:14" x14ac:dyDescent="0.3">
      <c r="N9932" t="str" cm="1">
        <f t="array" ref="N9932">IF(MOD(ROW()-ROW($B$2),16)=0,INDEX($M$2:$M$1000,(ROW()-ROW($B$2))/16+1),"")</f>
        <v/>
      </c>
    </row>
    <row r="9933" spans="14:14" x14ac:dyDescent="0.3">
      <c r="N9933" t="str" cm="1">
        <f t="array" ref="N9933">IF(MOD(ROW()-ROW($B$2),16)=0,INDEX($M$2:$M$1000,(ROW()-ROW($B$2))/16+1),"")</f>
        <v/>
      </c>
    </row>
    <row r="9934" spans="14:14" x14ac:dyDescent="0.3">
      <c r="N9934" t="str" cm="1">
        <f t="array" ref="N9934">IF(MOD(ROW()-ROW($B$2),16)=0,INDEX($M$2:$M$1000,(ROW()-ROW($B$2))/16+1),"")</f>
        <v/>
      </c>
    </row>
    <row r="9935" spans="14:14" x14ac:dyDescent="0.3">
      <c r="N9935" t="str" cm="1">
        <f t="array" ref="N9935">IF(MOD(ROW()-ROW($B$2),16)=0,INDEX($M$2:$M$1000,(ROW()-ROW($B$2))/16+1),"")</f>
        <v/>
      </c>
    </row>
    <row r="9936" spans="14:14" x14ac:dyDescent="0.3">
      <c r="N9936" t="str" cm="1">
        <f t="array" ref="N9936">IF(MOD(ROW()-ROW($B$2),16)=0,INDEX($M$2:$M$1000,(ROW()-ROW($B$2))/16+1),"")</f>
        <v/>
      </c>
    </row>
    <row r="9937" spans="14:14" x14ac:dyDescent="0.3">
      <c r="N9937" t="str" cm="1">
        <f t="array" ref="N9937">IF(MOD(ROW()-ROW($B$2),16)=0,INDEX($M$2:$M$1000,(ROW()-ROW($B$2))/16+1),"")</f>
        <v/>
      </c>
    </row>
    <row r="9938" spans="14:14" x14ac:dyDescent="0.3">
      <c r="N9938" t="str" cm="1">
        <f t="array" ref="N9938">IF(MOD(ROW()-ROW($B$2),16)=0,INDEX($M$2:$M$1000,(ROW()-ROW($B$2))/16+1),"")</f>
        <v/>
      </c>
    </row>
    <row r="9939" spans="14:14" x14ac:dyDescent="0.3">
      <c r="N9939" t="str" cm="1">
        <f t="array" ref="N9939">IF(MOD(ROW()-ROW($B$2),16)=0,INDEX($M$2:$M$1000,(ROW()-ROW($B$2))/16+1),"")</f>
        <v/>
      </c>
    </row>
    <row r="9940" spans="14:14" x14ac:dyDescent="0.3">
      <c r="N9940" t="str" cm="1">
        <f t="array" ref="N9940">IF(MOD(ROW()-ROW($B$2),16)=0,INDEX($M$2:$M$1000,(ROW()-ROW($B$2))/16+1),"")</f>
        <v/>
      </c>
    </row>
    <row r="9941" spans="14:14" x14ac:dyDescent="0.3">
      <c r="N9941" t="str" cm="1">
        <f t="array" ref="N9941">IF(MOD(ROW()-ROW($B$2),16)=0,INDEX($M$2:$M$1000,(ROW()-ROW($B$2))/16+1),"")</f>
        <v/>
      </c>
    </row>
    <row r="9942" spans="14:14" x14ac:dyDescent="0.3">
      <c r="N9942" t="str" cm="1">
        <f t="array" ref="N9942">IF(MOD(ROW()-ROW($B$2),16)=0,INDEX($M$2:$M$1000,(ROW()-ROW($B$2))/16+1),"")</f>
        <v/>
      </c>
    </row>
    <row r="9943" spans="14:14" x14ac:dyDescent="0.3">
      <c r="N9943" t="str" cm="1">
        <f t="array" ref="N9943">IF(MOD(ROW()-ROW($B$2),16)=0,INDEX($M$2:$M$1000,(ROW()-ROW($B$2))/16+1),"")</f>
        <v/>
      </c>
    </row>
    <row r="9944" spans="14:14" x14ac:dyDescent="0.3">
      <c r="N9944" t="str" cm="1">
        <f t="array" ref="N9944">IF(MOD(ROW()-ROW($B$2),16)=0,INDEX($M$2:$M$1000,(ROW()-ROW($B$2))/16+1),"")</f>
        <v/>
      </c>
    </row>
    <row r="9945" spans="14:14" x14ac:dyDescent="0.3">
      <c r="N9945" t="str" cm="1">
        <f t="array" ref="N9945">IF(MOD(ROW()-ROW($B$2),16)=0,INDEX($M$2:$M$1000,(ROW()-ROW($B$2))/16+1),"")</f>
        <v/>
      </c>
    </row>
    <row r="9946" spans="14:14" x14ac:dyDescent="0.3">
      <c r="N9946" t="str" cm="1">
        <f t="array" ref="N9946">IF(MOD(ROW()-ROW($B$2),16)=0,INDEX($M$2:$M$1000,(ROW()-ROW($B$2))/16+1),"")</f>
        <v/>
      </c>
    </row>
    <row r="9947" spans="14:14" x14ac:dyDescent="0.3">
      <c r="N9947" t="str" cm="1">
        <f t="array" ref="N9947">IF(MOD(ROW()-ROW($B$2),16)=0,INDEX($M$2:$M$1000,(ROW()-ROW($B$2))/16+1),"")</f>
        <v/>
      </c>
    </row>
    <row r="9948" spans="14:14" x14ac:dyDescent="0.3">
      <c r="N9948" t="str" cm="1">
        <f t="array" ref="N9948">IF(MOD(ROW()-ROW($B$2),16)=0,INDEX($M$2:$M$1000,(ROW()-ROW($B$2))/16+1),"")</f>
        <v/>
      </c>
    </row>
    <row r="9949" spans="14:14" x14ac:dyDescent="0.3">
      <c r="N9949" t="str" cm="1">
        <f t="array" ref="N9949">IF(MOD(ROW()-ROW($B$2),16)=0,INDEX($M$2:$M$1000,(ROW()-ROW($B$2))/16+1),"")</f>
        <v/>
      </c>
    </row>
    <row r="9950" spans="14:14" x14ac:dyDescent="0.3">
      <c r="N9950" t="str" cm="1">
        <f t="array" ref="N9950">IF(MOD(ROW()-ROW($B$2),16)=0,INDEX($M$2:$M$1000,(ROW()-ROW($B$2))/16+1),"")</f>
        <v/>
      </c>
    </row>
    <row r="9951" spans="14:14" x14ac:dyDescent="0.3">
      <c r="N9951" t="str" cm="1">
        <f t="array" ref="N9951">IF(MOD(ROW()-ROW($B$2),16)=0,INDEX($M$2:$M$1000,(ROW()-ROW($B$2))/16+1),"")</f>
        <v/>
      </c>
    </row>
    <row r="9952" spans="14:14" x14ac:dyDescent="0.3">
      <c r="N9952" t="str" cm="1">
        <f t="array" ref="N9952">IF(MOD(ROW()-ROW($B$2),16)=0,INDEX($M$2:$M$1000,(ROW()-ROW($B$2))/16+1),"")</f>
        <v/>
      </c>
    </row>
    <row r="9953" spans="14:14" x14ac:dyDescent="0.3">
      <c r="N9953" t="str" cm="1">
        <f t="array" ref="N9953">IF(MOD(ROW()-ROW($B$2),16)=0,INDEX($M$2:$M$1000,(ROW()-ROW($B$2))/16+1),"")</f>
        <v/>
      </c>
    </row>
    <row r="9954" spans="14:14" x14ac:dyDescent="0.3">
      <c r="N9954" t="str" cm="1">
        <f t="array" ref="N9954">IF(MOD(ROW()-ROW($B$2),16)=0,INDEX($M$2:$M$1000,(ROW()-ROW($B$2))/16+1),"")</f>
        <v/>
      </c>
    </row>
    <row r="9955" spans="14:14" x14ac:dyDescent="0.3">
      <c r="N9955" t="str" cm="1">
        <f t="array" ref="N9955">IF(MOD(ROW()-ROW($B$2),16)=0,INDEX($M$2:$M$1000,(ROW()-ROW($B$2))/16+1),"")</f>
        <v/>
      </c>
    </row>
    <row r="9956" spans="14:14" x14ac:dyDescent="0.3">
      <c r="N9956" t="str" cm="1">
        <f t="array" ref="N9956">IF(MOD(ROW()-ROW($B$2),16)=0,INDEX($M$2:$M$1000,(ROW()-ROW($B$2))/16+1),"")</f>
        <v/>
      </c>
    </row>
    <row r="9957" spans="14:14" x14ac:dyDescent="0.3">
      <c r="N9957" t="str" cm="1">
        <f t="array" ref="N9957">IF(MOD(ROW()-ROW($B$2),16)=0,INDEX($M$2:$M$1000,(ROW()-ROW($B$2))/16+1),"")</f>
        <v/>
      </c>
    </row>
    <row r="9958" spans="14:14" x14ac:dyDescent="0.3">
      <c r="N9958" t="str" cm="1">
        <f t="array" ref="N9958">IF(MOD(ROW()-ROW($B$2),16)=0,INDEX($M$2:$M$1000,(ROW()-ROW($B$2))/16+1),"")</f>
        <v/>
      </c>
    </row>
    <row r="9959" spans="14:14" x14ac:dyDescent="0.3">
      <c r="N9959" t="str" cm="1">
        <f t="array" ref="N9959">IF(MOD(ROW()-ROW($B$2),16)=0,INDEX($M$2:$M$1000,(ROW()-ROW($B$2))/16+1),"")</f>
        <v/>
      </c>
    </row>
    <row r="9960" spans="14:14" x14ac:dyDescent="0.3">
      <c r="N9960" t="str" cm="1">
        <f t="array" ref="N9960">IF(MOD(ROW()-ROW($B$2),16)=0,INDEX($M$2:$M$1000,(ROW()-ROW($B$2))/16+1),"")</f>
        <v/>
      </c>
    </row>
    <row r="9961" spans="14:14" x14ac:dyDescent="0.3">
      <c r="N9961" t="str" cm="1">
        <f t="array" ref="N9961">IF(MOD(ROW()-ROW($B$2),16)=0,INDEX($M$2:$M$1000,(ROW()-ROW($B$2))/16+1),"")</f>
        <v/>
      </c>
    </row>
    <row r="9962" spans="14:14" x14ac:dyDescent="0.3">
      <c r="N9962" t="str" cm="1">
        <f t="array" ref="N9962">IF(MOD(ROW()-ROW($B$2),16)=0,INDEX($M$2:$M$1000,(ROW()-ROW($B$2))/16+1),"")</f>
        <v/>
      </c>
    </row>
    <row r="9963" spans="14:14" x14ac:dyDescent="0.3">
      <c r="N9963" t="str" cm="1">
        <f t="array" ref="N9963">IF(MOD(ROW()-ROW($B$2),16)=0,INDEX($M$2:$M$1000,(ROW()-ROW($B$2))/16+1),"")</f>
        <v/>
      </c>
    </row>
    <row r="9964" spans="14:14" x14ac:dyDescent="0.3">
      <c r="N9964" t="str" cm="1">
        <f t="array" ref="N9964">IF(MOD(ROW()-ROW($B$2),16)=0,INDEX($M$2:$M$1000,(ROW()-ROW($B$2))/16+1),"")</f>
        <v/>
      </c>
    </row>
    <row r="9965" spans="14:14" x14ac:dyDescent="0.3">
      <c r="N9965" t="str" cm="1">
        <f t="array" ref="N9965">IF(MOD(ROW()-ROW($B$2),16)=0,INDEX($M$2:$M$1000,(ROW()-ROW($B$2))/16+1),"")</f>
        <v/>
      </c>
    </row>
    <row r="9966" spans="14:14" x14ac:dyDescent="0.3">
      <c r="N9966" t="str" cm="1">
        <f t="array" ref="N9966">IF(MOD(ROW()-ROW($B$2),16)=0,INDEX($M$2:$M$1000,(ROW()-ROW($B$2))/16+1),"")</f>
        <v/>
      </c>
    </row>
    <row r="9967" spans="14:14" x14ac:dyDescent="0.3">
      <c r="N9967" t="str" cm="1">
        <f t="array" ref="N9967">IF(MOD(ROW()-ROW($B$2),16)=0,INDEX($M$2:$M$1000,(ROW()-ROW($B$2))/16+1),"")</f>
        <v/>
      </c>
    </row>
    <row r="9968" spans="14:14" x14ac:dyDescent="0.3">
      <c r="N9968" t="str" cm="1">
        <f t="array" ref="N9968">IF(MOD(ROW()-ROW($B$2),16)=0,INDEX($M$2:$M$1000,(ROW()-ROW($B$2))/16+1),"")</f>
        <v/>
      </c>
    </row>
    <row r="9969" spans="14:14" x14ac:dyDescent="0.3">
      <c r="N9969" t="str" cm="1">
        <f t="array" ref="N9969">IF(MOD(ROW()-ROW($B$2),16)=0,INDEX($M$2:$M$1000,(ROW()-ROW($B$2))/16+1),"")</f>
        <v/>
      </c>
    </row>
    <row r="9970" spans="14:14" x14ac:dyDescent="0.3">
      <c r="N9970" t="str" cm="1">
        <f t="array" ref="N9970">IF(MOD(ROW()-ROW($B$2),16)=0,INDEX($M$2:$M$1000,(ROW()-ROW($B$2))/16+1),"")</f>
        <v/>
      </c>
    </row>
    <row r="9971" spans="14:14" x14ac:dyDescent="0.3">
      <c r="N9971" t="str" cm="1">
        <f t="array" ref="N9971">IF(MOD(ROW()-ROW($B$2),16)=0,INDEX($M$2:$M$1000,(ROW()-ROW($B$2))/16+1),"")</f>
        <v/>
      </c>
    </row>
    <row r="9972" spans="14:14" x14ac:dyDescent="0.3">
      <c r="N9972" t="str" cm="1">
        <f t="array" ref="N9972">IF(MOD(ROW()-ROW($B$2),16)=0,INDEX($M$2:$M$1000,(ROW()-ROW($B$2))/16+1),"")</f>
        <v/>
      </c>
    </row>
    <row r="9973" spans="14:14" x14ac:dyDescent="0.3">
      <c r="N9973" t="str" cm="1">
        <f t="array" ref="N9973">IF(MOD(ROW()-ROW($B$2),16)=0,INDEX($M$2:$M$1000,(ROW()-ROW($B$2))/16+1),"")</f>
        <v/>
      </c>
    </row>
    <row r="9974" spans="14:14" x14ac:dyDescent="0.3">
      <c r="N9974" t="str" cm="1">
        <f t="array" ref="N9974">IF(MOD(ROW()-ROW($B$2),16)=0,INDEX($M$2:$M$1000,(ROW()-ROW($B$2))/16+1),"")</f>
        <v/>
      </c>
    </row>
    <row r="9975" spans="14:14" x14ac:dyDescent="0.3">
      <c r="N9975" t="str" cm="1">
        <f t="array" ref="N9975">IF(MOD(ROW()-ROW($B$2),16)=0,INDEX($M$2:$M$1000,(ROW()-ROW($B$2))/16+1),"")</f>
        <v/>
      </c>
    </row>
    <row r="9976" spans="14:14" x14ac:dyDescent="0.3">
      <c r="N9976" t="str" cm="1">
        <f t="array" ref="N9976">IF(MOD(ROW()-ROW($B$2),16)=0,INDEX($M$2:$M$1000,(ROW()-ROW($B$2))/16+1),"")</f>
        <v/>
      </c>
    </row>
    <row r="9977" spans="14:14" x14ac:dyDescent="0.3">
      <c r="N9977" t="str" cm="1">
        <f t="array" ref="N9977">IF(MOD(ROW()-ROW($B$2),16)=0,INDEX($M$2:$M$1000,(ROW()-ROW($B$2))/16+1),"")</f>
        <v/>
      </c>
    </row>
    <row r="9978" spans="14:14" x14ac:dyDescent="0.3">
      <c r="N9978" t="str" cm="1">
        <f t="array" ref="N9978">IF(MOD(ROW()-ROW($B$2),16)=0,INDEX($M$2:$M$1000,(ROW()-ROW($B$2))/16+1),"")</f>
        <v/>
      </c>
    </row>
    <row r="9979" spans="14:14" x14ac:dyDescent="0.3">
      <c r="N9979" t="str" cm="1">
        <f t="array" ref="N9979">IF(MOD(ROW()-ROW($B$2),16)=0,INDEX($M$2:$M$1000,(ROW()-ROW($B$2))/16+1),"")</f>
        <v/>
      </c>
    </row>
    <row r="9980" spans="14:14" x14ac:dyDescent="0.3">
      <c r="N9980" t="str" cm="1">
        <f t="array" ref="N9980">IF(MOD(ROW()-ROW($B$2),16)=0,INDEX($M$2:$M$1000,(ROW()-ROW($B$2))/16+1),"")</f>
        <v/>
      </c>
    </row>
    <row r="9981" spans="14:14" x14ac:dyDescent="0.3">
      <c r="N9981" t="str" cm="1">
        <f t="array" ref="N9981">IF(MOD(ROW()-ROW($B$2),16)=0,INDEX($M$2:$M$1000,(ROW()-ROW($B$2))/16+1),"")</f>
        <v/>
      </c>
    </row>
    <row r="9982" spans="14:14" x14ac:dyDescent="0.3">
      <c r="N9982" t="str" cm="1">
        <f t="array" ref="N9982">IF(MOD(ROW()-ROW($B$2),16)=0,INDEX($M$2:$M$1000,(ROW()-ROW($B$2))/16+1),"")</f>
        <v/>
      </c>
    </row>
    <row r="9983" spans="14:14" x14ac:dyDescent="0.3">
      <c r="N9983" t="str" cm="1">
        <f t="array" ref="N9983">IF(MOD(ROW()-ROW($B$2),16)=0,INDEX($M$2:$M$1000,(ROW()-ROW($B$2))/16+1),"")</f>
        <v/>
      </c>
    </row>
    <row r="9984" spans="14:14" x14ac:dyDescent="0.3">
      <c r="N9984" t="str" cm="1">
        <f t="array" ref="N9984">IF(MOD(ROW()-ROW($B$2),16)=0,INDEX($M$2:$M$1000,(ROW()-ROW($B$2))/16+1),"")</f>
        <v/>
      </c>
    </row>
    <row r="9985" spans="14:14" x14ac:dyDescent="0.3">
      <c r="N9985" t="str" cm="1">
        <f t="array" ref="N9985">IF(MOD(ROW()-ROW($B$2),16)=0,INDEX($M$2:$M$1000,(ROW()-ROW($B$2))/16+1),"")</f>
        <v/>
      </c>
    </row>
    <row r="9986" spans="14:14" x14ac:dyDescent="0.3">
      <c r="N9986" t="str" cm="1">
        <f t="array" ref="N9986">IF(MOD(ROW()-ROW($B$2),16)=0,INDEX($M$2:$M$1000,(ROW()-ROW($B$2))/16+1),"")</f>
        <v/>
      </c>
    </row>
    <row r="9987" spans="14:14" x14ac:dyDescent="0.3">
      <c r="N9987" t="str" cm="1">
        <f t="array" ref="N9987">IF(MOD(ROW()-ROW($B$2),16)=0,INDEX($M$2:$M$1000,(ROW()-ROW($B$2))/16+1),"")</f>
        <v/>
      </c>
    </row>
    <row r="9988" spans="14:14" x14ac:dyDescent="0.3">
      <c r="N9988" t="str" cm="1">
        <f t="array" ref="N9988">IF(MOD(ROW()-ROW($B$2),16)=0,INDEX($M$2:$M$1000,(ROW()-ROW($B$2))/16+1),"")</f>
        <v/>
      </c>
    </row>
    <row r="9989" spans="14:14" x14ac:dyDescent="0.3">
      <c r="N9989" t="str" cm="1">
        <f t="array" ref="N9989">IF(MOD(ROW()-ROW($B$2),16)=0,INDEX($M$2:$M$1000,(ROW()-ROW($B$2))/16+1),"")</f>
        <v/>
      </c>
    </row>
    <row r="9990" spans="14:14" x14ac:dyDescent="0.3">
      <c r="N9990" t="str" cm="1">
        <f t="array" ref="N9990">IF(MOD(ROW()-ROW($B$2),16)=0,INDEX($M$2:$M$1000,(ROW()-ROW($B$2))/16+1),"")</f>
        <v/>
      </c>
    </row>
    <row r="9991" spans="14:14" x14ac:dyDescent="0.3">
      <c r="N9991" t="str" cm="1">
        <f t="array" ref="N9991">IF(MOD(ROW()-ROW($B$2),16)=0,INDEX($M$2:$M$1000,(ROW()-ROW($B$2))/16+1),"")</f>
        <v/>
      </c>
    </row>
    <row r="9992" spans="14:14" x14ac:dyDescent="0.3">
      <c r="N9992" t="str" cm="1">
        <f t="array" ref="N9992">IF(MOD(ROW()-ROW($B$2),16)=0,INDEX($M$2:$M$1000,(ROW()-ROW($B$2))/16+1),"")</f>
        <v/>
      </c>
    </row>
    <row r="9993" spans="14:14" x14ac:dyDescent="0.3">
      <c r="N9993" t="str" cm="1">
        <f t="array" ref="N9993">IF(MOD(ROW()-ROW($B$2),16)=0,INDEX($M$2:$M$1000,(ROW()-ROW($B$2))/16+1),"")</f>
        <v/>
      </c>
    </row>
    <row r="9994" spans="14:14" x14ac:dyDescent="0.3">
      <c r="N9994" t="str" cm="1">
        <f t="array" ref="N9994">IF(MOD(ROW()-ROW($B$2),16)=0,INDEX($M$2:$M$1000,(ROW()-ROW($B$2))/16+1),"")</f>
        <v/>
      </c>
    </row>
    <row r="9995" spans="14:14" x14ac:dyDescent="0.3">
      <c r="N9995" t="str" cm="1">
        <f t="array" ref="N9995">IF(MOD(ROW()-ROW($B$2),16)=0,INDEX($M$2:$M$1000,(ROW()-ROW($B$2))/16+1),"")</f>
        <v/>
      </c>
    </row>
    <row r="9996" spans="14:14" x14ac:dyDescent="0.3">
      <c r="N9996" t="str" cm="1">
        <f t="array" ref="N9996">IF(MOD(ROW()-ROW($B$2),16)=0,INDEX($M$2:$M$1000,(ROW()-ROW($B$2))/16+1),"")</f>
        <v/>
      </c>
    </row>
    <row r="9997" spans="14:14" x14ac:dyDescent="0.3">
      <c r="N9997" t="str" cm="1">
        <f t="array" ref="N9997">IF(MOD(ROW()-ROW($B$2),16)=0,INDEX($M$2:$M$1000,(ROW()-ROW($B$2))/16+1),"")</f>
        <v/>
      </c>
    </row>
    <row r="9998" spans="14:14" x14ac:dyDescent="0.3">
      <c r="N9998" t="str" cm="1">
        <f t="array" ref="N9998">IF(MOD(ROW()-ROW($B$2),16)=0,INDEX($M$2:$M$1000,(ROW()-ROW($B$2))/16+1),"")</f>
        <v/>
      </c>
    </row>
    <row r="9999" spans="14:14" x14ac:dyDescent="0.3">
      <c r="N9999" t="str" cm="1">
        <f t="array" ref="N9999">IF(MOD(ROW()-ROW($B$2),16)=0,INDEX($M$2:$M$1000,(ROW()-ROW($B$2))/16+1),"")</f>
        <v/>
      </c>
    </row>
    <row r="10000" spans="14:14" x14ac:dyDescent="0.3">
      <c r="N10000" t="str" cm="1">
        <f t="array" ref="N10000">IF(MOD(ROW()-ROW($B$2),16)=0,INDEX($M$2:$M$1000,(ROW()-ROW($B$2))/16+1),"")</f>
        <v/>
      </c>
    </row>
    <row r="10001" spans="2:14" x14ac:dyDescent="0.3">
      <c r="N10001" t="str" cm="1">
        <f t="array" ref="N10001">IF(MOD(ROW()-ROW($B$2),16)=0,INDEX($M$2:$M$1000,(ROW()-ROW($B$2))/16+1),"")</f>
        <v/>
      </c>
    </row>
    <row r="10002" spans="2:14" x14ac:dyDescent="0.3">
      <c r="B10002" t="s">
        <v>645</v>
      </c>
      <c r="N10002" t="str" cm="1">
        <f t="array" ref="N10002">IF(MOD(ROW()-ROW($B$2),16)=0,INDEX($M$2:$M$1000,(ROW()-ROW($B$2))/16+1),"")</f>
        <v/>
      </c>
    </row>
    <row r="10003" spans="2:14" x14ac:dyDescent="0.3">
      <c r="B10003" t="s">
        <v>646</v>
      </c>
      <c r="N10003" t="str" cm="1">
        <f t="array" ref="N10003">IF(MOD(ROW()-ROW($B$2),16)=0,INDEX($M$2:$M$1000,(ROW()-ROW($B$2))/16+1),"")</f>
        <v/>
      </c>
    </row>
    <row r="10004" spans="2:14" x14ac:dyDescent="0.3">
      <c r="B10004" t="s">
        <v>647</v>
      </c>
      <c r="N10004" t="str" cm="1">
        <f t="array" ref="N10004">IF(MOD(ROW()-ROW($B$2),16)=0,INDEX($M$2:$M$1000,(ROW()-ROW($B$2))/16+1),"")</f>
        <v/>
      </c>
    </row>
    <row r="10005" spans="2:14" x14ac:dyDescent="0.3">
      <c r="B10005" t="s">
        <v>648</v>
      </c>
      <c r="N10005" t="str" cm="1">
        <f t="array" ref="N10005">IF(MOD(ROW()-ROW($B$2),16)=0,INDEX($M$2:$M$1000,(ROW()-ROW($B$2))/16+1),"")</f>
        <v/>
      </c>
    </row>
    <row r="10006" spans="2:14" x14ac:dyDescent="0.3">
      <c r="B10006" t="s">
        <v>649</v>
      </c>
      <c r="N10006" t="str" cm="1">
        <f t="array" ref="N10006">IF(MOD(ROW()-ROW($B$2),16)=0,INDEX($M$2:$M$1000,(ROW()-ROW($B$2))/16+1),"")</f>
        <v/>
      </c>
    </row>
    <row r="10007" spans="2:14" x14ac:dyDescent="0.3">
      <c r="B10007" t="s">
        <v>650</v>
      </c>
      <c r="N10007" t="str" cm="1">
        <f t="array" ref="N10007">IF(MOD(ROW()-ROW($B$2),16)=0,INDEX($M$2:$M$1000,(ROW()-ROW($B$2))/16+1),"")</f>
        <v/>
      </c>
    </row>
    <row r="10008" spans="2:14" x14ac:dyDescent="0.3">
      <c r="B10008" t="s">
        <v>651</v>
      </c>
      <c r="N10008" t="str" cm="1">
        <f t="array" ref="N10008">IF(MOD(ROW()-ROW($B$2),16)=0,INDEX($M$2:$M$1000,(ROW()-ROW($B$2))/16+1),"")</f>
        <v/>
      </c>
    </row>
    <row r="10009" spans="2:14" x14ac:dyDescent="0.3">
      <c r="B10009" t="s">
        <v>652</v>
      </c>
      <c r="N10009" t="str" cm="1">
        <f t="array" ref="N10009">IF(MOD(ROW()-ROW($B$2),16)=0,INDEX($M$2:$M$1000,(ROW()-ROW($B$2))/16+1),"")</f>
        <v/>
      </c>
    </row>
    <row r="10010" spans="2:14" x14ac:dyDescent="0.3">
      <c r="B10010" t="s">
        <v>653</v>
      </c>
      <c r="N10010" t="str" cm="1">
        <f t="array" ref="N10010">IF(MOD(ROW()-ROW($B$2),16)=0,INDEX($M$2:$M$1000,(ROW()-ROW($B$2))/16+1),"")</f>
        <v/>
      </c>
    </row>
    <row r="10011" spans="2:14" x14ac:dyDescent="0.3">
      <c r="B10011" t="s">
        <v>654</v>
      </c>
      <c r="N10011" t="str" cm="1">
        <f t="array" ref="N10011">IF(MOD(ROW()-ROW($B$2),16)=0,INDEX($M$2:$M$1000,(ROW()-ROW($B$2))/16+1),"")</f>
        <v/>
      </c>
    </row>
    <row r="10012" spans="2:14" x14ac:dyDescent="0.3">
      <c r="B10012" t="s">
        <v>655</v>
      </c>
      <c r="N10012" t="str" cm="1">
        <f t="array" ref="N10012">IF(MOD(ROW()-ROW($B$2),16)=0,INDEX($M$2:$M$1000,(ROW()-ROW($B$2))/16+1),"")</f>
        <v/>
      </c>
    </row>
    <row r="10013" spans="2:14" x14ac:dyDescent="0.3">
      <c r="B10013" t="s">
        <v>656</v>
      </c>
      <c r="N10013" t="str" cm="1">
        <f t="array" ref="N10013">IF(MOD(ROW()-ROW($B$2),16)=0,INDEX($M$2:$M$1000,(ROW()-ROW($B$2))/16+1),"")</f>
        <v/>
      </c>
    </row>
    <row r="10014" spans="2:14" x14ac:dyDescent="0.3">
      <c r="B10014" t="s">
        <v>657</v>
      </c>
      <c r="N10014" t="str" cm="1">
        <f t="array" ref="N10014">IF(MOD(ROW()-ROW($B$2),16)=0,INDEX($M$2:$M$1000,(ROW()-ROW($B$2))/16+1),"")</f>
        <v/>
      </c>
    </row>
    <row r="10015" spans="2:14" x14ac:dyDescent="0.3">
      <c r="B10015" t="s">
        <v>658</v>
      </c>
      <c r="N10015" t="str" cm="1">
        <f t="array" ref="N10015">IF(MOD(ROW()-ROW($B$2),16)=0,INDEX($M$2:$M$1000,(ROW()-ROW($B$2))/16+1),"")</f>
        <v/>
      </c>
    </row>
    <row r="10016" spans="2:14" x14ac:dyDescent="0.3">
      <c r="B10016" t="s">
        <v>659</v>
      </c>
      <c r="N10016" t="str" cm="1">
        <f t="array" ref="N10016">IF(MOD(ROW()-ROW($B$2),16)=0,INDEX($M$2:$M$1000,(ROW()-ROW($B$2))/16+1),"")</f>
        <v/>
      </c>
    </row>
    <row r="10017" spans="2:14" x14ac:dyDescent="0.3">
      <c r="B10017" t="s">
        <v>660</v>
      </c>
      <c r="N10017" t="str" cm="1">
        <f t="array" ref="N10017">IF(MOD(ROW()-ROW($B$2),16)=0,INDEX($M$2:$M$1000,(ROW()-ROW($B$2))/16+1),"")</f>
        <v/>
      </c>
    </row>
    <row r="10018" spans="2:14" x14ac:dyDescent="0.3">
      <c r="B10018" t="s">
        <v>661</v>
      </c>
      <c r="N10018" t="str" cm="1">
        <f t="array" ref="N10018">IF(MOD(ROW()-ROW($B$2),16)=0,INDEX($M$2:$M$1000,(ROW()-ROW($B$2))/16+1),"")</f>
        <v/>
      </c>
    </row>
    <row r="10019" spans="2:14" x14ac:dyDescent="0.3">
      <c r="B10019" t="s">
        <v>662</v>
      </c>
      <c r="N10019" t="str" cm="1">
        <f t="array" ref="N10019">IF(MOD(ROW()-ROW($B$2),16)=0,INDEX($M$2:$M$1000,(ROW()-ROW($B$2))/16+1),"")</f>
        <v/>
      </c>
    </row>
    <row r="10020" spans="2:14" x14ac:dyDescent="0.3">
      <c r="B10020" t="s">
        <v>663</v>
      </c>
      <c r="N10020" t="str" cm="1">
        <f t="array" ref="N10020">IF(MOD(ROW()-ROW($B$2),16)=0,INDEX($M$2:$M$1000,(ROW()-ROW($B$2))/16+1),"")</f>
        <v/>
      </c>
    </row>
    <row r="10021" spans="2:14" x14ac:dyDescent="0.3">
      <c r="B10021" t="s">
        <v>664</v>
      </c>
      <c r="N10021" t="str" cm="1">
        <f t="array" ref="N10021">IF(MOD(ROW()-ROW($B$2),16)=0,INDEX($M$2:$M$1000,(ROW()-ROW($B$2))/16+1),"")</f>
        <v/>
      </c>
    </row>
    <row r="10022" spans="2:14" x14ac:dyDescent="0.3">
      <c r="B10022" t="s">
        <v>665</v>
      </c>
      <c r="N10022" t="str" cm="1">
        <f t="array" ref="N10022">IF(MOD(ROW()-ROW($B$2),16)=0,INDEX($M$2:$M$1000,(ROW()-ROW($B$2))/16+1),"")</f>
        <v/>
      </c>
    </row>
    <row r="10023" spans="2:14" x14ac:dyDescent="0.3">
      <c r="B10023" t="s">
        <v>666</v>
      </c>
      <c r="N10023" t="str" cm="1">
        <f t="array" ref="N10023">IF(MOD(ROW()-ROW($B$2),16)=0,INDEX($M$2:$M$1000,(ROW()-ROW($B$2))/16+1),"")</f>
        <v/>
      </c>
    </row>
    <row r="10024" spans="2:14" x14ac:dyDescent="0.3">
      <c r="B10024" t="s">
        <v>667</v>
      </c>
      <c r="N10024" t="str" cm="1">
        <f t="array" ref="N10024">IF(MOD(ROW()-ROW($B$2),16)=0,INDEX($M$2:$M$1000,(ROW()-ROW($B$2))/16+1),"")</f>
        <v/>
      </c>
    </row>
    <row r="10025" spans="2:14" x14ac:dyDescent="0.3">
      <c r="B10025" t="s">
        <v>668</v>
      </c>
      <c r="N10025" t="str" cm="1">
        <f t="array" ref="N10025">IF(MOD(ROW()-ROW($B$2),16)=0,INDEX($M$2:$M$1000,(ROW()-ROW($B$2))/16+1),"")</f>
        <v/>
      </c>
    </row>
    <row r="10026" spans="2:14" x14ac:dyDescent="0.3">
      <c r="B10026" t="s">
        <v>669</v>
      </c>
      <c r="N10026" t="str" cm="1">
        <f t="array" ref="N10026">IF(MOD(ROW()-ROW($B$2),16)=0,INDEX($M$2:$M$1000,(ROW()-ROW($B$2))/16+1),"")</f>
        <v/>
      </c>
    </row>
    <row r="10027" spans="2:14" x14ac:dyDescent="0.3">
      <c r="B10027" t="s">
        <v>670</v>
      </c>
      <c r="N10027" t="str" cm="1">
        <f t="array" ref="N10027">IF(MOD(ROW()-ROW($B$2),16)=0,INDEX($M$2:$M$1000,(ROW()-ROW($B$2))/16+1),"")</f>
        <v/>
      </c>
    </row>
    <row r="10028" spans="2:14" x14ac:dyDescent="0.3">
      <c r="B10028" t="s">
        <v>671</v>
      </c>
      <c r="N10028" t="str" cm="1">
        <f t="array" ref="N10028">IF(MOD(ROW()-ROW($B$2),16)=0,INDEX($M$2:$M$1000,(ROW()-ROW($B$2))/16+1),"")</f>
        <v/>
      </c>
    </row>
    <row r="10029" spans="2:14" x14ac:dyDescent="0.3">
      <c r="B10029" t="s">
        <v>672</v>
      </c>
      <c r="N10029" t="str" cm="1">
        <f t="array" ref="N10029">IF(MOD(ROW()-ROW($B$2),16)=0,INDEX($M$2:$M$1000,(ROW()-ROW($B$2))/16+1),"")</f>
        <v/>
      </c>
    </row>
    <row r="10030" spans="2:14" x14ac:dyDescent="0.3">
      <c r="B10030" t="s">
        <v>673</v>
      </c>
      <c r="N10030" t="str" cm="1">
        <f t="array" ref="N10030">IF(MOD(ROW()-ROW($B$2),16)=0,INDEX($M$2:$M$1000,(ROW()-ROW($B$2))/16+1),"")</f>
        <v/>
      </c>
    </row>
    <row r="10031" spans="2:14" x14ac:dyDescent="0.3">
      <c r="B10031" t="s">
        <v>674</v>
      </c>
      <c r="N10031" t="str" cm="1">
        <f t="array" ref="N10031">IF(MOD(ROW()-ROW($B$2),16)=0,INDEX($M$2:$M$1000,(ROW()-ROW($B$2))/16+1),"")</f>
        <v/>
      </c>
    </row>
    <row r="10032" spans="2:14" x14ac:dyDescent="0.3">
      <c r="B10032" t="s">
        <v>675</v>
      </c>
      <c r="N10032" t="str" cm="1">
        <f t="array" ref="N10032">IF(MOD(ROW()-ROW($B$2),16)=0,INDEX($M$2:$M$1000,(ROW()-ROW($B$2))/16+1),"")</f>
        <v/>
      </c>
    </row>
    <row r="10033" spans="2:14" x14ac:dyDescent="0.3">
      <c r="B10033" t="s">
        <v>676</v>
      </c>
      <c r="N10033" t="str" cm="1">
        <f t="array" ref="N10033">IF(MOD(ROW()-ROW($B$2),16)=0,INDEX($M$2:$M$1000,(ROW()-ROW($B$2))/16+1),"")</f>
        <v/>
      </c>
    </row>
    <row r="10034" spans="2:14" x14ac:dyDescent="0.3">
      <c r="B10034" t="s">
        <v>677</v>
      </c>
      <c r="N10034" t="str" cm="1">
        <f t="array" ref="N10034">IF(MOD(ROW()-ROW($B$2),16)=0,INDEX($M$2:$M$1000,(ROW()-ROW($B$2))/16+1),"")</f>
        <v/>
      </c>
    </row>
    <row r="10035" spans="2:14" x14ac:dyDescent="0.3">
      <c r="B10035" t="s">
        <v>678</v>
      </c>
      <c r="N10035" t="str" cm="1">
        <f t="array" ref="N10035">IF(MOD(ROW()-ROW($B$2),16)=0,INDEX($M$2:$M$1000,(ROW()-ROW($B$2))/16+1),"")</f>
        <v/>
      </c>
    </row>
    <row r="10036" spans="2:14" x14ac:dyDescent="0.3">
      <c r="B10036" t="s">
        <v>679</v>
      </c>
      <c r="N10036" t="str" cm="1">
        <f t="array" ref="N10036">IF(MOD(ROW()-ROW($B$2),16)=0,INDEX($M$2:$M$1000,(ROW()-ROW($B$2))/16+1),"")</f>
        <v/>
      </c>
    </row>
    <row r="10037" spans="2:14" x14ac:dyDescent="0.3">
      <c r="B10037" t="s">
        <v>680</v>
      </c>
      <c r="N10037" t="str" cm="1">
        <f t="array" ref="N10037">IF(MOD(ROW()-ROW($B$2),16)=0,INDEX($M$2:$M$1000,(ROW()-ROW($B$2))/16+1),"")</f>
        <v/>
      </c>
    </row>
    <row r="10038" spans="2:14" x14ac:dyDescent="0.3">
      <c r="B10038" t="s">
        <v>681</v>
      </c>
      <c r="N10038" t="str" cm="1">
        <f t="array" ref="N10038">IF(MOD(ROW()-ROW($B$2),16)=0,INDEX($M$2:$M$1000,(ROW()-ROW($B$2))/16+1),"")</f>
        <v/>
      </c>
    </row>
    <row r="10039" spans="2:14" x14ac:dyDescent="0.3">
      <c r="B10039" t="s">
        <v>682</v>
      </c>
      <c r="N10039" t="str" cm="1">
        <f t="array" ref="N10039">IF(MOD(ROW()-ROW($B$2),16)=0,INDEX($M$2:$M$1000,(ROW()-ROW($B$2))/16+1),"")</f>
        <v/>
      </c>
    </row>
    <row r="10040" spans="2:14" x14ac:dyDescent="0.3">
      <c r="B10040" t="s">
        <v>683</v>
      </c>
      <c r="N10040" t="str" cm="1">
        <f t="array" ref="N10040">IF(MOD(ROW()-ROW($B$2),16)=0,INDEX($M$2:$M$1000,(ROW()-ROW($B$2))/16+1),"")</f>
        <v/>
      </c>
    </row>
    <row r="10041" spans="2:14" x14ac:dyDescent="0.3">
      <c r="B10041" t="s">
        <v>684</v>
      </c>
      <c r="N10041" t="str" cm="1">
        <f t="array" ref="N10041">IF(MOD(ROW()-ROW($B$2),16)=0,INDEX($M$2:$M$1000,(ROW()-ROW($B$2))/16+1),"")</f>
        <v/>
      </c>
    </row>
    <row r="10042" spans="2:14" x14ac:dyDescent="0.3">
      <c r="B10042" t="s">
        <v>685</v>
      </c>
      <c r="N10042" t="str" cm="1">
        <f t="array" ref="N10042">IF(MOD(ROW()-ROW($B$2),16)=0,INDEX($M$2:$M$1000,(ROW()-ROW($B$2))/16+1),"")</f>
        <v/>
      </c>
    </row>
    <row r="10043" spans="2:14" x14ac:dyDescent="0.3">
      <c r="B10043" t="s">
        <v>686</v>
      </c>
      <c r="N10043" t="str" cm="1">
        <f t="array" ref="N10043">IF(MOD(ROW()-ROW($B$2),16)=0,INDEX($M$2:$M$1000,(ROW()-ROW($B$2))/16+1),"")</f>
        <v/>
      </c>
    </row>
    <row r="10044" spans="2:14" x14ac:dyDescent="0.3">
      <c r="B10044" t="s">
        <v>687</v>
      </c>
      <c r="N10044" t="str" cm="1">
        <f t="array" ref="N10044">IF(MOD(ROW()-ROW($B$2),16)=0,INDEX($M$2:$M$1000,(ROW()-ROW($B$2))/16+1),"")</f>
        <v/>
      </c>
    </row>
    <row r="10045" spans="2:14" x14ac:dyDescent="0.3">
      <c r="B10045" t="s">
        <v>688</v>
      </c>
      <c r="N10045" t="str" cm="1">
        <f t="array" ref="N10045">IF(MOD(ROW()-ROW($B$2),16)=0,INDEX($M$2:$M$1000,(ROW()-ROW($B$2))/16+1),"")</f>
        <v/>
      </c>
    </row>
    <row r="10046" spans="2:14" x14ac:dyDescent="0.3">
      <c r="B10046" t="s">
        <v>689</v>
      </c>
      <c r="N10046" t="str" cm="1">
        <f t="array" ref="N10046">IF(MOD(ROW()-ROW($B$2),16)=0,INDEX($M$2:$M$1000,(ROW()-ROW($B$2))/16+1),"")</f>
        <v/>
      </c>
    </row>
    <row r="10047" spans="2:14" x14ac:dyDescent="0.3">
      <c r="B10047" t="s">
        <v>690</v>
      </c>
      <c r="N10047" t="str" cm="1">
        <f t="array" ref="N10047">IF(MOD(ROW()-ROW($B$2),16)=0,INDEX($M$2:$M$1000,(ROW()-ROW($B$2))/16+1),"")</f>
        <v/>
      </c>
    </row>
    <row r="10048" spans="2:14" x14ac:dyDescent="0.3">
      <c r="B10048" t="s">
        <v>691</v>
      </c>
      <c r="N10048" t="str" cm="1">
        <f t="array" ref="N10048">IF(MOD(ROW()-ROW($B$2),16)=0,INDEX($M$2:$M$1000,(ROW()-ROW($B$2))/16+1),"")</f>
        <v/>
      </c>
    </row>
    <row r="10049" spans="2:14" x14ac:dyDescent="0.3">
      <c r="B10049" t="s">
        <v>692</v>
      </c>
      <c r="N10049" t="str" cm="1">
        <f t="array" ref="N10049">IF(MOD(ROW()-ROW($B$2),16)=0,INDEX($M$2:$M$1000,(ROW()-ROW($B$2))/16+1),"")</f>
        <v/>
      </c>
    </row>
    <row r="10050" spans="2:14" x14ac:dyDescent="0.3">
      <c r="B10050" t="s">
        <v>693</v>
      </c>
      <c r="N10050" t="str" cm="1">
        <f t="array" ref="N10050">IF(MOD(ROW()-ROW($B$2),16)=0,INDEX($M$2:$M$1000,(ROW()-ROW($B$2))/16+1),"")</f>
        <v/>
      </c>
    </row>
    <row r="10051" spans="2:14" x14ac:dyDescent="0.3">
      <c r="B10051" t="s">
        <v>694</v>
      </c>
      <c r="N10051" t="str" cm="1">
        <f t="array" ref="N10051">IF(MOD(ROW()-ROW($B$2),16)=0,INDEX($M$2:$M$1000,(ROW()-ROW($B$2))/16+1),"")</f>
        <v/>
      </c>
    </row>
    <row r="10052" spans="2:14" x14ac:dyDescent="0.3">
      <c r="B10052" t="s">
        <v>695</v>
      </c>
      <c r="N10052" t="str" cm="1">
        <f t="array" ref="N10052">IF(MOD(ROW()-ROW($B$2),16)=0,INDEX($M$2:$M$1000,(ROW()-ROW($B$2))/16+1),"")</f>
        <v/>
      </c>
    </row>
    <row r="10053" spans="2:14" x14ac:dyDescent="0.3">
      <c r="B10053" t="s">
        <v>696</v>
      </c>
      <c r="N10053" t="str" cm="1">
        <f t="array" ref="N10053">IF(MOD(ROW()-ROW($B$2),16)=0,INDEX($M$2:$M$1000,(ROW()-ROW($B$2))/16+1),"")</f>
        <v/>
      </c>
    </row>
    <row r="10054" spans="2:14" x14ac:dyDescent="0.3">
      <c r="B10054" t="s">
        <v>697</v>
      </c>
      <c r="N10054" t="str" cm="1">
        <f t="array" ref="N10054">IF(MOD(ROW()-ROW($B$2),16)=0,INDEX($M$2:$M$1000,(ROW()-ROW($B$2))/16+1),"")</f>
        <v/>
      </c>
    </row>
    <row r="10055" spans="2:14" x14ac:dyDescent="0.3">
      <c r="B10055" t="s">
        <v>698</v>
      </c>
      <c r="N10055" t="str" cm="1">
        <f t="array" ref="N10055">IF(MOD(ROW()-ROW($B$2),16)=0,INDEX($M$2:$M$1000,(ROW()-ROW($B$2))/16+1),"")</f>
        <v/>
      </c>
    </row>
    <row r="10056" spans="2:14" x14ac:dyDescent="0.3">
      <c r="B10056" t="s">
        <v>699</v>
      </c>
      <c r="N10056" t="str" cm="1">
        <f t="array" ref="N10056">IF(MOD(ROW()-ROW($B$2),16)=0,INDEX($M$2:$M$1000,(ROW()-ROW($B$2))/16+1),"")</f>
        <v/>
      </c>
    </row>
    <row r="10057" spans="2:14" x14ac:dyDescent="0.3">
      <c r="B10057" t="s">
        <v>700</v>
      </c>
      <c r="N10057" t="str" cm="1">
        <f t="array" ref="N10057">IF(MOD(ROW()-ROW($B$2),16)=0,INDEX($M$2:$M$1000,(ROW()-ROW($B$2))/16+1),"")</f>
        <v/>
      </c>
    </row>
    <row r="10058" spans="2:14" x14ac:dyDescent="0.3">
      <c r="B10058" t="s">
        <v>701</v>
      </c>
      <c r="N10058" t="str" cm="1">
        <f t="array" ref="N10058">IF(MOD(ROW()-ROW($B$2),16)=0,INDEX($M$2:$M$1000,(ROW()-ROW($B$2))/16+1),"")</f>
        <v/>
      </c>
    </row>
    <row r="10059" spans="2:14" x14ac:dyDescent="0.3">
      <c r="B10059" t="s">
        <v>702</v>
      </c>
      <c r="N10059" t="str" cm="1">
        <f t="array" ref="N10059">IF(MOD(ROW()-ROW($B$2),16)=0,INDEX($M$2:$M$1000,(ROW()-ROW($B$2))/16+1),"")</f>
        <v/>
      </c>
    </row>
    <row r="10060" spans="2:14" x14ac:dyDescent="0.3">
      <c r="B10060" t="s">
        <v>703</v>
      </c>
      <c r="N10060" t="str" cm="1">
        <f t="array" ref="N10060">IF(MOD(ROW()-ROW($B$2),16)=0,INDEX($M$2:$M$1000,(ROW()-ROW($B$2))/16+1),"")</f>
        <v/>
      </c>
    </row>
    <row r="10061" spans="2:14" x14ac:dyDescent="0.3">
      <c r="B10061" t="s">
        <v>704</v>
      </c>
      <c r="N10061" t="str" cm="1">
        <f t="array" ref="N10061">IF(MOD(ROW()-ROW($B$2),16)=0,INDEX($M$2:$M$1000,(ROW()-ROW($B$2))/16+1),"")</f>
        <v/>
      </c>
    </row>
    <row r="10062" spans="2:14" x14ac:dyDescent="0.3">
      <c r="B10062" t="s">
        <v>705</v>
      </c>
      <c r="N10062" t="str" cm="1">
        <f t="array" ref="N10062">IF(MOD(ROW()-ROW($B$2),16)=0,INDEX($M$2:$M$1000,(ROW()-ROW($B$2))/16+1),"")</f>
        <v/>
      </c>
    </row>
    <row r="10063" spans="2:14" x14ac:dyDescent="0.3">
      <c r="B10063" t="s">
        <v>706</v>
      </c>
      <c r="N10063" t="str" cm="1">
        <f t="array" ref="N10063">IF(MOD(ROW()-ROW($B$2),16)=0,INDEX($M$2:$M$1000,(ROW()-ROW($B$2))/16+1),"")</f>
        <v/>
      </c>
    </row>
    <row r="10064" spans="2:14" x14ac:dyDescent="0.3">
      <c r="B10064" t="s">
        <v>707</v>
      </c>
      <c r="N10064" t="str" cm="1">
        <f t="array" ref="N10064">IF(MOD(ROW()-ROW($B$2),16)=0,INDEX($M$2:$M$1000,(ROW()-ROW($B$2))/16+1),"")</f>
        <v/>
      </c>
    </row>
    <row r="10065" spans="2:14" x14ac:dyDescent="0.3">
      <c r="B10065" t="s">
        <v>708</v>
      </c>
      <c r="N10065" t="str" cm="1">
        <f t="array" ref="N10065">IF(MOD(ROW()-ROW($B$2),16)=0,INDEX($M$2:$M$1000,(ROW()-ROW($B$2))/16+1),"")</f>
        <v/>
      </c>
    </row>
    <row r="10066" spans="2:14" x14ac:dyDescent="0.3">
      <c r="B10066" t="s">
        <v>709</v>
      </c>
      <c r="N10066" t="str" cm="1">
        <f t="array" ref="N10066">IF(MOD(ROW()-ROW($B$2),16)=0,INDEX($M$2:$M$1000,(ROW()-ROW($B$2))/16+1),"")</f>
        <v/>
      </c>
    </row>
    <row r="10067" spans="2:14" x14ac:dyDescent="0.3">
      <c r="B10067" t="s">
        <v>710</v>
      </c>
      <c r="N10067" t="str" cm="1">
        <f t="array" ref="N10067">IF(MOD(ROW()-ROW($B$2),16)=0,INDEX($M$2:$M$1000,(ROW()-ROW($B$2))/16+1),"")</f>
        <v/>
      </c>
    </row>
    <row r="10068" spans="2:14" x14ac:dyDescent="0.3">
      <c r="B10068" t="s">
        <v>711</v>
      </c>
      <c r="N10068" t="str" cm="1">
        <f t="array" ref="N10068">IF(MOD(ROW()-ROW($B$2),16)=0,INDEX($M$2:$M$1000,(ROW()-ROW($B$2))/16+1),"")</f>
        <v/>
      </c>
    </row>
    <row r="10069" spans="2:14" x14ac:dyDescent="0.3">
      <c r="B10069" t="s">
        <v>712</v>
      </c>
      <c r="N10069" t="str" cm="1">
        <f t="array" ref="N10069">IF(MOD(ROW()-ROW($B$2),16)=0,INDEX($M$2:$M$1000,(ROW()-ROW($B$2))/16+1),"")</f>
        <v/>
      </c>
    </row>
    <row r="10070" spans="2:14" x14ac:dyDescent="0.3">
      <c r="B10070" t="s">
        <v>713</v>
      </c>
      <c r="N10070" t="str" cm="1">
        <f t="array" ref="N10070">IF(MOD(ROW()-ROW($B$2),16)=0,INDEX($M$2:$M$1000,(ROW()-ROW($B$2))/16+1),"")</f>
        <v/>
      </c>
    </row>
    <row r="10071" spans="2:14" x14ac:dyDescent="0.3">
      <c r="B10071" t="s">
        <v>714</v>
      </c>
      <c r="N10071" t="str" cm="1">
        <f t="array" ref="N10071">IF(MOD(ROW()-ROW($B$2),16)=0,INDEX($M$2:$M$1000,(ROW()-ROW($B$2))/16+1),"")</f>
        <v/>
      </c>
    </row>
    <row r="10072" spans="2:14" x14ac:dyDescent="0.3">
      <c r="B10072" t="s">
        <v>715</v>
      </c>
      <c r="N10072" t="str" cm="1">
        <f t="array" ref="N10072">IF(MOD(ROW()-ROW($B$2),16)=0,INDEX($M$2:$M$1000,(ROW()-ROW($B$2))/16+1),"")</f>
        <v/>
      </c>
    </row>
    <row r="10073" spans="2:14" x14ac:dyDescent="0.3">
      <c r="B10073" t="s">
        <v>716</v>
      </c>
      <c r="N10073" t="str" cm="1">
        <f t="array" ref="N10073">IF(MOD(ROW()-ROW($B$2),16)=0,INDEX($M$2:$M$1000,(ROW()-ROW($B$2))/16+1),"")</f>
        <v/>
      </c>
    </row>
    <row r="10074" spans="2:14" x14ac:dyDescent="0.3">
      <c r="B10074" t="s">
        <v>717</v>
      </c>
      <c r="N10074" t="str" cm="1">
        <f t="array" ref="N10074">IF(MOD(ROW()-ROW($B$2),16)=0,INDEX($M$2:$M$1000,(ROW()-ROW($B$2))/16+1),"")</f>
        <v/>
      </c>
    </row>
    <row r="10075" spans="2:14" x14ac:dyDescent="0.3">
      <c r="B10075" t="s">
        <v>718</v>
      </c>
      <c r="N10075" t="str" cm="1">
        <f t="array" ref="N10075">IF(MOD(ROW()-ROW($B$2),16)=0,INDEX($M$2:$M$1000,(ROW()-ROW($B$2))/16+1),"")</f>
        <v/>
      </c>
    </row>
    <row r="10076" spans="2:14" x14ac:dyDescent="0.3">
      <c r="B10076" t="s">
        <v>719</v>
      </c>
      <c r="N10076" t="str" cm="1">
        <f t="array" ref="N10076">IF(MOD(ROW()-ROW($B$2),16)=0,INDEX($M$2:$M$1000,(ROW()-ROW($B$2))/16+1),"")</f>
        <v/>
      </c>
    </row>
    <row r="10077" spans="2:14" x14ac:dyDescent="0.3">
      <c r="B10077" t="s">
        <v>720</v>
      </c>
      <c r="N10077" t="str" cm="1">
        <f t="array" ref="N10077">IF(MOD(ROW()-ROW($B$2),16)=0,INDEX($M$2:$M$1000,(ROW()-ROW($B$2))/16+1),"")</f>
        <v/>
      </c>
    </row>
    <row r="10078" spans="2:14" x14ac:dyDescent="0.3">
      <c r="B10078" t="s">
        <v>721</v>
      </c>
      <c r="N10078" t="str" cm="1">
        <f t="array" ref="N10078">IF(MOD(ROW()-ROW($B$2),16)=0,INDEX($M$2:$M$1000,(ROW()-ROW($B$2))/16+1),"")</f>
        <v/>
      </c>
    </row>
    <row r="10079" spans="2:14" x14ac:dyDescent="0.3">
      <c r="B10079" t="s">
        <v>722</v>
      </c>
      <c r="N10079" t="str" cm="1">
        <f t="array" ref="N10079">IF(MOD(ROW()-ROW($B$2),16)=0,INDEX($M$2:$M$1000,(ROW()-ROW($B$2))/16+1),"")</f>
        <v/>
      </c>
    </row>
    <row r="10080" spans="2:14" x14ac:dyDescent="0.3">
      <c r="B10080" t="s">
        <v>723</v>
      </c>
      <c r="N10080" t="str" cm="1">
        <f t="array" ref="N10080">IF(MOD(ROW()-ROW($B$2),16)=0,INDEX($M$2:$M$1000,(ROW()-ROW($B$2))/16+1),"")</f>
        <v/>
      </c>
    </row>
    <row r="10081" spans="2:14" x14ac:dyDescent="0.3">
      <c r="B10081" t="s">
        <v>724</v>
      </c>
      <c r="N10081" t="str" cm="1">
        <f t="array" ref="N10081">IF(MOD(ROW()-ROW($B$2),16)=0,INDEX($M$2:$M$1000,(ROW()-ROW($B$2))/16+1),"")</f>
        <v/>
      </c>
    </row>
    <row r="10082" spans="2:14" x14ac:dyDescent="0.3">
      <c r="B10082" t="s">
        <v>725</v>
      </c>
      <c r="N10082" t="str" cm="1">
        <f t="array" ref="N10082">IF(MOD(ROW()-ROW($B$2),16)=0,INDEX($M$2:$M$1000,(ROW()-ROW($B$2))/16+1),"")</f>
        <v/>
      </c>
    </row>
    <row r="10083" spans="2:14" x14ac:dyDescent="0.3">
      <c r="B10083" t="s">
        <v>726</v>
      </c>
      <c r="N10083" t="str" cm="1">
        <f t="array" ref="N10083">IF(MOD(ROW()-ROW($B$2),16)=0,INDEX($M$2:$M$1000,(ROW()-ROW($B$2))/16+1),"")</f>
        <v/>
      </c>
    </row>
    <row r="10084" spans="2:14" x14ac:dyDescent="0.3">
      <c r="B10084" t="s">
        <v>727</v>
      </c>
      <c r="N10084" t="str" cm="1">
        <f t="array" ref="N10084">IF(MOD(ROW()-ROW($B$2),16)=0,INDEX($M$2:$M$1000,(ROW()-ROW($B$2))/16+1),"")</f>
        <v/>
      </c>
    </row>
    <row r="10085" spans="2:14" x14ac:dyDescent="0.3">
      <c r="B10085" t="s">
        <v>728</v>
      </c>
      <c r="N10085" t="str" cm="1">
        <f t="array" ref="N10085">IF(MOD(ROW()-ROW($B$2),16)=0,INDEX($M$2:$M$1000,(ROW()-ROW($B$2))/16+1),"")</f>
        <v/>
      </c>
    </row>
    <row r="10086" spans="2:14" x14ac:dyDescent="0.3">
      <c r="B10086" t="s">
        <v>729</v>
      </c>
      <c r="N10086" t="str" cm="1">
        <f t="array" ref="N10086">IF(MOD(ROW()-ROW($B$2),16)=0,INDEX($M$2:$M$1000,(ROW()-ROW($B$2))/16+1),"")</f>
        <v/>
      </c>
    </row>
    <row r="10087" spans="2:14" x14ac:dyDescent="0.3">
      <c r="B10087" t="s">
        <v>730</v>
      </c>
      <c r="N10087" t="str" cm="1">
        <f t="array" ref="N10087">IF(MOD(ROW()-ROW($B$2),16)=0,INDEX($M$2:$M$1000,(ROW()-ROW($B$2))/16+1),"")</f>
        <v/>
      </c>
    </row>
    <row r="10088" spans="2:14" x14ac:dyDescent="0.3">
      <c r="B10088" t="s">
        <v>731</v>
      </c>
      <c r="N10088" t="str" cm="1">
        <f t="array" ref="N10088">IF(MOD(ROW()-ROW($B$2),16)=0,INDEX($M$2:$M$1000,(ROW()-ROW($B$2))/16+1),"")</f>
        <v/>
      </c>
    </row>
    <row r="10089" spans="2:14" x14ac:dyDescent="0.3">
      <c r="B10089" t="s">
        <v>732</v>
      </c>
      <c r="N10089" t="str" cm="1">
        <f t="array" ref="N10089">IF(MOD(ROW()-ROW($B$2),16)=0,INDEX($M$2:$M$1000,(ROW()-ROW($B$2))/16+1),"")</f>
        <v/>
      </c>
    </row>
    <row r="10090" spans="2:14" x14ac:dyDescent="0.3">
      <c r="B10090" t="s">
        <v>733</v>
      </c>
      <c r="N10090" t="str" cm="1">
        <f t="array" ref="N10090">IF(MOD(ROW()-ROW($B$2),16)=0,INDEX($M$2:$M$1000,(ROW()-ROW($B$2))/16+1),"")</f>
        <v/>
      </c>
    </row>
    <row r="10091" spans="2:14" x14ac:dyDescent="0.3">
      <c r="B10091" t="s">
        <v>734</v>
      </c>
      <c r="N10091" t="str" cm="1">
        <f t="array" ref="N10091">IF(MOD(ROW()-ROW($B$2),16)=0,INDEX($M$2:$M$1000,(ROW()-ROW($B$2))/16+1),"")</f>
        <v/>
      </c>
    </row>
    <row r="10092" spans="2:14" x14ac:dyDescent="0.3">
      <c r="B10092" t="s">
        <v>735</v>
      </c>
      <c r="N10092" t="str" cm="1">
        <f t="array" ref="N10092">IF(MOD(ROW()-ROW($B$2),16)=0,INDEX($M$2:$M$1000,(ROW()-ROW($B$2))/16+1),"")</f>
        <v/>
      </c>
    </row>
    <row r="10093" spans="2:14" x14ac:dyDescent="0.3">
      <c r="B10093" t="s">
        <v>736</v>
      </c>
      <c r="N10093" t="str" cm="1">
        <f t="array" ref="N10093">IF(MOD(ROW()-ROW($B$2),16)=0,INDEX($M$2:$M$1000,(ROW()-ROW($B$2))/16+1),"")</f>
        <v/>
      </c>
    </row>
    <row r="10094" spans="2:14" x14ac:dyDescent="0.3">
      <c r="B10094" t="s">
        <v>737</v>
      </c>
      <c r="N10094" t="str" cm="1">
        <f t="array" ref="N10094">IF(MOD(ROW()-ROW($B$2),16)=0,INDEX($M$2:$M$1000,(ROW()-ROW($B$2))/16+1),"")</f>
        <v/>
      </c>
    </row>
    <row r="10095" spans="2:14" x14ac:dyDescent="0.3">
      <c r="B10095" t="s">
        <v>738</v>
      </c>
      <c r="N10095" t="str" cm="1">
        <f t="array" ref="N10095">IF(MOD(ROW()-ROW($B$2),16)=0,INDEX($M$2:$M$1000,(ROW()-ROW($B$2))/16+1),"")</f>
        <v/>
      </c>
    </row>
    <row r="10096" spans="2:14" x14ac:dyDescent="0.3">
      <c r="B10096" t="s">
        <v>739</v>
      </c>
      <c r="N10096" t="str" cm="1">
        <f t="array" ref="N10096">IF(MOD(ROW()-ROW($B$2),16)=0,INDEX($M$2:$M$1000,(ROW()-ROW($B$2))/16+1),"")</f>
        <v/>
      </c>
    </row>
    <row r="10097" spans="2:14" x14ac:dyDescent="0.3">
      <c r="B10097" t="s">
        <v>740</v>
      </c>
      <c r="N10097" t="str" cm="1">
        <f t="array" ref="N10097">IF(MOD(ROW()-ROW($B$2),16)=0,INDEX($M$2:$M$1000,(ROW()-ROW($B$2))/16+1),"")</f>
        <v/>
      </c>
    </row>
    <row r="10098" spans="2:14" x14ac:dyDescent="0.3">
      <c r="B10098" t="s">
        <v>741</v>
      </c>
      <c r="N10098" t="str" cm="1">
        <f t="array" ref="N10098">IF(MOD(ROW()-ROW($B$2),16)=0,INDEX($M$2:$M$1000,(ROW()-ROW($B$2))/16+1),"")</f>
        <v/>
      </c>
    </row>
    <row r="10099" spans="2:14" x14ac:dyDescent="0.3">
      <c r="B10099" t="s">
        <v>742</v>
      </c>
      <c r="N10099" t="str" cm="1">
        <f t="array" ref="N10099">IF(MOD(ROW()-ROW($B$2),16)=0,INDEX($M$2:$M$1000,(ROW()-ROW($B$2))/16+1),"")</f>
        <v/>
      </c>
    </row>
    <row r="10100" spans="2:14" x14ac:dyDescent="0.3">
      <c r="B10100" t="s">
        <v>743</v>
      </c>
      <c r="N10100" t="str" cm="1">
        <f t="array" ref="N10100">IF(MOD(ROW()-ROW($B$2),16)=0,INDEX($M$2:$M$1000,(ROW()-ROW($B$2))/16+1),"")</f>
        <v/>
      </c>
    </row>
    <row r="10101" spans="2:14" x14ac:dyDescent="0.3">
      <c r="B10101" t="s">
        <v>744</v>
      </c>
      <c r="N10101" t="str" cm="1">
        <f t="array" ref="N10101">IF(MOD(ROW()-ROW($B$2),16)=0,INDEX($M$2:$M$1000,(ROW()-ROW($B$2))/16+1),"")</f>
        <v/>
      </c>
    </row>
    <row r="10102" spans="2:14" x14ac:dyDescent="0.3">
      <c r="B10102" t="s">
        <v>745</v>
      </c>
      <c r="N10102" t="str" cm="1">
        <f t="array" ref="N10102">IF(MOD(ROW()-ROW($B$2),16)=0,INDEX($M$2:$M$1000,(ROW()-ROW($B$2))/16+1),"")</f>
        <v/>
      </c>
    </row>
    <row r="10103" spans="2:14" x14ac:dyDescent="0.3">
      <c r="B10103" t="s">
        <v>746</v>
      </c>
      <c r="N10103" t="str" cm="1">
        <f t="array" ref="N10103">IF(MOD(ROW()-ROW($B$2),16)=0,INDEX($M$2:$M$1000,(ROW()-ROW($B$2))/16+1),"")</f>
        <v/>
      </c>
    </row>
    <row r="10104" spans="2:14" x14ac:dyDescent="0.3">
      <c r="B10104" t="s">
        <v>747</v>
      </c>
      <c r="N10104" t="str" cm="1">
        <f t="array" ref="N10104">IF(MOD(ROW()-ROW($B$2),16)=0,INDEX($M$2:$M$1000,(ROW()-ROW($B$2))/16+1),"")</f>
        <v/>
      </c>
    </row>
    <row r="10105" spans="2:14" x14ac:dyDescent="0.3">
      <c r="B10105" t="s">
        <v>748</v>
      </c>
      <c r="N10105" t="str" cm="1">
        <f t="array" ref="N10105">IF(MOD(ROW()-ROW($B$2),16)=0,INDEX($M$2:$M$1000,(ROW()-ROW($B$2))/16+1),"")</f>
        <v/>
      </c>
    </row>
    <row r="10106" spans="2:14" x14ac:dyDescent="0.3">
      <c r="B10106" t="s">
        <v>749</v>
      </c>
      <c r="N10106" t="str" cm="1">
        <f t="array" ref="N10106">IF(MOD(ROW()-ROW($B$2),16)=0,INDEX($M$2:$M$1000,(ROW()-ROW($B$2))/16+1),"")</f>
        <v/>
      </c>
    </row>
    <row r="10107" spans="2:14" x14ac:dyDescent="0.3">
      <c r="B10107" t="s">
        <v>750</v>
      </c>
      <c r="N10107" t="str" cm="1">
        <f t="array" ref="N10107">IF(MOD(ROW()-ROW($B$2),16)=0,INDEX($M$2:$M$1000,(ROW()-ROW($B$2))/16+1),"")</f>
        <v/>
      </c>
    </row>
    <row r="10108" spans="2:14" x14ac:dyDescent="0.3">
      <c r="B10108" t="s">
        <v>751</v>
      </c>
      <c r="N10108" t="str" cm="1">
        <f t="array" ref="N10108">IF(MOD(ROW()-ROW($B$2),16)=0,INDEX($M$2:$M$1000,(ROW()-ROW($B$2))/16+1),"")</f>
        <v/>
      </c>
    </row>
    <row r="10109" spans="2:14" x14ac:dyDescent="0.3">
      <c r="B10109" t="s">
        <v>752</v>
      </c>
      <c r="N10109" t="str" cm="1">
        <f t="array" ref="N10109">IF(MOD(ROW()-ROW($B$2),16)=0,INDEX($M$2:$M$1000,(ROW()-ROW($B$2))/16+1),"")</f>
        <v/>
      </c>
    </row>
    <row r="10110" spans="2:14" x14ac:dyDescent="0.3">
      <c r="B10110" t="s">
        <v>753</v>
      </c>
      <c r="N10110" t="str" cm="1">
        <f t="array" ref="N10110">IF(MOD(ROW()-ROW($B$2),16)=0,INDEX($M$2:$M$1000,(ROW()-ROW($B$2))/16+1),"")</f>
        <v/>
      </c>
    </row>
    <row r="10111" spans="2:14" x14ac:dyDescent="0.3">
      <c r="B10111" t="s">
        <v>754</v>
      </c>
      <c r="N10111" t="str" cm="1">
        <f t="array" ref="N10111">IF(MOD(ROW()-ROW($B$2),16)=0,INDEX($M$2:$M$1000,(ROW()-ROW($B$2))/16+1),"")</f>
        <v/>
      </c>
    </row>
    <row r="10112" spans="2:14" x14ac:dyDescent="0.3">
      <c r="B10112" t="s">
        <v>755</v>
      </c>
      <c r="N10112" t="str" cm="1">
        <f t="array" ref="N10112">IF(MOD(ROW()-ROW($B$2),16)=0,INDEX($M$2:$M$1000,(ROW()-ROW($B$2))/16+1),"")</f>
        <v/>
      </c>
    </row>
    <row r="10113" spans="2:14" x14ac:dyDescent="0.3">
      <c r="B10113" t="s">
        <v>756</v>
      </c>
      <c r="N10113" t="str" cm="1">
        <f t="array" ref="N10113">IF(MOD(ROW()-ROW($B$2),16)=0,INDEX($M$2:$M$1000,(ROW()-ROW($B$2))/16+1),"")</f>
        <v/>
      </c>
    </row>
    <row r="10114" spans="2:14" x14ac:dyDescent="0.3">
      <c r="B10114" t="s">
        <v>757</v>
      </c>
      <c r="N10114" t="str" cm="1">
        <f t="array" ref="N10114">IF(MOD(ROW()-ROW($B$2),16)=0,INDEX($M$2:$M$1000,(ROW()-ROW($B$2))/16+1),"")</f>
        <v/>
      </c>
    </row>
    <row r="10115" spans="2:14" x14ac:dyDescent="0.3">
      <c r="B10115" t="s">
        <v>758</v>
      </c>
      <c r="N10115" t="str" cm="1">
        <f t="array" ref="N10115">IF(MOD(ROW()-ROW($B$2),16)=0,INDEX($M$2:$M$1000,(ROW()-ROW($B$2))/16+1),"")</f>
        <v/>
      </c>
    </row>
    <row r="10116" spans="2:14" x14ac:dyDescent="0.3">
      <c r="B10116" t="s">
        <v>759</v>
      </c>
      <c r="N10116" t="str" cm="1">
        <f t="array" ref="N10116">IF(MOD(ROW()-ROW($B$2),16)=0,INDEX($M$2:$M$1000,(ROW()-ROW($B$2))/16+1),"")</f>
        <v/>
      </c>
    </row>
    <row r="10117" spans="2:14" x14ac:dyDescent="0.3">
      <c r="B10117" t="s">
        <v>760</v>
      </c>
      <c r="N10117" t="str" cm="1">
        <f t="array" ref="N10117">IF(MOD(ROW()-ROW($B$2),16)=0,INDEX($M$2:$M$1000,(ROW()-ROW($B$2))/16+1),"")</f>
        <v/>
      </c>
    </row>
    <row r="10118" spans="2:14" x14ac:dyDescent="0.3">
      <c r="B10118" t="s">
        <v>761</v>
      </c>
      <c r="N10118" t="str" cm="1">
        <f t="array" ref="N10118">IF(MOD(ROW()-ROW($B$2),16)=0,INDEX($M$2:$M$1000,(ROW()-ROW($B$2))/16+1),"")</f>
        <v/>
      </c>
    </row>
    <row r="10119" spans="2:14" x14ac:dyDescent="0.3">
      <c r="B10119" t="s">
        <v>762</v>
      </c>
      <c r="N10119" t="str" cm="1">
        <f t="array" ref="N10119">IF(MOD(ROW()-ROW($B$2),16)=0,INDEX($M$2:$M$1000,(ROW()-ROW($B$2))/16+1),"")</f>
        <v/>
      </c>
    </row>
    <row r="10120" spans="2:14" x14ac:dyDescent="0.3">
      <c r="B10120" t="s">
        <v>763</v>
      </c>
      <c r="N10120" t="str" cm="1">
        <f t="array" ref="N10120">IF(MOD(ROW()-ROW($B$2),16)=0,INDEX($M$2:$M$1000,(ROW()-ROW($B$2))/16+1),"")</f>
        <v/>
      </c>
    </row>
    <row r="10121" spans="2:14" x14ac:dyDescent="0.3">
      <c r="B10121" t="s">
        <v>764</v>
      </c>
      <c r="N10121" t="str" cm="1">
        <f t="array" ref="N10121">IF(MOD(ROW()-ROW($B$2),16)=0,INDEX($M$2:$M$1000,(ROW()-ROW($B$2))/16+1),"")</f>
        <v/>
      </c>
    </row>
    <row r="10122" spans="2:14" x14ac:dyDescent="0.3">
      <c r="B10122" t="s">
        <v>765</v>
      </c>
      <c r="N10122" t="str" cm="1">
        <f t="array" ref="N10122">IF(MOD(ROW()-ROW($B$2),16)=0,INDEX($M$2:$M$1000,(ROW()-ROW($B$2))/16+1),"")</f>
        <v/>
      </c>
    </row>
    <row r="10123" spans="2:14" x14ac:dyDescent="0.3">
      <c r="B10123" t="s">
        <v>766</v>
      </c>
      <c r="N10123" t="str" cm="1">
        <f t="array" ref="N10123">IF(MOD(ROW()-ROW($B$2),16)=0,INDEX($M$2:$M$1000,(ROW()-ROW($B$2))/16+1),"")</f>
        <v/>
      </c>
    </row>
    <row r="10124" spans="2:14" x14ac:dyDescent="0.3">
      <c r="B10124" t="s">
        <v>767</v>
      </c>
      <c r="N10124" t="str" cm="1">
        <f t="array" ref="N10124">IF(MOD(ROW()-ROW($B$2),16)=0,INDEX($M$2:$M$1000,(ROW()-ROW($B$2))/16+1),"")</f>
        <v/>
      </c>
    </row>
    <row r="10125" spans="2:14" x14ac:dyDescent="0.3">
      <c r="B10125" t="s">
        <v>768</v>
      </c>
      <c r="N10125" t="str" cm="1">
        <f t="array" ref="N10125">IF(MOD(ROW()-ROW($B$2),16)=0,INDEX($M$2:$M$1000,(ROW()-ROW($B$2))/16+1),"")</f>
        <v/>
      </c>
    </row>
    <row r="10126" spans="2:14" x14ac:dyDescent="0.3">
      <c r="B10126" t="s">
        <v>769</v>
      </c>
      <c r="N10126" t="str" cm="1">
        <f t="array" ref="N10126">IF(MOD(ROW()-ROW($B$2),16)=0,INDEX($M$2:$M$1000,(ROW()-ROW($B$2))/16+1),"")</f>
        <v/>
      </c>
    </row>
    <row r="10127" spans="2:14" x14ac:dyDescent="0.3">
      <c r="B10127" t="s">
        <v>770</v>
      </c>
      <c r="N10127" t="str" cm="1">
        <f t="array" ref="N10127">IF(MOD(ROW()-ROW($B$2),16)=0,INDEX($M$2:$M$1000,(ROW()-ROW($B$2))/16+1),"")</f>
        <v/>
      </c>
    </row>
    <row r="10128" spans="2:14" x14ac:dyDescent="0.3">
      <c r="B10128" t="s">
        <v>771</v>
      </c>
      <c r="N10128" t="str" cm="1">
        <f t="array" ref="N10128">IF(MOD(ROW()-ROW($B$2),16)=0,INDEX($M$2:$M$1000,(ROW()-ROW($B$2))/16+1),"")</f>
        <v/>
      </c>
    </row>
    <row r="10129" spans="2:14" x14ac:dyDescent="0.3">
      <c r="B10129" t="s">
        <v>772</v>
      </c>
      <c r="N10129" t="str" cm="1">
        <f t="array" ref="N10129">IF(MOD(ROW()-ROW($B$2),16)=0,INDEX($M$2:$M$1000,(ROW()-ROW($B$2))/16+1),"")</f>
        <v/>
      </c>
    </row>
    <row r="10130" spans="2:14" x14ac:dyDescent="0.3">
      <c r="B10130" t="s">
        <v>773</v>
      </c>
      <c r="N10130" t="str" cm="1">
        <f t="array" ref="N10130">IF(MOD(ROW()-ROW($B$2),16)=0,INDEX($M$2:$M$1000,(ROW()-ROW($B$2))/16+1),"")</f>
        <v/>
      </c>
    </row>
    <row r="10131" spans="2:14" x14ac:dyDescent="0.3">
      <c r="B10131" t="s">
        <v>774</v>
      </c>
      <c r="N10131" t="str" cm="1">
        <f t="array" ref="N10131">IF(MOD(ROW()-ROW($B$2),16)=0,INDEX($M$2:$M$1000,(ROW()-ROW($B$2))/16+1),"")</f>
        <v/>
      </c>
    </row>
    <row r="10132" spans="2:14" x14ac:dyDescent="0.3">
      <c r="B10132" t="s">
        <v>775</v>
      </c>
      <c r="N10132" t="str" cm="1">
        <f t="array" ref="N10132">IF(MOD(ROW()-ROW($B$2),16)=0,INDEX($M$2:$M$1000,(ROW()-ROW($B$2))/16+1),"")</f>
        <v/>
      </c>
    </row>
    <row r="10133" spans="2:14" x14ac:dyDescent="0.3">
      <c r="B10133" t="s">
        <v>776</v>
      </c>
      <c r="N10133" t="str" cm="1">
        <f t="array" ref="N10133">IF(MOD(ROW()-ROW($B$2),16)=0,INDEX($M$2:$M$1000,(ROW()-ROW($B$2))/16+1),"")</f>
        <v/>
      </c>
    </row>
    <row r="10134" spans="2:14" x14ac:dyDescent="0.3">
      <c r="B10134" t="s">
        <v>777</v>
      </c>
      <c r="N10134" t="str" cm="1">
        <f t="array" ref="N10134">IF(MOD(ROW()-ROW($B$2),16)=0,INDEX($M$2:$M$1000,(ROW()-ROW($B$2))/16+1),"")</f>
        <v/>
      </c>
    </row>
    <row r="10135" spans="2:14" x14ac:dyDescent="0.3">
      <c r="B10135" t="s">
        <v>778</v>
      </c>
      <c r="N10135" t="str" cm="1">
        <f t="array" ref="N10135">IF(MOD(ROW()-ROW($B$2),16)=0,INDEX($M$2:$M$1000,(ROW()-ROW($B$2))/16+1),"")</f>
        <v/>
      </c>
    </row>
    <row r="10136" spans="2:14" x14ac:dyDescent="0.3">
      <c r="B10136" t="s">
        <v>779</v>
      </c>
      <c r="N10136" t="str" cm="1">
        <f t="array" ref="N10136">IF(MOD(ROW()-ROW($B$2),16)=0,INDEX($M$2:$M$1000,(ROW()-ROW($B$2))/16+1),"")</f>
        <v/>
      </c>
    </row>
    <row r="10137" spans="2:14" x14ac:dyDescent="0.3">
      <c r="B10137" t="s">
        <v>780</v>
      </c>
      <c r="N10137" t="str" cm="1">
        <f t="array" ref="N10137">IF(MOD(ROW()-ROW($B$2),16)=0,INDEX($M$2:$M$1000,(ROW()-ROW($B$2))/16+1),"")</f>
        <v/>
      </c>
    </row>
    <row r="10138" spans="2:14" x14ac:dyDescent="0.3">
      <c r="B10138" t="s">
        <v>781</v>
      </c>
      <c r="N10138" t="str" cm="1">
        <f t="array" ref="N10138">IF(MOD(ROW()-ROW($B$2),16)=0,INDEX($M$2:$M$1000,(ROW()-ROW($B$2))/16+1),"")</f>
        <v/>
      </c>
    </row>
    <row r="10139" spans="2:14" x14ac:dyDescent="0.3">
      <c r="B10139" t="s">
        <v>782</v>
      </c>
      <c r="N10139" t="str" cm="1">
        <f t="array" ref="N10139">IF(MOD(ROW()-ROW($B$2),16)=0,INDEX($M$2:$M$1000,(ROW()-ROW($B$2))/16+1),"")</f>
        <v/>
      </c>
    </row>
    <row r="10140" spans="2:14" x14ac:dyDescent="0.3">
      <c r="B10140" t="s">
        <v>783</v>
      </c>
      <c r="N10140" t="str" cm="1">
        <f t="array" ref="N10140">IF(MOD(ROW()-ROW($B$2),16)=0,INDEX($M$2:$M$1000,(ROW()-ROW($B$2))/16+1),"")</f>
        <v/>
      </c>
    </row>
    <row r="10141" spans="2:14" x14ac:dyDescent="0.3">
      <c r="B10141" t="s">
        <v>784</v>
      </c>
      <c r="N10141" t="str" cm="1">
        <f t="array" ref="N10141">IF(MOD(ROW()-ROW($B$2),16)=0,INDEX($M$2:$M$1000,(ROW()-ROW($B$2))/16+1),"")</f>
        <v/>
      </c>
    </row>
    <row r="10142" spans="2:14" x14ac:dyDescent="0.3">
      <c r="B10142" t="s">
        <v>785</v>
      </c>
      <c r="N10142" t="str" cm="1">
        <f t="array" ref="N10142">IF(MOD(ROW()-ROW($B$2),16)=0,INDEX($M$2:$M$1000,(ROW()-ROW($B$2))/16+1),"")</f>
        <v/>
      </c>
    </row>
    <row r="10143" spans="2:14" x14ac:dyDescent="0.3">
      <c r="B10143" t="s">
        <v>786</v>
      </c>
      <c r="N10143" t="str" cm="1">
        <f t="array" ref="N10143">IF(MOD(ROW()-ROW($B$2),16)=0,INDEX($M$2:$M$1000,(ROW()-ROW($B$2))/16+1),"")</f>
        <v/>
      </c>
    </row>
    <row r="10144" spans="2:14" x14ac:dyDescent="0.3">
      <c r="B10144" t="s">
        <v>787</v>
      </c>
      <c r="N10144" t="str" cm="1">
        <f t="array" ref="N10144">IF(MOD(ROW()-ROW($B$2),16)=0,INDEX($M$2:$M$1000,(ROW()-ROW($B$2))/16+1),"")</f>
        <v/>
      </c>
    </row>
    <row r="10145" spans="2:14" x14ac:dyDescent="0.3">
      <c r="B10145" t="s">
        <v>788</v>
      </c>
      <c r="N10145" t="str" cm="1">
        <f t="array" ref="N10145">IF(MOD(ROW()-ROW($B$2),16)=0,INDEX($M$2:$M$1000,(ROW()-ROW($B$2))/16+1),"")</f>
        <v/>
      </c>
    </row>
    <row r="10146" spans="2:14" x14ac:dyDescent="0.3">
      <c r="B10146" t="s">
        <v>789</v>
      </c>
      <c r="N10146" t="str" cm="1">
        <f t="array" ref="N10146">IF(MOD(ROW()-ROW($B$2),16)=0,INDEX($M$2:$M$1000,(ROW()-ROW($B$2))/16+1),"")</f>
        <v/>
      </c>
    </row>
    <row r="10147" spans="2:14" x14ac:dyDescent="0.3">
      <c r="B10147" t="s">
        <v>790</v>
      </c>
      <c r="N10147" t="str" cm="1">
        <f t="array" ref="N10147">IF(MOD(ROW()-ROW($B$2),16)=0,INDEX($M$2:$M$1000,(ROW()-ROW($B$2))/16+1),"")</f>
        <v/>
      </c>
    </row>
    <row r="10148" spans="2:14" x14ac:dyDescent="0.3">
      <c r="B10148" t="s">
        <v>791</v>
      </c>
      <c r="N10148" t="str" cm="1">
        <f t="array" ref="N10148">IF(MOD(ROW()-ROW($B$2),16)=0,INDEX($M$2:$M$1000,(ROW()-ROW($B$2))/16+1),"")</f>
        <v/>
      </c>
    </row>
    <row r="10149" spans="2:14" x14ac:dyDescent="0.3">
      <c r="B10149" t="s">
        <v>792</v>
      </c>
      <c r="N10149" t="str" cm="1">
        <f t="array" ref="N10149">IF(MOD(ROW()-ROW($B$2),16)=0,INDEX($M$2:$M$1000,(ROW()-ROW($B$2))/16+1),"")</f>
        <v/>
      </c>
    </row>
    <row r="10150" spans="2:14" x14ac:dyDescent="0.3">
      <c r="B10150" t="s">
        <v>793</v>
      </c>
      <c r="N10150" t="str" cm="1">
        <f t="array" ref="N10150">IF(MOD(ROW()-ROW($B$2),16)=0,INDEX($M$2:$M$1000,(ROW()-ROW($B$2))/16+1),"")</f>
        <v/>
      </c>
    </row>
    <row r="10151" spans="2:14" x14ac:dyDescent="0.3">
      <c r="B10151" t="s">
        <v>794</v>
      </c>
      <c r="N10151" t="str" cm="1">
        <f t="array" ref="N10151">IF(MOD(ROW()-ROW($B$2),16)=0,INDEX($M$2:$M$1000,(ROW()-ROW($B$2))/16+1),"")</f>
        <v/>
      </c>
    </row>
    <row r="10152" spans="2:14" x14ac:dyDescent="0.3">
      <c r="B10152" t="s">
        <v>795</v>
      </c>
      <c r="N10152" t="str" cm="1">
        <f t="array" ref="N10152">IF(MOD(ROW()-ROW($B$2),16)=0,INDEX($M$2:$M$1000,(ROW()-ROW($B$2))/16+1),"")</f>
        <v/>
      </c>
    </row>
    <row r="10153" spans="2:14" x14ac:dyDescent="0.3">
      <c r="B10153" t="s">
        <v>796</v>
      </c>
      <c r="N10153" t="str" cm="1">
        <f t="array" ref="N10153">IF(MOD(ROW()-ROW($B$2),16)=0,INDEX($M$2:$M$1000,(ROW()-ROW($B$2))/16+1),"")</f>
        <v/>
      </c>
    </row>
    <row r="10154" spans="2:14" x14ac:dyDescent="0.3">
      <c r="B10154" t="s">
        <v>797</v>
      </c>
      <c r="N10154" t="str" cm="1">
        <f t="array" ref="N10154">IF(MOD(ROW()-ROW($B$2),16)=0,INDEX($M$2:$M$1000,(ROW()-ROW($B$2))/16+1),"")</f>
        <v/>
      </c>
    </row>
    <row r="10155" spans="2:14" x14ac:dyDescent="0.3">
      <c r="B10155" t="s">
        <v>798</v>
      </c>
      <c r="N10155" t="str" cm="1">
        <f t="array" ref="N10155">IF(MOD(ROW()-ROW($B$2),16)=0,INDEX($M$2:$M$1000,(ROW()-ROW($B$2))/16+1),"")</f>
        <v/>
      </c>
    </row>
    <row r="10156" spans="2:14" x14ac:dyDescent="0.3">
      <c r="B10156" t="s">
        <v>799</v>
      </c>
      <c r="N10156" t="str" cm="1">
        <f t="array" ref="N10156">IF(MOD(ROW()-ROW($B$2),16)=0,INDEX($M$2:$M$1000,(ROW()-ROW($B$2))/16+1),"")</f>
        <v/>
      </c>
    </row>
    <row r="10157" spans="2:14" x14ac:dyDescent="0.3">
      <c r="B10157" t="s">
        <v>800</v>
      </c>
      <c r="N10157" t="str" cm="1">
        <f t="array" ref="N10157">IF(MOD(ROW()-ROW($B$2),16)=0,INDEX($M$2:$M$1000,(ROW()-ROW($B$2))/16+1),"")</f>
        <v/>
      </c>
    </row>
    <row r="10158" spans="2:14" x14ac:dyDescent="0.3">
      <c r="B10158" t="s">
        <v>801</v>
      </c>
      <c r="N10158" t="str" cm="1">
        <f t="array" ref="N10158">IF(MOD(ROW()-ROW($B$2),16)=0,INDEX($M$2:$M$1000,(ROW()-ROW($B$2))/16+1),"")</f>
        <v/>
      </c>
    </row>
    <row r="10159" spans="2:14" x14ac:dyDescent="0.3">
      <c r="B10159" t="s">
        <v>802</v>
      </c>
      <c r="N10159" t="str" cm="1">
        <f t="array" ref="N10159">IF(MOD(ROW()-ROW($B$2),16)=0,INDEX($M$2:$M$1000,(ROW()-ROW($B$2))/16+1),"")</f>
        <v/>
      </c>
    </row>
    <row r="10160" spans="2:14" x14ac:dyDescent="0.3">
      <c r="B10160" t="s">
        <v>803</v>
      </c>
      <c r="N10160" t="str" cm="1">
        <f t="array" ref="N10160">IF(MOD(ROW()-ROW($B$2),16)=0,INDEX($M$2:$M$1000,(ROW()-ROW($B$2))/16+1),"")</f>
        <v/>
      </c>
    </row>
    <row r="10161" spans="2:14" x14ac:dyDescent="0.3">
      <c r="B10161" t="s">
        <v>804</v>
      </c>
      <c r="N10161" t="str" cm="1">
        <f t="array" ref="N10161">IF(MOD(ROW()-ROW($B$2),16)=0,INDEX($M$2:$M$1000,(ROW()-ROW($B$2))/16+1),"")</f>
        <v/>
      </c>
    </row>
    <row r="10162" spans="2:14" x14ac:dyDescent="0.3">
      <c r="B10162" t="s">
        <v>805</v>
      </c>
      <c r="N10162" t="str" cm="1">
        <f t="array" ref="N10162">IF(MOD(ROW()-ROW($B$2),16)=0,INDEX($M$2:$M$1000,(ROW()-ROW($B$2))/16+1),"")</f>
        <v/>
      </c>
    </row>
    <row r="10163" spans="2:14" x14ac:dyDescent="0.3">
      <c r="B10163" t="s">
        <v>806</v>
      </c>
      <c r="N10163" t="str" cm="1">
        <f t="array" ref="N10163">IF(MOD(ROW()-ROW($B$2),16)=0,INDEX($M$2:$M$1000,(ROW()-ROW($B$2))/16+1),"")</f>
        <v/>
      </c>
    </row>
    <row r="10164" spans="2:14" x14ac:dyDescent="0.3">
      <c r="B10164" t="s">
        <v>807</v>
      </c>
      <c r="N10164" t="str" cm="1">
        <f t="array" ref="N10164">IF(MOD(ROW()-ROW($B$2),16)=0,INDEX($M$2:$M$1000,(ROW()-ROW($B$2))/16+1),"")</f>
        <v/>
      </c>
    </row>
    <row r="10165" spans="2:14" x14ac:dyDescent="0.3">
      <c r="B10165" t="s">
        <v>808</v>
      </c>
      <c r="N10165" t="str" cm="1">
        <f t="array" ref="N10165">IF(MOD(ROW()-ROW($B$2),16)=0,INDEX($M$2:$M$1000,(ROW()-ROW($B$2))/16+1),"")</f>
        <v/>
      </c>
    </row>
    <row r="10166" spans="2:14" x14ac:dyDescent="0.3">
      <c r="B10166" t="s">
        <v>809</v>
      </c>
      <c r="N10166" t="str" cm="1">
        <f t="array" ref="N10166">IF(MOD(ROW()-ROW($B$2),16)=0,INDEX($M$2:$M$1000,(ROW()-ROW($B$2))/16+1),"")</f>
        <v/>
      </c>
    </row>
    <row r="10167" spans="2:14" x14ac:dyDescent="0.3">
      <c r="B10167" t="s">
        <v>810</v>
      </c>
      <c r="N10167" t="str" cm="1">
        <f t="array" ref="N10167">IF(MOD(ROW()-ROW($B$2),16)=0,INDEX($M$2:$M$1000,(ROW()-ROW($B$2))/16+1),"")</f>
        <v/>
      </c>
    </row>
    <row r="10168" spans="2:14" x14ac:dyDescent="0.3">
      <c r="B10168" t="s">
        <v>811</v>
      </c>
      <c r="N10168" t="str" cm="1">
        <f t="array" ref="N10168">IF(MOD(ROW()-ROW($B$2),16)=0,INDEX($M$2:$M$1000,(ROW()-ROW($B$2))/16+1),"")</f>
        <v/>
      </c>
    </row>
    <row r="10169" spans="2:14" x14ac:dyDescent="0.3">
      <c r="B10169" t="s">
        <v>812</v>
      </c>
      <c r="N10169" t="str" cm="1">
        <f t="array" ref="N10169">IF(MOD(ROW()-ROW($B$2),16)=0,INDEX($M$2:$M$1000,(ROW()-ROW($B$2))/16+1),"")</f>
        <v/>
      </c>
    </row>
    <row r="10170" spans="2:14" x14ac:dyDescent="0.3">
      <c r="B10170" t="s">
        <v>813</v>
      </c>
      <c r="N10170" t="str" cm="1">
        <f t="array" ref="N10170">IF(MOD(ROW()-ROW($B$2),16)=0,INDEX($M$2:$M$1000,(ROW()-ROW($B$2))/16+1),"")</f>
        <v/>
      </c>
    </row>
    <row r="10171" spans="2:14" x14ac:dyDescent="0.3">
      <c r="B10171" t="s">
        <v>814</v>
      </c>
      <c r="N10171" t="str" cm="1">
        <f t="array" ref="N10171">IF(MOD(ROW()-ROW($B$2),16)=0,INDEX($M$2:$M$1000,(ROW()-ROW($B$2))/16+1),"")</f>
        <v/>
      </c>
    </row>
    <row r="10172" spans="2:14" x14ac:dyDescent="0.3">
      <c r="B10172" t="s">
        <v>815</v>
      </c>
      <c r="N10172" t="str" cm="1">
        <f t="array" ref="N10172">IF(MOD(ROW()-ROW($B$2),16)=0,INDEX($M$2:$M$1000,(ROW()-ROW($B$2))/16+1),"")</f>
        <v/>
      </c>
    </row>
    <row r="10173" spans="2:14" x14ac:dyDescent="0.3">
      <c r="B10173" t="s">
        <v>816</v>
      </c>
      <c r="N10173" t="str" cm="1">
        <f t="array" ref="N10173">IF(MOD(ROW()-ROW($B$2),16)=0,INDEX($M$2:$M$1000,(ROW()-ROW($B$2))/16+1),"")</f>
        <v/>
      </c>
    </row>
    <row r="10174" spans="2:14" x14ac:dyDescent="0.3">
      <c r="B10174" t="s">
        <v>817</v>
      </c>
      <c r="N10174" t="str" cm="1">
        <f t="array" ref="N10174">IF(MOD(ROW()-ROW($B$2),16)=0,INDEX($M$2:$M$1000,(ROW()-ROW($B$2))/16+1),"")</f>
        <v/>
      </c>
    </row>
    <row r="10175" spans="2:14" x14ac:dyDescent="0.3">
      <c r="B10175" t="s">
        <v>818</v>
      </c>
      <c r="N10175" t="str" cm="1">
        <f t="array" ref="N10175">IF(MOD(ROW()-ROW($B$2),16)=0,INDEX($M$2:$M$1000,(ROW()-ROW($B$2))/16+1),"")</f>
        <v/>
      </c>
    </row>
    <row r="10176" spans="2:14" x14ac:dyDescent="0.3">
      <c r="B10176" t="s">
        <v>819</v>
      </c>
      <c r="N10176" t="str" cm="1">
        <f t="array" ref="N10176">IF(MOD(ROW()-ROW($B$2),16)=0,INDEX($M$2:$M$1000,(ROW()-ROW($B$2))/16+1),"")</f>
        <v/>
      </c>
    </row>
    <row r="10177" spans="2:14" x14ac:dyDescent="0.3">
      <c r="B10177" t="s">
        <v>820</v>
      </c>
      <c r="N10177" t="str" cm="1">
        <f t="array" ref="N10177">IF(MOD(ROW()-ROW($B$2),16)=0,INDEX($M$2:$M$1000,(ROW()-ROW($B$2))/16+1),"")</f>
        <v/>
      </c>
    </row>
    <row r="10178" spans="2:14" x14ac:dyDescent="0.3">
      <c r="B10178" t="s">
        <v>821</v>
      </c>
      <c r="N10178" t="str" cm="1">
        <f t="array" ref="N10178">IF(MOD(ROW()-ROW($B$2),16)=0,INDEX($M$2:$M$1000,(ROW()-ROW($B$2))/16+1),"")</f>
        <v/>
      </c>
    </row>
    <row r="10179" spans="2:14" x14ac:dyDescent="0.3">
      <c r="B10179" t="s">
        <v>822</v>
      </c>
      <c r="N10179" t="str" cm="1">
        <f t="array" ref="N10179">IF(MOD(ROW()-ROW($B$2),16)=0,INDEX($M$2:$M$1000,(ROW()-ROW($B$2))/16+1),"")</f>
        <v/>
      </c>
    </row>
    <row r="10180" spans="2:14" x14ac:dyDescent="0.3">
      <c r="B10180" t="s">
        <v>823</v>
      </c>
      <c r="N10180" t="str" cm="1">
        <f t="array" ref="N10180">IF(MOD(ROW()-ROW($B$2),16)=0,INDEX($M$2:$M$1000,(ROW()-ROW($B$2))/16+1),"")</f>
        <v/>
      </c>
    </row>
    <row r="10181" spans="2:14" x14ac:dyDescent="0.3">
      <c r="B10181" t="s">
        <v>824</v>
      </c>
      <c r="N10181" t="str" cm="1">
        <f t="array" ref="N10181">IF(MOD(ROW()-ROW($B$2),16)=0,INDEX($M$2:$M$1000,(ROW()-ROW($B$2))/16+1),"")</f>
        <v/>
      </c>
    </row>
    <row r="10182" spans="2:14" x14ac:dyDescent="0.3">
      <c r="B10182" t="s">
        <v>825</v>
      </c>
      <c r="N10182" t="str" cm="1">
        <f t="array" ref="N10182">IF(MOD(ROW()-ROW($B$2),16)=0,INDEX($M$2:$M$1000,(ROW()-ROW($B$2))/16+1),"")</f>
        <v/>
      </c>
    </row>
    <row r="10183" spans="2:14" x14ac:dyDescent="0.3">
      <c r="B10183" t="s">
        <v>826</v>
      </c>
      <c r="N10183" t="str" cm="1">
        <f t="array" ref="N10183">IF(MOD(ROW()-ROW($B$2),16)=0,INDEX($M$2:$M$1000,(ROW()-ROW($B$2))/16+1),"")</f>
        <v/>
      </c>
    </row>
    <row r="10184" spans="2:14" x14ac:dyDescent="0.3">
      <c r="B10184" t="s">
        <v>827</v>
      </c>
      <c r="N10184" t="str" cm="1">
        <f t="array" ref="N10184">IF(MOD(ROW()-ROW($B$2),16)=0,INDEX($M$2:$M$1000,(ROW()-ROW($B$2))/16+1),"")</f>
        <v/>
      </c>
    </row>
    <row r="10185" spans="2:14" x14ac:dyDescent="0.3">
      <c r="B10185" t="s">
        <v>828</v>
      </c>
      <c r="N10185" t="str" cm="1">
        <f t="array" ref="N10185">IF(MOD(ROW()-ROW($B$2),16)=0,INDEX($M$2:$M$1000,(ROW()-ROW($B$2))/16+1),"")</f>
        <v/>
      </c>
    </row>
    <row r="10186" spans="2:14" x14ac:dyDescent="0.3">
      <c r="B10186" t="s">
        <v>829</v>
      </c>
      <c r="N10186" t="str" cm="1">
        <f t="array" ref="N10186">IF(MOD(ROW()-ROW($B$2),16)=0,INDEX($M$2:$M$1000,(ROW()-ROW($B$2))/16+1),"")</f>
        <v/>
      </c>
    </row>
    <row r="10187" spans="2:14" x14ac:dyDescent="0.3">
      <c r="B10187" t="s">
        <v>830</v>
      </c>
      <c r="N10187" t="str" cm="1">
        <f t="array" ref="N10187">IF(MOD(ROW()-ROW($B$2),16)=0,INDEX($M$2:$M$1000,(ROW()-ROW($B$2))/16+1),"")</f>
        <v/>
      </c>
    </row>
    <row r="10188" spans="2:14" x14ac:dyDescent="0.3">
      <c r="B10188" t="s">
        <v>831</v>
      </c>
      <c r="N10188" t="str" cm="1">
        <f t="array" ref="N10188">IF(MOD(ROW()-ROW($B$2),16)=0,INDEX($M$2:$M$1000,(ROW()-ROW($B$2))/16+1),"")</f>
        <v/>
      </c>
    </row>
    <row r="10189" spans="2:14" x14ac:dyDescent="0.3">
      <c r="B10189" t="s">
        <v>832</v>
      </c>
      <c r="N10189" t="str" cm="1">
        <f t="array" ref="N10189">IF(MOD(ROW()-ROW($B$2),16)=0,INDEX($M$2:$M$1000,(ROW()-ROW($B$2))/16+1),"")</f>
        <v/>
      </c>
    </row>
    <row r="10190" spans="2:14" x14ac:dyDescent="0.3">
      <c r="B10190" t="s">
        <v>833</v>
      </c>
      <c r="N10190" t="str" cm="1">
        <f t="array" ref="N10190">IF(MOD(ROW()-ROW($B$2),16)=0,INDEX($M$2:$M$1000,(ROW()-ROW($B$2))/16+1),"")</f>
        <v/>
      </c>
    </row>
    <row r="10191" spans="2:14" x14ac:dyDescent="0.3">
      <c r="B10191" t="s">
        <v>834</v>
      </c>
      <c r="N10191" t="str" cm="1">
        <f t="array" ref="N10191">IF(MOD(ROW()-ROW($B$2),16)=0,INDEX($M$2:$M$1000,(ROW()-ROW($B$2))/16+1),"")</f>
        <v/>
      </c>
    </row>
    <row r="10192" spans="2:14" x14ac:dyDescent="0.3">
      <c r="B10192" t="s">
        <v>835</v>
      </c>
      <c r="N10192" t="str" cm="1">
        <f t="array" ref="N10192">IF(MOD(ROW()-ROW($B$2),16)=0,INDEX($M$2:$M$1000,(ROW()-ROW($B$2))/16+1),"")</f>
        <v/>
      </c>
    </row>
    <row r="10193" spans="2:14" x14ac:dyDescent="0.3">
      <c r="B10193" t="s">
        <v>836</v>
      </c>
      <c r="N10193" t="str" cm="1">
        <f t="array" ref="N10193">IF(MOD(ROW()-ROW($B$2),16)=0,INDEX($M$2:$M$1000,(ROW()-ROW($B$2))/16+1),"")</f>
        <v/>
      </c>
    </row>
    <row r="10194" spans="2:14" x14ac:dyDescent="0.3">
      <c r="B10194" t="s">
        <v>837</v>
      </c>
      <c r="N10194" t="str" cm="1">
        <f t="array" ref="N10194">IF(MOD(ROW()-ROW($B$2),16)=0,INDEX($M$2:$M$1000,(ROW()-ROW($B$2))/16+1),"")</f>
        <v/>
      </c>
    </row>
    <row r="10195" spans="2:14" x14ac:dyDescent="0.3">
      <c r="B10195" t="s">
        <v>838</v>
      </c>
      <c r="N10195" t="str" cm="1">
        <f t="array" ref="N10195">IF(MOD(ROW()-ROW($B$2),16)=0,INDEX($M$2:$M$1000,(ROW()-ROW($B$2))/16+1),"")</f>
        <v/>
      </c>
    </row>
    <row r="10196" spans="2:14" x14ac:dyDescent="0.3">
      <c r="B10196" t="s">
        <v>839</v>
      </c>
      <c r="N10196" t="str" cm="1">
        <f t="array" ref="N10196">IF(MOD(ROW()-ROW($B$2),16)=0,INDEX($M$2:$M$1000,(ROW()-ROW($B$2))/16+1),"")</f>
        <v/>
      </c>
    </row>
    <row r="10197" spans="2:14" x14ac:dyDescent="0.3">
      <c r="B10197" t="s">
        <v>840</v>
      </c>
      <c r="N10197" t="str" cm="1">
        <f t="array" ref="N10197">IF(MOD(ROW()-ROW($B$2),16)=0,INDEX($M$2:$M$1000,(ROW()-ROW($B$2))/16+1),"")</f>
        <v/>
      </c>
    </row>
    <row r="10198" spans="2:14" x14ac:dyDescent="0.3">
      <c r="B10198" t="s">
        <v>841</v>
      </c>
      <c r="N10198" t="str" cm="1">
        <f t="array" ref="N10198">IF(MOD(ROW()-ROW($B$2),16)=0,INDEX($M$2:$M$1000,(ROW()-ROW($B$2))/16+1),"")</f>
        <v/>
      </c>
    </row>
    <row r="10199" spans="2:14" x14ac:dyDescent="0.3">
      <c r="B10199" t="s">
        <v>842</v>
      </c>
      <c r="N10199" t="str" cm="1">
        <f t="array" ref="N10199">IF(MOD(ROW()-ROW($B$2),16)=0,INDEX($M$2:$M$1000,(ROW()-ROW($B$2))/16+1),"")</f>
        <v/>
      </c>
    </row>
    <row r="10200" spans="2:14" x14ac:dyDescent="0.3">
      <c r="B10200" t="s">
        <v>843</v>
      </c>
      <c r="N10200" t="str" cm="1">
        <f t="array" ref="N10200">IF(MOD(ROW()-ROW($B$2),16)=0,INDEX($M$2:$M$1000,(ROW()-ROW($B$2))/16+1),"")</f>
        <v/>
      </c>
    </row>
    <row r="10201" spans="2:14" x14ac:dyDescent="0.3">
      <c r="B10201" t="s">
        <v>844</v>
      </c>
      <c r="N10201" t="str" cm="1">
        <f t="array" ref="N10201">IF(MOD(ROW()-ROW($B$2),16)=0,INDEX($M$2:$M$1000,(ROW()-ROW($B$2))/16+1),"")</f>
        <v/>
      </c>
    </row>
    <row r="10202" spans="2:14" x14ac:dyDescent="0.3">
      <c r="B10202" t="s">
        <v>845</v>
      </c>
      <c r="N10202" t="str" cm="1">
        <f t="array" ref="N10202">IF(MOD(ROW()-ROW($B$2),16)=0,INDEX($M$2:$M$1000,(ROW()-ROW($B$2))/16+1),"")</f>
        <v/>
      </c>
    </row>
    <row r="10203" spans="2:14" x14ac:dyDescent="0.3">
      <c r="B10203" t="s">
        <v>846</v>
      </c>
      <c r="N10203" t="str" cm="1">
        <f t="array" ref="N10203">IF(MOD(ROW()-ROW($B$2),16)=0,INDEX($M$2:$M$1000,(ROW()-ROW($B$2))/16+1),"")</f>
        <v/>
      </c>
    </row>
    <row r="10204" spans="2:14" x14ac:dyDescent="0.3">
      <c r="B10204" t="s">
        <v>847</v>
      </c>
      <c r="N10204" t="str" cm="1">
        <f t="array" ref="N10204">IF(MOD(ROW()-ROW($B$2),16)=0,INDEX($M$2:$M$1000,(ROW()-ROW($B$2))/16+1),"")</f>
        <v/>
      </c>
    </row>
    <row r="10205" spans="2:14" x14ac:dyDescent="0.3">
      <c r="B10205" t="s">
        <v>848</v>
      </c>
      <c r="N10205" t="str" cm="1">
        <f t="array" ref="N10205">IF(MOD(ROW()-ROW($B$2),16)=0,INDEX($M$2:$M$1000,(ROW()-ROW($B$2))/16+1),"")</f>
        <v/>
      </c>
    </row>
    <row r="10206" spans="2:14" x14ac:dyDescent="0.3">
      <c r="B10206" t="s">
        <v>849</v>
      </c>
      <c r="N10206" t="str" cm="1">
        <f t="array" ref="N10206">IF(MOD(ROW()-ROW($B$2),16)=0,INDEX($M$2:$M$1000,(ROW()-ROW($B$2))/16+1),"")</f>
        <v/>
      </c>
    </row>
    <row r="10207" spans="2:14" x14ac:dyDescent="0.3">
      <c r="B10207" t="s">
        <v>850</v>
      </c>
      <c r="N10207" t="str" cm="1">
        <f t="array" ref="N10207">IF(MOD(ROW()-ROW($B$2),16)=0,INDEX($M$2:$M$1000,(ROW()-ROW($B$2))/16+1),"")</f>
        <v/>
      </c>
    </row>
    <row r="10208" spans="2:14" x14ac:dyDescent="0.3">
      <c r="B10208" t="s">
        <v>851</v>
      </c>
      <c r="N10208" t="str" cm="1">
        <f t="array" ref="N10208">IF(MOD(ROW()-ROW($B$2),16)=0,INDEX($M$2:$M$1000,(ROW()-ROW($B$2))/16+1),"")</f>
        <v/>
      </c>
    </row>
    <row r="10209" spans="2:14" x14ac:dyDescent="0.3">
      <c r="B10209" t="s">
        <v>852</v>
      </c>
      <c r="N10209" t="str" cm="1">
        <f t="array" ref="N10209">IF(MOD(ROW()-ROW($B$2),16)=0,INDEX($M$2:$M$1000,(ROW()-ROW($B$2))/16+1),"")</f>
        <v/>
      </c>
    </row>
    <row r="10210" spans="2:14" x14ac:dyDescent="0.3">
      <c r="B10210" t="s">
        <v>853</v>
      </c>
      <c r="N10210" t="str" cm="1">
        <f t="array" ref="N10210">IF(MOD(ROW()-ROW($B$2),16)=0,INDEX($M$2:$M$1000,(ROW()-ROW($B$2))/16+1),"")</f>
        <v/>
      </c>
    </row>
    <row r="10211" spans="2:14" x14ac:dyDescent="0.3">
      <c r="B10211" t="s">
        <v>854</v>
      </c>
      <c r="N10211" t="str" cm="1">
        <f t="array" ref="N10211">IF(MOD(ROW()-ROW($B$2),16)=0,INDEX($M$2:$M$1000,(ROW()-ROW($B$2))/16+1),"")</f>
        <v/>
      </c>
    </row>
    <row r="10212" spans="2:14" x14ac:dyDescent="0.3">
      <c r="B10212" t="s">
        <v>855</v>
      </c>
      <c r="N10212" t="str" cm="1">
        <f t="array" ref="N10212">IF(MOD(ROW()-ROW($B$2),16)=0,INDEX($M$2:$M$1000,(ROW()-ROW($B$2))/16+1),"")</f>
        <v/>
      </c>
    </row>
    <row r="10213" spans="2:14" x14ac:dyDescent="0.3">
      <c r="B10213" t="s">
        <v>856</v>
      </c>
      <c r="N10213" t="str" cm="1">
        <f t="array" ref="N10213">IF(MOD(ROW()-ROW($B$2),16)=0,INDEX($M$2:$M$1000,(ROW()-ROW($B$2))/16+1),"")</f>
        <v/>
      </c>
    </row>
    <row r="10214" spans="2:14" x14ac:dyDescent="0.3">
      <c r="B10214" t="s">
        <v>857</v>
      </c>
      <c r="N10214" t="str" cm="1">
        <f t="array" ref="N10214">IF(MOD(ROW()-ROW($B$2),16)=0,INDEX($M$2:$M$1000,(ROW()-ROW($B$2))/16+1),"")</f>
        <v/>
      </c>
    </row>
    <row r="10215" spans="2:14" x14ac:dyDescent="0.3">
      <c r="B10215" t="s">
        <v>858</v>
      </c>
      <c r="N10215" t="str" cm="1">
        <f t="array" ref="N10215">IF(MOD(ROW()-ROW($B$2),16)=0,INDEX($M$2:$M$1000,(ROW()-ROW($B$2))/16+1),"")</f>
        <v/>
      </c>
    </row>
    <row r="10216" spans="2:14" x14ac:dyDescent="0.3">
      <c r="B10216" t="s">
        <v>859</v>
      </c>
      <c r="N10216" t="str" cm="1">
        <f t="array" ref="N10216">IF(MOD(ROW()-ROW($B$2),16)=0,INDEX($M$2:$M$1000,(ROW()-ROW($B$2))/16+1),"")</f>
        <v/>
      </c>
    </row>
    <row r="10217" spans="2:14" x14ac:dyDescent="0.3">
      <c r="B10217" t="s">
        <v>860</v>
      </c>
      <c r="N10217" t="str" cm="1">
        <f t="array" ref="N10217">IF(MOD(ROW()-ROW($B$2),16)=0,INDEX($M$2:$M$1000,(ROW()-ROW($B$2))/16+1),"")</f>
        <v/>
      </c>
    </row>
    <row r="10218" spans="2:14" x14ac:dyDescent="0.3">
      <c r="B10218" t="s">
        <v>861</v>
      </c>
      <c r="N10218" t="str" cm="1">
        <f t="array" ref="N10218">IF(MOD(ROW()-ROW($B$2),16)=0,INDEX($M$2:$M$1000,(ROW()-ROW($B$2))/16+1),"")</f>
        <v/>
      </c>
    </row>
    <row r="10219" spans="2:14" x14ac:dyDescent="0.3">
      <c r="B10219" t="s">
        <v>862</v>
      </c>
      <c r="N10219" t="str" cm="1">
        <f t="array" ref="N10219">IF(MOD(ROW()-ROW($B$2),16)=0,INDEX($M$2:$M$1000,(ROW()-ROW($B$2))/16+1),"")</f>
        <v/>
      </c>
    </row>
    <row r="10220" spans="2:14" x14ac:dyDescent="0.3">
      <c r="B10220" t="s">
        <v>863</v>
      </c>
      <c r="N10220" t="str" cm="1">
        <f t="array" ref="N10220">IF(MOD(ROW()-ROW($B$2),16)=0,INDEX($M$2:$M$1000,(ROW()-ROW($B$2))/16+1),"")</f>
        <v/>
      </c>
    </row>
    <row r="10221" spans="2:14" x14ac:dyDescent="0.3">
      <c r="B10221" t="s">
        <v>864</v>
      </c>
      <c r="N10221" t="str" cm="1">
        <f t="array" ref="N10221">IF(MOD(ROW()-ROW($B$2),16)=0,INDEX($M$2:$M$1000,(ROW()-ROW($B$2))/16+1),"")</f>
        <v/>
      </c>
    </row>
    <row r="10222" spans="2:14" x14ac:dyDescent="0.3">
      <c r="B10222" t="s">
        <v>865</v>
      </c>
      <c r="N10222" t="str" cm="1">
        <f t="array" ref="N10222">IF(MOD(ROW()-ROW($B$2),16)=0,INDEX($M$2:$M$1000,(ROW()-ROW($B$2))/16+1),"")</f>
        <v/>
      </c>
    </row>
    <row r="10223" spans="2:14" x14ac:dyDescent="0.3">
      <c r="B10223" t="s">
        <v>866</v>
      </c>
      <c r="N10223" t="str" cm="1">
        <f t="array" ref="N10223">IF(MOD(ROW()-ROW($B$2),16)=0,INDEX($M$2:$M$1000,(ROW()-ROW($B$2))/16+1),"")</f>
        <v/>
      </c>
    </row>
    <row r="10224" spans="2:14" x14ac:dyDescent="0.3">
      <c r="B10224" t="s">
        <v>867</v>
      </c>
      <c r="N10224" t="str" cm="1">
        <f t="array" ref="N10224">IF(MOD(ROW()-ROW($B$2),16)=0,INDEX($M$2:$M$1000,(ROW()-ROW($B$2))/16+1),"")</f>
        <v/>
      </c>
    </row>
    <row r="10225" spans="2:14" x14ac:dyDescent="0.3">
      <c r="B10225" t="s">
        <v>868</v>
      </c>
      <c r="N10225" t="str" cm="1">
        <f t="array" ref="N10225">IF(MOD(ROW()-ROW($B$2),16)=0,INDEX($M$2:$M$1000,(ROW()-ROW($B$2))/16+1),"")</f>
        <v/>
      </c>
    </row>
    <row r="10226" spans="2:14" x14ac:dyDescent="0.3">
      <c r="B10226" t="s">
        <v>869</v>
      </c>
      <c r="N10226" t="str" cm="1">
        <f t="array" ref="N10226">IF(MOD(ROW()-ROW($B$2),16)=0,INDEX($M$2:$M$1000,(ROW()-ROW($B$2))/16+1),"")</f>
        <v/>
      </c>
    </row>
    <row r="10227" spans="2:14" x14ac:dyDescent="0.3">
      <c r="B10227" t="s">
        <v>870</v>
      </c>
      <c r="N10227" t="str" cm="1">
        <f t="array" ref="N10227">IF(MOD(ROW()-ROW($B$2),16)=0,INDEX($M$2:$M$1000,(ROW()-ROW($B$2))/16+1),"")</f>
        <v/>
      </c>
    </row>
    <row r="10228" spans="2:14" x14ac:dyDescent="0.3">
      <c r="B10228" t="s">
        <v>871</v>
      </c>
      <c r="N10228" t="str" cm="1">
        <f t="array" ref="N10228">IF(MOD(ROW()-ROW($B$2),16)=0,INDEX($M$2:$M$1000,(ROW()-ROW($B$2))/16+1),"")</f>
        <v/>
      </c>
    </row>
    <row r="10229" spans="2:14" x14ac:dyDescent="0.3">
      <c r="B10229" t="s">
        <v>872</v>
      </c>
      <c r="N10229" t="str" cm="1">
        <f t="array" ref="N10229">IF(MOD(ROW()-ROW($B$2),16)=0,INDEX($M$2:$M$1000,(ROW()-ROW($B$2))/16+1),"")</f>
        <v/>
      </c>
    </row>
    <row r="10230" spans="2:14" x14ac:dyDescent="0.3">
      <c r="B10230" t="s">
        <v>873</v>
      </c>
      <c r="N10230" t="str" cm="1">
        <f t="array" ref="N10230">IF(MOD(ROW()-ROW($B$2),16)=0,INDEX($M$2:$M$1000,(ROW()-ROW($B$2))/16+1),"")</f>
        <v/>
      </c>
    </row>
    <row r="10231" spans="2:14" x14ac:dyDescent="0.3">
      <c r="B10231" t="s">
        <v>874</v>
      </c>
      <c r="N10231" t="str" cm="1">
        <f t="array" ref="N10231">IF(MOD(ROW()-ROW($B$2),16)=0,INDEX($M$2:$M$1000,(ROW()-ROW($B$2))/16+1),"")</f>
        <v/>
      </c>
    </row>
    <row r="10232" spans="2:14" x14ac:dyDescent="0.3">
      <c r="B10232" t="s">
        <v>875</v>
      </c>
      <c r="N10232" t="str" cm="1">
        <f t="array" ref="N10232">IF(MOD(ROW()-ROW($B$2),16)=0,INDEX($M$2:$M$1000,(ROW()-ROW($B$2))/16+1),"")</f>
        <v/>
      </c>
    </row>
    <row r="10233" spans="2:14" x14ac:dyDescent="0.3">
      <c r="B10233" t="s">
        <v>876</v>
      </c>
      <c r="N10233" t="str" cm="1">
        <f t="array" ref="N10233">IF(MOD(ROW()-ROW($B$2),16)=0,INDEX($M$2:$M$1000,(ROW()-ROW($B$2))/16+1),"")</f>
        <v/>
      </c>
    </row>
    <row r="10234" spans="2:14" x14ac:dyDescent="0.3">
      <c r="B10234" t="s">
        <v>877</v>
      </c>
      <c r="N10234" t="str" cm="1">
        <f t="array" ref="N10234">IF(MOD(ROW()-ROW($B$2),16)=0,INDEX($M$2:$M$1000,(ROW()-ROW($B$2))/16+1),"")</f>
        <v/>
      </c>
    </row>
    <row r="10235" spans="2:14" x14ac:dyDescent="0.3">
      <c r="B10235" t="s">
        <v>878</v>
      </c>
      <c r="N10235" t="str" cm="1">
        <f t="array" ref="N10235">IF(MOD(ROW()-ROW($B$2),16)=0,INDEX($M$2:$M$1000,(ROW()-ROW($B$2))/16+1),"")</f>
        <v/>
      </c>
    </row>
    <row r="10236" spans="2:14" x14ac:dyDescent="0.3">
      <c r="B10236" t="s">
        <v>879</v>
      </c>
      <c r="N10236" t="str" cm="1">
        <f t="array" ref="N10236">IF(MOD(ROW()-ROW($B$2),16)=0,INDEX($M$2:$M$1000,(ROW()-ROW($B$2))/16+1),"")</f>
        <v/>
      </c>
    </row>
    <row r="10237" spans="2:14" x14ac:dyDescent="0.3">
      <c r="B10237" t="s">
        <v>880</v>
      </c>
      <c r="N10237" t="str" cm="1">
        <f t="array" ref="N10237">IF(MOD(ROW()-ROW($B$2),16)=0,INDEX($M$2:$M$1000,(ROW()-ROW($B$2))/16+1),"")</f>
        <v/>
      </c>
    </row>
    <row r="10238" spans="2:14" x14ac:dyDescent="0.3">
      <c r="B10238" t="s">
        <v>881</v>
      </c>
      <c r="N10238" t="str" cm="1">
        <f t="array" ref="N10238">IF(MOD(ROW()-ROW($B$2),16)=0,INDEX($M$2:$M$1000,(ROW()-ROW($B$2))/16+1),"")</f>
        <v/>
      </c>
    </row>
    <row r="10239" spans="2:14" x14ac:dyDescent="0.3">
      <c r="B10239" t="s">
        <v>882</v>
      </c>
      <c r="N10239" t="str" cm="1">
        <f t="array" ref="N10239">IF(MOD(ROW()-ROW($B$2),16)=0,INDEX($M$2:$M$1000,(ROW()-ROW($B$2))/16+1),"")</f>
        <v/>
      </c>
    </row>
    <row r="10240" spans="2:14" x14ac:dyDescent="0.3">
      <c r="B10240" t="s">
        <v>883</v>
      </c>
      <c r="N10240" t="str" cm="1">
        <f t="array" ref="N10240">IF(MOD(ROW()-ROW($B$2),16)=0,INDEX($M$2:$M$1000,(ROW()-ROW($B$2))/16+1),"")</f>
        <v/>
      </c>
    </row>
    <row r="10241" spans="2:14" x14ac:dyDescent="0.3">
      <c r="B10241" t="s">
        <v>884</v>
      </c>
      <c r="N10241" t="str" cm="1">
        <f t="array" ref="N10241">IF(MOD(ROW()-ROW($B$2),16)=0,INDEX($M$2:$M$1000,(ROW()-ROW($B$2))/16+1),"")</f>
        <v/>
      </c>
    </row>
    <row r="10242" spans="2:14" x14ac:dyDescent="0.3">
      <c r="B10242" t="s">
        <v>885</v>
      </c>
      <c r="N10242" t="str" cm="1">
        <f t="array" ref="N10242">IF(MOD(ROW()-ROW($B$2),16)=0,INDEX($M$2:$M$1000,(ROW()-ROW($B$2))/16+1),"")</f>
        <v/>
      </c>
    </row>
    <row r="10243" spans="2:14" x14ac:dyDescent="0.3">
      <c r="B10243" t="s">
        <v>886</v>
      </c>
      <c r="N10243" t="str" cm="1">
        <f t="array" ref="N10243">IF(MOD(ROW()-ROW($B$2),16)=0,INDEX($M$2:$M$1000,(ROW()-ROW($B$2))/16+1),"")</f>
        <v/>
      </c>
    </row>
    <row r="10244" spans="2:14" x14ac:dyDescent="0.3">
      <c r="B10244" t="s">
        <v>887</v>
      </c>
      <c r="N10244" t="str" cm="1">
        <f t="array" ref="N10244">IF(MOD(ROW()-ROW($B$2),16)=0,INDEX($M$2:$M$1000,(ROW()-ROW($B$2))/16+1),"")</f>
        <v/>
      </c>
    </row>
    <row r="10245" spans="2:14" x14ac:dyDescent="0.3">
      <c r="B10245" t="s">
        <v>888</v>
      </c>
      <c r="N10245" t="str" cm="1">
        <f t="array" ref="N10245">IF(MOD(ROW()-ROW($B$2),16)=0,INDEX($M$2:$M$1000,(ROW()-ROW($B$2))/16+1),"")</f>
        <v/>
      </c>
    </row>
    <row r="10246" spans="2:14" x14ac:dyDescent="0.3">
      <c r="B10246" t="s">
        <v>889</v>
      </c>
      <c r="N10246" t="str" cm="1">
        <f t="array" ref="N10246">IF(MOD(ROW()-ROW($B$2),16)=0,INDEX($M$2:$M$1000,(ROW()-ROW($B$2))/16+1),"")</f>
        <v/>
      </c>
    </row>
    <row r="10247" spans="2:14" x14ac:dyDescent="0.3">
      <c r="B10247" t="s">
        <v>890</v>
      </c>
      <c r="N10247" t="str" cm="1">
        <f t="array" ref="N10247">IF(MOD(ROW()-ROW($B$2),16)=0,INDEX($M$2:$M$1000,(ROW()-ROW($B$2))/16+1),"")</f>
        <v/>
      </c>
    </row>
    <row r="10248" spans="2:14" x14ac:dyDescent="0.3">
      <c r="B10248" t="s">
        <v>891</v>
      </c>
      <c r="N10248" t="str" cm="1">
        <f t="array" ref="N10248">IF(MOD(ROW()-ROW($B$2),16)=0,INDEX($M$2:$M$1000,(ROW()-ROW($B$2))/16+1),"")</f>
        <v/>
      </c>
    </row>
    <row r="10249" spans="2:14" x14ac:dyDescent="0.3">
      <c r="B10249" t="s">
        <v>892</v>
      </c>
      <c r="N10249" t="str" cm="1">
        <f t="array" ref="N10249">IF(MOD(ROW()-ROW($B$2),16)=0,INDEX($M$2:$M$1000,(ROW()-ROW($B$2))/16+1),"")</f>
        <v/>
      </c>
    </row>
    <row r="10250" spans="2:14" x14ac:dyDescent="0.3">
      <c r="B10250" t="s">
        <v>893</v>
      </c>
      <c r="N10250" t="str" cm="1">
        <f t="array" ref="N10250">IF(MOD(ROW()-ROW($B$2),16)=0,INDEX($M$2:$M$1000,(ROW()-ROW($B$2))/16+1),"")</f>
        <v/>
      </c>
    </row>
    <row r="10251" spans="2:14" x14ac:dyDescent="0.3">
      <c r="B10251" t="s">
        <v>894</v>
      </c>
      <c r="N10251" t="str" cm="1">
        <f t="array" ref="N10251">IF(MOD(ROW()-ROW($B$2),16)=0,INDEX($M$2:$M$1000,(ROW()-ROW($B$2))/16+1),"")</f>
        <v/>
      </c>
    </row>
    <row r="10252" spans="2:14" x14ac:dyDescent="0.3">
      <c r="B10252" t="s">
        <v>895</v>
      </c>
      <c r="N10252" t="str" cm="1">
        <f t="array" ref="N10252">IF(MOD(ROW()-ROW($B$2),16)=0,INDEX($M$2:$M$1000,(ROW()-ROW($B$2))/16+1),"")</f>
        <v/>
      </c>
    </row>
    <row r="10253" spans="2:14" x14ac:dyDescent="0.3">
      <c r="B10253" t="s">
        <v>896</v>
      </c>
      <c r="N10253" t="str" cm="1">
        <f t="array" ref="N10253">IF(MOD(ROW()-ROW($B$2),16)=0,INDEX($M$2:$M$1000,(ROW()-ROW($B$2))/16+1),"")</f>
        <v/>
      </c>
    </row>
    <row r="10254" spans="2:14" x14ac:dyDescent="0.3">
      <c r="B10254" t="s">
        <v>897</v>
      </c>
      <c r="N10254" t="str" cm="1">
        <f t="array" ref="N10254">IF(MOD(ROW()-ROW($B$2),16)=0,INDEX($M$2:$M$1000,(ROW()-ROW($B$2))/16+1),"")</f>
        <v/>
      </c>
    </row>
    <row r="10255" spans="2:14" x14ac:dyDescent="0.3">
      <c r="B10255" t="s">
        <v>898</v>
      </c>
      <c r="N10255" t="str" cm="1">
        <f t="array" ref="N10255">IF(MOD(ROW()-ROW($B$2),16)=0,INDEX($M$2:$M$1000,(ROW()-ROW($B$2))/16+1),"")</f>
        <v/>
      </c>
    </row>
    <row r="10256" spans="2:14" x14ac:dyDescent="0.3">
      <c r="B10256" t="s">
        <v>899</v>
      </c>
      <c r="N10256" t="str" cm="1">
        <f t="array" ref="N10256">IF(MOD(ROW()-ROW($B$2),16)=0,INDEX($M$2:$M$1000,(ROW()-ROW($B$2))/16+1),"")</f>
        <v/>
      </c>
    </row>
    <row r="10257" spans="2:14" x14ac:dyDescent="0.3">
      <c r="B10257" t="s">
        <v>900</v>
      </c>
      <c r="N10257" t="str" cm="1">
        <f t="array" ref="N10257">IF(MOD(ROW()-ROW($B$2),16)=0,INDEX($M$2:$M$1000,(ROW()-ROW($B$2))/16+1),"")</f>
        <v/>
      </c>
    </row>
    <row r="10258" spans="2:14" x14ac:dyDescent="0.3">
      <c r="B10258" t="s">
        <v>901</v>
      </c>
      <c r="N10258" t="str" cm="1">
        <f t="array" ref="N10258">IF(MOD(ROW()-ROW($B$2),16)=0,INDEX($M$2:$M$1000,(ROW()-ROW($B$2))/16+1),"")</f>
        <v/>
      </c>
    </row>
    <row r="10259" spans="2:14" x14ac:dyDescent="0.3">
      <c r="B10259" t="s">
        <v>902</v>
      </c>
      <c r="N10259" t="str" cm="1">
        <f t="array" ref="N10259">IF(MOD(ROW()-ROW($B$2),16)=0,INDEX($M$2:$M$1000,(ROW()-ROW($B$2))/16+1),"")</f>
        <v/>
      </c>
    </row>
    <row r="10260" spans="2:14" x14ac:dyDescent="0.3">
      <c r="B10260" t="s">
        <v>903</v>
      </c>
      <c r="N10260" t="str" cm="1">
        <f t="array" ref="N10260">IF(MOD(ROW()-ROW($B$2),16)=0,INDEX($M$2:$M$1000,(ROW()-ROW($B$2))/16+1),"")</f>
        <v/>
      </c>
    </row>
    <row r="10261" spans="2:14" x14ac:dyDescent="0.3">
      <c r="B10261" t="s">
        <v>904</v>
      </c>
      <c r="N10261" t="str" cm="1">
        <f t="array" ref="N10261">IF(MOD(ROW()-ROW($B$2),16)=0,INDEX($M$2:$M$1000,(ROW()-ROW($B$2))/16+1),"")</f>
        <v/>
      </c>
    </row>
    <row r="10262" spans="2:14" x14ac:dyDescent="0.3">
      <c r="B10262" t="s">
        <v>905</v>
      </c>
      <c r="N10262" t="str" cm="1">
        <f t="array" ref="N10262">IF(MOD(ROW()-ROW($B$2),16)=0,INDEX($M$2:$M$1000,(ROW()-ROW($B$2))/16+1),"")</f>
        <v/>
      </c>
    </row>
    <row r="10263" spans="2:14" x14ac:dyDescent="0.3">
      <c r="B10263" t="s">
        <v>906</v>
      </c>
      <c r="N10263" t="str" cm="1">
        <f t="array" ref="N10263">IF(MOD(ROW()-ROW($B$2),16)=0,INDEX($M$2:$M$1000,(ROW()-ROW($B$2))/16+1),"")</f>
        <v/>
      </c>
    </row>
    <row r="10264" spans="2:14" x14ac:dyDescent="0.3">
      <c r="B10264" t="s">
        <v>907</v>
      </c>
      <c r="N10264" t="str" cm="1">
        <f t="array" ref="N10264">IF(MOD(ROW()-ROW($B$2),16)=0,INDEX($M$2:$M$1000,(ROW()-ROW($B$2))/16+1),"")</f>
        <v/>
      </c>
    </row>
    <row r="10265" spans="2:14" x14ac:dyDescent="0.3">
      <c r="B10265" t="s">
        <v>908</v>
      </c>
      <c r="N10265" t="str" cm="1">
        <f t="array" ref="N10265">IF(MOD(ROW()-ROW($B$2),16)=0,INDEX($M$2:$M$1000,(ROW()-ROW($B$2))/16+1),"")</f>
        <v/>
      </c>
    </row>
    <row r="10266" spans="2:14" x14ac:dyDescent="0.3">
      <c r="B10266" t="s">
        <v>909</v>
      </c>
      <c r="N10266" t="str" cm="1">
        <f t="array" ref="N10266">IF(MOD(ROW()-ROW($B$2),16)=0,INDEX($M$2:$M$1000,(ROW()-ROW($B$2))/16+1),"")</f>
        <v/>
      </c>
    </row>
    <row r="10267" spans="2:14" x14ac:dyDescent="0.3">
      <c r="B10267" t="s">
        <v>910</v>
      </c>
      <c r="N10267" t="str" cm="1">
        <f t="array" ref="N10267">IF(MOD(ROW()-ROW($B$2),16)=0,INDEX($M$2:$M$1000,(ROW()-ROW($B$2))/16+1),"")</f>
        <v/>
      </c>
    </row>
    <row r="10268" spans="2:14" x14ac:dyDescent="0.3">
      <c r="B10268" t="s">
        <v>911</v>
      </c>
      <c r="N10268" t="str" cm="1">
        <f t="array" ref="N10268">IF(MOD(ROW()-ROW($B$2),16)=0,INDEX($M$2:$M$1000,(ROW()-ROW($B$2))/16+1),"")</f>
        <v/>
      </c>
    </row>
    <row r="10269" spans="2:14" x14ac:dyDescent="0.3">
      <c r="B10269" t="s">
        <v>912</v>
      </c>
      <c r="N10269" t="str" cm="1">
        <f t="array" ref="N10269">IF(MOD(ROW()-ROW($B$2),16)=0,INDEX($M$2:$M$1000,(ROW()-ROW($B$2))/16+1),"")</f>
        <v/>
      </c>
    </row>
    <row r="10270" spans="2:14" x14ac:dyDescent="0.3">
      <c r="B10270" t="s">
        <v>913</v>
      </c>
      <c r="N10270" t="str" cm="1">
        <f t="array" ref="N10270">IF(MOD(ROW()-ROW($B$2),16)=0,INDEX($M$2:$M$1000,(ROW()-ROW($B$2))/16+1),"")</f>
        <v/>
      </c>
    </row>
    <row r="10271" spans="2:14" x14ac:dyDescent="0.3">
      <c r="B10271" t="s">
        <v>914</v>
      </c>
      <c r="N10271" t="str" cm="1">
        <f t="array" ref="N10271">IF(MOD(ROW()-ROW($B$2),16)=0,INDEX($M$2:$M$1000,(ROW()-ROW($B$2))/16+1),"")</f>
        <v/>
      </c>
    </row>
    <row r="10272" spans="2:14" x14ac:dyDescent="0.3">
      <c r="B10272" t="s">
        <v>915</v>
      </c>
      <c r="N10272" t="str" cm="1">
        <f t="array" ref="N10272">IF(MOD(ROW()-ROW($B$2),16)=0,INDEX($M$2:$M$1000,(ROW()-ROW($B$2))/16+1),"")</f>
        <v/>
      </c>
    </row>
    <row r="10273" spans="2:14" x14ac:dyDescent="0.3">
      <c r="B10273" t="s">
        <v>916</v>
      </c>
      <c r="N10273" t="str" cm="1">
        <f t="array" ref="N10273">IF(MOD(ROW()-ROW($B$2),16)=0,INDEX($M$2:$M$1000,(ROW()-ROW($B$2))/16+1),"")</f>
        <v/>
      </c>
    </row>
    <row r="10274" spans="2:14" x14ac:dyDescent="0.3">
      <c r="B10274" t="s">
        <v>917</v>
      </c>
      <c r="N10274" t="str" cm="1">
        <f t="array" ref="N10274">IF(MOD(ROW()-ROW($B$2),16)=0,INDEX($M$2:$M$1000,(ROW()-ROW($B$2))/16+1),"")</f>
        <v/>
      </c>
    </row>
    <row r="10275" spans="2:14" x14ac:dyDescent="0.3">
      <c r="B10275" t="s">
        <v>918</v>
      </c>
      <c r="N10275" t="str" cm="1">
        <f t="array" ref="N10275">IF(MOD(ROW()-ROW($B$2),16)=0,INDEX($M$2:$M$1000,(ROW()-ROW($B$2))/16+1),"")</f>
        <v/>
      </c>
    </row>
    <row r="10276" spans="2:14" x14ac:dyDescent="0.3">
      <c r="B10276" t="s">
        <v>919</v>
      </c>
      <c r="N10276" t="str" cm="1">
        <f t="array" ref="N10276">IF(MOD(ROW()-ROW($B$2),16)=0,INDEX($M$2:$M$1000,(ROW()-ROW($B$2))/16+1),"")</f>
        <v/>
      </c>
    </row>
    <row r="10277" spans="2:14" x14ac:dyDescent="0.3">
      <c r="B10277" t="s">
        <v>920</v>
      </c>
      <c r="N10277" t="str" cm="1">
        <f t="array" ref="N10277">IF(MOD(ROW()-ROW($B$2),16)=0,INDEX($M$2:$M$1000,(ROW()-ROW($B$2))/16+1),"")</f>
        <v/>
      </c>
    </row>
    <row r="10278" spans="2:14" x14ac:dyDescent="0.3">
      <c r="B10278" t="s">
        <v>921</v>
      </c>
      <c r="N10278" t="str" cm="1">
        <f t="array" ref="N10278">IF(MOD(ROW()-ROW($B$2),16)=0,INDEX($M$2:$M$1000,(ROW()-ROW($B$2))/16+1),"")</f>
        <v/>
      </c>
    </row>
    <row r="10279" spans="2:14" x14ac:dyDescent="0.3">
      <c r="B10279" t="s">
        <v>922</v>
      </c>
      <c r="N10279" t="str" cm="1">
        <f t="array" ref="N10279">IF(MOD(ROW()-ROW($B$2),16)=0,INDEX($M$2:$M$1000,(ROW()-ROW($B$2))/16+1),"")</f>
        <v/>
      </c>
    </row>
    <row r="10280" spans="2:14" x14ac:dyDescent="0.3">
      <c r="B10280" t="s">
        <v>923</v>
      </c>
      <c r="N10280" t="str" cm="1">
        <f t="array" ref="N10280">IF(MOD(ROW()-ROW($B$2),16)=0,INDEX($M$2:$M$1000,(ROW()-ROW($B$2))/16+1),"")</f>
        <v/>
      </c>
    </row>
    <row r="10281" spans="2:14" x14ac:dyDescent="0.3">
      <c r="B10281" t="s">
        <v>924</v>
      </c>
      <c r="N10281" t="str" cm="1">
        <f t="array" ref="N10281">IF(MOD(ROW()-ROW($B$2),16)=0,INDEX($M$2:$M$1000,(ROW()-ROW($B$2))/16+1),"")</f>
        <v/>
      </c>
    </row>
    <row r="10282" spans="2:14" x14ac:dyDescent="0.3">
      <c r="B10282" t="s">
        <v>925</v>
      </c>
      <c r="N10282" t="str" cm="1">
        <f t="array" ref="N10282">IF(MOD(ROW()-ROW($B$2),16)=0,INDEX($M$2:$M$1000,(ROW()-ROW($B$2))/16+1),"")</f>
        <v/>
      </c>
    </row>
    <row r="10283" spans="2:14" x14ac:dyDescent="0.3">
      <c r="B10283" t="s">
        <v>926</v>
      </c>
      <c r="N10283" t="str" cm="1">
        <f t="array" ref="N10283">IF(MOD(ROW()-ROW($B$2),16)=0,INDEX($M$2:$M$1000,(ROW()-ROW($B$2))/16+1),"")</f>
        <v/>
      </c>
    </row>
    <row r="10284" spans="2:14" x14ac:dyDescent="0.3">
      <c r="B10284" t="s">
        <v>927</v>
      </c>
      <c r="N10284" t="str" cm="1">
        <f t="array" ref="N10284">IF(MOD(ROW()-ROW($B$2),16)=0,INDEX($M$2:$M$1000,(ROW()-ROW($B$2))/16+1),"")</f>
        <v/>
      </c>
    </row>
    <row r="10285" spans="2:14" x14ac:dyDescent="0.3">
      <c r="B10285" t="s">
        <v>928</v>
      </c>
      <c r="N10285" t="str" cm="1">
        <f t="array" ref="N10285">IF(MOD(ROW()-ROW($B$2),16)=0,INDEX($M$2:$M$1000,(ROW()-ROW($B$2))/16+1),"")</f>
        <v/>
      </c>
    </row>
    <row r="10286" spans="2:14" x14ac:dyDescent="0.3">
      <c r="B10286" t="s">
        <v>929</v>
      </c>
      <c r="N10286" t="str" cm="1">
        <f t="array" ref="N10286">IF(MOD(ROW()-ROW($B$2),16)=0,INDEX($M$2:$M$1000,(ROW()-ROW($B$2))/16+1),"")</f>
        <v/>
      </c>
    </row>
    <row r="10287" spans="2:14" x14ac:dyDescent="0.3">
      <c r="B10287" t="s">
        <v>930</v>
      </c>
      <c r="N10287" t="str" cm="1">
        <f t="array" ref="N10287">IF(MOD(ROW()-ROW($B$2),16)=0,INDEX($M$2:$M$1000,(ROW()-ROW($B$2))/16+1),"")</f>
        <v/>
      </c>
    </row>
    <row r="10288" spans="2:14" x14ac:dyDescent="0.3">
      <c r="B10288" t="s">
        <v>931</v>
      </c>
      <c r="N10288" t="str" cm="1">
        <f t="array" ref="N10288">IF(MOD(ROW()-ROW($B$2),16)=0,INDEX($M$2:$M$1000,(ROW()-ROW($B$2))/16+1),"")</f>
        <v/>
      </c>
    </row>
    <row r="10289" spans="2:14" x14ac:dyDescent="0.3">
      <c r="B10289" t="s">
        <v>932</v>
      </c>
      <c r="N10289" t="str" cm="1">
        <f t="array" ref="N10289">IF(MOD(ROW()-ROW($B$2),16)=0,INDEX($M$2:$M$1000,(ROW()-ROW($B$2))/16+1),"")</f>
        <v/>
      </c>
    </row>
    <row r="10290" spans="2:14" x14ac:dyDescent="0.3">
      <c r="B10290" t="s">
        <v>933</v>
      </c>
      <c r="N10290" t="str" cm="1">
        <f t="array" ref="N10290">IF(MOD(ROW()-ROW($B$2),16)=0,INDEX($M$2:$M$1000,(ROW()-ROW($B$2))/16+1),"")</f>
        <v/>
      </c>
    </row>
    <row r="10291" spans="2:14" x14ac:dyDescent="0.3">
      <c r="B10291" t="s">
        <v>934</v>
      </c>
      <c r="N10291" t="str" cm="1">
        <f t="array" ref="N10291">IF(MOD(ROW()-ROW($B$2),16)=0,INDEX($M$2:$M$1000,(ROW()-ROW($B$2))/16+1),"")</f>
        <v/>
      </c>
    </row>
    <row r="10292" spans="2:14" x14ac:dyDescent="0.3">
      <c r="B10292" t="s">
        <v>935</v>
      </c>
      <c r="N10292" t="str" cm="1">
        <f t="array" ref="N10292">IF(MOD(ROW()-ROW($B$2),16)=0,INDEX($M$2:$M$1000,(ROW()-ROW($B$2))/16+1),"")</f>
        <v/>
      </c>
    </row>
    <row r="10293" spans="2:14" x14ac:dyDescent="0.3">
      <c r="B10293" t="s">
        <v>936</v>
      </c>
      <c r="N10293" t="str" cm="1">
        <f t="array" ref="N10293">IF(MOD(ROW()-ROW($B$2),16)=0,INDEX($M$2:$M$1000,(ROW()-ROW($B$2))/16+1),"")</f>
        <v/>
      </c>
    </row>
    <row r="10294" spans="2:14" x14ac:dyDescent="0.3">
      <c r="B10294" t="s">
        <v>937</v>
      </c>
      <c r="N10294" t="str" cm="1">
        <f t="array" ref="N10294">IF(MOD(ROW()-ROW($B$2),16)=0,INDEX($M$2:$M$1000,(ROW()-ROW($B$2))/16+1),"")</f>
        <v/>
      </c>
    </row>
    <row r="10295" spans="2:14" x14ac:dyDescent="0.3">
      <c r="B10295" t="s">
        <v>938</v>
      </c>
      <c r="N10295" t="str" cm="1">
        <f t="array" ref="N10295">IF(MOD(ROW()-ROW($B$2),16)=0,INDEX($M$2:$M$1000,(ROW()-ROW($B$2))/16+1),"")</f>
        <v/>
      </c>
    </row>
    <row r="10296" spans="2:14" x14ac:dyDescent="0.3">
      <c r="B10296" t="s">
        <v>939</v>
      </c>
      <c r="N10296" t="str" cm="1">
        <f t="array" ref="N10296">IF(MOD(ROW()-ROW($B$2),16)=0,INDEX($M$2:$M$1000,(ROW()-ROW($B$2))/16+1),"")</f>
        <v/>
      </c>
    </row>
    <row r="10297" spans="2:14" x14ac:dyDescent="0.3">
      <c r="B10297" t="s">
        <v>940</v>
      </c>
      <c r="N10297" t="str" cm="1">
        <f t="array" ref="N10297">IF(MOD(ROW()-ROW($B$2),16)=0,INDEX($M$2:$M$1000,(ROW()-ROW($B$2))/16+1),"")</f>
        <v/>
      </c>
    </row>
    <row r="10298" spans="2:14" x14ac:dyDescent="0.3">
      <c r="B10298" t="s">
        <v>941</v>
      </c>
      <c r="N10298" t="str" cm="1">
        <f t="array" ref="N10298">IF(MOD(ROW()-ROW($B$2),16)=0,INDEX($M$2:$M$1000,(ROW()-ROW($B$2))/16+1),"")</f>
        <v/>
      </c>
    </row>
    <row r="10299" spans="2:14" x14ac:dyDescent="0.3">
      <c r="B10299" t="s">
        <v>942</v>
      </c>
      <c r="N10299" t="str" cm="1">
        <f t="array" ref="N10299">IF(MOD(ROW()-ROW($B$2),16)=0,INDEX($M$2:$M$1000,(ROW()-ROW($B$2))/16+1),"")</f>
        <v/>
      </c>
    </row>
    <row r="10300" spans="2:14" x14ac:dyDescent="0.3">
      <c r="B10300" t="s">
        <v>943</v>
      </c>
      <c r="N10300" t="str" cm="1">
        <f t="array" ref="N10300">IF(MOD(ROW()-ROW($B$2),16)=0,INDEX($M$2:$M$1000,(ROW()-ROW($B$2))/16+1),"")</f>
        <v/>
      </c>
    </row>
    <row r="10301" spans="2:14" x14ac:dyDescent="0.3">
      <c r="B10301" t="s">
        <v>944</v>
      </c>
      <c r="N10301" t="str" cm="1">
        <f t="array" ref="N10301">IF(MOD(ROW()-ROW($B$2),16)=0,INDEX($M$2:$M$1000,(ROW()-ROW($B$2))/16+1),"")</f>
        <v/>
      </c>
    </row>
    <row r="10302" spans="2:14" x14ac:dyDescent="0.3">
      <c r="B10302" t="s">
        <v>945</v>
      </c>
      <c r="N10302" t="str" cm="1">
        <f t="array" ref="N10302">IF(MOD(ROW()-ROW($B$2),16)=0,INDEX($M$2:$M$1000,(ROW()-ROW($B$2))/16+1),"")</f>
        <v/>
      </c>
    </row>
    <row r="10303" spans="2:14" x14ac:dyDescent="0.3">
      <c r="B10303" t="s">
        <v>946</v>
      </c>
      <c r="N10303" t="str" cm="1">
        <f t="array" ref="N10303">IF(MOD(ROW()-ROW($B$2),16)=0,INDEX($M$2:$M$1000,(ROW()-ROW($B$2))/16+1),"")</f>
        <v/>
      </c>
    </row>
    <row r="10304" spans="2:14" x14ac:dyDescent="0.3">
      <c r="B10304" t="s">
        <v>947</v>
      </c>
      <c r="N10304" t="str" cm="1">
        <f t="array" ref="N10304">IF(MOD(ROW()-ROW($B$2),16)=0,INDEX($M$2:$M$1000,(ROW()-ROW($B$2))/16+1),"")</f>
        <v/>
      </c>
    </row>
    <row r="10305" spans="2:14" x14ac:dyDescent="0.3">
      <c r="B10305" t="s">
        <v>948</v>
      </c>
      <c r="N10305" t="str" cm="1">
        <f t="array" ref="N10305">IF(MOD(ROW()-ROW($B$2),16)=0,INDEX($M$2:$M$1000,(ROW()-ROW($B$2))/16+1),"")</f>
        <v/>
      </c>
    </row>
    <row r="10306" spans="2:14" x14ac:dyDescent="0.3">
      <c r="B10306" t="s">
        <v>949</v>
      </c>
      <c r="N10306" t="str" cm="1">
        <f t="array" ref="N10306">IF(MOD(ROW()-ROW($B$2),16)=0,INDEX($M$2:$M$1000,(ROW()-ROW($B$2))/16+1),"")</f>
        <v/>
      </c>
    </row>
    <row r="10307" spans="2:14" x14ac:dyDescent="0.3">
      <c r="B10307" t="s">
        <v>950</v>
      </c>
      <c r="N10307" t="str" cm="1">
        <f t="array" ref="N10307">IF(MOD(ROW()-ROW($B$2),16)=0,INDEX($M$2:$M$1000,(ROW()-ROW($B$2))/16+1),"")</f>
        <v/>
      </c>
    </row>
    <row r="10308" spans="2:14" x14ac:dyDescent="0.3">
      <c r="B10308" t="s">
        <v>951</v>
      </c>
      <c r="N10308" t="str" cm="1">
        <f t="array" ref="N10308">IF(MOD(ROW()-ROW($B$2),16)=0,INDEX($M$2:$M$1000,(ROW()-ROW($B$2))/16+1),"")</f>
        <v/>
      </c>
    </row>
    <row r="10309" spans="2:14" x14ac:dyDescent="0.3">
      <c r="B10309" t="s">
        <v>952</v>
      </c>
      <c r="N10309" t="str" cm="1">
        <f t="array" ref="N10309">IF(MOD(ROW()-ROW($B$2),16)=0,INDEX($M$2:$M$1000,(ROW()-ROW($B$2))/16+1),"")</f>
        <v/>
      </c>
    </row>
    <row r="10310" spans="2:14" x14ac:dyDescent="0.3">
      <c r="B10310" t="s">
        <v>953</v>
      </c>
      <c r="N10310" t="str" cm="1">
        <f t="array" ref="N10310">IF(MOD(ROW()-ROW($B$2),16)=0,INDEX($M$2:$M$1000,(ROW()-ROW($B$2))/16+1),"")</f>
        <v/>
      </c>
    </row>
    <row r="10311" spans="2:14" x14ac:dyDescent="0.3">
      <c r="B10311" t="s">
        <v>954</v>
      </c>
      <c r="N10311" t="str" cm="1">
        <f t="array" ref="N10311">IF(MOD(ROW()-ROW($B$2),16)=0,INDEX($M$2:$M$1000,(ROW()-ROW($B$2))/16+1),"")</f>
        <v/>
      </c>
    </row>
    <row r="10312" spans="2:14" x14ac:dyDescent="0.3">
      <c r="B10312" t="s">
        <v>955</v>
      </c>
      <c r="N10312" t="str" cm="1">
        <f t="array" ref="N10312">IF(MOD(ROW()-ROW($B$2),16)=0,INDEX($M$2:$M$1000,(ROW()-ROW($B$2))/16+1),"")</f>
        <v/>
      </c>
    </row>
    <row r="10313" spans="2:14" x14ac:dyDescent="0.3">
      <c r="B10313" t="s">
        <v>956</v>
      </c>
      <c r="N10313" t="str" cm="1">
        <f t="array" ref="N10313">IF(MOD(ROW()-ROW($B$2),16)=0,INDEX($M$2:$M$1000,(ROW()-ROW($B$2))/16+1),"")</f>
        <v/>
      </c>
    </row>
    <row r="10314" spans="2:14" x14ac:dyDescent="0.3">
      <c r="B10314" t="s">
        <v>957</v>
      </c>
      <c r="N10314" t="str" cm="1">
        <f t="array" ref="N10314">IF(MOD(ROW()-ROW($B$2),16)=0,INDEX($M$2:$M$1000,(ROW()-ROW($B$2))/16+1),"")</f>
        <v/>
      </c>
    </row>
    <row r="10315" spans="2:14" x14ac:dyDescent="0.3">
      <c r="B10315" t="s">
        <v>958</v>
      </c>
      <c r="N10315" t="str" cm="1">
        <f t="array" ref="N10315">IF(MOD(ROW()-ROW($B$2),16)=0,INDEX($M$2:$M$1000,(ROW()-ROW($B$2))/16+1),"")</f>
        <v/>
      </c>
    </row>
    <row r="10316" spans="2:14" x14ac:dyDescent="0.3">
      <c r="B10316" t="s">
        <v>959</v>
      </c>
      <c r="N10316" t="str" cm="1">
        <f t="array" ref="N10316">IF(MOD(ROW()-ROW($B$2),16)=0,INDEX($M$2:$M$1000,(ROW()-ROW($B$2))/16+1),"")</f>
        <v/>
      </c>
    </row>
    <row r="10317" spans="2:14" x14ac:dyDescent="0.3">
      <c r="B10317" t="s">
        <v>960</v>
      </c>
      <c r="N10317" t="str" cm="1">
        <f t="array" ref="N10317">IF(MOD(ROW()-ROW($B$2),16)=0,INDEX($M$2:$M$1000,(ROW()-ROW($B$2))/16+1),"")</f>
        <v/>
      </c>
    </row>
    <row r="10318" spans="2:14" x14ac:dyDescent="0.3">
      <c r="B10318" t="s">
        <v>961</v>
      </c>
      <c r="N10318" t="str" cm="1">
        <f t="array" ref="N10318">IF(MOD(ROW()-ROW($B$2),16)=0,INDEX($M$2:$M$1000,(ROW()-ROW($B$2))/16+1),"")</f>
        <v/>
      </c>
    </row>
    <row r="10319" spans="2:14" x14ac:dyDescent="0.3">
      <c r="B10319" t="s">
        <v>962</v>
      </c>
      <c r="N10319" t="str" cm="1">
        <f t="array" ref="N10319">IF(MOD(ROW()-ROW($B$2),16)=0,INDEX($M$2:$M$1000,(ROW()-ROW($B$2))/16+1),"")</f>
        <v/>
      </c>
    </row>
    <row r="10320" spans="2:14" x14ac:dyDescent="0.3">
      <c r="B10320" t="s">
        <v>963</v>
      </c>
      <c r="N10320" t="str" cm="1">
        <f t="array" ref="N10320">IF(MOD(ROW()-ROW($B$2),16)=0,INDEX($M$2:$M$1000,(ROW()-ROW($B$2))/16+1),"")</f>
        <v/>
      </c>
    </row>
    <row r="10321" spans="2:14" x14ac:dyDescent="0.3">
      <c r="B10321" t="s">
        <v>964</v>
      </c>
      <c r="N10321" t="str" cm="1">
        <f t="array" ref="N10321">IF(MOD(ROW()-ROW($B$2),16)=0,INDEX($M$2:$M$1000,(ROW()-ROW($B$2))/16+1),"")</f>
        <v/>
      </c>
    </row>
    <row r="10322" spans="2:14" x14ac:dyDescent="0.3">
      <c r="B10322" t="s">
        <v>965</v>
      </c>
      <c r="N10322" t="str" cm="1">
        <f t="array" ref="N10322">IF(MOD(ROW()-ROW($B$2),16)=0,INDEX($M$2:$M$1000,(ROW()-ROW($B$2))/16+1),"")</f>
        <v/>
      </c>
    </row>
    <row r="10323" spans="2:14" x14ac:dyDescent="0.3">
      <c r="B10323" t="s">
        <v>966</v>
      </c>
      <c r="N10323" t="str" cm="1">
        <f t="array" ref="N10323">IF(MOD(ROW()-ROW($B$2),16)=0,INDEX($M$2:$M$1000,(ROW()-ROW($B$2))/16+1),"")</f>
        <v/>
      </c>
    </row>
    <row r="10324" spans="2:14" x14ac:dyDescent="0.3">
      <c r="B10324" t="s">
        <v>967</v>
      </c>
      <c r="N10324" t="str" cm="1">
        <f t="array" ref="N10324">IF(MOD(ROW()-ROW($B$2),16)=0,INDEX($M$2:$M$1000,(ROW()-ROW($B$2))/16+1),"")</f>
        <v/>
      </c>
    </row>
    <row r="10325" spans="2:14" x14ac:dyDescent="0.3">
      <c r="B10325" t="s">
        <v>968</v>
      </c>
      <c r="N10325" t="str" cm="1">
        <f t="array" ref="N10325">IF(MOD(ROW()-ROW($B$2),16)=0,INDEX($M$2:$M$1000,(ROW()-ROW($B$2))/16+1),"")</f>
        <v/>
      </c>
    </row>
    <row r="10326" spans="2:14" x14ac:dyDescent="0.3">
      <c r="B10326" t="s">
        <v>969</v>
      </c>
      <c r="N10326" t="str" cm="1">
        <f t="array" ref="N10326">IF(MOD(ROW()-ROW($B$2),16)=0,INDEX($M$2:$M$1000,(ROW()-ROW($B$2))/16+1),"")</f>
        <v/>
      </c>
    </row>
    <row r="10327" spans="2:14" x14ac:dyDescent="0.3">
      <c r="B10327" t="s">
        <v>970</v>
      </c>
      <c r="N10327" t="str" cm="1">
        <f t="array" ref="N10327">IF(MOD(ROW()-ROW($B$2),16)=0,INDEX($M$2:$M$1000,(ROW()-ROW($B$2))/16+1),"")</f>
        <v/>
      </c>
    </row>
    <row r="10328" spans="2:14" x14ac:dyDescent="0.3">
      <c r="B10328" t="s">
        <v>971</v>
      </c>
      <c r="N10328" t="str" cm="1">
        <f t="array" ref="N10328">IF(MOD(ROW()-ROW($B$2),16)=0,INDEX($M$2:$M$1000,(ROW()-ROW($B$2))/16+1),"")</f>
        <v/>
      </c>
    </row>
    <row r="10329" spans="2:14" x14ac:dyDescent="0.3">
      <c r="B10329" t="s">
        <v>972</v>
      </c>
      <c r="N10329" t="str" cm="1">
        <f t="array" ref="N10329">IF(MOD(ROW()-ROW($B$2),16)=0,INDEX($M$2:$M$1000,(ROW()-ROW($B$2))/16+1),"")</f>
        <v/>
      </c>
    </row>
    <row r="10330" spans="2:14" x14ac:dyDescent="0.3">
      <c r="B10330" t="s">
        <v>973</v>
      </c>
      <c r="N10330" t="str" cm="1">
        <f t="array" ref="N10330">IF(MOD(ROW()-ROW($B$2),16)=0,INDEX($M$2:$M$1000,(ROW()-ROW($B$2))/16+1),"")</f>
        <v/>
      </c>
    </row>
    <row r="10331" spans="2:14" x14ac:dyDescent="0.3">
      <c r="B10331" t="s">
        <v>974</v>
      </c>
      <c r="N10331" t="str" cm="1">
        <f t="array" ref="N10331">IF(MOD(ROW()-ROW($B$2),16)=0,INDEX($M$2:$M$1000,(ROW()-ROW($B$2))/16+1),"")</f>
        <v/>
      </c>
    </row>
    <row r="10332" spans="2:14" x14ac:dyDescent="0.3">
      <c r="B10332" t="s">
        <v>975</v>
      </c>
      <c r="N10332" t="str" cm="1">
        <f t="array" ref="N10332">IF(MOD(ROW()-ROW($B$2),16)=0,INDEX($M$2:$M$1000,(ROW()-ROW($B$2))/16+1),"")</f>
        <v/>
      </c>
    </row>
    <row r="10333" spans="2:14" x14ac:dyDescent="0.3">
      <c r="B10333" t="s">
        <v>976</v>
      </c>
      <c r="N10333" t="str" cm="1">
        <f t="array" ref="N10333">IF(MOD(ROW()-ROW($B$2),16)=0,INDEX($M$2:$M$1000,(ROW()-ROW($B$2))/16+1),"")</f>
        <v/>
      </c>
    </row>
    <row r="10334" spans="2:14" x14ac:dyDescent="0.3">
      <c r="B10334" t="s">
        <v>977</v>
      </c>
      <c r="N10334" t="str" cm="1">
        <f t="array" ref="N10334">IF(MOD(ROW()-ROW($B$2),16)=0,INDEX($M$2:$M$1000,(ROW()-ROW($B$2))/16+1),"")</f>
        <v/>
      </c>
    </row>
    <row r="10335" spans="2:14" x14ac:dyDescent="0.3">
      <c r="B10335" t="s">
        <v>978</v>
      </c>
      <c r="N10335" t="str" cm="1">
        <f t="array" ref="N10335">IF(MOD(ROW()-ROW($B$2),16)=0,INDEX($M$2:$M$1000,(ROW()-ROW($B$2))/16+1),"")</f>
        <v/>
      </c>
    </row>
    <row r="10336" spans="2:14" x14ac:dyDescent="0.3">
      <c r="B10336" t="s">
        <v>979</v>
      </c>
      <c r="N10336" t="str" cm="1">
        <f t="array" ref="N10336">IF(MOD(ROW()-ROW($B$2),16)=0,INDEX($M$2:$M$1000,(ROW()-ROW($B$2))/16+1),"")</f>
        <v/>
      </c>
    </row>
    <row r="10337" spans="2:14" x14ac:dyDescent="0.3">
      <c r="B10337" t="s">
        <v>980</v>
      </c>
      <c r="N10337" t="str" cm="1">
        <f t="array" ref="N10337">IF(MOD(ROW()-ROW($B$2),16)=0,INDEX($M$2:$M$1000,(ROW()-ROW($B$2))/16+1),"")</f>
        <v/>
      </c>
    </row>
    <row r="10338" spans="2:14" x14ac:dyDescent="0.3">
      <c r="B10338" t="s">
        <v>981</v>
      </c>
      <c r="N10338" t="str" cm="1">
        <f t="array" ref="N10338">IF(MOD(ROW()-ROW($B$2),16)=0,INDEX($M$2:$M$1000,(ROW()-ROW($B$2))/16+1),"")</f>
        <v/>
      </c>
    </row>
    <row r="10339" spans="2:14" x14ac:dyDescent="0.3">
      <c r="B10339" t="s">
        <v>982</v>
      </c>
      <c r="N10339" t="str" cm="1">
        <f t="array" ref="N10339">IF(MOD(ROW()-ROW($B$2),16)=0,INDEX($M$2:$M$1000,(ROW()-ROW($B$2))/16+1),"")</f>
        <v/>
      </c>
    </row>
    <row r="10340" spans="2:14" x14ac:dyDescent="0.3">
      <c r="B10340" t="s">
        <v>983</v>
      </c>
      <c r="N10340" t="str" cm="1">
        <f t="array" ref="N10340">IF(MOD(ROW()-ROW($B$2),16)=0,INDEX($M$2:$M$1000,(ROW()-ROW($B$2))/16+1),"")</f>
        <v/>
      </c>
    </row>
    <row r="10341" spans="2:14" x14ac:dyDescent="0.3">
      <c r="B10341" t="s">
        <v>984</v>
      </c>
      <c r="N10341" t="str" cm="1">
        <f t="array" ref="N10341">IF(MOD(ROW()-ROW($B$2),16)=0,INDEX($M$2:$M$1000,(ROW()-ROW($B$2))/16+1),"")</f>
        <v/>
      </c>
    </row>
    <row r="10342" spans="2:14" x14ac:dyDescent="0.3">
      <c r="B10342" t="s">
        <v>985</v>
      </c>
      <c r="N10342" t="str" cm="1">
        <f t="array" ref="N10342">IF(MOD(ROW()-ROW($B$2),16)=0,INDEX($M$2:$M$1000,(ROW()-ROW($B$2))/16+1),"")</f>
        <v/>
      </c>
    </row>
    <row r="10343" spans="2:14" x14ac:dyDescent="0.3">
      <c r="B10343" t="s">
        <v>986</v>
      </c>
      <c r="N10343" t="str" cm="1">
        <f t="array" ref="N10343">IF(MOD(ROW()-ROW($B$2),16)=0,INDEX($M$2:$M$1000,(ROW()-ROW($B$2))/16+1),"")</f>
        <v/>
      </c>
    </row>
    <row r="10344" spans="2:14" x14ac:dyDescent="0.3">
      <c r="B10344" t="s">
        <v>987</v>
      </c>
      <c r="N10344" t="str" cm="1">
        <f t="array" ref="N10344">IF(MOD(ROW()-ROW($B$2),16)=0,INDEX($M$2:$M$1000,(ROW()-ROW($B$2))/16+1),"")</f>
        <v/>
      </c>
    </row>
    <row r="10345" spans="2:14" x14ac:dyDescent="0.3">
      <c r="B10345" t="s">
        <v>988</v>
      </c>
      <c r="N10345" t="str" cm="1">
        <f t="array" ref="N10345">IF(MOD(ROW()-ROW($B$2),16)=0,INDEX($M$2:$M$1000,(ROW()-ROW($B$2))/16+1),"")</f>
        <v/>
      </c>
    </row>
    <row r="10346" spans="2:14" x14ac:dyDescent="0.3">
      <c r="B10346" t="s">
        <v>989</v>
      </c>
      <c r="N10346" t="str" cm="1">
        <f t="array" ref="N10346">IF(MOD(ROW()-ROW($B$2),16)=0,INDEX($M$2:$M$1000,(ROW()-ROW($B$2))/16+1),"")</f>
        <v/>
      </c>
    </row>
    <row r="10347" spans="2:14" x14ac:dyDescent="0.3">
      <c r="B10347" t="s">
        <v>990</v>
      </c>
      <c r="N10347" t="str" cm="1">
        <f t="array" ref="N10347">IF(MOD(ROW()-ROW($B$2),16)=0,INDEX($M$2:$M$1000,(ROW()-ROW($B$2))/16+1),"")</f>
        <v/>
      </c>
    </row>
    <row r="10348" spans="2:14" x14ac:dyDescent="0.3">
      <c r="B10348" t="s">
        <v>991</v>
      </c>
      <c r="N10348" t="str" cm="1">
        <f t="array" ref="N10348">IF(MOD(ROW()-ROW($B$2),16)=0,INDEX($M$2:$M$1000,(ROW()-ROW($B$2))/16+1),"")</f>
        <v/>
      </c>
    </row>
    <row r="10349" spans="2:14" x14ac:dyDescent="0.3">
      <c r="B10349" t="s">
        <v>992</v>
      </c>
      <c r="N10349" t="str" cm="1">
        <f t="array" ref="N10349">IF(MOD(ROW()-ROW($B$2),16)=0,INDEX($M$2:$M$1000,(ROW()-ROW($B$2))/16+1),"")</f>
        <v/>
      </c>
    </row>
    <row r="10350" spans="2:14" x14ac:dyDescent="0.3">
      <c r="B10350" t="s">
        <v>993</v>
      </c>
      <c r="N10350" t="str" cm="1">
        <f t="array" ref="N10350">IF(MOD(ROW()-ROW($B$2),16)=0,INDEX($M$2:$M$1000,(ROW()-ROW($B$2))/16+1),"")</f>
        <v/>
      </c>
    </row>
    <row r="10351" spans="2:14" x14ac:dyDescent="0.3">
      <c r="B10351" t="s">
        <v>994</v>
      </c>
      <c r="N10351" t="str" cm="1">
        <f t="array" ref="N10351">IF(MOD(ROW()-ROW($B$2),16)=0,INDEX($M$2:$M$1000,(ROW()-ROW($B$2))/16+1),"")</f>
        <v/>
      </c>
    </row>
    <row r="10352" spans="2:14" x14ac:dyDescent="0.3">
      <c r="B10352" t="s">
        <v>995</v>
      </c>
      <c r="N10352" t="str" cm="1">
        <f t="array" ref="N10352">IF(MOD(ROW()-ROW($B$2),16)=0,INDEX($M$2:$M$1000,(ROW()-ROW($B$2))/16+1),"")</f>
        <v/>
      </c>
    </row>
    <row r="10353" spans="2:14" x14ac:dyDescent="0.3">
      <c r="B10353" t="s">
        <v>996</v>
      </c>
      <c r="N10353" t="str" cm="1">
        <f t="array" ref="N10353">IF(MOD(ROW()-ROW($B$2),16)=0,INDEX($M$2:$M$1000,(ROW()-ROW($B$2))/16+1),"")</f>
        <v/>
      </c>
    </row>
    <row r="10354" spans="2:14" x14ac:dyDescent="0.3">
      <c r="B10354" t="s">
        <v>997</v>
      </c>
      <c r="N10354" t="str" cm="1">
        <f t="array" ref="N10354">IF(MOD(ROW()-ROW($B$2),16)=0,INDEX($M$2:$M$1000,(ROW()-ROW($B$2))/16+1),"")</f>
        <v/>
      </c>
    </row>
    <row r="10355" spans="2:14" x14ac:dyDescent="0.3">
      <c r="B10355" t="s">
        <v>998</v>
      </c>
      <c r="N10355" t="str" cm="1">
        <f t="array" ref="N10355">IF(MOD(ROW()-ROW($B$2),16)=0,INDEX($M$2:$M$1000,(ROW()-ROW($B$2))/16+1),"")</f>
        <v/>
      </c>
    </row>
    <row r="10356" spans="2:14" x14ac:dyDescent="0.3">
      <c r="B10356" t="s">
        <v>999</v>
      </c>
      <c r="N10356" t="str" cm="1">
        <f t="array" ref="N10356">IF(MOD(ROW()-ROW($B$2),16)=0,INDEX($M$2:$M$1000,(ROW()-ROW($B$2))/16+1),"")</f>
        <v/>
      </c>
    </row>
    <row r="10357" spans="2:14" x14ac:dyDescent="0.3">
      <c r="B10357" t="s">
        <v>1000</v>
      </c>
      <c r="N10357" t="str" cm="1">
        <f t="array" ref="N10357">IF(MOD(ROW()-ROW($B$2),16)=0,INDEX($M$2:$M$1000,(ROW()-ROW($B$2))/16+1),"")</f>
        <v/>
      </c>
    </row>
    <row r="10358" spans="2:14" x14ac:dyDescent="0.3">
      <c r="B10358" t="s">
        <v>1001</v>
      </c>
      <c r="N10358" t="str" cm="1">
        <f t="array" ref="N10358">IF(MOD(ROW()-ROW($B$2),16)=0,INDEX($M$2:$M$1000,(ROW()-ROW($B$2))/16+1),"")</f>
        <v/>
      </c>
    </row>
    <row r="10359" spans="2:14" x14ac:dyDescent="0.3">
      <c r="B10359" t="s">
        <v>1002</v>
      </c>
      <c r="N10359" t="str" cm="1">
        <f t="array" ref="N10359">IF(MOD(ROW()-ROW($B$2),16)=0,INDEX($M$2:$M$1000,(ROW()-ROW($B$2))/16+1),"")</f>
        <v/>
      </c>
    </row>
    <row r="10360" spans="2:14" x14ac:dyDescent="0.3">
      <c r="B10360" t="s">
        <v>1003</v>
      </c>
      <c r="N10360" t="str" cm="1">
        <f t="array" ref="N10360">IF(MOD(ROW()-ROW($B$2),16)=0,INDEX($M$2:$M$1000,(ROW()-ROW($B$2))/16+1),"")</f>
        <v/>
      </c>
    </row>
    <row r="10361" spans="2:14" x14ac:dyDescent="0.3">
      <c r="B10361" t="s">
        <v>1004</v>
      </c>
      <c r="N10361" t="str" cm="1">
        <f t="array" ref="N10361">IF(MOD(ROW()-ROW($B$2),16)=0,INDEX($M$2:$M$1000,(ROW()-ROW($B$2))/16+1),"")</f>
        <v/>
      </c>
    </row>
    <row r="10362" spans="2:14" x14ac:dyDescent="0.3">
      <c r="B10362" t="s">
        <v>1005</v>
      </c>
      <c r="N10362" t="str" cm="1">
        <f t="array" ref="N10362">IF(MOD(ROW()-ROW($B$2),16)=0,INDEX($M$2:$M$1000,(ROW()-ROW($B$2))/16+1),"")</f>
        <v/>
      </c>
    </row>
    <row r="10363" spans="2:14" x14ac:dyDescent="0.3">
      <c r="B10363" t="s">
        <v>1006</v>
      </c>
      <c r="N10363" t="str" cm="1">
        <f t="array" ref="N10363">IF(MOD(ROW()-ROW($B$2),16)=0,INDEX($M$2:$M$1000,(ROW()-ROW($B$2))/16+1),"")</f>
        <v/>
      </c>
    </row>
    <row r="10364" spans="2:14" x14ac:dyDescent="0.3">
      <c r="B10364" t="s">
        <v>1007</v>
      </c>
      <c r="N10364" t="str" cm="1">
        <f t="array" ref="N10364">IF(MOD(ROW()-ROW($B$2),16)=0,INDEX($M$2:$M$1000,(ROW()-ROW($B$2))/16+1),"")</f>
        <v/>
      </c>
    </row>
    <row r="10365" spans="2:14" x14ac:dyDescent="0.3">
      <c r="B10365" t="s">
        <v>1008</v>
      </c>
      <c r="N10365" t="str" cm="1">
        <f t="array" ref="N10365">IF(MOD(ROW()-ROW($B$2),16)=0,INDEX($M$2:$M$1000,(ROW()-ROW($B$2))/16+1),"")</f>
        <v/>
      </c>
    </row>
    <row r="10366" spans="2:14" x14ac:dyDescent="0.3">
      <c r="B10366" t="s">
        <v>1009</v>
      </c>
      <c r="N10366" t="str" cm="1">
        <f t="array" ref="N10366">IF(MOD(ROW()-ROW($B$2),16)=0,INDEX($M$2:$M$1000,(ROW()-ROW($B$2))/16+1),"")</f>
        <v/>
      </c>
    </row>
    <row r="10367" spans="2:14" x14ac:dyDescent="0.3">
      <c r="B10367" t="s">
        <v>1010</v>
      </c>
      <c r="N10367" t="str" cm="1">
        <f t="array" ref="N10367">IF(MOD(ROW()-ROW($B$2),16)=0,INDEX($M$2:$M$1000,(ROW()-ROW($B$2))/16+1),"")</f>
        <v/>
      </c>
    </row>
    <row r="10368" spans="2:14" x14ac:dyDescent="0.3">
      <c r="B10368" t="s">
        <v>1011</v>
      </c>
      <c r="N10368" t="str" cm="1">
        <f t="array" ref="N10368">IF(MOD(ROW()-ROW($B$2),16)=0,INDEX($M$2:$M$1000,(ROW()-ROW($B$2))/16+1),"")</f>
        <v/>
      </c>
    </row>
    <row r="10369" spans="2:14" x14ac:dyDescent="0.3">
      <c r="B10369" t="s">
        <v>1012</v>
      </c>
      <c r="N10369" t="str" cm="1">
        <f t="array" ref="N10369">IF(MOD(ROW()-ROW($B$2),16)=0,INDEX($M$2:$M$1000,(ROW()-ROW($B$2))/16+1),"")</f>
        <v/>
      </c>
    </row>
    <row r="10370" spans="2:14" x14ac:dyDescent="0.3">
      <c r="B10370" t="s">
        <v>1013</v>
      </c>
      <c r="N10370" t="str" cm="1">
        <f t="array" ref="N10370">IF(MOD(ROW()-ROW($B$2),16)=0,INDEX($M$2:$M$1000,(ROW()-ROW($B$2))/16+1),"")</f>
        <v/>
      </c>
    </row>
    <row r="10371" spans="2:14" x14ac:dyDescent="0.3">
      <c r="B10371" t="s">
        <v>1014</v>
      </c>
      <c r="N10371" t="str" cm="1">
        <f t="array" ref="N10371">IF(MOD(ROW()-ROW($B$2),16)=0,INDEX($M$2:$M$1000,(ROW()-ROW($B$2))/16+1),"")</f>
        <v/>
      </c>
    </row>
    <row r="10372" spans="2:14" x14ac:dyDescent="0.3">
      <c r="B10372" t="s">
        <v>1015</v>
      </c>
      <c r="N10372" t="str" cm="1">
        <f t="array" ref="N10372">IF(MOD(ROW()-ROW($B$2),16)=0,INDEX($M$2:$M$1000,(ROW()-ROW($B$2))/16+1),"")</f>
        <v/>
      </c>
    </row>
    <row r="10373" spans="2:14" x14ac:dyDescent="0.3">
      <c r="B10373" t="s">
        <v>1016</v>
      </c>
      <c r="N10373" t="str" cm="1">
        <f t="array" ref="N10373">IF(MOD(ROW()-ROW($B$2),16)=0,INDEX($M$2:$M$1000,(ROW()-ROW($B$2))/16+1),"")</f>
        <v/>
      </c>
    </row>
    <row r="10374" spans="2:14" x14ac:dyDescent="0.3">
      <c r="B10374" t="s">
        <v>1017</v>
      </c>
      <c r="N10374" t="str" cm="1">
        <f t="array" ref="N10374">IF(MOD(ROW()-ROW($B$2),16)=0,INDEX($M$2:$M$1000,(ROW()-ROW($B$2))/16+1),"")</f>
        <v/>
      </c>
    </row>
    <row r="10375" spans="2:14" x14ac:dyDescent="0.3">
      <c r="B10375" t="s">
        <v>1018</v>
      </c>
      <c r="N10375" t="str" cm="1">
        <f t="array" ref="N10375">IF(MOD(ROW()-ROW($B$2),16)=0,INDEX($M$2:$M$1000,(ROW()-ROW($B$2))/16+1),"")</f>
        <v/>
      </c>
    </row>
    <row r="10376" spans="2:14" x14ac:dyDescent="0.3">
      <c r="B10376" t="s">
        <v>1019</v>
      </c>
      <c r="N10376" t="str" cm="1">
        <f t="array" ref="N10376">IF(MOD(ROW()-ROW($B$2),16)=0,INDEX($M$2:$M$1000,(ROW()-ROW($B$2))/16+1),"")</f>
        <v/>
      </c>
    </row>
    <row r="10377" spans="2:14" x14ac:dyDescent="0.3">
      <c r="B10377" t="s">
        <v>1020</v>
      </c>
      <c r="N10377" t="str" cm="1">
        <f t="array" ref="N10377">IF(MOD(ROW()-ROW($B$2),16)=0,INDEX($M$2:$M$1000,(ROW()-ROW($B$2))/16+1),"")</f>
        <v/>
      </c>
    </row>
    <row r="10378" spans="2:14" x14ac:dyDescent="0.3">
      <c r="B10378" t="s">
        <v>1021</v>
      </c>
      <c r="N10378" t="str" cm="1">
        <f t="array" ref="N10378">IF(MOD(ROW()-ROW($B$2),16)=0,INDEX($M$2:$M$1000,(ROW()-ROW($B$2))/16+1),"")</f>
        <v/>
      </c>
    </row>
    <row r="10379" spans="2:14" x14ac:dyDescent="0.3">
      <c r="B10379" t="s">
        <v>1022</v>
      </c>
      <c r="N10379" t="str" cm="1">
        <f t="array" ref="N10379">IF(MOD(ROW()-ROW($B$2),16)=0,INDEX($M$2:$M$1000,(ROW()-ROW($B$2))/16+1),"")</f>
        <v/>
      </c>
    </row>
    <row r="10380" spans="2:14" x14ac:dyDescent="0.3">
      <c r="B10380" t="s">
        <v>1023</v>
      </c>
      <c r="N10380" t="str" cm="1">
        <f t="array" ref="N10380">IF(MOD(ROW()-ROW($B$2),16)=0,INDEX($M$2:$M$1000,(ROW()-ROW($B$2))/16+1),"")</f>
        <v/>
      </c>
    </row>
    <row r="10381" spans="2:14" x14ac:dyDescent="0.3">
      <c r="B10381" t="s">
        <v>1024</v>
      </c>
      <c r="N10381" t="str" cm="1">
        <f t="array" ref="N10381">IF(MOD(ROW()-ROW($B$2),16)=0,INDEX($M$2:$M$1000,(ROW()-ROW($B$2))/16+1),"")</f>
        <v/>
      </c>
    </row>
    <row r="10382" spans="2:14" x14ac:dyDescent="0.3">
      <c r="B10382" t="s">
        <v>1025</v>
      </c>
      <c r="N10382" t="str" cm="1">
        <f t="array" ref="N10382">IF(MOD(ROW()-ROW($B$2),16)=0,INDEX($M$2:$M$1000,(ROW()-ROW($B$2))/16+1),"")</f>
        <v/>
      </c>
    </row>
    <row r="10383" spans="2:14" x14ac:dyDescent="0.3">
      <c r="B10383" t="s">
        <v>1026</v>
      </c>
      <c r="N10383" t="str" cm="1">
        <f t="array" ref="N10383">IF(MOD(ROW()-ROW($B$2),16)=0,INDEX($M$2:$M$1000,(ROW()-ROW($B$2))/16+1),"")</f>
        <v/>
      </c>
    </row>
    <row r="10384" spans="2:14" x14ac:dyDescent="0.3">
      <c r="B10384" t="s">
        <v>1027</v>
      </c>
      <c r="N10384" t="str" cm="1">
        <f t="array" ref="N10384">IF(MOD(ROW()-ROW($B$2),16)=0,INDEX($M$2:$M$1000,(ROW()-ROW($B$2))/16+1),"")</f>
        <v/>
      </c>
    </row>
    <row r="10385" spans="2:14" x14ac:dyDescent="0.3">
      <c r="B10385" t="s">
        <v>1028</v>
      </c>
      <c r="N10385" t="str" cm="1">
        <f t="array" ref="N10385">IF(MOD(ROW()-ROW($B$2),16)=0,INDEX($M$2:$M$1000,(ROW()-ROW($B$2))/16+1),"")</f>
        <v/>
      </c>
    </row>
    <row r="10386" spans="2:14" x14ac:dyDescent="0.3">
      <c r="B10386" t="s">
        <v>1029</v>
      </c>
      <c r="N10386" t="str" cm="1">
        <f t="array" ref="N10386">IF(MOD(ROW()-ROW($B$2),16)=0,INDEX($M$2:$M$1000,(ROW()-ROW($B$2))/16+1),"")</f>
        <v/>
      </c>
    </row>
    <row r="10387" spans="2:14" x14ac:dyDescent="0.3">
      <c r="B10387" t="s">
        <v>1030</v>
      </c>
      <c r="N10387" t="str" cm="1">
        <f t="array" ref="N10387">IF(MOD(ROW()-ROW($B$2),16)=0,INDEX($M$2:$M$1000,(ROW()-ROW($B$2))/16+1),"")</f>
        <v/>
      </c>
    </row>
    <row r="10388" spans="2:14" x14ac:dyDescent="0.3">
      <c r="B10388" t="s">
        <v>1031</v>
      </c>
      <c r="N10388" t="str" cm="1">
        <f t="array" ref="N10388">IF(MOD(ROW()-ROW($B$2),16)=0,INDEX($M$2:$M$1000,(ROW()-ROW($B$2))/16+1),"")</f>
        <v/>
      </c>
    </row>
    <row r="10389" spans="2:14" x14ac:dyDescent="0.3">
      <c r="B10389" t="s">
        <v>1032</v>
      </c>
      <c r="N10389" t="str" cm="1">
        <f t="array" ref="N10389">IF(MOD(ROW()-ROW($B$2),16)=0,INDEX($M$2:$M$1000,(ROW()-ROW($B$2))/16+1),"")</f>
        <v/>
      </c>
    </row>
    <row r="10390" spans="2:14" x14ac:dyDescent="0.3">
      <c r="B10390" t="s">
        <v>1033</v>
      </c>
      <c r="N10390" t="str" cm="1">
        <f t="array" ref="N10390">IF(MOD(ROW()-ROW($B$2),16)=0,INDEX($M$2:$M$1000,(ROW()-ROW($B$2))/16+1),"")</f>
        <v/>
      </c>
    </row>
    <row r="10391" spans="2:14" x14ac:dyDescent="0.3">
      <c r="B10391" t="s">
        <v>1034</v>
      </c>
      <c r="N10391" t="str" cm="1">
        <f t="array" ref="N10391">IF(MOD(ROW()-ROW($B$2),16)=0,INDEX($M$2:$M$1000,(ROW()-ROW($B$2))/16+1),"")</f>
        <v/>
      </c>
    </row>
    <row r="10392" spans="2:14" x14ac:dyDescent="0.3">
      <c r="B10392" t="s">
        <v>1035</v>
      </c>
      <c r="N10392" t="str" cm="1">
        <f t="array" ref="N10392">IF(MOD(ROW()-ROW($B$2),16)=0,INDEX($M$2:$M$1000,(ROW()-ROW($B$2))/16+1),"")</f>
        <v/>
      </c>
    </row>
    <row r="10393" spans="2:14" x14ac:dyDescent="0.3">
      <c r="B10393" t="s">
        <v>1036</v>
      </c>
      <c r="N10393" t="str" cm="1">
        <f t="array" ref="N10393">IF(MOD(ROW()-ROW($B$2),16)=0,INDEX($M$2:$M$1000,(ROW()-ROW($B$2))/16+1),"")</f>
        <v/>
      </c>
    </row>
    <row r="10394" spans="2:14" x14ac:dyDescent="0.3">
      <c r="B10394" t="s">
        <v>1037</v>
      </c>
      <c r="N10394" t="str" cm="1">
        <f t="array" ref="N10394">IF(MOD(ROW()-ROW($B$2),16)=0,INDEX($M$2:$M$1000,(ROW()-ROW($B$2))/16+1),"")</f>
        <v/>
      </c>
    </row>
    <row r="10395" spans="2:14" x14ac:dyDescent="0.3">
      <c r="B10395" t="s">
        <v>1038</v>
      </c>
      <c r="N10395" t="str" cm="1">
        <f t="array" ref="N10395">IF(MOD(ROW()-ROW($B$2),16)=0,INDEX($M$2:$M$1000,(ROW()-ROW($B$2))/16+1),"")</f>
        <v/>
      </c>
    </row>
    <row r="10396" spans="2:14" x14ac:dyDescent="0.3">
      <c r="B10396" t="s">
        <v>1039</v>
      </c>
      <c r="N10396" t="str" cm="1">
        <f t="array" ref="N10396">IF(MOD(ROW()-ROW($B$2),16)=0,INDEX($M$2:$M$1000,(ROW()-ROW($B$2))/16+1),"")</f>
        <v/>
      </c>
    </row>
    <row r="10397" spans="2:14" x14ac:dyDescent="0.3">
      <c r="B10397" t="s">
        <v>1040</v>
      </c>
      <c r="N10397" t="str" cm="1">
        <f t="array" ref="N10397">IF(MOD(ROW()-ROW($B$2),16)=0,INDEX($M$2:$M$1000,(ROW()-ROW($B$2))/16+1),"")</f>
        <v/>
      </c>
    </row>
    <row r="10398" spans="2:14" x14ac:dyDescent="0.3">
      <c r="B10398" t="s">
        <v>1041</v>
      </c>
      <c r="N10398" t="str" cm="1">
        <f t="array" ref="N10398">IF(MOD(ROW()-ROW($B$2),16)=0,INDEX($M$2:$M$1000,(ROW()-ROW($B$2))/16+1),"")</f>
        <v/>
      </c>
    </row>
    <row r="10399" spans="2:14" x14ac:dyDescent="0.3">
      <c r="B10399" t="s">
        <v>1042</v>
      </c>
      <c r="N10399" t="str" cm="1">
        <f t="array" ref="N10399">IF(MOD(ROW()-ROW($B$2),16)=0,INDEX($M$2:$M$1000,(ROW()-ROW($B$2))/16+1),"")</f>
        <v/>
      </c>
    </row>
    <row r="10400" spans="2:14" x14ac:dyDescent="0.3">
      <c r="B10400" t="s">
        <v>1043</v>
      </c>
      <c r="N10400" t="str" cm="1">
        <f t="array" ref="N10400">IF(MOD(ROW()-ROW($B$2),16)=0,INDEX($M$2:$M$1000,(ROW()-ROW($B$2))/16+1),"")</f>
        <v/>
      </c>
    </row>
    <row r="10401" spans="2:14" x14ac:dyDescent="0.3">
      <c r="B10401" t="s">
        <v>1044</v>
      </c>
      <c r="N10401" t="str" cm="1">
        <f t="array" ref="N10401">IF(MOD(ROW()-ROW($B$2),16)=0,INDEX($M$2:$M$1000,(ROW()-ROW($B$2))/16+1),"")</f>
        <v/>
      </c>
    </row>
    <row r="10402" spans="2:14" x14ac:dyDescent="0.3">
      <c r="B10402" t="s">
        <v>1045</v>
      </c>
      <c r="N10402" t="str" cm="1">
        <f t="array" ref="N10402">IF(MOD(ROW()-ROW($B$2),16)=0,INDEX($M$2:$M$1000,(ROW()-ROW($B$2))/16+1),"")</f>
        <v/>
      </c>
    </row>
    <row r="10403" spans="2:14" x14ac:dyDescent="0.3">
      <c r="B10403" t="s">
        <v>1046</v>
      </c>
      <c r="N10403" t="str" cm="1">
        <f t="array" ref="N10403">IF(MOD(ROW()-ROW($B$2),16)=0,INDEX($M$2:$M$1000,(ROW()-ROW($B$2))/16+1),"")</f>
        <v/>
      </c>
    </row>
    <row r="10404" spans="2:14" x14ac:dyDescent="0.3">
      <c r="B10404" t="s">
        <v>1047</v>
      </c>
      <c r="N10404" t="str" cm="1">
        <f t="array" ref="N10404">IF(MOD(ROW()-ROW($B$2),16)=0,INDEX($M$2:$M$1000,(ROW()-ROW($B$2))/16+1),"")</f>
        <v/>
      </c>
    </row>
    <row r="10405" spans="2:14" x14ac:dyDescent="0.3">
      <c r="B10405" t="s">
        <v>1048</v>
      </c>
      <c r="N10405" t="str" cm="1">
        <f t="array" ref="N10405">IF(MOD(ROW()-ROW($B$2),16)=0,INDEX($M$2:$M$1000,(ROW()-ROW($B$2))/16+1),"")</f>
        <v/>
      </c>
    </row>
    <row r="10406" spans="2:14" x14ac:dyDescent="0.3">
      <c r="B10406" t="s">
        <v>1049</v>
      </c>
      <c r="N10406" t="str" cm="1">
        <f t="array" ref="N10406">IF(MOD(ROW()-ROW($B$2),16)=0,INDEX($M$2:$M$1000,(ROW()-ROW($B$2))/16+1),"")</f>
        <v/>
      </c>
    </row>
    <row r="10407" spans="2:14" x14ac:dyDescent="0.3">
      <c r="B10407" t="s">
        <v>1050</v>
      </c>
      <c r="N10407" t="str" cm="1">
        <f t="array" ref="N10407">IF(MOD(ROW()-ROW($B$2),16)=0,INDEX($M$2:$M$1000,(ROW()-ROW($B$2))/16+1),"")</f>
        <v/>
      </c>
    </row>
    <row r="10408" spans="2:14" x14ac:dyDescent="0.3">
      <c r="B10408" t="s">
        <v>1051</v>
      </c>
      <c r="N10408" t="str" cm="1">
        <f t="array" ref="N10408">IF(MOD(ROW()-ROW($B$2),16)=0,INDEX($M$2:$M$1000,(ROW()-ROW($B$2))/16+1),"")</f>
        <v/>
      </c>
    </row>
    <row r="10409" spans="2:14" x14ac:dyDescent="0.3">
      <c r="B10409" t="s">
        <v>1052</v>
      </c>
      <c r="N10409" t="str" cm="1">
        <f t="array" ref="N10409">IF(MOD(ROW()-ROW($B$2),16)=0,INDEX($M$2:$M$1000,(ROW()-ROW($B$2))/16+1),"")</f>
        <v/>
      </c>
    </row>
    <row r="10410" spans="2:14" x14ac:dyDescent="0.3">
      <c r="B10410" t="s">
        <v>1053</v>
      </c>
      <c r="N10410" t="str" cm="1">
        <f t="array" ref="N10410">IF(MOD(ROW()-ROW($B$2),16)=0,INDEX($M$2:$M$1000,(ROW()-ROW($B$2))/16+1),"")</f>
        <v/>
      </c>
    </row>
    <row r="10411" spans="2:14" x14ac:dyDescent="0.3">
      <c r="B10411" t="s">
        <v>1054</v>
      </c>
      <c r="N10411" t="str" cm="1">
        <f t="array" ref="N10411">IF(MOD(ROW()-ROW($B$2),16)=0,INDEX($M$2:$M$1000,(ROW()-ROW($B$2))/16+1),"")</f>
        <v/>
      </c>
    </row>
    <row r="10412" spans="2:14" x14ac:dyDescent="0.3">
      <c r="B10412" t="s">
        <v>1055</v>
      </c>
      <c r="N10412" t="str" cm="1">
        <f t="array" ref="N10412">IF(MOD(ROW()-ROW($B$2),16)=0,INDEX($M$2:$M$1000,(ROW()-ROW($B$2))/16+1),"")</f>
        <v/>
      </c>
    </row>
    <row r="10413" spans="2:14" x14ac:dyDescent="0.3">
      <c r="B10413" t="s">
        <v>1056</v>
      </c>
      <c r="N10413" t="str" cm="1">
        <f t="array" ref="N10413">IF(MOD(ROW()-ROW($B$2),16)=0,INDEX($M$2:$M$1000,(ROW()-ROW($B$2))/16+1),"")</f>
        <v/>
      </c>
    </row>
    <row r="10414" spans="2:14" x14ac:dyDescent="0.3">
      <c r="B10414" t="s">
        <v>1057</v>
      </c>
      <c r="N10414" t="str" cm="1">
        <f t="array" ref="N10414">IF(MOD(ROW()-ROW($B$2),16)=0,INDEX($M$2:$M$1000,(ROW()-ROW($B$2))/16+1),"")</f>
        <v/>
      </c>
    </row>
    <row r="10415" spans="2:14" x14ac:dyDescent="0.3">
      <c r="B10415" t="s">
        <v>1058</v>
      </c>
      <c r="N10415" t="str" cm="1">
        <f t="array" ref="N10415">IF(MOD(ROW()-ROW($B$2),16)=0,INDEX($M$2:$M$1000,(ROW()-ROW($B$2))/16+1),"")</f>
        <v/>
      </c>
    </row>
    <row r="10416" spans="2:14" x14ac:dyDescent="0.3">
      <c r="B10416" t="s">
        <v>1059</v>
      </c>
      <c r="N10416" t="str" cm="1">
        <f t="array" ref="N10416">IF(MOD(ROW()-ROW($B$2),16)=0,INDEX($M$2:$M$1000,(ROW()-ROW($B$2))/16+1),"")</f>
        <v/>
      </c>
    </row>
    <row r="10417" spans="2:14" x14ac:dyDescent="0.3">
      <c r="B10417" t="s">
        <v>1060</v>
      </c>
      <c r="N10417" t="str" cm="1">
        <f t="array" ref="N10417">IF(MOD(ROW()-ROW($B$2),16)=0,INDEX($M$2:$M$1000,(ROW()-ROW($B$2))/16+1),"")</f>
        <v/>
      </c>
    </row>
    <row r="10418" spans="2:14" x14ac:dyDescent="0.3">
      <c r="B10418" t="s">
        <v>1061</v>
      </c>
      <c r="N10418" t="str" cm="1">
        <f t="array" ref="N10418">IF(MOD(ROW()-ROW($B$2),16)=0,INDEX($M$2:$M$1000,(ROW()-ROW($B$2))/16+1),"")</f>
        <v/>
      </c>
    </row>
    <row r="10419" spans="2:14" x14ac:dyDescent="0.3">
      <c r="B10419" t="s">
        <v>1062</v>
      </c>
      <c r="N10419" t="str" cm="1">
        <f t="array" ref="N10419">IF(MOD(ROW()-ROW($B$2),16)=0,INDEX($M$2:$M$1000,(ROW()-ROW($B$2))/16+1),"")</f>
        <v/>
      </c>
    </row>
    <row r="10420" spans="2:14" x14ac:dyDescent="0.3">
      <c r="B10420" t="s">
        <v>1063</v>
      </c>
      <c r="N10420" t="str" cm="1">
        <f t="array" ref="N10420">IF(MOD(ROW()-ROW($B$2),16)=0,INDEX($M$2:$M$1000,(ROW()-ROW($B$2))/16+1),"")</f>
        <v/>
      </c>
    </row>
    <row r="10421" spans="2:14" x14ac:dyDescent="0.3">
      <c r="B10421" t="s">
        <v>1064</v>
      </c>
      <c r="N10421" t="str" cm="1">
        <f t="array" ref="N10421">IF(MOD(ROW()-ROW($B$2),16)=0,INDEX($M$2:$M$1000,(ROW()-ROW($B$2))/16+1),"")</f>
        <v/>
      </c>
    </row>
    <row r="10422" spans="2:14" x14ac:dyDescent="0.3">
      <c r="B10422" t="s">
        <v>1065</v>
      </c>
      <c r="N10422" t="str" cm="1">
        <f t="array" ref="N10422">IF(MOD(ROW()-ROW($B$2),16)=0,INDEX($M$2:$M$1000,(ROW()-ROW($B$2))/16+1),"")</f>
        <v/>
      </c>
    </row>
    <row r="10423" spans="2:14" x14ac:dyDescent="0.3">
      <c r="B10423" t="s">
        <v>1066</v>
      </c>
      <c r="N10423" t="str" cm="1">
        <f t="array" ref="N10423">IF(MOD(ROW()-ROW($B$2),16)=0,INDEX($M$2:$M$1000,(ROW()-ROW($B$2))/16+1),"")</f>
        <v/>
      </c>
    </row>
    <row r="10424" spans="2:14" x14ac:dyDescent="0.3">
      <c r="B10424" t="s">
        <v>1067</v>
      </c>
      <c r="N10424" t="str" cm="1">
        <f t="array" ref="N10424">IF(MOD(ROW()-ROW($B$2),16)=0,INDEX($M$2:$M$1000,(ROW()-ROW($B$2))/16+1),"")</f>
        <v/>
      </c>
    </row>
    <row r="10425" spans="2:14" x14ac:dyDescent="0.3">
      <c r="B10425" t="s">
        <v>1068</v>
      </c>
      <c r="N10425" t="str" cm="1">
        <f t="array" ref="N10425">IF(MOD(ROW()-ROW($B$2),16)=0,INDEX($M$2:$M$1000,(ROW()-ROW($B$2))/16+1),"")</f>
        <v/>
      </c>
    </row>
    <row r="10426" spans="2:14" x14ac:dyDescent="0.3">
      <c r="B10426" t="s">
        <v>1069</v>
      </c>
      <c r="N10426" t="str" cm="1">
        <f t="array" ref="N10426">IF(MOD(ROW()-ROW($B$2),16)=0,INDEX($M$2:$M$1000,(ROW()-ROW($B$2))/16+1),"")</f>
        <v/>
      </c>
    </row>
    <row r="10427" spans="2:14" x14ac:dyDescent="0.3">
      <c r="B10427" t="s">
        <v>1070</v>
      </c>
      <c r="N10427" t="str" cm="1">
        <f t="array" ref="N10427">IF(MOD(ROW()-ROW($B$2),16)=0,INDEX($M$2:$M$1000,(ROW()-ROW($B$2))/16+1),"")</f>
        <v/>
      </c>
    </row>
    <row r="10428" spans="2:14" x14ac:dyDescent="0.3">
      <c r="B10428" t="s">
        <v>1071</v>
      </c>
      <c r="N10428" t="str" cm="1">
        <f t="array" ref="N10428">IF(MOD(ROW()-ROW($B$2),16)=0,INDEX($M$2:$M$1000,(ROW()-ROW($B$2))/16+1),"")</f>
        <v/>
      </c>
    </row>
    <row r="10429" spans="2:14" x14ac:dyDescent="0.3">
      <c r="B10429" t="s">
        <v>1072</v>
      </c>
      <c r="N10429" t="str" cm="1">
        <f t="array" ref="N10429">IF(MOD(ROW()-ROW($B$2),16)=0,INDEX($M$2:$M$1000,(ROW()-ROW($B$2))/16+1),"")</f>
        <v/>
      </c>
    </row>
    <row r="10430" spans="2:14" x14ac:dyDescent="0.3">
      <c r="B10430" t="s">
        <v>1073</v>
      </c>
      <c r="N10430" t="str" cm="1">
        <f t="array" ref="N10430">IF(MOD(ROW()-ROW($B$2),16)=0,INDEX($M$2:$M$1000,(ROW()-ROW($B$2))/16+1),"")</f>
        <v/>
      </c>
    </row>
    <row r="10431" spans="2:14" x14ac:dyDescent="0.3">
      <c r="B10431" t="s">
        <v>1074</v>
      </c>
      <c r="N10431" t="str" cm="1">
        <f t="array" ref="N10431">IF(MOD(ROW()-ROW($B$2),16)=0,INDEX($M$2:$M$1000,(ROW()-ROW($B$2))/16+1),"")</f>
        <v/>
      </c>
    </row>
    <row r="10432" spans="2:14" x14ac:dyDescent="0.3">
      <c r="B10432" t="s">
        <v>1075</v>
      </c>
      <c r="N10432" t="str" cm="1">
        <f t="array" ref="N10432">IF(MOD(ROW()-ROW($B$2),16)=0,INDEX($M$2:$M$1000,(ROW()-ROW($B$2))/16+1),"")</f>
        <v/>
      </c>
    </row>
    <row r="10433" spans="2:14" x14ac:dyDescent="0.3">
      <c r="B10433" t="s">
        <v>1076</v>
      </c>
      <c r="N10433" t="str" cm="1">
        <f t="array" ref="N10433">IF(MOD(ROW()-ROW($B$2),16)=0,INDEX($M$2:$M$1000,(ROW()-ROW($B$2))/16+1),"")</f>
        <v/>
      </c>
    </row>
    <row r="10434" spans="2:14" x14ac:dyDescent="0.3">
      <c r="B10434" t="s">
        <v>1077</v>
      </c>
      <c r="N10434" t="str" cm="1">
        <f t="array" ref="N10434">IF(MOD(ROW()-ROW($B$2),16)=0,INDEX($M$2:$M$1000,(ROW()-ROW($B$2))/16+1),"")</f>
        <v/>
      </c>
    </row>
    <row r="10435" spans="2:14" x14ac:dyDescent="0.3">
      <c r="B10435" t="s">
        <v>1078</v>
      </c>
      <c r="N10435" t="str" cm="1">
        <f t="array" ref="N10435">IF(MOD(ROW()-ROW($B$2),16)=0,INDEX($M$2:$M$1000,(ROW()-ROW($B$2))/16+1),"")</f>
        <v/>
      </c>
    </row>
    <row r="10436" spans="2:14" x14ac:dyDescent="0.3">
      <c r="B10436" t="s">
        <v>1079</v>
      </c>
      <c r="N10436" t="str" cm="1">
        <f t="array" ref="N10436">IF(MOD(ROW()-ROW($B$2),16)=0,INDEX($M$2:$M$1000,(ROW()-ROW($B$2))/16+1),"")</f>
        <v/>
      </c>
    </row>
    <row r="10437" spans="2:14" x14ac:dyDescent="0.3">
      <c r="B10437" t="s">
        <v>1080</v>
      </c>
      <c r="N10437" t="str" cm="1">
        <f t="array" ref="N10437">IF(MOD(ROW()-ROW($B$2),16)=0,INDEX($M$2:$M$1000,(ROW()-ROW($B$2))/16+1),"")</f>
        <v/>
      </c>
    </row>
    <row r="10438" spans="2:14" x14ac:dyDescent="0.3">
      <c r="B10438" t="s">
        <v>1081</v>
      </c>
      <c r="N10438" t="str" cm="1">
        <f t="array" ref="N10438">IF(MOD(ROW()-ROW($B$2),16)=0,INDEX($M$2:$M$1000,(ROW()-ROW($B$2))/16+1),"")</f>
        <v/>
      </c>
    </row>
    <row r="10439" spans="2:14" x14ac:dyDescent="0.3">
      <c r="B10439" t="s">
        <v>1082</v>
      </c>
      <c r="N10439" t="str" cm="1">
        <f t="array" ref="N10439">IF(MOD(ROW()-ROW($B$2),16)=0,INDEX($M$2:$M$1000,(ROW()-ROW($B$2))/16+1),"")</f>
        <v/>
      </c>
    </row>
    <row r="10440" spans="2:14" x14ac:dyDescent="0.3">
      <c r="B10440" t="s">
        <v>1083</v>
      </c>
      <c r="N10440" t="str" cm="1">
        <f t="array" ref="N10440">IF(MOD(ROW()-ROW($B$2),16)=0,INDEX($M$2:$M$1000,(ROW()-ROW($B$2))/16+1),"")</f>
        <v/>
      </c>
    </row>
    <row r="10441" spans="2:14" x14ac:dyDescent="0.3">
      <c r="B10441" t="s">
        <v>1084</v>
      </c>
      <c r="N10441" t="str" cm="1">
        <f t="array" ref="N10441">IF(MOD(ROW()-ROW($B$2),16)=0,INDEX($M$2:$M$1000,(ROW()-ROW($B$2))/16+1),"")</f>
        <v/>
      </c>
    </row>
    <row r="10442" spans="2:14" x14ac:dyDescent="0.3">
      <c r="B10442" t="s">
        <v>1085</v>
      </c>
      <c r="N10442" t="str" cm="1">
        <f t="array" ref="N10442">IF(MOD(ROW()-ROW($B$2),16)=0,INDEX($M$2:$M$1000,(ROW()-ROW($B$2))/16+1),"")</f>
        <v/>
      </c>
    </row>
    <row r="10443" spans="2:14" x14ac:dyDescent="0.3">
      <c r="B10443" t="s">
        <v>1086</v>
      </c>
      <c r="N10443" t="str" cm="1">
        <f t="array" ref="N10443">IF(MOD(ROW()-ROW($B$2),16)=0,INDEX($M$2:$M$1000,(ROW()-ROW($B$2))/16+1),"")</f>
        <v/>
      </c>
    </row>
    <row r="10444" spans="2:14" x14ac:dyDescent="0.3">
      <c r="B10444" t="s">
        <v>1087</v>
      </c>
      <c r="N10444" t="str" cm="1">
        <f t="array" ref="N10444">IF(MOD(ROW()-ROW($B$2),16)=0,INDEX($M$2:$M$1000,(ROW()-ROW($B$2))/16+1),"")</f>
        <v/>
      </c>
    </row>
    <row r="10445" spans="2:14" x14ac:dyDescent="0.3">
      <c r="B10445" t="s">
        <v>1088</v>
      </c>
      <c r="N10445" t="str" cm="1">
        <f t="array" ref="N10445">IF(MOD(ROW()-ROW($B$2),16)=0,INDEX($M$2:$M$1000,(ROW()-ROW($B$2))/16+1),"")</f>
        <v/>
      </c>
    </row>
    <row r="10446" spans="2:14" x14ac:dyDescent="0.3">
      <c r="B10446" t="s">
        <v>1089</v>
      </c>
      <c r="N10446" t="str" cm="1">
        <f t="array" ref="N10446">IF(MOD(ROW()-ROW($B$2),16)=0,INDEX($M$2:$M$1000,(ROW()-ROW($B$2))/16+1),"")</f>
        <v/>
      </c>
    </row>
    <row r="10447" spans="2:14" x14ac:dyDescent="0.3">
      <c r="B10447" t="s">
        <v>1090</v>
      </c>
      <c r="N10447" t="str" cm="1">
        <f t="array" ref="N10447">IF(MOD(ROW()-ROW($B$2),16)=0,INDEX($M$2:$M$1000,(ROW()-ROW($B$2))/16+1),"")</f>
        <v/>
      </c>
    </row>
    <row r="10448" spans="2:14" x14ac:dyDescent="0.3">
      <c r="B10448" t="s">
        <v>1091</v>
      </c>
      <c r="N10448" t="str" cm="1">
        <f t="array" ref="N10448">IF(MOD(ROW()-ROW($B$2),16)=0,INDEX($M$2:$M$1000,(ROW()-ROW($B$2))/16+1),"")</f>
        <v/>
      </c>
    </row>
    <row r="10449" spans="2:14" x14ac:dyDescent="0.3">
      <c r="B10449" t="s">
        <v>1092</v>
      </c>
      <c r="N10449" t="str" cm="1">
        <f t="array" ref="N10449">IF(MOD(ROW()-ROW($B$2),16)=0,INDEX($M$2:$M$1000,(ROW()-ROW($B$2))/16+1),"")</f>
        <v/>
      </c>
    </row>
    <row r="10450" spans="2:14" x14ac:dyDescent="0.3">
      <c r="B10450" t="s">
        <v>1093</v>
      </c>
      <c r="N10450" t="str" cm="1">
        <f t="array" ref="N10450">IF(MOD(ROW()-ROW($B$2),16)=0,INDEX($M$2:$M$1000,(ROW()-ROW($B$2))/16+1),"")</f>
        <v/>
      </c>
    </row>
    <row r="10451" spans="2:14" x14ac:dyDescent="0.3">
      <c r="B10451" t="s">
        <v>1094</v>
      </c>
      <c r="N10451" t="str" cm="1">
        <f t="array" ref="N10451">IF(MOD(ROW()-ROW($B$2),16)=0,INDEX($M$2:$M$1000,(ROW()-ROW($B$2))/16+1),"")</f>
        <v/>
      </c>
    </row>
    <row r="10452" spans="2:14" x14ac:dyDescent="0.3">
      <c r="B10452" t="s">
        <v>1095</v>
      </c>
      <c r="N10452" t="str" cm="1">
        <f t="array" ref="N10452">IF(MOD(ROW()-ROW($B$2),16)=0,INDEX($M$2:$M$1000,(ROW()-ROW($B$2))/16+1),"")</f>
        <v/>
      </c>
    </row>
    <row r="10453" spans="2:14" x14ac:dyDescent="0.3">
      <c r="B10453" t="s">
        <v>1096</v>
      </c>
      <c r="N10453" t="str" cm="1">
        <f t="array" ref="N10453">IF(MOD(ROW()-ROW($B$2),16)=0,INDEX($M$2:$M$1000,(ROW()-ROW($B$2))/16+1),"")</f>
        <v/>
      </c>
    </row>
    <row r="10454" spans="2:14" x14ac:dyDescent="0.3">
      <c r="B10454" t="s">
        <v>1097</v>
      </c>
      <c r="N10454" t="str" cm="1">
        <f t="array" ref="N10454">IF(MOD(ROW()-ROW($B$2),16)=0,INDEX($M$2:$M$1000,(ROW()-ROW($B$2))/16+1),"")</f>
        <v/>
      </c>
    </row>
    <row r="10455" spans="2:14" x14ac:dyDescent="0.3">
      <c r="B10455" t="s">
        <v>1098</v>
      </c>
      <c r="N10455" t="str" cm="1">
        <f t="array" ref="N10455">IF(MOD(ROW()-ROW($B$2),16)=0,INDEX($M$2:$M$1000,(ROW()-ROW($B$2))/16+1),"")</f>
        <v/>
      </c>
    </row>
    <row r="10456" spans="2:14" x14ac:dyDescent="0.3">
      <c r="B10456" t="s">
        <v>1099</v>
      </c>
      <c r="N10456" t="str" cm="1">
        <f t="array" ref="N10456">IF(MOD(ROW()-ROW($B$2),16)=0,INDEX($M$2:$M$1000,(ROW()-ROW($B$2))/16+1),"")</f>
        <v/>
      </c>
    </row>
    <row r="10457" spans="2:14" x14ac:dyDescent="0.3">
      <c r="B10457" t="s">
        <v>1100</v>
      </c>
      <c r="N10457" t="str" cm="1">
        <f t="array" ref="N10457">IF(MOD(ROW()-ROW($B$2),16)=0,INDEX($M$2:$M$1000,(ROW()-ROW($B$2))/16+1),"")</f>
        <v/>
      </c>
    </row>
    <row r="10458" spans="2:14" x14ac:dyDescent="0.3">
      <c r="B10458" t="s">
        <v>1101</v>
      </c>
      <c r="N10458" t="str" cm="1">
        <f t="array" ref="N10458">IF(MOD(ROW()-ROW($B$2),16)=0,INDEX($M$2:$M$1000,(ROW()-ROW($B$2))/16+1),"")</f>
        <v/>
      </c>
    </row>
    <row r="10459" spans="2:14" x14ac:dyDescent="0.3">
      <c r="B10459" t="s">
        <v>1102</v>
      </c>
      <c r="N10459" t="str" cm="1">
        <f t="array" ref="N10459">IF(MOD(ROW()-ROW($B$2),16)=0,INDEX($M$2:$M$1000,(ROW()-ROW($B$2))/16+1),"")</f>
        <v/>
      </c>
    </row>
    <row r="10460" spans="2:14" x14ac:dyDescent="0.3">
      <c r="B10460" t="s">
        <v>1103</v>
      </c>
      <c r="N10460" t="str" cm="1">
        <f t="array" ref="N10460">IF(MOD(ROW()-ROW($B$2),16)=0,INDEX($M$2:$M$1000,(ROW()-ROW($B$2))/16+1),"")</f>
        <v/>
      </c>
    </row>
    <row r="10461" spans="2:14" x14ac:dyDescent="0.3">
      <c r="B10461" t="s">
        <v>1104</v>
      </c>
      <c r="N10461" t="str" cm="1">
        <f t="array" ref="N10461">IF(MOD(ROW()-ROW($B$2),16)=0,INDEX($M$2:$M$1000,(ROW()-ROW($B$2))/16+1),"")</f>
        <v/>
      </c>
    </row>
    <row r="10462" spans="2:14" x14ac:dyDescent="0.3">
      <c r="B10462" t="s">
        <v>1105</v>
      </c>
      <c r="N10462" t="str" cm="1">
        <f t="array" ref="N10462">IF(MOD(ROW()-ROW($B$2),16)=0,INDEX($M$2:$M$1000,(ROW()-ROW($B$2))/16+1),"")</f>
        <v/>
      </c>
    </row>
    <row r="10463" spans="2:14" x14ac:dyDescent="0.3">
      <c r="B10463" t="s">
        <v>1106</v>
      </c>
      <c r="N10463" t="str" cm="1">
        <f t="array" ref="N10463">IF(MOD(ROW()-ROW($B$2),16)=0,INDEX($M$2:$M$1000,(ROW()-ROW($B$2))/16+1),"")</f>
        <v/>
      </c>
    </row>
    <row r="10464" spans="2:14" x14ac:dyDescent="0.3">
      <c r="B10464" t="s">
        <v>1107</v>
      </c>
      <c r="N10464" t="str" cm="1">
        <f t="array" ref="N10464">IF(MOD(ROW()-ROW($B$2),16)=0,INDEX($M$2:$M$1000,(ROW()-ROW($B$2))/16+1),"")</f>
        <v/>
      </c>
    </row>
    <row r="10465" spans="2:14" x14ac:dyDescent="0.3">
      <c r="B10465" t="s">
        <v>1108</v>
      </c>
      <c r="N10465" t="str" cm="1">
        <f t="array" ref="N10465">IF(MOD(ROW()-ROW($B$2),16)=0,INDEX($M$2:$M$1000,(ROW()-ROW($B$2))/16+1),"")</f>
        <v/>
      </c>
    </row>
    <row r="10466" spans="2:14" x14ac:dyDescent="0.3">
      <c r="B10466" t="s">
        <v>1109</v>
      </c>
      <c r="N10466" t="str" cm="1">
        <f t="array" ref="N10466">IF(MOD(ROW()-ROW($B$2),16)=0,INDEX($M$2:$M$1000,(ROW()-ROW($B$2))/16+1),"")</f>
        <v/>
      </c>
    </row>
    <row r="10467" spans="2:14" x14ac:dyDescent="0.3">
      <c r="B10467" t="s">
        <v>1110</v>
      </c>
      <c r="N10467" t="str" cm="1">
        <f t="array" ref="N10467">IF(MOD(ROW()-ROW($B$2),16)=0,INDEX($M$2:$M$1000,(ROW()-ROW($B$2))/16+1),"")</f>
        <v/>
      </c>
    </row>
    <row r="10468" spans="2:14" x14ac:dyDescent="0.3">
      <c r="B10468" t="s">
        <v>1111</v>
      </c>
      <c r="N10468" t="str" cm="1">
        <f t="array" ref="N10468">IF(MOD(ROW()-ROW($B$2),16)=0,INDEX($M$2:$M$1000,(ROW()-ROW($B$2))/16+1),"")</f>
        <v/>
      </c>
    </row>
    <row r="10469" spans="2:14" x14ac:dyDescent="0.3">
      <c r="B10469" t="s">
        <v>1112</v>
      </c>
      <c r="N10469" t="str" cm="1">
        <f t="array" ref="N10469">IF(MOD(ROW()-ROW($B$2),16)=0,INDEX($M$2:$M$1000,(ROW()-ROW($B$2))/16+1),"")</f>
        <v/>
      </c>
    </row>
    <row r="10470" spans="2:14" x14ac:dyDescent="0.3">
      <c r="B10470" t="s">
        <v>1113</v>
      </c>
      <c r="N10470" t="str" cm="1">
        <f t="array" ref="N10470">IF(MOD(ROW()-ROW($B$2),16)=0,INDEX($M$2:$M$1000,(ROW()-ROW($B$2))/16+1),"")</f>
        <v/>
      </c>
    </row>
    <row r="10471" spans="2:14" x14ac:dyDescent="0.3">
      <c r="B10471" t="s">
        <v>1114</v>
      </c>
      <c r="N10471" t="str" cm="1">
        <f t="array" ref="N10471">IF(MOD(ROW()-ROW($B$2),16)=0,INDEX($M$2:$M$1000,(ROW()-ROW($B$2))/16+1),"")</f>
        <v/>
      </c>
    </row>
    <row r="10472" spans="2:14" x14ac:dyDescent="0.3">
      <c r="B10472" t="s">
        <v>1115</v>
      </c>
      <c r="N10472" t="str" cm="1">
        <f t="array" ref="N10472">IF(MOD(ROW()-ROW($B$2),16)=0,INDEX($M$2:$M$1000,(ROW()-ROW($B$2))/16+1),"")</f>
        <v/>
      </c>
    </row>
    <row r="10473" spans="2:14" x14ac:dyDescent="0.3">
      <c r="B10473" t="s">
        <v>1116</v>
      </c>
      <c r="N10473" t="str" cm="1">
        <f t="array" ref="N10473">IF(MOD(ROW()-ROW($B$2),16)=0,INDEX($M$2:$M$1000,(ROW()-ROW($B$2))/16+1),"")</f>
        <v/>
      </c>
    </row>
    <row r="10474" spans="2:14" x14ac:dyDescent="0.3">
      <c r="B10474" t="s">
        <v>1117</v>
      </c>
      <c r="N10474" t="str" cm="1">
        <f t="array" ref="N10474">IF(MOD(ROW()-ROW($B$2),16)=0,INDEX($M$2:$M$1000,(ROW()-ROW($B$2))/16+1),"")</f>
        <v/>
      </c>
    </row>
    <row r="10475" spans="2:14" x14ac:dyDescent="0.3">
      <c r="B10475" t="s">
        <v>1118</v>
      </c>
      <c r="N10475" t="str" cm="1">
        <f t="array" ref="N10475">IF(MOD(ROW()-ROW($B$2),16)=0,INDEX($M$2:$M$1000,(ROW()-ROW($B$2))/16+1),"")</f>
        <v/>
      </c>
    </row>
    <row r="10476" spans="2:14" x14ac:dyDescent="0.3">
      <c r="B10476" t="s">
        <v>1119</v>
      </c>
      <c r="N10476" t="str" cm="1">
        <f t="array" ref="N10476">IF(MOD(ROW()-ROW($B$2),16)=0,INDEX($M$2:$M$1000,(ROW()-ROW($B$2))/16+1),"")</f>
        <v/>
      </c>
    </row>
    <row r="10477" spans="2:14" x14ac:dyDescent="0.3">
      <c r="B10477" t="s">
        <v>1120</v>
      </c>
      <c r="N10477" t="str" cm="1">
        <f t="array" ref="N10477">IF(MOD(ROW()-ROW($B$2),16)=0,INDEX($M$2:$M$1000,(ROW()-ROW($B$2))/16+1),"")</f>
        <v/>
      </c>
    </row>
    <row r="10478" spans="2:14" x14ac:dyDescent="0.3">
      <c r="B10478" t="s">
        <v>1121</v>
      </c>
      <c r="N10478" t="str" cm="1">
        <f t="array" ref="N10478">IF(MOD(ROW()-ROW($B$2),16)=0,INDEX($M$2:$M$1000,(ROW()-ROW($B$2))/16+1),"")</f>
        <v/>
      </c>
    </row>
    <row r="10479" spans="2:14" x14ac:dyDescent="0.3">
      <c r="B10479" t="s">
        <v>1122</v>
      </c>
      <c r="N10479" t="str" cm="1">
        <f t="array" ref="N10479">IF(MOD(ROW()-ROW($B$2),16)=0,INDEX($M$2:$M$1000,(ROW()-ROW($B$2))/16+1),"")</f>
        <v/>
      </c>
    </row>
    <row r="10480" spans="2:14" x14ac:dyDescent="0.3">
      <c r="B10480" t="s">
        <v>1123</v>
      </c>
      <c r="N10480" t="str" cm="1">
        <f t="array" ref="N10480">IF(MOD(ROW()-ROW($B$2),16)=0,INDEX($M$2:$M$1000,(ROW()-ROW($B$2))/16+1),"")</f>
        <v/>
      </c>
    </row>
    <row r="10481" spans="2:14" x14ac:dyDescent="0.3">
      <c r="B10481" t="s">
        <v>1124</v>
      </c>
      <c r="N10481" t="str" cm="1">
        <f t="array" ref="N10481">IF(MOD(ROW()-ROW($B$2),16)=0,INDEX($M$2:$M$1000,(ROW()-ROW($B$2))/16+1),"")</f>
        <v/>
      </c>
    </row>
    <row r="10482" spans="2:14" x14ac:dyDescent="0.3">
      <c r="B10482" t="s">
        <v>1125</v>
      </c>
      <c r="N10482" t="str" cm="1">
        <f t="array" ref="N10482">IF(MOD(ROW()-ROW($B$2),16)=0,INDEX($M$2:$M$1000,(ROW()-ROW($B$2))/16+1),"")</f>
        <v/>
      </c>
    </row>
    <row r="10483" spans="2:14" x14ac:dyDescent="0.3">
      <c r="B10483" t="s">
        <v>1126</v>
      </c>
      <c r="N10483" t="str" cm="1">
        <f t="array" ref="N10483">IF(MOD(ROW()-ROW($B$2),16)=0,INDEX($M$2:$M$1000,(ROW()-ROW($B$2))/16+1),"")</f>
        <v/>
      </c>
    </row>
    <row r="10484" spans="2:14" x14ac:dyDescent="0.3">
      <c r="B10484" t="s">
        <v>1127</v>
      </c>
      <c r="N10484" t="str" cm="1">
        <f t="array" ref="N10484">IF(MOD(ROW()-ROW($B$2),16)=0,INDEX($M$2:$M$1000,(ROW()-ROW($B$2))/16+1),"")</f>
        <v/>
      </c>
    </row>
    <row r="10485" spans="2:14" x14ac:dyDescent="0.3">
      <c r="B10485" t="s">
        <v>1128</v>
      </c>
      <c r="N10485" t="str" cm="1">
        <f t="array" ref="N10485">IF(MOD(ROW()-ROW($B$2),16)=0,INDEX($M$2:$M$1000,(ROW()-ROW($B$2))/16+1),"")</f>
        <v/>
      </c>
    </row>
    <row r="10486" spans="2:14" x14ac:dyDescent="0.3">
      <c r="B10486" t="s">
        <v>1129</v>
      </c>
      <c r="N10486" t="str" cm="1">
        <f t="array" ref="N10486">IF(MOD(ROW()-ROW($B$2),16)=0,INDEX($M$2:$M$1000,(ROW()-ROW($B$2))/16+1),"")</f>
        <v/>
      </c>
    </row>
    <row r="10487" spans="2:14" x14ac:dyDescent="0.3">
      <c r="B10487" t="s">
        <v>1130</v>
      </c>
      <c r="N10487" t="str" cm="1">
        <f t="array" ref="N10487">IF(MOD(ROW()-ROW($B$2),16)=0,INDEX($M$2:$M$1000,(ROW()-ROW($B$2))/16+1),"")</f>
        <v/>
      </c>
    </row>
    <row r="10488" spans="2:14" x14ac:dyDescent="0.3">
      <c r="B10488" t="s">
        <v>1131</v>
      </c>
      <c r="N10488" t="str" cm="1">
        <f t="array" ref="N10488">IF(MOD(ROW()-ROW($B$2),16)=0,INDEX($M$2:$M$1000,(ROW()-ROW($B$2))/16+1),"")</f>
        <v/>
      </c>
    </row>
    <row r="10489" spans="2:14" x14ac:dyDescent="0.3">
      <c r="B10489" t="s">
        <v>1132</v>
      </c>
      <c r="N10489" t="str" cm="1">
        <f t="array" ref="N10489">IF(MOD(ROW()-ROW($B$2),16)=0,INDEX($M$2:$M$1000,(ROW()-ROW($B$2))/16+1),"")</f>
        <v/>
      </c>
    </row>
    <row r="10490" spans="2:14" x14ac:dyDescent="0.3">
      <c r="B10490" t="s">
        <v>1133</v>
      </c>
      <c r="N10490" t="str" cm="1">
        <f t="array" ref="N10490">IF(MOD(ROW()-ROW($B$2),16)=0,INDEX($M$2:$M$1000,(ROW()-ROW($B$2))/16+1),"")</f>
        <v/>
      </c>
    </row>
    <row r="10491" spans="2:14" x14ac:dyDescent="0.3">
      <c r="B10491" t="s">
        <v>1134</v>
      </c>
      <c r="N10491" t="str" cm="1">
        <f t="array" ref="N10491">IF(MOD(ROW()-ROW($B$2),16)=0,INDEX($M$2:$M$1000,(ROW()-ROW($B$2))/16+1),"")</f>
        <v/>
      </c>
    </row>
    <row r="10492" spans="2:14" x14ac:dyDescent="0.3">
      <c r="B10492" t="s">
        <v>1135</v>
      </c>
      <c r="N10492" t="str" cm="1">
        <f t="array" ref="N10492">IF(MOD(ROW()-ROW($B$2),16)=0,INDEX($M$2:$M$1000,(ROW()-ROW($B$2))/16+1),"")</f>
        <v/>
      </c>
    </row>
    <row r="10493" spans="2:14" x14ac:dyDescent="0.3">
      <c r="B10493" t="s">
        <v>1136</v>
      </c>
      <c r="N10493" t="str" cm="1">
        <f t="array" ref="N10493">IF(MOD(ROW()-ROW($B$2),16)=0,INDEX($M$2:$M$1000,(ROW()-ROW($B$2))/16+1),"")</f>
        <v/>
      </c>
    </row>
    <row r="10494" spans="2:14" x14ac:dyDescent="0.3">
      <c r="B10494" t="s">
        <v>1137</v>
      </c>
      <c r="N10494" t="str" cm="1">
        <f t="array" ref="N10494">IF(MOD(ROW()-ROW($B$2),16)=0,INDEX($M$2:$M$1000,(ROW()-ROW($B$2))/16+1),"")</f>
        <v/>
      </c>
    </row>
    <row r="10495" spans="2:14" x14ac:dyDescent="0.3">
      <c r="B10495" t="s">
        <v>1138</v>
      </c>
      <c r="N10495" t="str" cm="1">
        <f t="array" ref="N10495">IF(MOD(ROW()-ROW($B$2),16)=0,INDEX($M$2:$M$1000,(ROW()-ROW($B$2))/16+1),"")</f>
        <v/>
      </c>
    </row>
    <row r="10496" spans="2:14" x14ac:dyDescent="0.3">
      <c r="B10496" t="s">
        <v>1139</v>
      </c>
      <c r="N10496" t="str" cm="1">
        <f t="array" ref="N10496">IF(MOD(ROW()-ROW($B$2),16)=0,INDEX($M$2:$M$1000,(ROW()-ROW($B$2))/16+1),"")</f>
        <v/>
      </c>
    </row>
    <row r="10497" spans="2:14" x14ac:dyDescent="0.3">
      <c r="B10497" t="s">
        <v>1140</v>
      </c>
      <c r="N10497" t="str" cm="1">
        <f t="array" ref="N10497">IF(MOD(ROW()-ROW($B$2),16)=0,INDEX($M$2:$M$1000,(ROW()-ROW($B$2))/16+1),"")</f>
        <v/>
      </c>
    </row>
    <row r="10498" spans="2:14" x14ac:dyDescent="0.3">
      <c r="B10498" t="s">
        <v>1141</v>
      </c>
      <c r="N10498" t="str" cm="1">
        <f t="array" ref="N10498">IF(MOD(ROW()-ROW($B$2),16)=0,INDEX($M$2:$M$1000,(ROW()-ROW($B$2))/16+1),"")</f>
        <v/>
      </c>
    </row>
    <row r="10499" spans="2:14" x14ac:dyDescent="0.3">
      <c r="B10499" t="s">
        <v>1142</v>
      </c>
      <c r="N10499" t="str" cm="1">
        <f t="array" ref="N10499">IF(MOD(ROW()-ROW($B$2),16)=0,INDEX($M$2:$M$1000,(ROW()-ROW($B$2))/16+1),"")</f>
        <v/>
      </c>
    </row>
    <row r="10500" spans="2:14" x14ac:dyDescent="0.3">
      <c r="B10500" t="s">
        <v>1143</v>
      </c>
      <c r="N10500" t="str" cm="1">
        <f t="array" ref="N10500">IF(MOD(ROW()-ROW($B$2),16)=0,INDEX($M$2:$M$1000,(ROW()-ROW($B$2))/16+1),"")</f>
        <v/>
      </c>
    </row>
    <row r="10501" spans="2:14" x14ac:dyDescent="0.3">
      <c r="B10501" t="s">
        <v>1144</v>
      </c>
      <c r="N10501" t="str" cm="1">
        <f t="array" ref="N10501">IF(MOD(ROW()-ROW($B$2),16)=0,INDEX($M$2:$M$1000,(ROW()-ROW($B$2))/16+1),"")</f>
        <v/>
      </c>
    </row>
    <row r="10502" spans="2:14" x14ac:dyDescent="0.3">
      <c r="B10502" t="s">
        <v>1145</v>
      </c>
      <c r="N10502" t="str" cm="1">
        <f t="array" ref="N10502">IF(MOD(ROW()-ROW($B$2),16)=0,INDEX($M$2:$M$1000,(ROW()-ROW($B$2))/16+1),"")</f>
        <v/>
      </c>
    </row>
    <row r="10503" spans="2:14" x14ac:dyDescent="0.3">
      <c r="B10503" t="s">
        <v>1146</v>
      </c>
      <c r="N10503" t="str" cm="1">
        <f t="array" ref="N10503">IF(MOD(ROW()-ROW($B$2),16)=0,INDEX($M$2:$M$1000,(ROW()-ROW($B$2))/16+1),"")</f>
        <v/>
      </c>
    </row>
    <row r="10504" spans="2:14" x14ac:dyDescent="0.3">
      <c r="B10504" t="s">
        <v>1147</v>
      </c>
      <c r="N10504" t="str" cm="1">
        <f t="array" ref="N10504">IF(MOD(ROW()-ROW($B$2),16)=0,INDEX($M$2:$M$1000,(ROW()-ROW($B$2))/16+1),"")</f>
        <v/>
      </c>
    </row>
    <row r="10505" spans="2:14" x14ac:dyDescent="0.3">
      <c r="B10505" t="s">
        <v>1148</v>
      </c>
      <c r="N10505" t="str" cm="1">
        <f t="array" ref="N10505">IF(MOD(ROW()-ROW($B$2),16)=0,INDEX($M$2:$M$1000,(ROW()-ROW($B$2))/16+1),"")</f>
        <v/>
      </c>
    </row>
    <row r="10506" spans="2:14" x14ac:dyDescent="0.3">
      <c r="B10506" t="s">
        <v>1149</v>
      </c>
      <c r="N10506" t="str" cm="1">
        <f t="array" ref="N10506">IF(MOD(ROW()-ROW($B$2),16)=0,INDEX($M$2:$M$1000,(ROW()-ROW($B$2))/16+1),"")</f>
        <v/>
      </c>
    </row>
    <row r="10507" spans="2:14" x14ac:dyDescent="0.3">
      <c r="B10507" t="s">
        <v>1150</v>
      </c>
      <c r="N10507" t="str" cm="1">
        <f t="array" ref="N10507">IF(MOD(ROW()-ROW($B$2),16)=0,INDEX($M$2:$M$1000,(ROW()-ROW($B$2))/16+1),"")</f>
        <v/>
      </c>
    </row>
    <row r="10508" spans="2:14" x14ac:dyDescent="0.3">
      <c r="B10508" t="s">
        <v>1151</v>
      </c>
      <c r="N10508" t="str" cm="1">
        <f t="array" ref="N10508">IF(MOD(ROW()-ROW($B$2),16)=0,INDEX($M$2:$M$1000,(ROW()-ROW($B$2))/16+1),"")</f>
        <v/>
      </c>
    </row>
    <row r="10509" spans="2:14" x14ac:dyDescent="0.3">
      <c r="B10509" t="s">
        <v>1152</v>
      </c>
      <c r="N10509" t="str" cm="1">
        <f t="array" ref="N10509">IF(MOD(ROW()-ROW($B$2),16)=0,INDEX($M$2:$M$1000,(ROW()-ROW($B$2))/16+1),"")</f>
        <v/>
      </c>
    </row>
    <row r="10510" spans="2:14" x14ac:dyDescent="0.3">
      <c r="B10510" t="s">
        <v>1153</v>
      </c>
      <c r="N10510" t="str" cm="1">
        <f t="array" ref="N10510">IF(MOD(ROW()-ROW($B$2),16)=0,INDEX($M$2:$M$1000,(ROW()-ROW($B$2))/16+1),"")</f>
        <v/>
      </c>
    </row>
    <row r="10511" spans="2:14" x14ac:dyDescent="0.3">
      <c r="B10511" t="s">
        <v>1154</v>
      </c>
      <c r="N10511" t="str" cm="1">
        <f t="array" ref="N10511">IF(MOD(ROW()-ROW($B$2),16)=0,INDEX($M$2:$M$1000,(ROW()-ROW($B$2))/16+1),"")</f>
        <v/>
      </c>
    </row>
    <row r="10512" spans="2:14" x14ac:dyDescent="0.3">
      <c r="B10512" t="s">
        <v>1155</v>
      </c>
      <c r="N10512" t="str" cm="1">
        <f t="array" ref="N10512">IF(MOD(ROW()-ROW($B$2),16)=0,INDEX($M$2:$M$1000,(ROW()-ROW($B$2))/16+1),"")</f>
        <v/>
      </c>
    </row>
    <row r="10513" spans="2:14" x14ac:dyDescent="0.3">
      <c r="B10513" t="s">
        <v>1156</v>
      </c>
      <c r="N10513" t="str" cm="1">
        <f t="array" ref="N10513">IF(MOD(ROW()-ROW($B$2),16)=0,INDEX($M$2:$M$1000,(ROW()-ROW($B$2))/16+1),"")</f>
        <v/>
      </c>
    </row>
    <row r="10514" spans="2:14" x14ac:dyDescent="0.3">
      <c r="B10514" t="s">
        <v>1157</v>
      </c>
      <c r="N10514" t="str" cm="1">
        <f t="array" ref="N10514">IF(MOD(ROW()-ROW($B$2),16)=0,INDEX($M$2:$M$1000,(ROW()-ROW($B$2))/16+1),"")</f>
        <v/>
      </c>
    </row>
    <row r="10515" spans="2:14" x14ac:dyDescent="0.3">
      <c r="B10515" t="s">
        <v>1158</v>
      </c>
      <c r="N10515" t="str" cm="1">
        <f t="array" ref="N10515">IF(MOD(ROW()-ROW($B$2),16)=0,INDEX($M$2:$M$1000,(ROW()-ROW($B$2))/16+1),"")</f>
        <v/>
      </c>
    </row>
    <row r="10516" spans="2:14" x14ac:dyDescent="0.3">
      <c r="B10516" t="s">
        <v>1159</v>
      </c>
      <c r="N10516" t="str" cm="1">
        <f t="array" ref="N10516">IF(MOD(ROW()-ROW($B$2),16)=0,INDEX($M$2:$M$1000,(ROW()-ROW($B$2))/16+1),"")</f>
        <v/>
      </c>
    </row>
    <row r="10517" spans="2:14" x14ac:dyDescent="0.3">
      <c r="B10517" t="s">
        <v>1160</v>
      </c>
      <c r="N10517" t="str" cm="1">
        <f t="array" ref="N10517">IF(MOD(ROW()-ROW($B$2),16)=0,INDEX($M$2:$M$1000,(ROW()-ROW($B$2))/16+1),"")</f>
        <v/>
      </c>
    </row>
    <row r="10518" spans="2:14" x14ac:dyDescent="0.3">
      <c r="B10518" t="s">
        <v>1161</v>
      </c>
      <c r="N10518" t="str" cm="1">
        <f t="array" ref="N10518">IF(MOD(ROW()-ROW($B$2),16)=0,INDEX($M$2:$M$1000,(ROW()-ROW($B$2))/16+1),"")</f>
        <v/>
      </c>
    </row>
    <row r="10519" spans="2:14" x14ac:dyDescent="0.3">
      <c r="B10519" t="s">
        <v>1162</v>
      </c>
      <c r="N10519" t="str" cm="1">
        <f t="array" ref="N10519">IF(MOD(ROW()-ROW($B$2),16)=0,INDEX($M$2:$M$1000,(ROW()-ROW($B$2))/16+1),"")</f>
        <v/>
      </c>
    </row>
    <row r="10520" spans="2:14" x14ac:dyDescent="0.3">
      <c r="B10520" t="s">
        <v>1163</v>
      </c>
      <c r="N10520" t="str" cm="1">
        <f t="array" ref="N10520">IF(MOD(ROW()-ROW($B$2),16)=0,INDEX($M$2:$M$1000,(ROW()-ROW($B$2))/16+1),"")</f>
        <v/>
      </c>
    </row>
    <row r="10521" spans="2:14" x14ac:dyDescent="0.3">
      <c r="B10521" t="s">
        <v>1164</v>
      </c>
      <c r="N10521" t="str" cm="1">
        <f t="array" ref="N10521">IF(MOD(ROW()-ROW($B$2),16)=0,INDEX($M$2:$M$1000,(ROW()-ROW($B$2))/16+1),"")</f>
        <v/>
      </c>
    </row>
    <row r="10522" spans="2:14" x14ac:dyDescent="0.3">
      <c r="B10522" t="s">
        <v>1165</v>
      </c>
      <c r="N10522" t="str" cm="1">
        <f t="array" ref="N10522">IF(MOD(ROW()-ROW($B$2),16)=0,INDEX($M$2:$M$1000,(ROW()-ROW($B$2))/16+1),"")</f>
        <v/>
      </c>
    </row>
    <row r="10523" spans="2:14" x14ac:dyDescent="0.3">
      <c r="B10523" t="s">
        <v>1166</v>
      </c>
      <c r="N10523" t="str" cm="1">
        <f t="array" ref="N10523">IF(MOD(ROW()-ROW($B$2),16)=0,INDEX($M$2:$M$1000,(ROW()-ROW($B$2))/16+1),"")</f>
        <v/>
      </c>
    </row>
    <row r="10524" spans="2:14" x14ac:dyDescent="0.3">
      <c r="B10524" t="s">
        <v>1167</v>
      </c>
      <c r="N10524" t="str" cm="1">
        <f t="array" ref="N10524">IF(MOD(ROW()-ROW($B$2),16)=0,INDEX($M$2:$M$1000,(ROW()-ROW($B$2))/16+1),"")</f>
        <v/>
      </c>
    </row>
    <row r="10525" spans="2:14" x14ac:dyDescent="0.3">
      <c r="B10525" t="s">
        <v>1168</v>
      </c>
      <c r="N10525" t="str" cm="1">
        <f t="array" ref="N10525">IF(MOD(ROW()-ROW($B$2),16)=0,INDEX($M$2:$M$1000,(ROW()-ROW($B$2))/16+1),"")</f>
        <v/>
      </c>
    </row>
    <row r="10526" spans="2:14" x14ac:dyDescent="0.3">
      <c r="B10526" t="s">
        <v>1169</v>
      </c>
      <c r="N10526" t="str" cm="1">
        <f t="array" ref="N10526">IF(MOD(ROW()-ROW($B$2),16)=0,INDEX($M$2:$M$1000,(ROW()-ROW($B$2))/16+1),"")</f>
        <v/>
      </c>
    </row>
    <row r="10527" spans="2:14" x14ac:dyDescent="0.3">
      <c r="B10527" t="s">
        <v>1170</v>
      </c>
      <c r="N10527" t="str" cm="1">
        <f t="array" ref="N10527">IF(MOD(ROW()-ROW($B$2),16)=0,INDEX($M$2:$M$1000,(ROW()-ROW($B$2))/16+1),"")</f>
        <v/>
      </c>
    </row>
    <row r="10528" spans="2:14" x14ac:dyDescent="0.3">
      <c r="B10528" t="s">
        <v>1171</v>
      </c>
      <c r="N10528" t="str" cm="1">
        <f t="array" ref="N10528">IF(MOD(ROW()-ROW($B$2),16)=0,INDEX($M$2:$M$1000,(ROW()-ROW($B$2))/16+1),"")</f>
        <v/>
      </c>
    </row>
    <row r="10529" spans="2:14" x14ac:dyDescent="0.3">
      <c r="B10529" t="s">
        <v>1172</v>
      </c>
      <c r="N10529" t="str" cm="1">
        <f t="array" ref="N10529">IF(MOD(ROW()-ROW($B$2),16)=0,INDEX($M$2:$M$1000,(ROW()-ROW($B$2))/16+1),"")</f>
        <v/>
      </c>
    </row>
    <row r="10530" spans="2:14" x14ac:dyDescent="0.3">
      <c r="B10530" t="s">
        <v>1173</v>
      </c>
      <c r="N10530" t="str" cm="1">
        <f t="array" ref="N10530">IF(MOD(ROW()-ROW($B$2),16)=0,INDEX($M$2:$M$1000,(ROW()-ROW($B$2))/16+1),"")</f>
        <v/>
      </c>
    </row>
    <row r="10531" spans="2:14" x14ac:dyDescent="0.3">
      <c r="B10531" t="s">
        <v>1174</v>
      </c>
      <c r="N10531" t="str" cm="1">
        <f t="array" ref="N10531">IF(MOD(ROW()-ROW($B$2),16)=0,INDEX($M$2:$M$1000,(ROW()-ROW($B$2))/16+1),"")</f>
        <v/>
      </c>
    </row>
    <row r="10532" spans="2:14" x14ac:dyDescent="0.3">
      <c r="B10532" t="s">
        <v>1175</v>
      </c>
      <c r="N10532" t="str" cm="1">
        <f t="array" ref="N10532">IF(MOD(ROW()-ROW($B$2),16)=0,INDEX($M$2:$M$1000,(ROW()-ROW($B$2))/16+1),"")</f>
        <v/>
      </c>
    </row>
    <row r="10533" spans="2:14" x14ac:dyDescent="0.3">
      <c r="B10533" t="s">
        <v>1176</v>
      </c>
      <c r="N10533" t="str" cm="1">
        <f t="array" ref="N10533">IF(MOD(ROW()-ROW($B$2),16)=0,INDEX($M$2:$M$1000,(ROW()-ROW($B$2))/16+1),"")</f>
        <v/>
      </c>
    </row>
    <row r="10534" spans="2:14" x14ac:dyDescent="0.3">
      <c r="B10534" t="s">
        <v>1177</v>
      </c>
      <c r="N10534" t="str" cm="1">
        <f t="array" ref="N10534">IF(MOD(ROW()-ROW($B$2),16)=0,INDEX($M$2:$M$1000,(ROW()-ROW($B$2))/16+1),"")</f>
        <v/>
      </c>
    </row>
    <row r="10535" spans="2:14" x14ac:dyDescent="0.3">
      <c r="B10535" t="s">
        <v>1178</v>
      </c>
      <c r="N10535" t="str" cm="1">
        <f t="array" ref="N10535">IF(MOD(ROW()-ROW($B$2),16)=0,INDEX($M$2:$M$1000,(ROW()-ROW($B$2))/16+1),"")</f>
        <v/>
      </c>
    </row>
    <row r="10536" spans="2:14" x14ac:dyDescent="0.3">
      <c r="B10536" t="s">
        <v>1179</v>
      </c>
      <c r="N10536" t="str" cm="1">
        <f t="array" ref="N10536">IF(MOD(ROW()-ROW($B$2),16)=0,INDEX($M$2:$M$1000,(ROW()-ROW($B$2))/16+1),"")</f>
        <v/>
      </c>
    </row>
    <row r="10537" spans="2:14" x14ac:dyDescent="0.3">
      <c r="B10537" t="s">
        <v>1180</v>
      </c>
      <c r="N10537" t="str" cm="1">
        <f t="array" ref="N10537">IF(MOD(ROW()-ROW($B$2),16)=0,INDEX($M$2:$M$1000,(ROW()-ROW($B$2))/16+1),"")</f>
        <v/>
      </c>
    </row>
    <row r="10538" spans="2:14" x14ac:dyDescent="0.3">
      <c r="B10538" t="s">
        <v>1181</v>
      </c>
      <c r="N10538" t="str" cm="1">
        <f t="array" ref="N10538">IF(MOD(ROW()-ROW($B$2),16)=0,INDEX($M$2:$M$1000,(ROW()-ROW($B$2))/16+1),"")</f>
        <v/>
      </c>
    </row>
    <row r="10539" spans="2:14" x14ac:dyDescent="0.3">
      <c r="B10539" t="s">
        <v>1182</v>
      </c>
      <c r="N10539" t="str" cm="1">
        <f t="array" ref="N10539">IF(MOD(ROW()-ROW($B$2),16)=0,INDEX($M$2:$M$1000,(ROW()-ROW($B$2))/16+1),"")</f>
        <v/>
      </c>
    </row>
    <row r="10540" spans="2:14" x14ac:dyDescent="0.3">
      <c r="B10540" t="s">
        <v>1183</v>
      </c>
      <c r="N10540" t="str" cm="1">
        <f t="array" ref="N10540">IF(MOD(ROW()-ROW($B$2),16)=0,INDEX($M$2:$M$1000,(ROW()-ROW($B$2))/16+1),"")</f>
        <v/>
      </c>
    </row>
    <row r="10541" spans="2:14" x14ac:dyDescent="0.3">
      <c r="B10541" t="s">
        <v>1184</v>
      </c>
      <c r="N10541" t="str" cm="1">
        <f t="array" ref="N10541">IF(MOD(ROW()-ROW($B$2),16)=0,INDEX($M$2:$M$1000,(ROW()-ROW($B$2))/16+1),"")</f>
        <v/>
      </c>
    </row>
    <row r="10542" spans="2:14" x14ac:dyDescent="0.3">
      <c r="B10542" t="s">
        <v>1185</v>
      </c>
      <c r="N10542" t="str" cm="1">
        <f t="array" ref="N10542">IF(MOD(ROW()-ROW($B$2),16)=0,INDEX($M$2:$M$1000,(ROW()-ROW($B$2))/16+1),"")</f>
        <v/>
      </c>
    </row>
    <row r="10543" spans="2:14" x14ac:dyDescent="0.3">
      <c r="B10543" t="s">
        <v>1186</v>
      </c>
      <c r="N10543" t="str" cm="1">
        <f t="array" ref="N10543">IF(MOD(ROW()-ROW($B$2),16)=0,INDEX($M$2:$M$1000,(ROW()-ROW($B$2))/16+1),"")</f>
        <v/>
      </c>
    </row>
    <row r="10544" spans="2:14" x14ac:dyDescent="0.3">
      <c r="B10544" t="s">
        <v>1187</v>
      </c>
      <c r="N10544" t="str" cm="1">
        <f t="array" ref="N10544">IF(MOD(ROW()-ROW($B$2),16)=0,INDEX($M$2:$M$1000,(ROW()-ROW($B$2))/16+1),"")</f>
        <v/>
      </c>
    </row>
    <row r="10545" spans="2:14" x14ac:dyDescent="0.3">
      <c r="B10545" t="s">
        <v>1188</v>
      </c>
      <c r="N10545" t="str" cm="1">
        <f t="array" ref="N10545">IF(MOD(ROW()-ROW($B$2),16)=0,INDEX($M$2:$M$1000,(ROW()-ROW($B$2))/16+1),"")</f>
        <v/>
      </c>
    </row>
    <row r="10546" spans="2:14" x14ac:dyDescent="0.3">
      <c r="B10546" t="s">
        <v>1189</v>
      </c>
      <c r="N10546" t="str" cm="1">
        <f t="array" ref="N10546">IF(MOD(ROW()-ROW($B$2),16)=0,INDEX($M$2:$M$1000,(ROW()-ROW($B$2))/16+1),"")</f>
        <v/>
      </c>
    </row>
    <row r="10547" spans="2:14" x14ac:dyDescent="0.3">
      <c r="B10547" t="s">
        <v>1190</v>
      </c>
      <c r="N10547" t="str" cm="1">
        <f t="array" ref="N10547">IF(MOD(ROW()-ROW($B$2),16)=0,INDEX($M$2:$M$1000,(ROW()-ROW($B$2))/16+1),"")</f>
        <v/>
      </c>
    </row>
    <row r="10548" spans="2:14" x14ac:dyDescent="0.3">
      <c r="B10548" t="s">
        <v>1191</v>
      </c>
      <c r="N10548" t="str" cm="1">
        <f t="array" ref="N10548">IF(MOD(ROW()-ROW($B$2),16)=0,INDEX($M$2:$M$1000,(ROW()-ROW($B$2))/16+1),"")</f>
        <v/>
      </c>
    </row>
    <row r="10549" spans="2:14" x14ac:dyDescent="0.3">
      <c r="B10549" t="s">
        <v>1192</v>
      </c>
      <c r="N10549" t="str" cm="1">
        <f t="array" ref="N10549">IF(MOD(ROW()-ROW($B$2),16)=0,INDEX($M$2:$M$1000,(ROW()-ROW($B$2))/16+1),"")</f>
        <v/>
      </c>
    </row>
    <row r="10550" spans="2:14" x14ac:dyDescent="0.3">
      <c r="B10550" t="s">
        <v>1193</v>
      </c>
      <c r="N10550" t="str" cm="1">
        <f t="array" ref="N10550">IF(MOD(ROW()-ROW($B$2),16)=0,INDEX($M$2:$M$1000,(ROW()-ROW($B$2))/16+1),"")</f>
        <v/>
      </c>
    </row>
    <row r="10551" spans="2:14" x14ac:dyDescent="0.3">
      <c r="B10551" t="s">
        <v>1194</v>
      </c>
      <c r="N10551" t="str" cm="1">
        <f t="array" ref="N10551">IF(MOD(ROW()-ROW($B$2),16)=0,INDEX($M$2:$M$1000,(ROW()-ROW($B$2))/16+1),"")</f>
        <v/>
      </c>
    </row>
    <row r="10552" spans="2:14" x14ac:dyDescent="0.3">
      <c r="B10552" t="s">
        <v>1195</v>
      </c>
      <c r="N10552" t="str" cm="1">
        <f t="array" ref="N10552">IF(MOD(ROW()-ROW($B$2),16)=0,INDEX($M$2:$M$1000,(ROW()-ROW($B$2))/16+1),"")</f>
        <v/>
      </c>
    </row>
    <row r="10553" spans="2:14" x14ac:dyDescent="0.3">
      <c r="B10553" t="s">
        <v>1196</v>
      </c>
      <c r="N10553" t="str" cm="1">
        <f t="array" ref="N10553">IF(MOD(ROW()-ROW($B$2),16)=0,INDEX($M$2:$M$1000,(ROW()-ROW($B$2))/16+1),"")</f>
        <v/>
      </c>
    </row>
    <row r="10554" spans="2:14" x14ac:dyDescent="0.3">
      <c r="B10554" t="s">
        <v>1197</v>
      </c>
      <c r="N10554" t="str" cm="1">
        <f t="array" ref="N10554">IF(MOD(ROW()-ROW($B$2),16)=0,INDEX($M$2:$M$1000,(ROW()-ROW($B$2))/16+1),"")</f>
        <v/>
      </c>
    </row>
    <row r="10555" spans="2:14" x14ac:dyDescent="0.3">
      <c r="B10555" t="s">
        <v>1198</v>
      </c>
      <c r="N10555" t="str" cm="1">
        <f t="array" ref="N10555">IF(MOD(ROW()-ROW($B$2),16)=0,INDEX($M$2:$M$1000,(ROW()-ROW($B$2))/16+1),"")</f>
        <v/>
      </c>
    </row>
    <row r="10556" spans="2:14" x14ac:dyDescent="0.3">
      <c r="B10556" t="s">
        <v>1199</v>
      </c>
      <c r="N10556" t="str" cm="1">
        <f t="array" ref="N10556">IF(MOD(ROW()-ROW($B$2),16)=0,INDEX($M$2:$M$1000,(ROW()-ROW($B$2))/16+1),"")</f>
        <v/>
      </c>
    </row>
    <row r="10557" spans="2:14" x14ac:dyDescent="0.3">
      <c r="B10557" t="s">
        <v>1200</v>
      </c>
      <c r="N10557" t="str" cm="1">
        <f t="array" ref="N10557">IF(MOD(ROW()-ROW($B$2),16)=0,INDEX($M$2:$M$1000,(ROW()-ROW($B$2))/16+1),"")</f>
        <v/>
      </c>
    </row>
    <row r="10558" spans="2:14" x14ac:dyDescent="0.3">
      <c r="B10558" t="s">
        <v>1201</v>
      </c>
      <c r="N10558" t="str" cm="1">
        <f t="array" ref="N10558">IF(MOD(ROW()-ROW($B$2),16)=0,INDEX($M$2:$M$1000,(ROW()-ROW($B$2))/16+1),"")</f>
        <v/>
      </c>
    </row>
    <row r="10559" spans="2:14" x14ac:dyDescent="0.3">
      <c r="B10559" t="s">
        <v>1202</v>
      </c>
      <c r="N10559" t="str" cm="1">
        <f t="array" ref="N10559">IF(MOD(ROW()-ROW($B$2),16)=0,INDEX($M$2:$M$1000,(ROW()-ROW($B$2))/16+1),"")</f>
        <v/>
      </c>
    </row>
    <row r="10560" spans="2:14" x14ac:dyDescent="0.3">
      <c r="B10560" t="s">
        <v>1203</v>
      </c>
      <c r="N10560" t="str" cm="1">
        <f t="array" ref="N10560">IF(MOD(ROW()-ROW($B$2),16)=0,INDEX($M$2:$M$1000,(ROW()-ROW($B$2))/16+1),"")</f>
        <v/>
      </c>
    </row>
    <row r="10561" spans="2:14" x14ac:dyDescent="0.3">
      <c r="B10561" t="s">
        <v>1204</v>
      </c>
      <c r="N10561" t="str" cm="1">
        <f t="array" ref="N10561">IF(MOD(ROW()-ROW($B$2),16)=0,INDEX($M$2:$M$1000,(ROW()-ROW($B$2))/16+1),"")</f>
        <v/>
      </c>
    </row>
    <row r="10562" spans="2:14" x14ac:dyDescent="0.3">
      <c r="B10562" t="s">
        <v>1205</v>
      </c>
      <c r="N10562" t="str" cm="1">
        <f t="array" ref="N10562">IF(MOD(ROW()-ROW($B$2),16)=0,INDEX($M$2:$M$1000,(ROW()-ROW($B$2))/16+1),"")</f>
        <v/>
      </c>
    </row>
    <row r="10563" spans="2:14" x14ac:dyDescent="0.3">
      <c r="B10563" t="s">
        <v>1206</v>
      </c>
      <c r="N10563" t="str" cm="1">
        <f t="array" ref="N10563">IF(MOD(ROW()-ROW($B$2),16)=0,INDEX($M$2:$M$1000,(ROW()-ROW($B$2))/16+1),"")</f>
        <v/>
      </c>
    </row>
    <row r="10564" spans="2:14" x14ac:dyDescent="0.3">
      <c r="B10564" t="s">
        <v>1207</v>
      </c>
      <c r="N10564" t="str" cm="1">
        <f t="array" ref="N10564">IF(MOD(ROW()-ROW($B$2),16)=0,INDEX($M$2:$M$1000,(ROW()-ROW($B$2))/16+1),"")</f>
        <v/>
      </c>
    </row>
    <row r="10565" spans="2:14" x14ac:dyDescent="0.3">
      <c r="B10565" t="s">
        <v>1208</v>
      </c>
      <c r="N10565" t="str" cm="1">
        <f t="array" ref="N10565">IF(MOD(ROW()-ROW($B$2),16)=0,INDEX($M$2:$M$1000,(ROW()-ROW($B$2))/16+1),"")</f>
        <v/>
      </c>
    </row>
    <row r="10566" spans="2:14" x14ac:dyDescent="0.3">
      <c r="B10566" t="s">
        <v>1209</v>
      </c>
      <c r="N10566" t="str" cm="1">
        <f t="array" ref="N10566">IF(MOD(ROW()-ROW($B$2),16)=0,INDEX($M$2:$M$1000,(ROW()-ROW($B$2))/16+1),"")</f>
        <v/>
      </c>
    </row>
    <row r="10567" spans="2:14" x14ac:dyDescent="0.3">
      <c r="B10567" t="s">
        <v>1210</v>
      </c>
      <c r="N10567" t="str" cm="1">
        <f t="array" ref="N10567">IF(MOD(ROW()-ROW($B$2),16)=0,INDEX($M$2:$M$1000,(ROW()-ROW($B$2))/16+1),"")</f>
        <v/>
      </c>
    </row>
    <row r="10568" spans="2:14" x14ac:dyDescent="0.3">
      <c r="B10568" t="s">
        <v>1211</v>
      </c>
      <c r="N10568" t="str" cm="1">
        <f t="array" ref="N10568">IF(MOD(ROW()-ROW($B$2),16)=0,INDEX($M$2:$M$1000,(ROW()-ROW($B$2))/16+1),"")</f>
        <v/>
      </c>
    </row>
    <row r="10569" spans="2:14" x14ac:dyDescent="0.3">
      <c r="B10569" t="s">
        <v>1212</v>
      </c>
      <c r="N10569" t="str" cm="1">
        <f t="array" ref="N10569">IF(MOD(ROW()-ROW($B$2),16)=0,INDEX($M$2:$M$1000,(ROW()-ROW($B$2))/16+1),"")</f>
        <v/>
      </c>
    </row>
    <row r="10570" spans="2:14" x14ac:dyDescent="0.3">
      <c r="B10570" t="s">
        <v>1213</v>
      </c>
      <c r="N10570" t="str" cm="1">
        <f t="array" ref="N10570">IF(MOD(ROW()-ROW($B$2),16)=0,INDEX($M$2:$M$1000,(ROW()-ROW($B$2))/16+1),"")</f>
        <v/>
      </c>
    </row>
    <row r="10571" spans="2:14" x14ac:dyDescent="0.3">
      <c r="B10571" t="s">
        <v>1214</v>
      </c>
      <c r="N10571" t="str" cm="1">
        <f t="array" ref="N10571">IF(MOD(ROW()-ROW($B$2),16)=0,INDEX($M$2:$M$1000,(ROW()-ROW($B$2))/16+1),"")</f>
        <v/>
      </c>
    </row>
    <row r="10572" spans="2:14" x14ac:dyDescent="0.3">
      <c r="B10572" t="s">
        <v>1215</v>
      </c>
      <c r="N10572" t="str" cm="1">
        <f t="array" ref="N10572">IF(MOD(ROW()-ROW($B$2),16)=0,INDEX($M$2:$M$1000,(ROW()-ROW($B$2))/16+1),"")</f>
        <v/>
      </c>
    </row>
    <row r="10573" spans="2:14" x14ac:dyDescent="0.3">
      <c r="B10573" t="s">
        <v>1216</v>
      </c>
      <c r="N10573" t="str" cm="1">
        <f t="array" ref="N10573">IF(MOD(ROW()-ROW($B$2),16)=0,INDEX($M$2:$M$1000,(ROW()-ROW($B$2))/16+1),"")</f>
        <v/>
      </c>
    </row>
    <row r="10574" spans="2:14" x14ac:dyDescent="0.3">
      <c r="B10574" t="s">
        <v>1217</v>
      </c>
      <c r="N10574" t="str" cm="1">
        <f t="array" ref="N10574">IF(MOD(ROW()-ROW($B$2),16)=0,INDEX($M$2:$M$1000,(ROW()-ROW($B$2))/16+1),"")</f>
        <v/>
      </c>
    </row>
    <row r="10575" spans="2:14" x14ac:dyDescent="0.3">
      <c r="B10575" t="s">
        <v>1218</v>
      </c>
      <c r="N10575" t="str" cm="1">
        <f t="array" ref="N10575">IF(MOD(ROW()-ROW($B$2),16)=0,INDEX($M$2:$M$1000,(ROW()-ROW($B$2))/16+1),"")</f>
        <v/>
      </c>
    </row>
    <row r="10576" spans="2:14" x14ac:dyDescent="0.3">
      <c r="B10576" t="s">
        <v>1219</v>
      </c>
      <c r="N10576" t="str" cm="1">
        <f t="array" ref="N10576">IF(MOD(ROW()-ROW($B$2),16)=0,INDEX($M$2:$M$1000,(ROW()-ROW($B$2))/16+1),"")</f>
        <v/>
      </c>
    </row>
    <row r="10577" spans="2:14" x14ac:dyDescent="0.3">
      <c r="B10577" t="s">
        <v>1220</v>
      </c>
      <c r="N10577" t="str" cm="1">
        <f t="array" ref="N10577">IF(MOD(ROW()-ROW($B$2),16)=0,INDEX($M$2:$M$1000,(ROW()-ROW($B$2))/16+1),"")</f>
        <v/>
      </c>
    </row>
    <row r="10578" spans="2:14" x14ac:dyDescent="0.3">
      <c r="B10578" t="s">
        <v>1221</v>
      </c>
      <c r="N10578" t="str" cm="1">
        <f t="array" ref="N10578">IF(MOD(ROW()-ROW($B$2),16)=0,INDEX($M$2:$M$1000,(ROW()-ROW($B$2))/16+1),"")</f>
        <v/>
      </c>
    </row>
    <row r="10579" spans="2:14" x14ac:dyDescent="0.3">
      <c r="B10579" t="s">
        <v>1222</v>
      </c>
      <c r="N10579" t="str" cm="1">
        <f t="array" ref="N10579">IF(MOD(ROW()-ROW($B$2),16)=0,INDEX($M$2:$M$1000,(ROW()-ROW($B$2))/16+1),"")</f>
        <v/>
      </c>
    </row>
    <row r="10580" spans="2:14" x14ac:dyDescent="0.3">
      <c r="B10580" t="s">
        <v>1223</v>
      </c>
      <c r="N10580" t="str" cm="1">
        <f t="array" ref="N10580">IF(MOD(ROW()-ROW($B$2),16)=0,INDEX($M$2:$M$1000,(ROW()-ROW($B$2))/16+1),"")</f>
        <v/>
      </c>
    </row>
    <row r="10581" spans="2:14" x14ac:dyDescent="0.3">
      <c r="B10581" t="s">
        <v>1224</v>
      </c>
      <c r="N10581" t="str" cm="1">
        <f t="array" ref="N10581">IF(MOD(ROW()-ROW($B$2),16)=0,INDEX($M$2:$M$1000,(ROW()-ROW($B$2))/16+1),"")</f>
        <v/>
      </c>
    </row>
    <row r="10582" spans="2:14" x14ac:dyDescent="0.3">
      <c r="B10582" t="s">
        <v>1225</v>
      </c>
      <c r="N10582" t="str" cm="1">
        <f t="array" ref="N10582">IF(MOD(ROW()-ROW($B$2),16)=0,INDEX($M$2:$M$1000,(ROW()-ROW($B$2))/16+1),"")</f>
        <v/>
      </c>
    </row>
    <row r="10583" spans="2:14" x14ac:dyDescent="0.3">
      <c r="B10583" t="s">
        <v>1226</v>
      </c>
      <c r="N10583" t="str" cm="1">
        <f t="array" ref="N10583">IF(MOD(ROW()-ROW($B$2),16)=0,INDEX($M$2:$M$1000,(ROW()-ROW($B$2))/16+1),"")</f>
        <v/>
      </c>
    </row>
    <row r="10584" spans="2:14" x14ac:dyDescent="0.3">
      <c r="B10584" t="s">
        <v>1227</v>
      </c>
      <c r="N10584" t="str" cm="1">
        <f t="array" ref="N10584">IF(MOD(ROW()-ROW($B$2),16)=0,INDEX($M$2:$M$1000,(ROW()-ROW($B$2))/16+1),"")</f>
        <v/>
      </c>
    </row>
    <row r="10585" spans="2:14" x14ac:dyDescent="0.3">
      <c r="B10585" t="s">
        <v>1228</v>
      </c>
      <c r="N10585" t="str" cm="1">
        <f t="array" ref="N10585">IF(MOD(ROW()-ROW($B$2),16)=0,INDEX($M$2:$M$1000,(ROW()-ROW($B$2))/16+1),"")</f>
        <v/>
      </c>
    </row>
    <row r="10586" spans="2:14" x14ac:dyDescent="0.3">
      <c r="B10586" t="s">
        <v>1229</v>
      </c>
      <c r="N10586" t="str" cm="1">
        <f t="array" ref="N10586">IF(MOD(ROW()-ROW($B$2),16)=0,INDEX($M$2:$M$1000,(ROW()-ROW($B$2))/16+1),"")</f>
        <v/>
      </c>
    </row>
    <row r="10587" spans="2:14" x14ac:dyDescent="0.3">
      <c r="B10587" t="s">
        <v>1230</v>
      </c>
      <c r="N10587" t="str" cm="1">
        <f t="array" ref="N10587">IF(MOD(ROW()-ROW($B$2),16)=0,INDEX($M$2:$M$1000,(ROW()-ROW($B$2))/16+1),"")</f>
        <v/>
      </c>
    </row>
    <row r="10588" spans="2:14" x14ac:dyDescent="0.3">
      <c r="B10588" t="s">
        <v>1231</v>
      </c>
      <c r="N10588" t="str" cm="1">
        <f t="array" ref="N10588">IF(MOD(ROW()-ROW($B$2),16)=0,INDEX($M$2:$M$1000,(ROW()-ROW($B$2))/16+1),"")</f>
        <v/>
      </c>
    </row>
    <row r="10589" spans="2:14" x14ac:dyDescent="0.3">
      <c r="B10589" t="s">
        <v>1232</v>
      </c>
      <c r="N10589" t="str" cm="1">
        <f t="array" ref="N10589">IF(MOD(ROW()-ROW($B$2),16)=0,INDEX($M$2:$M$1000,(ROW()-ROW($B$2))/16+1),"")</f>
        <v/>
      </c>
    </row>
    <row r="10590" spans="2:14" x14ac:dyDescent="0.3">
      <c r="B10590" t="s">
        <v>1233</v>
      </c>
      <c r="N10590" t="str" cm="1">
        <f t="array" ref="N10590">IF(MOD(ROW()-ROW($B$2),16)=0,INDEX($M$2:$M$1000,(ROW()-ROW($B$2))/16+1),"")</f>
        <v/>
      </c>
    </row>
    <row r="10591" spans="2:14" x14ac:dyDescent="0.3">
      <c r="B10591" t="s">
        <v>1234</v>
      </c>
      <c r="N10591" t="str" cm="1">
        <f t="array" ref="N10591">IF(MOD(ROW()-ROW($B$2),16)=0,INDEX($M$2:$M$1000,(ROW()-ROW($B$2))/16+1),"")</f>
        <v/>
      </c>
    </row>
    <row r="10592" spans="2:14" x14ac:dyDescent="0.3">
      <c r="B10592" t="s">
        <v>1235</v>
      </c>
      <c r="N10592" t="str" cm="1">
        <f t="array" ref="N10592">IF(MOD(ROW()-ROW($B$2),16)=0,INDEX($M$2:$M$1000,(ROW()-ROW($B$2))/16+1),"")</f>
        <v/>
      </c>
    </row>
    <row r="10593" spans="2:14" x14ac:dyDescent="0.3">
      <c r="B10593" t="s">
        <v>1236</v>
      </c>
      <c r="N10593" t="str" cm="1">
        <f t="array" ref="N10593">IF(MOD(ROW()-ROW($B$2),16)=0,INDEX($M$2:$M$1000,(ROW()-ROW($B$2))/16+1),"")</f>
        <v/>
      </c>
    </row>
    <row r="10594" spans="2:14" x14ac:dyDescent="0.3">
      <c r="B10594" t="s">
        <v>1237</v>
      </c>
      <c r="N10594" t="str" cm="1">
        <f t="array" ref="N10594">IF(MOD(ROW()-ROW($B$2),16)=0,INDEX($M$2:$M$1000,(ROW()-ROW($B$2))/16+1),"")</f>
        <v/>
      </c>
    </row>
    <row r="10595" spans="2:14" x14ac:dyDescent="0.3">
      <c r="B10595" t="s">
        <v>1238</v>
      </c>
      <c r="N10595" t="str" cm="1">
        <f t="array" ref="N10595">IF(MOD(ROW()-ROW($B$2),16)=0,INDEX($M$2:$M$1000,(ROW()-ROW($B$2))/16+1),"")</f>
        <v/>
      </c>
    </row>
    <row r="10596" spans="2:14" x14ac:dyDescent="0.3">
      <c r="B10596" t="s">
        <v>1239</v>
      </c>
      <c r="N10596" t="str" cm="1">
        <f t="array" ref="N10596">IF(MOD(ROW()-ROW($B$2),16)=0,INDEX($M$2:$M$1000,(ROW()-ROW($B$2))/16+1),"")</f>
        <v/>
      </c>
    </row>
    <row r="10597" spans="2:14" x14ac:dyDescent="0.3">
      <c r="B10597" t="s">
        <v>1240</v>
      </c>
      <c r="N10597" t="str" cm="1">
        <f t="array" ref="N10597">IF(MOD(ROW()-ROW($B$2),16)=0,INDEX($M$2:$M$1000,(ROW()-ROW($B$2))/16+1),"")</f>
        <v/>
      </c>
    </row>
    <row r="10598" spans="2:14" x14ac:dyDescent="0.3">
      <c r="B10598" t="s">
        <v>1241</v>
      </c>
      <c r="N10598" t="str" cm="1">
        <f t="array" ref="N10598">IF(MOD(ROW()-ROW($B$2),16)=0,INDEX($M$2:$M$1000,(ROW()-ROW($B$2))/16+1),"")</f>
        <v/>
      </c>
    </row>
    <row r="10599" spans="2:14" x14ac:dyDescent="0.3">
      <c r="B10599" t="s">
        <v>1242</v>
      </c>
      <c r="N10599" t="str" cm="1">
        <f t="array" ref="N10599">IF(MOD(ROW()-ROW($B$2),16)=0,INDEX($M$2:$M$1000,(ROW()-ROW($B$2))/16+1),"")</f>
        <v/>
      </c>
    </row>
    <row r="10600" spans="2:14" x14ac:dyDescent="0.3">
      <c r="B10600" t="s">
        <v>1243</v>
      </c>
      <c r="N10600" t="str" cm="1">
        <f t="array" ref="N10600">IF(MOD(ROW()-ROW($B$2),16)=0,INDEX($M$2:$M$1000,(ROW()-ROW($B$2))/16+1),"")</f>
        <v/>
      </c>
    </row>
    <row r="10601" spans="2:14" x14ac:dyDescent="0.3">
      <c r="B10601" t="s">
        <v>1244</v>
      </c>
      <c r="N10601" t="str" cm="1">
        <f t="array" ref="N10601">IF(MOD(ROW()-ROW($B$2),16)=0,INDEX($M$2:$M$1000,(ROW()-ROW($B$2))/16+1),"")</f>
        <v/>
      </c>
    </row>
    <row r="10602" spans="2:14" x14ac:dyDescent="0.3">
      <c r="B10602" t="s">
        <v>1245</v>
      </c>
      <c r="N10602" t="str" cm="1">
        <f t="array" ref="N10602">IF(MOD(ROW()-ROW($B$2),16)=0,INDEX($M$2:$M$1000,(ROW()-ROW($B$2))/16+1),"")</f>
        <v/>
      </c>
    </row>
    <row r="10603" spans="2:14" x14ac:dyDescent="0.3">
      <c r="B10603" t="s">
        <v>1246</v>
      </c>
      <c r="N10603" t="str" cm="1">
        <f t="array" ref="N10603">IF(MOD(ROW()-ROW($B$2),16)=0,INDEX($M$2:$M$1000,(ROW()-ROW($B$2))/16+1),"")</f>
        <v/>
      </c>
    </row>
    <row r="10604" spans="2:14" x14ac:dyDescent="0.3">
      <c r="B10604" t="s">
        <v>1247</v>
      </c>
      <c r="N10604" t="str" cm="1">
        <f t="array" ref="N10604">IF(MOD(ROW()-ROW($B$2),16)=0,INDEX($M$2:$M$1000,(ROW()-ROW($B$2))/16+1),"")</f>
        <v/>
      </c>
    </row>
    <row r="10605" spans="2:14" x14ac:dyDescent="0.3">
      <c r="B10605" t="s">
        <v>1248</v>
      </c>
      <c r="N10605" t="str" cm="1">
        <f t="array" ref="N10605">IF(MOD(ROW()-ROW($B$2),16)=0,INDEX($M$2:$M$1000,(ROW()-ROW($B$2))/16+1),"")</f>
        <v/>
      </c>
    </row>
    <row r="10606" spans="2:14" x14ac:dyDescent="0.3">
      <c r="B10606" t="s">
        <v>1249</v>
      </c>
      <c r="N10606" t="str" cm="1">
        <f t="array" ref="N10606">IF(MOD(ROW()-ROW($B$2),16)=0,INDEX($M$2:$M$1000,(ROW()-ROW($B$2))/16+1),"")</f>
        <v/>
      </c>
    </row>
    <row r="10607" spans="2:14" x14ac:dyDescent="0.3">
      <c r="B10607" t="s">
        <v>1250</v>
      </c>
      <c r="N10607" t="str" cm="1">
        <f t="array" ref="N10607">IF(MOD(ROW()-ROW($B$2),16)=0,INDEX($M$2:$M$1000,(ROW()-ROW($B$2))/16+1),"")</f>
        <v/>
      </c>
    </row>
    <row r="10608" spans="2:14" x14ac:dyDescent="0.3">
      <c r="B10608" t="s">
        <v>1251</v>
      </c>
      <c r="N10608" t="str" cm="1">
        <f t="array" ref="N10608">IF(MOD(ROW()-ROW($B$2),16)=0,INDEX($M$2:$M$1000,(ROW()-ROW($B$2))/16+1),"")</f>
        <v/>
      </c>
    </row>
    <row r="10609" spans="2:14" x14ac:dyDescent="0.3">
      <c r="B10609" t="s">
        <v>1252</v>
      </c>
      <c r="N10609" t="str" cm="1">
        <f t="array" ref="N10609">IF(MOD(ROW()-ROW($B$2),16)=0,INDEX($M$2:$M$1000,(ROW()-ROW($B$2))/16+1),"")</f>
        <v/>
      </c>
    </row>
    <row r="10610" spans="2:14" x14ac:dyDescent="0.3">
      <c r="B10610" t="s">
        <v>1253</v>
      </c>
      <c r="N10610" t="str" cm="1">
        <f t="array" ref="N10610">IF(MOD(ROW()-ROW($B$2),16)=0,INDEX($M$2:$M$1000,(ROW()-ROW($B$2))/16+1),"")</f>
        <v/>
      </c>
    </row>
    <row r="10611" spans="2:14" x14ac:dyDescent="0.3">
      <c r="B10611" t="s">
        <v>1254</v>
      </c>
      <c r="N10611" t="str" cm="1">
        <f t="array" ref="N10611">IF(MOD(ROW()-ROW($B$2),16)=0,INDEX($M$2:$M$1000,(ROW()-ROW($B$2))/16+1),"")</f>
        <v/>
      </c>
    </row>
    <row r="10612" spans="2:14" x14ac:dyDescent="0.3">
      <c r="B10612" t="s">
        <v>1255</v>
      </c>
      <c r="N10612" t="str" cm="1">
        <f t="array" ref="N10612">IF(MOD(ROW()-ROW($B$2),16)=0,INDEX($M$2:$M$1000,(ROW()-ROW($B$2))/16+1),"")</f>
        <v/>
      </c>
    </row>
    <row r="10613" spans="2:14" x14ac:dyDescent="0.3">
      <c r="B10613" t="s">
        <v>1256</v>
      </c>
      <c r="N10613" t="str" cm="1">
        <f t="array" ref="N10613">IF(MOD(ROW()-ROW($B$2),16)=0,INDEX($M$2:$M$1000,(ROW()-ROW($B$2))/16+1),"")</f>
        <v/>
      </c>
    </row>
    <row r="10614" spans="2:14" x14ac:dyDescent="0.3">
      <c r="B10614" t="s">
        <v>1257</v>
      </c>
      <c r="N10614" t="str" cm="1">
        <f t="array" ref="N10614">IF(MOD(ROW()-ROW($B$2),16)=0,INDEX($M$2:$M$1000,(ROW()-ROW($B$2))/16+1),"")</f>
        <v/>
      </c>
    </row>
    <row r="10615" spans="2:14" x14ac:dyDescent="0.3">
      <c r="B10615" t="s">
        <v>1258</v>
      </c>
      <c r="N10615" t="str" cm="1">
        <f t="array" ref="N10615">IF(MOD(ROW()-ROW($B$2),16)=0,INDEX($M$2:$M$1000,(ROW()-ROW($B$2))/16+1),"")</f>
        <v/>
      </c>
    </row>
    <row r="10616" spans="2:14" x14ac:dyDescent="0.3">
      <c r="B10616" t="s">
        <v>1259</v>
      </c>
      <c r="N10616" t="str" cm="1">
        <f t="array" ref="N10616">IF(MOD(ROW()-ROW($B$2),16)=0,INDEX($M$2:$M$1000,(ROW()-ROW($B$2))/16+1),"")</f>
        <v/>
      </c>
    </row>
    <row r="10617" spans="2:14" x14ac:dyDescent="0.3">
      <c r="B10617" t="s">
        <v>1260</v>
      </c>
      <c r="N10617" t="str" cm="1">
        <f t="array" ref="N10617">IF(MOD(ROW()-ROW($B$2),16)=0,INDEX($M$2:$M$1000,(ROW()-ROW($B$2))/16+1),"")</f>
        <v/>
      </c>
    </row>
    <row r="10618" spans="2:14" x14ac:dyDescent="0.3">
      <c r="B10618" t="s">
        <v>1261</v>
      </c>
      <c r="N10618" t="str" cm="1">
        <f t="array" ref="N10618">IF(MOD(ROW()-ROW($B$2),16)=0,INDEX($M$2:$M$1000,(ROW()-ROW($B$2))/16+1),"")</f>
        <v/>
      </c>
    </row>
    <row r="10619" spans="2:14" x14ac:dyDescent="0.3">
      <c r="B10619" t="s">
        <v>1262</v>
      </c>
      <c r="N10619" t="str" cm="1">
        <f t="array" ref="N10619">IF(MOD(ROW()-ROW($B$2),16)=0,INDEX($M$2:$M$1000,(ROW()-ROW($B$2))/16+1),"")</f>
        <v/>
      </c>
    </row>
    <row r="10620" spans="2:14" x14ac:dyDescent="0.3">
      <c r="B10620" t="s">
        <v>1263</v>
      </c>
      <c r="N10620" t="str" cm="1">
        <f t="array" ref="N10620">IF(MOD(ROW()-ROW($B$2),16)=0,INDEX($M$2:$M$1000,(ROW()-ROW($B$2))/16+1),"")</f>
        <v/>
      </c>
    </row>
    <row r="10621" spans="2:14" x14ac:dyDescent="0.3">
      <c r="B10621" t="s">
        <v>1264</v>
      </c>
      <c r="N10621" t="str" cm="1">
        <f t="array" ref="N10621">IF(MOD(ROW()-ROW($B$2),16)=0,INDEX($M$2:$M$1000,(ROW()-ROW($B$2))/16+1),"")</f>
        <v/>
      </c>
    </row>
    <row r="10622" spans="2:14" x14ac:dyDescent="0.3">
      <c r="B10622" t="s">
        <v>1265</v>
      </c>
      <c r="N10622" t="str" cm="1">
        <f t="array" ref="N10622">IF(MOD(ROW()-ROW($B$2),16)=0,INDEX($M$2:$M$1000,(ROW()-ROW($B$2))/16+1),"")</f>
        <v/>
      </c>
    </row>
    <row r="10623" spans="2:14" x14ac:dyDescent="0.3">
      <c r="B10623" t="s">
        <v>1266</v>
      </c>
      <c r="N10623" t="str" cm="1">
        <f t="array" ref="N10623">IF(MOD(ROW()-ROW($B$2),16)=0,INDEX($M$2:$M$1000,(ROW()-ROW($B$2))/16+1),"")</f>
        <v/>
      </c>
    </row>
    <row r="10624" spans="2:14" x14ac:dyDescent="0.3">
      <c r="B10624" t="s">
        <v>1267</v>
      </c>
      <c r="N10624" t="str" cm="1">
        <f t="array" ref="N10624">IF(MOD(ROW()-ROW($B$2),16)=0,INDEX($M$2:$M$1000,(ROW()-ROW($B$2))/16+1),"")</f>
        <v/>
      </c>
    </row>
    <row r="10625" spans="2:14" x14ac:dyDescent="0.3">
      <c r="B10625" t="s">
        <v>1268</v>
      </c>
      <c r="N10625" t="str" cm="1">
        <f t="array" ref="N10625">IF(MOD(ROW()-ROW($B$2),16)=0,INDEX($M$2:$M$1000,(ROW()-ROW($B$2))/16+1),"")</f>
        <v/>
      </c>
    </row>
    <row r="10626" spans="2:14" x14ac:dyDescent="0.3">
      <c r="B10626" t="s">
        <v>1269</v>
      </c>
      <c r="N10626" t="str" cm="1">
        <f t="array" ref="N10626">IF(MOD(ROW()-ROW($B$2),16)=0,INDEX($M$2:$M$1000,(ROW()-ROW($B$2))/16+1),"")</f>
        <v/>
      </c>
    </row>
    <row r="10627" spans="2:14" x14ac:dyDescent="0.3">
      <c r="B10627" t="s">
        <v>1270</v>
      </c>
      <c r="N10627" t="str" cm="1">
        <f t="array" ref="N10627">IF(MOD(ROW()-ROW($B$2),16)=0,INDEX($M$2:$M$1000,(ROW()-ROW($B$2))/16+1),"")</f>
        <v/>
      </c>
    </row>
    <row r="10628" spans="2:14" x14ac:dyDescent="0.3">
      <c r="B10628" t="s">
        <v>1271</v>
      </c>
      <c r="N10628" t="str" cm="1">
        <f t="array" ref="N10628">IF(MOD(ROW()-ROW($B$2),16)=0,INDEX($M$2:$M$1000,(ROW()-ROW($B$2))/16+1),"")</f>
        <v/>
      </c>
    </row>
    <row r="10629" spans="2:14" x14ac:dyDescent="0.3">
      <c r="B10629" t="s">
        <v>1272</v>
      </c>
      <c r="N10629" t="str" cm="1">
        <f t="array" ref="N10629">IF(MOD(ROW()-ROW($B$2),16)=0,INDEX($M$2:$M$1000,(ROW()-ROW($B$2))/16+1),"")</f>
        <v/>
      </c>
    </row>
    <row r="10630" spans="2:14" x14ac:dyDescent="0.3">
      <c r="B10630" t="s">
        <v>1273</v>
      </c>
      <c r="N10630" t="str" cm="1">
        <f t="array" ref="N10630">IF(MOD(ROW()-ROW($B$2),16)=0,INDEX($M$2:$M$1000,(ROW()-ROW($B$2))/16+1),"")</f>
        <v/>
      </c>
    </row>
    <row r="10631" spans="2:14" x14ac:dyDescent="0.3">
      <c r="B10631" t="s">
        <v>1274</v>
      </c>
      <c r="N10631" t="str" cm="1">
        <f t="array" ref="N10631">IF(MOD(ROW()-ROW($B$2),16)=0,INDEX($M$2:$M$1000,(ROW()-ROW($B$2))/16+1),"")</f>
        <v/>
      </c>
    </row>
    <row r="10632" spans="2:14" x14ac:dyDescent="0.3">
      <c r="B10632" t="s">
        <v>1275</v>
      </c>
      <c r="N10632" t="str" cm="1">
        <f t="array" ref="N10632">IF(MOD(ROW()-ROW($B$2),16)=0,INDEX($M$2:$M$1000,(ROW()-ROW($B$2))/16+1),"")</f>
        <v/>
      </c>
    </row>
    <row r="10633" spans="2:14" x14ac:dyDescent="0.3">
      <c r="B10633" t="s">
        <v>1276</v>
      </c>
      <c r="N10633" t="str" cm="1">
        <f t="array" ref="N10633">IF(MOD(ROW()-ROW($B$2),16)=0,INDEX($M$2:$M$1000,(ROW()-ROW($B$2))/16+1),"")</f>
        <v/>
      </c>
    </row>
    <row r="10634" spans="2:14" x14ac:dyDescent="0.3">
      <c r="B10634" t="s">
        <v>1277</v>
      </c>
      <c r="N10634" t="str" cm="1">
        <f t="array" ref="N10634">IF(MOD(ROW()-ROW($B$2),16)=0,INDEX($M$2:$M$1000,(ROW()-ROW($B$2))/16+1),"")</f>
        <v/>
      </c>
    </row>
    <row r="10635" spans="2:14" x14ac:dyDescent="0.3">
      <c r="B10635" t="s">
        <v>1278</v>
      </c>
      <c r="N10635" t="str" cm="1">
        <f t="array" ref="N10635">IF(MOD(ROW()-ROW($B$2),16)=0,INDEX($M$2:$M$1000,(ROW()-ROW($B$2))/16+1),"")</f>
        <v/>
      </c>
    </row>
    <row r="10636" spans="2:14" x14ac:dyDescent="0.3">
      <c r="B10636" t="s">
        <v>1279</v>
      </c>
      <c r="N10636" t="str" cm="1">
        <f t="array" ref="N10636">IF(MOD(ROW()-ROW($B$2),16)=0,INDEX($M$2:$M$1000,(ROW()-ROW($B$2))/16+1),"")</f>
        <v/>
      </c>
    </row>
    <row r="10637" spans="2:14" x14ac:dyDescent="0.3">
      <c r="B10637" t="s">
        <v>1280</v>
      </c>
      <c r="N10637" t="str" cm="1">
        <f t="array" ref="N10637">IF(MOD(ROW()-ROW($B$2),16)=0,INDEX($M$2:$M$1000,(ROW()-ROW($B$2))/16+1),"")</f>
        <v/>
      </c>
    </row>
    <row r="10638" spans="2:14" x14ac:dyDescent="0.3">
      <c r="B10638" t="s">
        <v>1281</v>
      </c>
      <c r="N10638" t="str" cm="1">
        <f t="array" ref="N10638">IF(MOD(ROW()-ROW($B$2),16)=0,INDEX($M$2:$M$1000,(ROW()-ROW($B$2))/16+1),"")</f>
        <v/>
      </c>
    </row>
    <row r="10639" spans="2:14" x14ac:dyDescent="0.3">
      <c r="B10639" t="s">
        <v>1282</v>
      </c>
      <c r="N10639" t="str" cm="1">
        <f t="array" ref="N10639">IF(MOD(ROW()-ROW($B$2),16)=0,INDEX($M$2:$M$1000,(ROW()-ROW($B$2))/16+1),"")</f>
        <v/>
      </c>
    </row>
    <row r="10640" spans="2:14" x14ac:dyDescent="0.3">
      <c r="B10640" t="s">
        <v>1283</v>
      </c>
      <c r="N10640" t="str" cm="1">
        <f t="array" ref="N10640">IF(MOD(ROW()-ROW($B$2),16)=0,INDEX($M$2:$M$1000,(ROW()-ROW($B$2))/16+1),"")</f>
        <v/>
      </c>
    </row>
    <row r="10641" spans="2:14" x14ac:dyDescent="0.3">
      <c r="B10641" t="s">
        <v>1284</v>
      </c>
      <c r="N10641" t="str" cm="1">
        <f t="array" ref="N10641">IF(MOD(ROW()-ROW($B$2),16)=0,INDEX($M$2:$M$1000,(ROW()-ROW($B$2))/16+1),"")</f>
        <v/>
      </c>
    </row>
    <row r="10642" spans="2:14" x14ac:dyDescent="0.3">
      <c r="B10642" t="s">
        <v>1285</v>
      </c>
      <c r="N10642" t="str" cm="1">
        <f t="array" ref="N10642">IF(MOD(ROW()-ROW($B$2),16)=0,INDEX($M$2:$M$1000,(ROW()-ROW($B$2))/16+1),"")</f>
        <v/>
      </c>
    </row>
    <row r="10643" spans="2:14" x14ac:dyDescent="0.3">
      <c r="B10643" t="s">
        <v>1286</v>
      </c>
      <c r="N10643" t="str" cm="1">
        <f t="array" ref="N10643">IF(MOD(ROW()-ROW($B$2),16)=0,INDEX($M$2:$M$1000,(ROW()-ROW($B$2))/16+1),"")</f>
        <v/>
      </c>
    </row>
    <row r="10644" spans="2:14" x14ac:dyDescent="0.3">
      <c r="B10644" t="s">
        <v>1287</v>
      </c>
      <c r="N10644" t="str" cm="1">
        <f t="array" ref="N10644">IF(MOD(ROW()-ROW($B$2),16)=0,INDEX($M$2:$M$1000,(ROW()-ROW($B$2))/16+1),"")</f>
        <v/>
      </c>
    </row>
    <row r="10645" spans="2:14" x14ac:dyDescent="0.3">
      <c r="B10645" t="s">
        <v>1288</v>
      </c>
      <c r="N10645" t="str" cm="1">
        <f t="array" ref="N10645">IF(MOD(ROW()-ROW($B$2),16)=0,INDEX($M$2:$M$1000,(ROW()-ROW($B$2))/16+1),"")</f>
        <v/>
      </c>
    </row>
    <row r="10646" spans="2:14" x14ac:dyDescent="0.3">
      <c r="B10646" t="s">
        <v>1289</v>
      </c>
      <c r="N10646" t="str" cm="1">
        <f t="array" ref="N10646">IF(MOD(ROW()-ROW($B$2),16)=0,INDEX($M$2:$M$1000,(ROW()-ROW($B$2))/16+1),"")</f>
        <v/>
      </c>
    </row>
    <row r="10647" spans="2:14" x14ac:dyDescent="0.3">
      <c r="B10647" t="s">
        <v>1290</v>
      </c>
      <c r="N10647" t="str" cm="1">
        <f t="array" ref="N10647">IF(MOD(ROW()-ROW($B$2),16)=0,INDEX($M$2:$M$1000,(ROW()-ROW($B$2))/16+1),"")</f>
        <v/>
      </c>
    </row>
    <row r="10648" spans="2:14" x14ac:dyDescent="0.3">
      <c r="B10648" t="s">
        <v>1291</v>
      </c>
      <c r="N10648" t="str" cm="1">
        <f t="array" ref="N10648">IF(MOD(ROW()-ROW($B$2),16)=0,INDEX($M$2:$M$1000,(ROW()-ROW($B$2))/16+1),"")</f>
        <v/>
      </c>
    </row>
    <row r="10649" spans="2:14" x14ac:dyDescent="0.3">
      <c r="B10649" t="s">
        <v>1292</v>
      </c>
      <c r="N10649" t="str" cm="1">
        <f t="array" ref="N10649">IF(MOD(ROW()-ROW($B$2),16)=0,INDEX($M$2:$M$1000,(ROW()-ROW($B$2))/16+1),"")</f>
        <v/>
      </c>
    </row>
    <row r="10650" spans="2:14" x14ac:dyDescent="0.3">
      <c r="B10650" t="s">
        <v>1293</v>
      </c>
      <c r="N10650" t="str" cm="1">
        <f t="array" ref="N10650">IF(MOD(ROW()-ROW($B$2),16)=0,INDEX($M$2:$M$1000,(ROW()-ROW($B$2))/16+1),"")</f>
        <v/>
      </c>
    </row>
    <row r="10651" spans="2:14" x14ac:dyDescent="0.3">
      <c r="B10651" t="s">
        <v>1294</v>
      </c>
      <c r="N10651" t="str" cm="1">
        <f t="array" ref="N10651">IF(MOD(ROW()-ROW($B$2),16)=0,INDEX($M$2:$M$1000,(ROW()-ROW($B$2))/16+1),"")</f>
        <v/>
      </c>
    </row>
    <row r="10652" spans="2:14" x14ac:dyDescent="0.3">
      <c r="B10652" t="s">
        <v>1295</v>
      </c>
      <c r="N10652" t="str" cm="1">
        <f t="array" ref="N10652">IF(MOD(ROW()-ROW($B$2),16)=0,INDEX($M$2:$M$1000,(ROW()-ROW($B$2))/16+1),"")</f>
        <v/>
      </c>
    </row>
    <row r="10653" spans="2:14" x14ac:dyDescent="0.3">
      <c r="B10653" t="s">
        <v>1296</v>
      </c>
      <c r="N10653" t="str" cm="1">
        <f t="array" ref="N10653">IF(MOD(ROW()-ROW($B$2),16)=0,INDEX($M$2:$M$1000,(ROW()-ROW($B$2))/16+1),"")</f>
        <v/>
      </c>
    </row>
    <row r="10654" spans="2:14" x14ac:dyDescent="0.3">
      <c r="B10654" t="s">
        <v>1297</v>
      </c>
      <c r="N10654" t="str" cm="1">
        <f t="array" ref="N10654">IF(MOD(ROW()-ROW($B$2),16)=0,INDEX($M$2:$M$1000,(ROW()-ROW($B$2))/16+1),"")</f>
        <v/>
      </c>
    </row>
    <row r="10655" spans="2:14" x14ac:dyDescent="0.3">
      <c r="B10655" t="s">
        <v>1298</v>
      </c>
      <c r="N10655" t="str" cm="1">
        <f t="array" ref="N10655">IF(MOD(ROW()-ROW($B$2),16)=0,INDEX($M$2:$M$1000,(ROW()-ROW($B$2))/16+1),"")</f>
        <v/>
      </c>
    </row>
    <row r="10656" spans="2:14" x14ac:dyDescent="0.3">
      <c r="B10656" t="s">
        <v>1299</v>
      </c>
      <c r="N10656" t="str" cm="1">
        <f t="array" ref="N10656">IF(MOD(ROW()-ROW($B$2),16)=0,INDEX($M$2:$M$1000,(ROW()-ROW($B$2))/16+1),"")</f>
        <v/>
      </c>
    </row>
    <row r="10657" spans="2:14" x14ac:dyDescent="0.3">
      <c r="B10657" t="s">
        <v>1300</v>
      </c>
      <c r="N10657" t="str" cm="1">
        <f t="array" ref="N10657">IF(MOD(ROW()-ROW($B$2),16)=0,INDEX($M$2:$M$1000,(ROW()-ROW($B$2))/16+1),"")</f>
        <v/>
      </c>
    </row>
    <row r="10658" spans="2:14" x14ac:dyDescent="0.3">
      <c r="B10658" t="s">
        <v>1301</v>
      </c>
      <c r="N10658" t="str" cm="1">
        <f t="array" ref="N10658">IF(MOD(ROW()-ROW($B$2),16)=0,INDEX($M$2:$M$1000,(ROW()-ROW($B$2))/16+1),"")</f>
        <v/>
      </c>
    </row>
    <row r="10659" spans="2:14" x14ac:dyDescent="0.3">
      <c r="B10659" t="s">
        <v>1302</v>
      </c>
      <c r="N10659" t="str" cm="1">
        <f t="array" ref="N10659">IF(MOD(ROW()-ROW($B$2),16)=0,INDEX($M$2:$M$1000,(ROW()-ROW($B$2))/16+1),"")</f>
        <v/>
      </c>
    </row>
    <row r="10660" spans="2:14" x14ac:dyDescent="0.3">
      <c r="B10660" t="s">
        <v>1303</v>
      </c>
      <c r="N10660" t="str" cm="1">
        <f t="array" ref="N10660">IF(MOD(ROW()-ROW($B$2),16)=0,INDEX($M$2:$M$1000,(ROW()-ROW($B$2))/16+1),"")</f>
        <v/>
      </c>
    </row>
    <row r="10661" spans="2:14" x14ac:dyDescent="0.3">
      <c r="B10661" t="s">
        <v>1304</v>
      </c>
      <c r="N10661" t="str" cm="1">
        <f t="array" ref="N10661">IF(MOD(ROW()-ROW($B$2),16)=0,INDEX($M$2:$M$1000,(ROW()-ROW($B$2))/16+1),"")</f>
        <v/>
      </c>
    </row>
    <row r="10662" spans="2:14" x14ac:dyDescent="0.3">
      <c r="B10662" t="s">
        <v>1305</v>
      </c>
      <c r="N10662" t="str" cm="1">
        <f t="array" ref="N10662">IF(MOD(ROW()-ROW($B$2),16)=0,INDEX($M$2:$M$1000,(ROW()-ROW($B$2))/16+1),"")</f>
        <v/>
      </c>
    </row>
    <row r="10663" spans="2:14" x14ac:dyDescent="0.3">
      <c r="B10663" t="s">
        <v>1306</v>
      </c>
      <c r="N10663" t="str" cm="1">
        <f t="array" ref="N10663">IF(MOD(ROW()-ROW($B$2),16)=0,INDEX($M$2:$M$1000,(ROW()-ROW($B$2))/16+1),"")</f>
        <v/>
      </c>
    </row>
    <row r="10664" spans="2:14" x14ac:dyDescent="0.3">
      <c r="B10664" t="s">
        <v>1307</v>
      </c>
      <c r="N10664" t="str" cm="1">
        <f t="array" ref="N10664">IF(MOD(ROW()-ROW($B$2),16)=0,INDEX($M$2:$M$1000,(ROW()-ROW($B$2))/16+1),"")</f>
        <v/>
      </c>
    </row>
    <row r="10665" spans="2:14" x14ac:dyDescent="0.3">
      <c r="B10665" t="s">
        <v>1308</v>
      </c>
      <c r="N10665" t="str" cm="1">
        <f t="array" ref="N10665">IF(MOD(ROW()-ROW($B$2),16)=0,INDEX($M$2:$M$1000,(ROW()-ROW($B$2))/16+1),"")</f>
        <v/>
      </c>
    </row>
    <row r="10666" spans="2:14" x14ac:dyDescent="0.3">
      <c r="B10666" t="s">
        <v>1309</v>
      </c>
      <c r="N10666" t="str" cm="1">
        <f t="array" ref="N10666">IF(MOD(ROW()-ROW($B$2),16)=0,INDEX($M$2:$M$1000,(ROW()-ROW($B$2))/16+1),"")</f>
        <v/>
      </c>
    </row>
    <row r="10667" spans="2:14" x14ac:dyDescent="0.3">
      <c r="B10667" t="s">
        <v>1310</v>
      </c>
      <c r="N10667" t="str" cm="1">
        <f t="array" ref="N10667">IF(MOD(ROW()-ROW($B$2),16)=0,INDEX($M$2:$M$1000,(ROW()-ROW($B$2))/16+1),"")</f>
        <v/>
      </c>
    </row>
    <row r="10668" spans="2:14" x14ac:dyDescent="0.3">
      <c r="B10668" t="s">
        <v>1311</v>
      </c>
      <c r="N10668" t="str" cm="1">
        <f t="array" ref="N10668">IF(MOD(ROW()-ROW($B$2),16)=0,INDEX($M$2:$M$1000,(ROW()-ROW($B$2))/16+1),"")</f>
        <v/>
      </c>
    </row>
    <row r="10669" spans="2:14" x14ac:dyDescent="0.3">
      <c r="B10669" t="s">
        <v>1312</v>
      </c>
      <c r="N10669" t="str" cm="1">
        <f t="array" ref="N10669">IF(MOD(ROW()-ROW($B$2),16)=0,INDEX($M$2:$M$1000,(ROW()-ROW($B$2))/16+1),"")</f>
        <v/>
      </c>
    </row>
    <row r="10670" spans="2:14" x14ac:dyDescent="0.3">
      <c r="B10670" t="s">
        <v>1313</v>
      </c>
      <c r="N10670" t="str" cm="1">
        <f t="array" ref="N10670">IF(MOD(ROW()-ROW($B$2),16)=0,INDEX($M$2:$M$1000,(ROW()-ROW($B$2))/16+1),"")</f>
        <v/>
      </c>
    </row>
    <row r="10671" spans="2:14" x14ac:dyDescent="0.3">
      <c r="B10671" t="s">
        <v>1314</v>
      </c>
      <c r="N10671" t="str" cm="1">
        <f t="array" ref="N10671">IF(MOD(ROW()-ROW($B$2),16)=0,INDEX($M$2:$M$1000,(ROW()-ROW($B$2))/16+1),"")</f>
        <v/>
      </c>
    </row>
    <row r="10672" spans="2:14" x14ac:dyDescent="0.3">
      <c r="B10672" t="s">
        <v>1315</v>
      </c>
      <c r="N10672" t="str" cm="1">
        <f t="array" ref="N10672">IF(MOD(ROW()-ROW($B$2),16)=0,INDEX($M$2:$M$1000,(ROW()-ROW($B$2))/16+1),"")</f>
        <v/>
      </c>
    </row>
    <row r="10673" spans="2:14" x14ac:dyDescent="0.3">
      <c r="B10673" t="s">
        <v>1316</v>
      </c>
      <c r="N10673" t="str" cm="1">
        <f t="array" ref="N10673">IF(MOD(ROW()-ROW($B$2),16)=0,INDEX($M$2:$M$1000,(ROW()-ROW($B$2))/16+1),"")</f>
        <v/>
      </c>
    </row>
    <row r="10674" spans="2:14" x14ac:dyDescent="0.3">
      <c r="B10674" t="s">
        <v>1317</v>
      </c>
      <c r="N10674" t="str" cm="1">
        <f t="array" ref="N10674">IF(MOD(ROW()-ROW($B$2),16)=0,INDEX($M$2:$M$1000,(ROW()-ROW($B$2))/16+1),"")</f>
        <v/>
      </c>
    </row>
    <row r="10675" spans="2:14" x14ac:dyDescent="0.3">
      <c r="B10675" t="s">
        <v>1318</v>
      </c>
      <c r="N10675" t="str" cm="1">
        <f t="array" ref="N10675">IF(MOD(ROW()-ROW($B$2),16)=0,INDEX($M$2:$M$1000,(ROW()-ROW($B$2))/16+1),"")</f>
        <v/>
      </c>
    </row>
    <row r="10676" spans="2:14" x14ac:dyDescent="0.3">
      <c r="B10676" t="s">
        <v>1319</v>
      </c>
      <c r="N10676" t="str" cm="1">
        <f t="array" ref="N10676">IF(MOD(ROW()-ROW($B$2),16)=0,INDEX($M$2:$M$1000,(ROW()-ROW($B$2))/16+1),"")</f>
        <v/>
      </c>
    </row>
    <row r="10677" spans="2:14" x14ac:dyDescent="0.3">
      <c r="B10677" t="s">
        <v>1320</v>
      </c>
      <c r="N10677" t="str" cm="1">
        <f t="array" ref="N10677">IF(MOD(ROW()-ROW($B$2),16)=0,INDEX($M$2:$M$1000,(ROW()-ROW($B$2))/16+1),"")</f>
        <v/>
      </c>
    </row>
    <row r="10678" spans="2:14" x14ac:dyDescent="0.3">
      <c r="B10678" t="s">
        <v>1321</v>
      </c>
      <c r="N10678" t="str" cm="1">
        <f t="array" ref="N10678">IF(MOD(ROW()-ROW($B$2),16)=0,INDEX($M$2:$M$1000,(ROW()-ROW($B$2))/16+1),"")</f>
        <v/>
      </c>
    </row>
    <row r="10679" spans="2:14" x14ac:dyDescent="0.3">
      <c r="B10679" t="s">
        <v>1322</v>
      </c>
      <c r="N10679" t="str" cm="1">
        <f t="array" ref="N10679">IF(MOD(ROW()-ROW($B$2),16)=0,INDEX($M$2:$M$1000,(ROW()-ROW($B$2))/16+1),"")</f>
        <v/>
      </c>
    </row>
    <row r="10680" spans="2:14" x14ac:dyDescent="0.3">
      <c r="B10680" t="s">
        <v>1323</v>
      </c>
      <c r="N10680" t="str" cm="1">
        <f t="array" ref="N10680">IF(MOD(ROW()-ROW($B$2),16)=0,INDEX($M$2:$M$1000,(ROW()-ROW($B$2))/16+1),"")</f>
        <v/>
      </c>
    </row>
    <row r="10681" spans="2:14" x14ac:dyDescent="0.3">
      <c r="B10681" t="s">
        <v>1324</v>
      </c>
      <c r="N10681" t="str" cm="1">
        <f t="array" ref="N10681">IF(MOD(ROW()-ROW($B$2),16)=0,INDEX($M$2:$M$1000,(ROW()-ROW($B$2))/16+1),"")</f>
        <v/>
      </c>
    </row>
    <row r="10682" spans="2:14" x14ac:dyDescent="0.3">
      <c r="B10682" t="s">
        <v>1325</v>
      </c>
      <c r="N10682" t="str" cm="1">
        <f t="array" ref="N10682">IF(MOD(ROW()-ROW($B$2),16)=0,INDEX($M$2:$M$1000,(ROW()-ROW($B$2))/16+1),"")</f>
        <v/>
      </c>
    </row>
    <row r="10683" spans="2:14" x14ac:dyDescent="0.3">
      <c r="B10683" t="s">
        <v>1326</v>
      </c>
      <c r="N10683" t="str" cm="1">
        <f t="array" ref="N10683">IF(MOD(ROW()-ROW($B$2),16)=0,INDEX($M$2:$M$1000,(ROW()-ROW($B$2))/16+1),"")</f>
        <v/>
      </c>
    </row>
    <row r="10684" spans="2:14" x14ac:dyDescent="0.3">
      <c r="B10684" t="s">
        <v>1327</v>
      </c>
      <c r="N10684" t="str" cm="1">
        <f t="array" ref="N10684">IF(MOD(ROW()-ROW($B$2),16)=0,INDEX($M$2:$M$1000,(ROW()-ROW($B$2))/16+1),"")</f>
        <v/>
      </c>
    </row>
    <row r="10685" spans="2:14" x14ac:dyDescent="0.3">
      <c r="B10685" t="s">
        <v>1328</v>
      </c>
      <c r="N10685" t="str" cm="1">
        <f t="array" ref="N10685">IF(MOD(ROW()-ROW($B$2),16)=0,INDEX($M$2:$M$1000,(ROW()-ROW($B$2))/16+1),"")</f>
        <v/>
      </c>
    </row>
    <row r="10686" spans="2:14" x14ac:dyDescent="0.3">
      <c r="B10686" t="s">
        <v>1329</v>
      </c>
      <c r="N10686" t="str" cm="1">
        <f t="array" ref="N10686">IF(MOD(ROW()-ROW($B$2),16)=0,INDEX($M$2:$M$1000,(ROW()-ROW($B$2))/16+1),"")</f>
        <v/>
      </c>
    </row>
    <row r="10687" spans="2:14" x14ac:dyDescent="0.3">
      <c r="B10687" t="s">
        <v>1330</v>
      </c>
      <c r="N10687" t="str" cm="1">
        <f t="array" ref="N10687">IF(MOD(ROW()-ROW($B$2),16)=0,INDEX($M$2:$M$1000,(ROW()-ROW($B$2))/16+1),"")</f>
        <v/>
      </c>
    </row>
    <row r="10688" spans="2:14" x14ac:dyDescent="0.3">
      <c r="B10688" t="s">
        <v>1331</v>
      </c>
      <c r="N10688" t="str" cm="1">
        <f t="array" ref="N10688">IF(MOD(ROW()-ROW($B$2),16)=0,INDEX($M$2:$M$1000,(ROW()-ROW($B$2))/16+1),"")</f>
        <v/>
      </c>
    </row>
    <row r="10689" spans="2:14" x14ac:dyDescent="0.3">
      <c r="B10689" t="s">
        <v>1332</v>
      </c>
      <c r="N10689" t="str" cm="1">
        <f t="array" ref="N10689">IF(MOD(ROW()-ROW($B$2),16)=0,INDEX($M$2:$M$1000,(ROW()-ROW($B$2))/16+1),"")</f>
        <v/>
      </c>
    </row>
    <row r="10690" spans="2:14" x14ac:dyDescent="0.3">
      <c r="B10690" t="s">
        <v>1333</v>
      </c>
      <c r="N10690" t="str" cm="1">
        <f t="array" ref="N10690">IF(MOD(ROW()-ROW($B$2),16)=0,INDEX($M$2:$M$1000,(ROW()-ROW($B$2))/16+1),"")</f>
        <v/>
      </c>
    </row>
    <row r="10691" spans="2:14" x14ac:dyDescent="0.3">
      <c r="B10691" t="s">
        <v>1334</v>
      </c>
      <c r="N10691" t="str" cm="1">
        <f t="array" ref="N10691">IF(MOD(ROW()-ROW($B$2),16)=0,INDEX($M$2:$M$1000,(ROW()-ROW($B$2))/16+1),"")</f>
        <v/>
      </c>
    </row>
    <row r="10692" spans="2:14" x14ac:dyDescent="0.3">
      <c r="B10692" t="s">
        <v>1335</v>
      </c>
      <c r="N10692" t="str" cm="1">
        <f t="array" ref="N10692">IF(MOD(ROW()-ROW($B$2),16)=0,INDEX($M$2:$M$1000,(ROW()-ROW($B$2))/16+1),"")</f>
        <v/>
      </c>
    </row>
    <row r="10693" spans="2:14" x14ac:dyDescent="0.3">
      <c r="B10693" t="s">
        <v>1336</v>
      </c>
      <c r="N10693" t="str" cm="1">
        <f t="array" ref="N10693">IF(MOD(ROW()-ROW($B$2),16)=0,INDEX($M$2:$M$1000,(ROW()-ROW($B$2))/16+1),"")</f>
        <v/>
      </c>
    </row>
    <row r="10694" spans="2:14" x14ac:dyDescent="0.3">
      <c r="B10694" t="s">
        <v>1337</v>
      </c>
      <c r="N10694" t="str" cm="1">
        <f t="array" ref="N10694">IF(MOD(ROW()-ROW($B$2),16)=0,INDEX($M$2:$M$1000,(ROW()-ROW($B$2))/16+1),"")</f>
        <v/>
      </c>
    </row>
    <row r="10695" spans="2:14" x14ac:dyDescent="0.3">
      <c r="B10695" t="s">
        <v>1338</v>
      </c>
      <c r="N10695" t="str" cm="1">
        <f t="array" ref="N10695">IF(MOD(ROW()-ROW($B$2),16)=0,INDEX($M$2:$M$1000,(ROW()-ROW($B$2))/16+1),"")</f>
        <v/>
      </c>
    </row>
    <row r="10696" spans="2:14" x14ac:dyDescent="0.3">
      <c r="B10696" t="s">
        <v>1339</v>
      </c>
      <c r="N10696" t="str" cm="1">
        <f t="array" ref="N10696">IF(MOD(ROW()-ROW($B$2),16)=0,INDEX($M$2:$M$1000,(ROW()-ROW($B$2))/16+1),"")</f>
        <v/>
      </c>
    </row>
    <row r="10697" spans="2:14" x14ac:dyDescent="0.3">
      <c r="B10697" t="s">
        <v>1340</v>
      </c>
      <c r="N10697" t="str" cm="1">
        <f t="array" ref="N10697">IF(MOD(ROW()-ROW($B$2),16)=0,INDEX($M$2:$M$1000,(ROW()-ROW($B$2))/16+1),"")</f>
        <v/>
      </c>
    </row>
    <row r="10698" spans="2:14" x14ac:dyDescent="0.3">
      <c r="B10698" t="s">
        <v>1341</v>
      </c>
      <c r="N10698" t="str" cm="1">
        <f t="array" ref="N10698">IF(MOD(ROW()-ROW($B$2),16)=0,INDEX($M$2:$M$1000,(ROW()-ROW($B$2))/16+1),"")</f>
        <v/>
      </c>
    </row>
    <row r="10699" spans="2:14" x14ac:dyDescent="0.3">
      <c r="B10699" t="s">
        <v>1342</v>
      </c>
      <c r="N10699" t="str" cm="1">
        <f t="array" ref="N10699">IF(MOD(ROW()-ROW($B$2),16)=0,INDEX($M$2:$M$1000,(ROW()-ROW($B$2))/16+1),"")</f>
        <v/>
      </c>
    </row>
    <row r="10700" spans="2:14" x14ac:dyDescent="0.3">
      <c r="B10700" t="s">
        <v>1343</v>
      </c>
      <c r="N10700" t="str" cm="1">
        <f t="array" ref="N10700">IF(MOD(ROW()-ROW($B$2),16)=0,INDEX($M$2:$M$1000,(ROW()-ROW($B$2))/16+1),"")</f>
        <v/>
      </c>
    </row>
    <row r="10701" spans="2:14" x14ac:dyDescent="0.3">
      <c r="B10701" t="s">
        <v>1344</v>
      </c>
      <c r="N10701" t="str" cm="1">
        <f t="array" ref="N10701">IF(MOD(ROW()-ROW($B$2),16)=0,INDEX($M$2:$M$1000,(ROW()-ROW($B$2))/16+1),"")</f>
        <v/>
      </c>
    </row>
    <row r="10702" spans="2:14" x14ac:dyDescent="0.3">
      <c r="B10702" t="s">
        <v>1345</v>
      </c>
      <c r="N10702" t="str" cm="1">
        <f t="array" ref="N10702">IF(MOD(ROW()-ROW($B$2),16)=0,INDEX($M$2:$M$1000,(ROW()-ROW($B$2))/16+1),"")</f>
        <v/>
      </c>
    </row>
    <row r="10703" spans="2:14" x14ac:dyDescent="0.3">
      <c r="B10703" t="s">
        <v>1346</v>
      </c>
      <c r="N10703" t="str" cm="1">
        <f t="array" ref="N10703">IF(MOD(ROW()-ROW($B$2),16)=0,INDEX($M$2:$M$1000,(ROW()-ROW($B$2))/16+1),"")</f>
        <v/>
      </c>
    </row>
    <row r="10704" spans="2:14" x14ac:dyDescent="0.3">
      <c r="B10704" t="s">
        <v>1347</v>
      </c>
      <c r="N10704" t="str" cm="1">
        <f t="array" ref="N10704">IF(MOD(ROW()-ROW($B$2),16)=0,INDEX($M$2:$M$1000,(ROW()-ROW($B$2))/16+1),"")</f>
        <v/>
      </c>
    </row>
    <row r="10705" spans="2:14" x14ac:dyDescent="0.3">
      <c r="B10705" t="s">
        <v>1348</v>
      </c>
      <c r="N10705" t="str" cm="1">
        <f t="array" ref="N10705">IF(MOD(ROW()-ROW($B$2),16)=0,INDEX($M$2:$M$1000,(ROW()-ROW($B$2))/16+1),"")</f>
        <v/>
      </c>
    </row>
    <row r="10706" spans="2:14" x14ac:dyDescent="0.3">
      <c r="B10706" t="s">
        <v>1349</v>
      </c>
      <c r="N10706" t="str" cm="1">
        <f t="array" ref="N10706">IF(MOD(ROW()-ROW($B$2),16)=0,INDEX($M$2:$M$1000,(ROW()-ROW($B$2))/16+1),"")</f>
        <v/>
      </c>
    </row>
    <row r="10707" spans="2:14" x14ac:dyDescent="0.3">
      <c r="B10707" t="s">
        <v>1350</v>
      </c>
      <c r="N10707" t="str" cm="1">
        <f t="array" ref="N10707">IF(MOD(ROW()-ROW($B$2),16)=0,INDEX($M$2:$M$1000,(ROW()-ROW($B$2))/16+1),"")</f>
        <v/>
      </c>
    </row>
    <row r="10708" spans="2:14" x14ac:dyDescent="0.3">
      <c r="B10708" t="s">
        <v>1351</v>
      </c>
      <c r="N10708" t="str" cm="1">
        <f t="array" ref="N10708">IF(MOD(ROW()-ROW($B$2),16)=0,INDEX($M$2:$M$1000,(ROW()-ROW($B$2))/16+1),"")</f>
        <v/>
      </c>
    </row>
    <row r="10709" spans="2:14" x14ac:dyDescent="0.3">
      <c r="B10709" t="s">
        <v>1352</v>
      </c>
      <c r="N10709" t="str" cm="1">
        <f t="array" ref="N10709">IF(MOD(ROW()-ROW($B$2),16)=0,INDEX($M$2:$M$1000,(ROW()-ROW($B$2))/16+1),"")</f>
        <v/>
      </c>
    </row>
    <row r="10710" spans="2:14" x14ac:dyDescent="0.3">
      <c r="B10710" t="s">
        <v>1353</v>
      </c>
      <c r="N10710" t="str" cm="1">
        <f t="array" ref="N10710">IF(MOD(ROW()-ROW($B$2),16)=0,INDEX($M$2:$M$1000,(ROW()-ROW($B$2))/16+1),"")</f>
        <v/>
      </c>
    </row>
    <row r="10711" spans="2:14" x14ac:dyDescent="0.3">
      <c r="B10711" t="s">
        <v>1354</v>
      </c>
      <c r="N10711" t="str" cm="1">
        <f t="array" ref="N10711">IF(MOD(ROW()-ROW($B$2),16)=0,INDEX($M$2:$M$1000,(ROW()-ROW($B$2))/16+1),"")</f>
        <v/>
      </c>
    </row>
    <row r="10712" spans="2:14" x14ac:dyDescent="0.3">
      <c r="B10712" t="s">
        <v>1355</v>
      </c>
      <c r="N10712" t="str" cm="1">
        <f t="array" ref="N10712">IF(MOD(ROW()-ROW($B$2),16)=0,INDEX($M$2:$M$1000,(ROW()-ROW($B$2))/16+1),"")</f>
        <v/>
      </c>
    </row>
    <row r="10713" spans="2:14" x14ac:dyDescent="0.3">
      <c r="B10713" t="s">
        <v>1356</v>
      </c>
      <c r="N10713" t="str" cm="1">
        <f t="array" ref="N10713">IF(MOD(ROW()-ROW($B$2),16)=0,INDEX($M$2:$M$1000,(ROW()-ROW($B$2))/16+1),"")</f>
        <v/>
      </c>
    </row>
    <row r="10714" spans="2:14" x14ac:dyDescent="0.3">
      <c r="B10714" t="s">
        <v>1357</v>
      </c>
      <c r="N10714" t="str" cm="1">
        <f t="array" ref="N10714">IF(MOD(ROW()-ROW($B$2),16)=0,INDEX($M$2:$M$1000,(ROW()-ROW($B$2))/16+1),"")</f>
        <v/>
      </c>
    </row>
    <row r="10715" spans="2:14" x14ac:dyDescent="0.3">
      <c r="B10715" t="s">
        <v>1358</v>
      </c>
      <c r="N10715" t="str" cm="1">
        <f t="array" ref="N10715">IF(MOD(ROW()-ROW($B$2),16)=0,INDEX($M$2:$M$1000,(ROW()-ROW($B$2))/16+1),"")</f>
        <v/>
      </c>
    </row>
    <row r="10716" spans="2:14" x14ac:dyDescent="0.3">
      <c r="B10716" t="s">
        <v>1359</v>
      </c>
      <c r="N10716" t="str" cm="1">
        <f t="array" ref="N10716">IF(MOD(ROW()-ROW($B$2),16)=0,INDEX($M$2:$M$1000,(ROW()-ROW($B$2))/16+1),"")</f>
        <v/>
      </c>
    </row>
    <row r="10717" spans="2:14" x14ac:dyDescent="0.3">
      <c r="B10717" t="s">
        <v>1360</v>
      </c>
      <c r="N10717" t="str" cm="1">
        <f t="array" ref="N10717">IF(MOD(ROW()-ROW($B$2),16)=0,INDEX($M$2:$M$1000,(ROW()-ROW($B$2))/16+1),"")</f>
        <v/>
      </c>
    </row>
    <row r="10718" spans="2:14" x14ac:dyDescent="0.3">
      <c r="B10718" t="s">
        <v>1361</v>
      </c>
      <c r="N10718" t="str" cm="1">
        <f t="array" ref="N10718">IF(MOD(ROW()-ROW($B$2),16)=0,INDEX($M$2:$M$1000,(ROW()-ROW($B$2))/16+1),"")</f>
        <v/>
      </c>
    </row>
    <row r="10719" spans="2:14" x14ac:dyDescent="0.3">
      <c r="B10719" t="s">
        <v>1362</v>
      </c>
      <c r="N10719" t="str" cm="1">
        <f t="array" ref="N10719">IF(MOD(ROW()-ROW($B$2),16)=0,INDEX($M$2:$M$1000,(ROW()-ROW($B$2))/16+1),"")</f>
        <v/>
      </c>
    </row>
    <row r="10720" spans="2:14" x14ac:dyDescent="0.3">
      <c r="B10720" t="s">
        <v>1363</v>
      </c>
      <c r="N10720" t="str" cm="1">
        <f t="array" ref="N10720">IF(MOD(ROW()-ROW($B$2),16)=0,INDEX($M$2:$M$1000,(ROW()-ROW($B$2))/16+1),"")</f>
        <v/>
      </c>
    </row>
    <row r="10721" spans="2:14" x14ac:dyDescent="0.3">
      <c r="B10721" t="s">
        <v>1364</v>
      </c>
      <c r="N10721" t="str" cm="1">
        <f t="array" ref="N10721">IF(MOD(ROW()-ROW($B$2),16)=0,INDEX($M$2:$M$1000,(ROW()-ROW($B$2))/16+1),"")</f>
        <v/>
      </c>
    </row>
    <row r="10722" spans="2:14" x14ac:dyDescent="0.3">
      <c r="B10722" t="s">
        <v>1365</v>
      </c>
      <c r="N10722" t="str" cm="1">
        <f t="array" ref="N10722">IF(MOD(ROW()-ROW($B$2),16)=0,INDEX($M$2:$M$1000,(ROW()-ROW($B$2))/16+1),"")</f>
        <v/>
      </c>
    </row>
    <row r="10723" spans="2:14" x14ac:dyDescent="0.3">
      <c r="B10723" t="s">
        <v>1366</v>
      </c>
      <c r="N10723" t="str" cm="1">
        <f t="array" ref="N10723">IF(MOD(ROW()-ROW($B$2),16)=0,INDEX($M$2:$M$1000,(ROW()-ROW($B$2))/16+1),"")</f>
        <v/>
      </c>
    </row>
    <row r="10724" spans="2:14" x14ac:dyDescent="0.3">
      <c r="B10724" t="s">
        <v>1367</v>
      </c>
      <c r="N10724" t="str" cm="1">
        <f t="array" ref="N10724">IF(MOD(ROW()-ROW($B$2),16)=0,INDEX($M$2:$M$1000,(ROW()-ROW($B$2))/16+1),"")</f>
        <v/>
      </c>
    </row>
    <row r="10725" spans="2:14" x14ac:dyDescent="0.3">
      <c r="B10725" t="s">
        <v>1368</v>
      </c>
      <c r="N10725" t="str" cm="1">
        <f t="array" ref="N10725">IF(MOD(ROW()-ROW($B$2),16)=0,INDEX($M$2:$M$1000,(ROW()-ROW($B$2))/16+1),"")</f>
        <v/>
      </c>
    </row>
    <row r="10726" spans="2:14" x14ac:dyDescent="0.3">
      <c r="B10726" t="s">
        <v>1369</v>
      </c>
      <c r="N10726" t="str" cm="1">
        <f t="array" ref="N10726">IF(MOD(ROW()-ROW($B$2),16)=0,INDEX($M$2:$M$1000,(ROW()-ROW($B$2))/16+1),"")</f>
        <v/>
      </c>
    </row>
    <row r="10727" spans="2:14" x14ac:dyDescent="0.3">
      <c r="B10727" t="s">
        <v>1370</v>
      </c>
      <c r="N10727" t="str" cm="1">
        <f t="array" ref="N10727">IF(MOD(ROW()-ROW($B$2),16)=0,INDEX($M$2:$M$1000,(ROW()-ROW($B$2))/16+1),"")</f>
        <v/>
      </c>
    </row>
    <row r="10728" spans="2:14" x14ac:dyDescent="0.3">
      <c r="B10728" t="s">
        <v>1371</v>
      </c>
      <c r="N10728" t="str" cm="1">
        <f t="array" ref="N10728">IF(MOD(ROW()-ROW($B$2),16)=0,INDEX($M$2:$M$1000,(ROW()-ROW($B$2))/16+1),"")</f>
        <v/>
      </c>
    </row>
    <row r="10729" spans="2:14" x14ac:dyDescent="0.3">
      <c r="B10729" t="s">
        <v>1372</v>
      </c>
      <c r="N10729" t="str" cm="1">
        <f t="array" ref="N10729">IF(MOD(ROW()-ROW($B$2),16)=0,INDEX($M$2:$M$1000,(ROW()-ROW($B$2))/16+1),"")</f>
        <v/>
      </c>
    </row>
    <row r="10730" spans="2:14" x14ac:dyDescent="0.3">
      <c r="B10730" t="s">
        <v>1373</v>
      </c>
      <c r="N10730" t="str" cm="1">
        <f t="array" ref="N10730">IF(MOD(ROW()-ROW($B$2),16)=0,INDEX($M$2:$M$1000,(ROW()-ROW($B$2))/16+1),"")</f>
        <v/>
      </c>
    </row>
    <row r="10731" spans="2:14" x14ac:dyDescent="0.3">
      <c r="B10731" t="s">
        <v>1374</v>
      </c>
      <c r="N10731" t="str" cm="1">
        <f t="array" ref="N10731">IF(MOD(ROW()-ROW($B$2),16)=0,INDEX($M$2:$M$1000,(ROW()-ROW($B$2))/16+1),"")</f>
        <v/>
      </c>
    </row>
    <row r="10732" spans="2:14" x14ac:dyDescent="0.3">
      <c r="B10732" t="s">
        <v>1375</v>
      </c>
      <c r="N10732" t="str" cm="1">
        <f t="array" ref="N10732">IF(MOD(ROW()-ROW($B$2),16)=0,INDEX($M$2:$M$1000,(ROW()-ROW($B$2))/16+1),"")</f>
        <v/>
      </c>
    </row>
    <row r="10733" spans="2:14" x14ac:dyDescent="0.3">
      <c r="B10733" t="s">
        <v>1376</v>
      </c>
      <c r="N10733" t="str" cm="1">
        <f t="array" ref="N10733">IF(MOD(ROW()-ROW($B$2),16)=0,INDEX($M$2:$M$1000,(ROW()-ROW($B$2))/16+1),"")</f>
        <v/>
      </c>
    </row>
    <row r="10734" spans="2:14" x14ac:dyDescent="0.3">
      <c r="B10734" t="s">
        <v>1377</v>
      </c>
      <c r="N10734" t="str" cm="1">
        <f t="array" ref="N10734">IF(MOD(ROW()-ROW($B$2),16)=0,INDEX($M$2:$M$1000,(ROW()-ROW($B$2))/16+1),"")</f>
        <v/>
      </c>
    </row>
    <row r="10735" spans="2:14" x14ac:dyDescent="0.3">
      <c r="B10735" t="s">
        <v>1378</v>
      </c>
      <c r="N10735" t="str" cm="1">
        <f t="array" ref="N10735">IF(MOD(ROW()-ROW($B$2),16)=0,INDEX($M$2:$M$1000,(ROW()-ROW($B$2))/16+1),"")</f>
        <v/>
      </c>
    </row>
    <row r="10736" spans="2:14" x14ac:dyDescent="0.3">
      <c r="B10736" t="s">
        <v>1379</v>
      </c>
      <c r="N10736" t="str" cm="1">
        <f t="array" ref="N10736">IF(MOD(ROW()-ROW($B$2),16)=0,INDEX($M$2:$M$1000,(ROW()-ROW($B$2))/16+1),"")</f>
        <v/>
      </c>
    </row>
    <row r="10737" spans="2:14" x14ac:dyDescent="0.3">
      <c r="B10737" t="s">
        <v>1380</v>
      </c>
      <c r="N10737" t="str" cm="1">
        <f t="array" ref="N10737">IF(MOD(ROW()-ROW($B$2),16)=0,INDEX($M$2:$M$1000,(ROW()-ROW($B$2))/16+1),"")</f>
        <v/>
      </c>
    </row>
    <row r="10738" spans="2:14" x14ac:dyDescent="0.3">
      <c r="B10738" t="s">
        <v>1381</v>
      </c>
      <c r="N10738" t="str" cm="1">
        <f t="array" ref="N10738">IF(MOD(ROW()-ROW($B$2),16)=0,INDEX($M$2:$M$1000,(ROW()-ROW($B$2))/16+1),"")</f>
        <v/>
      </c>
    </row>
    <row r="10739" spans="2:14" x14ac:dyDescent="0.3">
      <c r="B10739" t="s">
        <v>1382</v>
      </c>
      <c r="N10739" t="str" cm="1">
        <f t="array" ref="N10739">IF(MOD(ROW()-ROW($B$2),16)=0,INDEX($M$2:$M$1000,(ROW()-ROW($B$2))/16+1),"")</f>
        <v/>
      </c>
    </row>
    <row r="10740" spans="2:14" x14ac:dyDescent="0.3">
      <c r="B10740" t="s">
        <v>1383</v>
      </c>
      <c r="N10740" t="str" cm="1">
        <f t="array" ref="N10740">IF(MOD(ROW()-ROW($B$2),16)=0,INDEX($M$2:$M$1000,(ROW()-ROW($B$2))/16+1),"")</f>
        <v/>
      </c>
    </row>
    <row r="10741" spans="2:14" x14ac:dyDescent="0.3">
      <c r="B10741" t="s">
        <v>1384</v>
      </c>
      <c r="N10741" t="str" cm="1">
        <f t="array" ref="N10741">IF(MOD(ROW()-ROW($B$2),16)=0,INDEX($M$2:$M$1000,(ROW()-ROW($B$2))/16+1),"")</f>
        <v/>
      </c>
    </row>
    <row r="10742" spans="2:14" x14ac:dyDescent="0.3">
      <c r="B10742" t="s">
        <v>1385</v>
      </c>
      <c r="N10742" t="str" cm="1">
        <f t="array" ref="N10742">IF(MOD(ROW()-ROW($B$2),16)=0,INDEX($M$2:$M$1000,(ROW()-ROW($B$2))/16+1),"")</f>
        <v/>
      </c>
    </row>
    <row r="10743" spans="2:14" x14ac:dyDescent="0.3">
      <c r="B10743" t="s">
        <v>1386</v>
      </c>
      <c r="N10743" t="str" cm="1">
        <f t="array" ref="N10743">IF(MOD(ROW()-ROW($B$2),16)=0,INDEX($M$2:$M$1000,(ROW()-ROW($B$2))/16+1),"")</f>
        <v/>
      </c>
    </row>
    <row r="10744" spans="2:14" x14ac:dyDescent="0.3">
      <c r="B10744" t="s">
        <v>1387</v>
      </c>
      <c r="N10744" t="str" cm="1">
        <f t="array" ref="N10744">IF(MOD(ROW()-ROW($B$2),16)=0,INDEX($M$2:$M$1000,(ROW()-ROW($B$2))/16+1),"")</f>
        <v/>
      </c>
    </row>
    <row r="10745" spans="2:14" x14ac:dyDescent="0.3">
      <c r="B10745" t="s">
        <v>1388</v>
      </c>
      <c r="N10745" t="str" cm="1">
        <f t="array" ref="N10745">IF(MOD(ROW()-ROW($B$2),16)=0,INDEX($M$2:$M$1000,(ROW()-ROW($B$2))/16+1),"")</f>
        <v/>
      </c>
    </row>
    <row r="10746" spans="2:14" x14ac:dyDescent="0.3">
      <c r="B10746" t="s">
        <v>1389</v>
      </c>
      <c r="N10746" t="str" cm="1">
        <f t="array" ref="N10746">IF(MOD(ROW()-ROW($B$2),16)=0,INDEX($M$2:$M$1000,(ROW()-ROW($B$2))/16+1),"")</f>
        <v/>
      </c>
    </row>
    <row r="10747" spans="2:14" x14ac:dyDescent="0.3">
      <c r="B10747" t="s">
        <v>1390</v>
      </c>
      <c r="N10747" t="str" cm="1">
        <f t="array" ref="N10747">IF(MOD(ROW()-ROW($B$2),16)=0,INDEX($M$2:$M$1000,(ROW()-ROW($B$2))/16+1),"")</f>
        <v/>
      </c>
    </row>
    <row r="10748" spans="2:14" x14ac:dyDescent="0.3">
      <c r="B10748" t="s">
        <v>1391</v>
      </c>
      <c r="N10748" t="str" cm="1">
        <f t="array" ref="N10748">IF(MOD(ROW()-ROW($B$2),16)=0,INDEX($M$2:$M$1000,(ROW()-ROW($B$2))/16+1),"")</f>
        <v/>
      </c>
    </row>
    <row r="10749" spans="2:14" x14ac:dyDescent="0.3">
      <c r="B10749" t="s">
        <v>1392</v>
      </c>
      <c r="N10749" t="str" cm="1">
        <f t="array" ref="N10749">IF(MOD(ROW()-ROW($B$2),16)=0,INDEX($M$2:$M$1000,(ROW()-ROW($B$2))/16+1),"")</f>
        <v/>
      </c>
    </row>
    <row r="10750" spans="2:14" x14ac:dyDescent="0.3">
      <c r="B10750" t="s">
        <v>1393</v>
      </c>
      <c r="N10750" t="str" cm="1">
        <f t="array" ref="N10750">IF(MOD(ROW()-ROW($B$2),16)=0,INDEX($M$2:$M$1000,(ROW()-ROW($B$2))/16+1),"")</f>
        <v/>
      </c>
    </row>
    <row r="10751" spans="2:14" x14ac:dyDescent="0.3">
      <c r="B10751" t="s">
        <v>1394</v>
      </c>
      <c r="N10751" t="str" cm="1">
        <f t="array" ref="N10751">IF(MOD(ROW()-ROW($B$2),16)=0,INDEX($M$2:$M$1000,(ROW()-ROW($B$2))/16+1),"")</f>
        <v/>
      </c>
    </row>
    <row r="10752" spans="2:14" x14ac:dyDescent="0.3">
      <c r="B10752" t="s">
        <v>1395</v>
      </c>
      <c r="N10752" t="str" cm="1">
        <f t="array" ref="N10752">IF(MOD(ROW()-ROW($B$2),16)=0,INDEX($M$2:$M$1000,(ROW()-ROW($B$2))/16+1),"")</f>
        <v/>
      </c>
    </row>
    <row r="10753" spans="2:14" x14ac:dyDescent="0.3">
      <c r="B10753" t="s">
        <v>1396</v>
      </c>
      <c r="N10753" t="str" cm="1">
        <f t="array" ref="N10753">IF(MOD(ROW()-ROW($B$2),16)=0,INDEX($M$2:$M$1000,(ROW()-ROW($B$2))/16+1),"")</f>
        <v/>
      </c>
    </row>
    <row r="10754" spans="2:14" x14ac:dyDescent="0.3">
      <c r="B10754" t="s">
        <v>1397</v>
      </c>
      <c r="N10754" t="str" cm="1">
        <f t="array" ref="N10754">IF(MOD(ROW()-ROW($B$2),16)=0,INDEX($M$2:$M$1000,(ROW()-ROW($B$2))/16+1),"")</f>
        <v/>
      </c>
    </row>
    <row r="10755" spans="2:14" x14ac:dyDescent="0.3">
      <c r="B10755" t="s">
        <v>1398</v>
      </c>
      <c r="N10755" t="str" cm="1">
        <f t="array" ref="N10755">IF(MOD(ROW()-ROW($B$2),16)=0,INDEX($M$2:$M$1000,(ROW()-ROW($B$2))/16+1),"")</f>
        <v/>
      </c>
    </row>
    <row r="10756" spans="2:14" x14ac:dyDescent="0.3">
      <c r="B10756" t="s">
        <v>1399</v>
      </c>
      <c r="N10756" t="str" cm="1">
        <f t="array" ref="N10756">IF(MOD(ROW()-ROW($B$2),16)=0,INDEX($M$2:$M$1000,(ROW()-ROW($B$2))/16+1),"")</f>
        <v/>
      </c>
    </row>
    <row r="10757" spans="2:14" x14ac:dyDescent="0.3">
      <c r="B10757" t="s">
        <v>1400</v>
      </c>
      <c r="N10757" t="str" cm="1">
        <f t="array" ref="N10757">IF(MOD(ROW()-ROW($B$2),16)=0,INDEX($M$2:$M$1000,(ROW()-ROW($B$2))/16+1),"")</f>
        <v/>
      </c>
    </row>
    <row r="10758" spans="2:14" x14ac:dyDescent="0.3">
      <c r="B10758" t="s">
        <v>1401</v>
      </c>
      <c r="N10758" t="str" cm="1">
        <f t="array" ref="N10758">IF(MOD(ROW()-ROW($B$2),16)=0,INDEX($M$2:$M$1000,(ROW()-ROW($B$2))/16+1),"")</f>
        <v/>
      </c>
    </row>
    <row r="10759" spans="2:14" x14ac:dyDescent="0.3">
      <c r="B10759" t="s">
        <v>1402</v>
      </c>
      <c r="N10759" t="str" cm="1">
        <f t="array" ref="N10759">IF(MOD(ROW()-ROW($B$2),16)=0,INDEX($M$2:$M$1000,(ROW()-ROW($B$2))/16+1),"")</f>
        <v/>
      </c>
    </row>
    <row r="10760" spans="2:14" x14ac:dyDescent="0.3">
      <c r="B10760" t="s">
        <v>1403</v>
      </c>
      <c r="N10760" t="str" cm="1">
        <f t="array" ref="N10760">IF(MOD(ROW()-ROW($B$2),16)=0,INDEX($M$2:$M$1000,(ROW()-ROW($B$2))/16+1),"")</f>
        <v/>
      </c>
    </row>
    <row r="10761" spans="2:14" x14ac:dyDescent="0.3">
      <c r="B10761" t="s">
        <v>1404</v>
      </c>
      <c r="N10761" t="str" cm="1">
        <f t="array" ref="N10761">IF(MOD(ROW()-ROW($B$2),16)=0,INDEX($M$2:$M$1000,(ROW()-ROW($B$2))/16+1),"")</f>
        <v/>
      </c>
    </row>
    <row r="10762" spans="2:14" x14ac:dyDescent="0.3">
      <c r="B10762" t="s">
        <v>1405</v>
      </c>
      <c r="N10762" t="str" cm="1">
        <f t="array" ref="N10762">IF(MOD(ROW()-ROW($B$2),16)=0,INDEX($M$2:$M$1000,(ROW()-ROW($B$2))/16+1),"")</f>
        <v/>
      </c>
    </row>
    <row r="10763" spans="2:14" x14ac:dyDescent="0.3">
      <c r="B10763" t="s">
        <v>1406</v>
      </c>
      <c r="N10763" t="str" cm="1">
        <f t="array" ref="N10763">IF(MOD(ROW()-ROW($B$2),16)=0,INDEX($M$2:$M$1000,(ROW()-ROW($B$2))/16+1),"")</f>
        <v/>
      </c>
    </row>
    <row r="10764" spans="2:14" x14ac:dyDescent="0.3">
      <c r="B10764" t="s">
        <v>1407</v>
      </c>
      <c r="N10764" t="str" cm="1">
        <f t="array" ref="N10764">IF(MOD(ROW()-ROW($B$2),16)=0,INDEX($M$2:$M$1000,(ROW()-ROW($B$2))/16+1),"")</f>
        <v/>
      </c>
    </row>
    <row r="10765" spans="2:14" x14ac:dyDescent="0.3">
      <c r="B10765" t="s">
        <v>1408</v>
      </c>
      <c r="N10765" t="str" cm="1">
        <f t="array" ref="N10765">IF(MOD(ROW()-ROW($B$2),16)=0,INDEX($M$2:$M$1000,(ROW()-ROW($B$2))/16+1),"")</f>
        <v/>
      </c>
    </row>
    <row r="10766" spans="2:14" x14ac:dyDescent="0.3">
      <c r="B10766" t="s">
        <v>1409</v>
      </c>
      <c r="N10766" t="str" cm="1">
        <f t="array" ref="N10766">IF(MOD(ROW()-ROW($B$2),16)=0,INDEX($M$2:$M$1000,(ROW()-ROW($B$2))/16+1),"")</f>
        <v/>
      </c>
    </row>
    <row r="10767" spans="2:14" x14ac:dyDescent="0.3">
      <c r="B10767" t="s">
        <v>1410</v>
      </c>
      <c r="N10767" t="str" cm="1">
        <f t="array" ref="N10767">IF(MOD(ROW()-ROW($B$2),16)=0,INDEX($M$2:$M$1000,(ROW()-ROW($B$2))/16+1),"")</f>
        <v/>
      </c>
    </row>
    <row r="10768" spans="2:14" x14ac:dyDescent="0.3">
      <c r="B10768" t="s">
        <v>1411</v>
      </c>
      <c r="N10768" t="str" cm="1">
        <f t="array" ref="N10768">IF(MOD(ROW()-ROW($B$2),16)=0,INDEX($M$2:$M$1000,(ROW()-ROW($B$2))/16+1),"")</f>
        <v/>
      </c>
    </row>
    <row r="10769" spans="2:14" x14ac:dyDescent="0.3">
      <c r="B10769" t="s">
        <v>1412</v>
      </c>
      <c r="N10769" t="str" cm="1">
        <f t="array" ref="N10769">IF(MOD(ROW()-ROW($B$2),16)=0,INDEX($M$2:$M$1000,(ROW()-ROW($B$2))/16+1),"")</f>
        <v/>
      </c>
    </row>
    <row r="10770" spans="2:14" x14ac:dyDescent="0.3">
      <c r="B10770" t="s">
        <v>1413</v>
      </c>
      <c r="N10770" t="str" cm="1">
        <f t="array" ref="N10770">IF(MOD(ROW()-ROW($B$2),16)=0,INDEX($M$2:$M$1000,(ROW()-ROW($B$2))/16+1),"")</f>
        <v/>
      </c>
    </row>
    <row r="10771" spans="2:14" x14ac:dyDescent="0.3">
      <c r="B10771" t="s">
        <v>1414</v>
      </c>
      <c r="N10771" t="str" cm="1">
        <f t="array" ref="N10771">IF(MOD(ROW()-ROW($B$2),16)=0,INDEX($M$2:$M$1000,(ROW()-ROW($B$2))/16+1),"")</f>
        <v/>
      </c>
    </row>
    <row r="10772" spans="2:14" x14ac:dyDescent="0.3">
      <c r="B10772" t="s">
        <v>1415</v>
      </c>
      <c r="N10772" t="str" cm="1">
        <f t="array" ref="N10772">IF(MOD(ROW()-ROW($B$2),16)=0,INDEX($M$2:$M$1000,(ROW()-ROW($B$2))/16+1),"")</f>
        <v/>
      </c>
    </row>
    <row r="10773" spans="2:14" x14ac:dyDescent="0.3">
      <c r="B10773" t="s">
        <v>1416</v>
      </c>
      <c r="N10773" t="str" cm="1">
        <f t="array" ref="N10773">IF(MOD(ROW()-ROW($B$2),16)=0,INDEX($M$2:$M$1000,(ROW()-ROW($B$2))/16+1),"")</f>
        <v/>
      </c>
    </row>
    <row r="10774" spans="2:14" x14ac:dyDescent="0.3">
      <c r="B10774" t="s">
        <v>1417</v>
      </c>
      <c r="N10774" t="str" cm="1">
        <f t="array" ref="N10774">IF(MOD(ROW()-ROW($B$2),16)=0,INDEX($M$2:$M$1000,(ROW()-ROW($B$2))/16+1),"")</f>
        <v/>
      </c>
    </row>
    <row r="10775" spans="2:14" x14ac:dyDescent="0.3">
      <c r="B10775" t="s">
        <v>1418</v>
      </c>
      <c r="N10775" t="str" cm="1">
        <f t="array" ref="N10775">IF(MOD(ROW()-ROW($B$2),16)=0,INDEX($M$2:$M$1000,(ROW()-ROW($B$2))/16+1),"")</f>
        <v/>
      </c>
    </row>
    <row r="10776" spans="2:14" x14ac:dyDescent="0.3">
      <c r="B10776" t="s">
        <v>1419</v>
      </c>
      <c r="N10776" t="str" cm="1">
        <f t="array" ref="N10776">IF(MOD(ROW()-ROW($B$2),16)=0,INDEX($M$2:$M$1000,(ROW()-ROW($B$2))/16+1),"")</f>
        <v/>
      </c>
    </row>
    <row r="10777" spans="2:14" x14ac:dyDescent="0.3">
      <c r="B10777" t="s">
        <v>1420</v>
      </c>
      <c r="N10777" t="str" cm="1">
        <f t="array" ref="N10777">IF(MOD(ROW()-ROW($B$2),16)=0,INDEX($M$2:$M$1000,(ROW()-ROW($B$2))/16+1),"")</f>
        <v/>
      </c>
    </row>
    <row r="10778" spans="2:14" x14ac:dyDescent="0.3">
      <c r="B10778" t="s">
        <v>1421</v>
      </c>
      <c r="N10778" t="str" cm="1">
        <f t="array" ref="N10778">IF(MOD(ROW()-ROW($B$2),16)=0,INDEX($M$2:$M$1000,(ROW()-ROW($B$2))/16+1),"")</f>
        <v/>
      </c>
    </row>
    <row r="10779" spans="2:14" x14ac:dyDescent="0.3">
      <c r="B10779" t="s">
        <v>1422</v>
      </c>
      <c r="N10779" t="str" cm="1">
        <f t="array" ref="N10779">IF(MOD(ROW()-ROW($B$2),16)=0,INDEX($M$2:$M$1000,(ROW()-ROW($B$2))/16+1),"")</f>
        <v/>
      </c>
    </row>
    <row r="10780" spans="2:14" x14ac:dyDescent="0.3">
      <c r="B10780" t="s">
        <v>1423</v>
      </c>
      <c r="N10780" t="str" cm="1">
        <f t="array" ref="N10780">IF(MOD(ROW()-ROW($B$2),16)=0,INDEX($M$2:$M$1000,(ROW()-ROW($B$2))/16+1),"")</f>
        <v/>
      </c>
    </row>
    <row r="10781" spans="2:14" x14ac:dyDescent="0.3">
      <c r="B10781" t="s">
        <v>1424</v>
      </c>
      <c r="N10781" t="str" cm="1">
        <f t="array" ref="N10781">IF(MOD(ROW()-ROW($B$2),16)=0,INDEX($M$2:$M$1000,(ROW()-ROW($B$2))/16+1),"")</f>
        <v/>
      </c>
    </row>
    <row r="10782" spans="2:14" x14ac:dyDescent="0.3">
      <c r="B10782" t="s">
        <v>1425</v>
      </c>
      <c r="N10782" t="str" cm="1">
        <f t="array" ref="N10782">IF(MOD(ROW()-ROW($B$2),16)=0,INDEX($M$2:$M$1000,(ROW()-ROW($B$2))/16+1),"")</f>
        <v/>
      </c>
    </row>
    <row r="10783" spans="2:14" x14ac:dyDescent="0.3">
      <c r="B10783" t="s">
        <v>1426</v>
      </c>
      <c r="N10783" t="str" cm="1">
        <f t="array" ref="N10783">IF(MOD(ROW()-ROW($B$2),16)=0,INDEX($M$2:$M$1000,(ROW()-ROW($B$2))/16+1),"")</f>
        <v/>
      </c>
    </row>
    <row r="10784" spans="2:14" x14ac:dyDescent="0.3">
      <c r="B10784" t="s">
        <v>1427</v>
      </c>
      <c r="N10784" t="str" cm="1">
        <f t="array" ref="N10784">IF(MOD(ROW()-ROW($B$2),16)=0,INDEX($M$2:$M$1000,(ROW()-ROW($B$2))/16+1),"")</f>
        <v/>
      </c>
    </row>
    <row r="10785" spans="2:14" x14ac:dyDescent="0.3">
      <c r="B10785" t="s">
        <v>1428</v>
      </c>
      <c r="N10785" t="str" cm="1">
        <f t="array" ref="N10785">IF(MOD(ROW()-ROW($B$2),16)=0,INDEX($M$2:$M$1000,(ROW()-ROW($B$2))/16+1),"")</f>
        <v/>
      </c>
    </row>
    <row r="10786" spans="2:14" x14ac:dyDescent="0.3">
      <c r="B10786" t="s">
        <v>1429</v>
      </c>
      <c r="N10786" t="str" cm="1">
        <f t="array" ref="N10786">IF(MOD(ROW()-ROW($B$2),16)=0,INDEX($M$2:$M$1000,(ROW()-ROW($B$2))/16+1),"")</f>
        <v/>
      </c>
    </row>
    <row r="10787" spans="2:14" x14ac:dyDescent="0.3">
      <c r="B10787" t="s">
        <v>1430</v>
      </c>
      <c r="N10787" t="str" cm="1">
        <f t="array" ref="N10787">IF(MOD(ROW()-ROW($B$2),16)=0,INDEX($M$2:$M$1000,(ROW()-ROW($B$2))/16+1),"")</f>
        <v/>
      </c>
    </row>
    <row r="10788" spans="2:14" x14ac:dyDescent="0.3">
      <c r="B10788" t="s">
        <v>1431</v>
      </c>
      <c r="N10788" t="str" cm="1">
        <f t="array" ref="N10788">IF(MOD(ROW()-ROW($B$2),16)=0,INDEX($M$2:$M$1000,(ROW()-ROW($B$2))/16+1),"")</f>
        <v/>
      </c>
    </row>
    <row r="10789" spans="2:14" x14ac:dyDescent="0.3">
      <c r="B10789" t="s">
        <v>1432</v>
      </c>
      <c r="N10789" t="str" cm="1">
        <f t="array" ref="N10789">IF(MOD(ROW()-ROW($B$2),16)=0,INDEX($M$2:$M$1000,(ROW()-ROW($B$2))/16+1),"")</f>
        <v/>
      </c>
    </row>
    <row r="10790" spans="2:14" x14ac:dyDescent="0.3">
      <c r="B10790" t="s">
        <v>1433</v>
      </c>
      <c r="N10790" t="str" cm="1">
        <f t="array" ref="N10790">IF(MOD(ROW()-ROW($B$2),16)=0,INDEX($M$2:$M$1000,(ROW()-ROW($B$2))/16+1),"")</f>
        <v/>
      </c>
    </row>
    <row r="10791" spans="2:14" x14ac:dyDescent="0.3">
      <c r="B10791" t="s">
        <v>1434</v>
      </c>
      <c r="N10791" t="str" cm="1">
        <f t="array" ref="N10791">IF(MOD(ROW()-ROW($B$2),16)=0,INDEX($M$2:$M$1000,(ROW()-ROW($B$2))/16+1),"")</f>
        <v/>
      </c>
    </row>
    <row r="10792" spans="2:14" x14ac:dyDescent="0.3">
      <c r="B10792" t="s">
        <v>1435</v>
      </c>
      <c r="N10792" t="str" cm="1">
        <f t="array" ref="N10792">IF(MOD(ROW()-ROW($B$2),16)=0,INDEX($M$2:$M$1000,(ROW()-ROW($B$2))/16+1),"")</f>
        <v/>
      </c>
    </row>
    <row r="10793" spans="2:14" x14ac:dyDescent="0.3">
      <c r="B10793" t="s">
        <v>1436</v>
      </c>
      <c r="N10793" t="str" cm="1">
        <f t="array" ref="N10793">IF(MOD(ROW()-ROW($B$2),16)=0,INDEX($M$2:$M$1000,(ROW()-ROW($B$2))/16+1),"")</f>
        <v/>
      </c>
    </row>
    <row r="10794" spans="2:14" x14ac:dyDescent="0.3">
      <c r="B10794" t="s">
        <v>1437</v>
      </c>
      <c r="N10794" t="str" cm="1">
        <f t="array" ref="N10794">IF(MOD(ROW()-ROW($B$2),16)=0,INDEX($M$2:$M$1000,(ROW()-ROW($B$2))/16+1),"")</f>
        <v/>
      </c>
    </row>
    <row r="10795" spans="2:14" x14ac:dyDescent="0.3">
      <c r="B10795" t="s">
        <v>1438</v>
      </c>
      <c r="N10795" t="str" cm="1">
        <f t="array" ref="N10795">IF(MOD(ROW()-ROW($B$2),16)=0,INDEX($M$2:$M$1000,(ROW()-ROW($B$2))/16+1),"")</f>
        <v/>
      </c>
    </row>
    <row r="10796" spans="2:14" x14ac:dyDescent="0.3">
      <c r="B10796" t="s">
        <v>1439</v>
      </c>
      <c r="N10796" t="str" cm="1">
        <f t="array" ref="N10796">IF(MOD(ROW()-ROW($B$2),16)=0,INDEX($M$2:$M$1000,(ROW()-ROW($B$2))/16+1),"")</f>
        <v/>
      </c>
    </row>
    <row r="10797" spans="2:14" x14ac:dyDescent="0.3">
      <c r="B10797" t="s">
        <v>1440</v>
      </c>
      <c r="N10797" t="str" cm="1">
        <f t="array" ref="N10797">IF(MOD(ROW()-ROW($B$2),16)=0,INDEX($M$2:$M$1000,(ROW()-ROW($B$2))/16+1),"")</f>
        <v/>
      </c>
    </row>
    <row r="10798" spans="2:14" x14ac:dyDescent="0.3">
      <c r="B10798" t="s">
        <v>1441</v>
      </c>
      <c r="N10798" t="str" cm="1">
        <f t="array" ref="N10798">IF(MOD(ROW()-ROW($B$2),16)=0,INDEX($M$2:$M$1000,(ROW()-ROW($B$2))/16+1),"")</f>
        <v/>
      </c>
    </row>
    <row r="10799" spans="2:14" x14ac:dyDescent="0.3">
      <c r="B10799" t="s">
        <v>1442</v>
      </c>
      <c r="N10799" t="str" cm="1">
        <f t="array" ref="N10799">IF(MOD(ROW()-ROW($B$2),16)=0,INDEX($M$2:$M$1000,(ROW()-ROW($B$2))/16+1),"")</f>
        <v/>
      </c>
    </row>
    <row r="10800" spans="2:14" x14ac:dyDescent="0.3">
      <c r="B10800" t="s">
        <v>1443</v>
      </c>
      <c r="N10800" t="str" cm="1">
        <f t="array" ref="N10800">IF(MOD(ROW()-ROW($B$2),16)=0,INDEX($M$2:$M$1000,(ROW()-ROW($B$2))/16+1),"")</f>
        <v/>
      </c>
    </row>
    <row r="10801" spans="2:14" x14ac:dyDescent="0.3">
      <c r="B10801" t="s">
        <v>1444</v>
      </c>
      <c r="N10801" t="str" cm="1">
        <f t="array" ref="N10801">IF(MOD(ROW()-ROW($B$2),16)=0,INDEX($M$2:$M$1000,(ROW()-ROW($B$2))/16+1),"")</f>
        <v/>
      </c>
    </row>
    <row r="10802" spans="2:14" x14ac:dyDescent="0.3">
      <c r="B10802" t="s">
        <v>1445</v>
      </c>
      <c r="N10802" t="str" cm="1">
        <f t="array" ref="N10802">IF(MOD(ROW()-ROW($B$2),16)=0,INDEX($M$2:$M$1000,(ROW()-ROW($B$2))/16+1),"")</f>
        <v/>
      </c>
    </row>
    <row r="10803" spans="2:14" x14ac:dyDescent="0.3">
      <c r="B10803" t="s">
        <v>1446</v>
      </c>
      <c r="N10803" t="str" cm="1">
        <f t="array" ref="N10803">IF(MOD(ROW()-ROW($B$2),16)=0,INDEX($M$2:$M$1000,(ROW()-ROW($B$2))/16+1),"")</f>
        <v/>
      </c>
    </row>
    <row r="10804" spans="2:14" x14ac:dyDescent="0.3">
      <c r="B10804" t="s">
        <v>1447</v>
      </c>
      <c r="N10804" t="str" cm="1">
        <f t="array" ref="N10804">IF(MOD(ROW()-ROW($B$2),16)=0,INDEX($M$2:$M$1000,(ROW()-ROW($B$2))/16+1),"")</f>
        <v/>
      </c>
    </row>
    <row r="10805" spans="2:14" x14ac:dyDescent="0.3">
      <c r="B10805" t="s">
        <v>1448</v>
      </c>
      <c r="N10805" t="str" cm="1">
        <f t="array" ref="N10805">IF(MOD(ROW()-ROW($B$2),16)=0,INDEX($M$2:$M$1000,(ROW()-ROW($B$2))/16+1),"")</f>
        <v/>
      </c>
    </row>
    <row r="10806" spans="2:14" x14ac:dyDescent="0.3">
      <c r="B10806" t="s">
        <v>1449</v>
      </c>
      <c r="N10806" t="str" cm="1">
        <f t="array" ref="N10806">IF(MOD(ROW()-ROW($B$2),16)=0,INDEX($M$2:$M$1000,(ROW()-ROW($B$2))/16+1),"")</f>
        <v/>
      </c>
    </row>
    <row r="10807" spans="2:14" x14ac:dyDescent="0.3">
      <c r="B10807" t="s">
        <v>1450</v>
      </c>
      <c r="N10807" t="str" cm="1">
        <f t="array" ref="N10807">IF(MOD(ROW()-ROW($B$2),16)=0,INDEX($M$2:$M$1000,(ROW()-ROW($B$2))/16+1),"")</f>
        <v/>
      </c>
    </row>
    <row r="10808" spans="2:14" x14ac:dyDescent="0.3">
      <c r="B10808" t="s">
        <v>1451</v>
      </c>
      <c r="N10808" t="str" cm="1">
        <f t="array" ref="N10808">IF(MOD(ROW()-ROW($B$2),16)=0,INDEX($M$2:$M$1000,(ROW()-ROW($B$2))/16+1),"")</f>
        <v/>
      </c>
    </row>
    <row r="10809" spans="2:14" x14ac:dyDescent="0.3">
      <c r="B10809" t="s">
        <v>1452</v>
      </c>
      <c r="N10809" t="str" cm="1">
        <f t="array" ref="N10809">IF(MOD(ROW()-ROW($B$2),16)=0,INDEX($M$2:$M$1000,(ROW()-ROW($B$2))/16+1),"")</f>
        <v/>
      </c>
    </row>
    <row r="10810" spans="2:14" x14ac:dyDescent="0.3">
      <c r="B10810" t="s">
        <v>1453</v>
      </c>
      <c r="N10810" t="str" cm="1">
        <f t="array" ref="N10810">IF(MOD(ROW()-ROW($B$2),16)=0,INDEX($M$2:$M$1000,(ROW()-ROW($B$2))/16+1),"")</f>
        <v/>
      </c>
    </row>
    <row r="10811" spans="2:14" x14ac:dyDescent="0.3">
      <c r="B10811" t="s">
        <v>1454</v>
      </c>
      <c r="N10811" t="str" cm="1">
        <f t="array" ref="N10811">IF(MOD(ROW()-ROW($B$2),16)=0,INDEX($M$2:$M$1000,(ROW()-ROW($B$2))/16+1),"")</f>
        <v/>
      </c>
    </row>
    <row r="10812" spans="2:14" x14ac:dyDescent="0.3">
      <c r="B10812" t="s">
        <v>1455</v>
      </c>
      <c r="N10812" t="str" cm="1">
        <f t="array" ref="N10812">IF(MOD(ROW()-ROW($B$2),16)=0,INDEX($M$2:$M$1000,(ROW()-ROW($B$2))/16+1),"")</f>
        <v/>
      </c>
    </row>
    <row r="10813" spans="2:14" x14ac:dyDescent="0.3">
      <c r="B10813" t="s">
        <v>1456</v>
      </c>
      <c r="N10813" t="str" cm="1">
        <f t="array" ref="N10813">IF(MOD(ROW()-ROW($B$2),16)=0,INDEX($M$2:$M$1000,(ROW()-ROW($B$2))/16+1),"")</f>
        <v/>
      </c>
    </row>
    <row r="10814" spans="2:14" x14ac:dyDescent="0.3">
      <c r="B10814" t="s">
        <v>1457</v>
      </c>
      <c r="N10814" t="str" cm="1">
        <f t="array" ref="N10814">IF(MOD(ROW()-ROW($B$2),16)=0,INDEX($M$2:$M$1000,(ROW()-ROW($B$2))/16+1),"")</f>
        <v/>
      </c>
    </row>
    <row r="10815" spans="2:14" x14ac:dyDescent="0.3">
      <c r="B10815" t="s">
        <v>1458</v>
      </c>
      <c r="N10815" t="str" cm="1">
        <f t="array" ref="N10815">IF(MOD(ROW()-ROW($B$2),16)=0,INDEX($M$2:$M$1000,(ROW()-ROW($B$2))/16+1),"")</f>
        <v/>
      </c>
    </row>
    <row r="10816" spans="2:14" x14ac:dyDescent="0.3">
      <c r="B10816" t="s">
        <v>1459</v>
      </c>
      <c r="N10816" t="str" cm="1">
        <f t="array" ref="N10816">IF(MOD(ROW()-ROW($B$2),16)=0,INDEX($M$2:$M$1000,(ROW()-ROW($B$2))/16+1),"")</f>
        <v/>
      </c>
    </row>
    <row r="10817" spans="2:14" x14ac:dyDescent="0.3">
      <c r="B10817" t="s">
        <v>1460</v>
      </c>
      <c r="N10817" t="str" cm="1">
        <f t="array" ref="N10817">IF(MOD(ROW()-ROW($B$2),16)=0,INDEX($M$2:$M$1000,(ROW()-ROW($B$2))/16+1),"")</f>
        <v/>
      </c>
    </row>
    <row r="10818" spans="2:14" x14ac:dyDescent="0.3">
      <c r="B10818" t="s">
        <v>1461</v>
      </c>
      <c r="N10818" t="str" cm="1">
        <f t="array" ref="N10818">IF(MOD(ROW()-ROW($B$2),16)=0,INDEX($M$2:$M$1000,(ROW()-ROW($B$2))/16+1),"")</f>
        <v/>
      </c>
    </row>
    <row r="10819" spans="2:14" x14ac:dyDescent="0.3">
      <c r="B10819" t="s">
        <v>1462</v>
      </c>
      <c r="N10819" t="str" cm="1">
        <f t="array" ref="N10819">IF(MOD(ROW()-ROW($B$2),16)=0,INDEX($M$2:$M$1000,(ROW()-ROW($B$2))/16+1),"")</f>
        <v/>
      </c>
    </row>
    <row r="10820" spans="2:14" x14ac:dyDescent="0.3">
      <c r="B10820" t="s">
        <v>1463</v>
      </c>
      <c r="N10820" t="str" cm="1">
        <f t="array" ref="N10820">IF(MOD(ROW()-ROW($B$2),16)=0,INDEX($M$2:$M$1000,(ROW()-ROW($B$2))/16+1),"")</f>
        <v/>
      </c>
    </row>
    <row r="10821" spans="2:14" x14ac:dyDescent="0.3">
      <c r="B10821" t="s">
        <v>1464</v>
      </c>
      <c r="N10821" t="str" cm="1">
        <f t="array" ref="N10821">IF(MOD(ROW()-ROW($B$2),16)=0,INDEX($M$2:$M$1000,(ROW()-ROW($B$2))/16+1),"")</f>
        <v/>
      </c>
    </row>
    <row r="10822" spans="2:14" x14ac:dyDescent="0.3">
      <c r="B10822" t="s">
        <v>1465</v>
      </c>
      <c r="N10822" t="str" cm="1">
        <f t="array" ref="N10822">IF(MOD(ROW()-ROW($B$2),16)=0,INDEX($M$2:$M$1000,(ROW()-ROW($B$2))/16+1),"")</f>
        <v/>
      </c>
    </row>
    <row r="10823" spans="2:14" x14ac:dyDescent="0.3">
      <c r="B10823" t="s">
        <v>1466</v>
      </c>
      <c r="N10823" t="str" cm="1">
        <f t="array" ref="N10823">IF(MOD(ROW()-ROW($B$2),16)=0,INDEX($M$2:$M$1000,(ROW()-ROW($B$2))/16+1),"")</f>
        <v/>
      </c>
    </row>
    <row r="10824" spans="2:14" x14ac:dyDescent="0.3">
      <c r="B10824" t="s">
        <v>1467</v>
      </c>
      <c r="N10824" t="str" cm="1">
        <f t="array" ref="N10824">IF(MOD(ROW()-ROW($B$2),16)=0,INDEX($M$2:$M$1000,(ROW()-ROW($B$2))/16+1),"")</f>
        <v/>
      </c>
    </row>
    <row r="10825" spans="2:14" x14ac:dyDescent="0.3">
      <c r="B10825" t="s">
        <v>1468</v>
      </c>
      <c r="N10825" t="str" cm="1">
        <f t="array" ref="N10825">IF(MOD(ROW()-ROW($B$2),16)=0,INDEX($M$2:$M$1000,(ROW()-ROW($B$2))/16+1),"")</f>
        <v/>
      </c>
    </row>
    <row r="10826" spans="2:14" x14ac:dyDescent="0.3">
      <c r="B10826" t="s">
        <v>1469</v>
      </c>
      <c r="N10826" t="str" cm="1">
        <f t="array" ref="N10826">IF(MOD(ROW()-ROW($B$2),16)=0,INDEX($M$2:$M$1000,(ROW()-ROW($B$2))/16+1),"")</f>
        <v/>
      </c>
    </row>
    <row r="10827" spans="2:14" x14ac:dyDescent="0.3">
      <c r="B10827" t="s">
        <v>1470</v>
      </c>
      <c r="N10827" t="str" cm="1">
        <f t="array" ref="N10827">IF(MOD(ROW()-ROW($B$2),16)=0,INDEX($M$2:$M$1000,(ROW()-ROW($B$2))/16+1),"")</f>
        <v/>
      </c>
    </row>
    <row r="10828" spans="2:14" x14ac:dyDescent="0.3">
      <c r="B10828" t="s">
        <v>1471</v>
      </c>
      <c r="N10828" t="str" cm="1">
        <f t="array" ref="N10828">IF(MOD(ROW()-ROW($B$2),16)=0,INDEX($M$2:$M$1000,(ROW()-ROW($B$2))/16+1),"")</f>
        <v/>
      </c>
    </row>
    <row r="10829" spans="2:14" x14ac:dyDescent="0.3">
      <c r="B10829" t="s">
        <v>1472</v>
      </c>
      <c r="N10829" t="str" cm="1">
        <f t="array" ref="N10829">IF(MOD(ROW()-ROW($B$2),16)=0,INDEX($M$2:$M$1000,(ROW()-ROW($B$2))/16+1),"")</f>
        <v/>
      </c>
    </row>
    <row r="10830" spans="2:14" x14ac:dyDescent="0.3">
      <c r="B10830" t="s">
        <v>1473</v>
      </c>
      <c r="N10830" t="str" cm="1">
        <f t="array" ref="N10830">IF(MOD(ROW()-ROW($B$2),16)=0,INDEX($M$2:$M$1000,(ROW()-ROW($B$2))/16+1),"")</f>
        <v/>
      </c>
    </row>
    <row r="10831" spans="2:14" x14ac:dyDescent="0.3">
      <c r="B10831" t="s">
        <v>1474</v>
      </c>
      <c r="N10831" t="str" cm="1">
        <f t="array" ref="N10831">IF(MOD(ROW()-ROW($B$2),16)=0,INDEX($M$2:$M$1000,(ROW()-ROW($B$2))/16+1),"")</f>
        <v/>
      </c>
    </row>
    <row r="10832" spans="2:14" x14ac:dyDescent="0.3">
      <c r="B10832" t="s">
        <v>1475</v>
      </c>
      <c r="N10832" t="str" cm="1">
        <f t="array" ref="N10832">IF(MOD(ROW()-ROW($B$2),16)=0,INDEX($M$2:$M$1000,(ROW()-ROW($B$2))/16+1),"")</f>
        <v/>
      </c>
    </row>
    <row r="10833" spans="2:14" x14ac:dyDescent="0.3">
      <c r="B10833" t="s">
        <v>1476</v>
      </c>
      <c r="N10833" t="str" cm="1">
        <f t="array" ref="N10833">IF(MOD(ROW()-ROW($B$2),16)=0,INDEX($M$2:$M$1000,(ROW()-ROW($B$2))/16+1),"")</f>
        <v/>
      </c>
    </row>
    <row r="10834" spans="2:14" x14ac:dyDescent="0.3">
      <c r="B10834" t="s">
        <v>1477</v>
      </c>
      <c r="N10834" t="str" cm="1">
        <f t="array" ref="N10834">IF(MOD(ROW()-ROW($B$2),16)=0,INDEX($M$2:$M$1000,(ROW()-ROW($B$2))/16+1),"")</f>
        <v/>
      </c>
    </row>
    <row r="10835" spans="2:14" x14ac:dyDescent="0.3">
      <c r="B10835" t="s">
        <v>1478</v>
      </c>
      <c r="N10835" t="str" cm="1">
        <f t="array" ref="N10835">IF(MOD(ROW()-ROW($B$2),16)=0,INDEX($M$2:$M$1000,(ROW()-ROW($B$2))/16+1),"")</f>
        <v/>
      </c>
    </row>
    <row r="10836" spans="2:14" x14ac:dyDescent="0.3">
      <c r="B10836" t="s">
        <v>1479</v>
      </c>
      <c r="N10836" t="str" cm="1">
        <f t="array" ref="N10836">IF(MOD(ROW()-ROW($B$2),16)=0,INDEX($M$2:$M$1000,(ROW()-ROW($B$2))/16+1),"")</f>
        <v/>
      </c>
    </row>
    <row r="10837" spans="2:14" x14ac:dyDescent="0.3">
      <c r="B10837" t="s">
        <v>1480</v>
      </c>
      <c r="N10837" t="str" cm="1">
        <f t="array" ref="N10837">IF(MOD(ROW()-ROW($B$2),16)=0,INDEX($M$2:$M$1000,(ROW()-ROW($B$2))/16+1),"")</f>
        <v/>
      </c>
    </row>
    <row r="10838" spans="2:14" x14ac:dyDescent="0.3">
      <c r="B10838" t="s">
        <v>1481</v>
      </c>
      <c r="N10838" t="str" cm="1">
        <f t="array" ref="N10838">IF(MOD(ROW()-ROW($B$2),16)=0,INDEX($M$2:$M$1000,(ROW()-ROW($B$2))/16+1),"")</f>
        <v/>
      </c>
    </row>
    <row r="10839" spans="2:14" x14ac:dyDescent="0.3">
      <c r="B10839" t="s">
        <v>1482</v>
      </c>
      <c r="N10839" t="str" cm="1">
        <f t="array" ref="N10839">IF(MOD(ROW()-ROW($B$2),16)=0,INDEX($M$2:$M$1000,(ROW()-ROW($B$2))/16+1),"")</f>
        <v/>
      </c>
    </row>
    <row r="10840" spans="2:14" x14ac:dyDescent="0.3">
      <c r="B10840" t="s">
        <v>1483</v>
      </c>
      <c r="N10840" t="str" cm="1">
        <f t="array" ref="N10840">IF(MOD(ROW()-ROW($B$2),16)=0,INDEX($M$2:$M$1000,(ROW()-ROW($B$2))/16+1),"")</f>
        <v/>
      </c>
    </row>
    <row r="10841" spans="2:14" x14ac:dyDescent="0.3">
      <c r="B10841" t="s">
        <v>1484</v>
      </c>
      <c r="N10841" t="str" cm="1">
        <f t="array" ref="N10841">IF(MOD(ROW()-ROW($B$2),16)=0,INDEX($M$2:$M$1000,(ROW()-ROW($B$2))/16+1),"")</f>
        <v/>
      </c>
    </row>
    <row r="10842" spans="2:14" x14ac:dyDescent="0.3">
      <c r="B10842" t="s">
        <v>1485</v>
      </c>
      <c r="N10842" t="str" cm="1">
        <f t="array" ref="N10842">IF(MOD(ROW()-ROW($B$2),16)=0,INDEX($M$2:$M$1000,(ROW()-ROW($B$2))/16+1),"")</f>
        <v/>
      </c>
    </row>
    <row r="10843" spans="2:14" x14ac:dyDescent="0.3">
      <c r="B10843" t="s">
        <v>1486</v>
      </c>
      <c r="N10843" t="str" cm="1">
        <f t="array" ref="N10843">IF(MOD(ROW()-ROW($B$2),16)=0,INDEX($M$2:$M$1000,(ROW()-ROW($B$2))/16+1),"")</f>
        <v/>
      </c>
    </row>
    <row r="10844" spans="2:14" x14ac:dyDescent="0.3">
      <c r="B10844" t="s">
        <v>1487</v>
      </c>
      <c r="N10844" t="str" cm="1">
        <f t="array" ref="N10844">IF(MOD(ROW()-ROW($B$2),16)=0,INDEX($M$2:$M$1000,(ROW()-ROW($B$2))/16+1),"")</f>
        <v/>
      </c>
    </row>
    <row r="10845" spans="2:14" x14ac:dyDescent="0.3">
      <c r="B10845" t="s">
        <v>1488</v>
      </c>
      <c r="N10845" t="str" cm="1">
        <f t="array" ref="N10845">IF(MOD(ROW()-ROW($B$2),16)=0,INDEX($M$2:$M$1000,(ROW()-ROW($B$2))/16+1),"")</f>
        <v/>
      </c>
    </row>
    <row r="10846" spans="2:14" x14ac:dyDescent="0.3">
      <c r="B10846" t="s">
        <v>1489</v>
      </c>
      <c r="N10846" t="str" cm="1">
        <f t="array" ref="N10846">IF(MOD(ROW()-ROW($B$2),16)=0,INDEX($M$2:$M$1000,(ROW()-ROW($B$2))/16+1),"")</f>
        <v/>
      </c>
    </row>
    <row r="10847" spans="2:14" x14ac:dyDescent="0.3">
      <c r="B10847" t="s">
        <v>1490</v>
      </c>
      <c r="N10847" t="str" cm="1">
        <f t="array" ref="N10847">IF(MOD(ROW()-ROW($B$2),16)=0,INDEX($M$2:$M$1000,(ROW()-ROW($B$2))/16+1),"")</f>
        <v/>
      </c>
    </row>
    <row r="10848" spans="2:14" x14ac:dyDescent="0.3">
      <c r="B10848" t="s">
        <v>1491</v>
      </c>
      <c r="N10848" t="str" cm="1">
        <f t="array" ref="N10848">IF(MOD(ROW()-ROW($B$2),16)=0,INDEX($M$2:$M$1000,(ROW()-ROW($B$2))/16+1),"")</f>
        <v/>
      </c>
    </row>
    <row r="10849" spans="2:14" x14ac:dyDescent="0.3">
      <c r="B10849" t="s">
        <v>1492</v>
      </c>
      <c r="N10849" t="str" cm="1">
        <f t="array" ref="N10849">IF(MOD(ROW()-ROW($B$2),16)=0,INDEX($M$2:$M$1000,(ROW()-ROW($B$2))/16+1),"")</f>
        <v/>
      </c>
    </row>
    <row r="10850" spans="2:14" x14ac:dyDescent="0.3">
      <c r="B10850" t="s">
        <v>1493</v>
      </c>
      <c r="N10850" t="str" cm="1">
        <f t="array" ref="N10850">IF(MOD(ROW()-ROW($B$2),16)=0,INDEX($M$2:$M$1000,(ROW()-ROW($B$2))/16+1),"")</f>
        <v/>
      </c>
    </row>
    <row r="10851" spans="2:14" x14ac:dyDescent="0.3">
      <c r="B10851" t="s">
        <v>1494</v>
      </c>
      <c r="N10851" t="str" cm="1">
        <f t="array" ref="N10851">IF(MOD(ROW()-ROW($B$2),16)=0,INDEX($M$2:$M$1000,(ROW()-ROW($B$2))/16+1),"")</f>
        <v/>
      </c>
    </row>
    <row r="10852" spans="2:14" x14ac:dyDescent="0.3">
      <c r="B10852" t="s">
        <v>1495</v>
      </c>
      <c r="N10852" t="str" cm="1">
        <f t="array" ref="N10852">IF(MOD(ROW()-ROW($B$2),16)=0,INDEX($M$2:$M$1000,(ROW()-ROW($B$2))/16+1),"")</f>
        <v/>
      </c>
    </row>
    <row r="10853" spans="2:14" x14ac:dyDescent="0.3">
      <c r="B10853" t="s">
        <v>1496</v>
      </c>
      <c r="N10853" t="str" cm="1">
        <f t="array" ref="N10853">IF(MOD(ROW()-ROW($B$2),16)=0,INDEX($M$2:$M$1000,(ROW()-ROW($B$2))/16+1),"")</f>
        <v/>
      </c>
    </row>
    <row r="10854" spans="2:14" x14ac:dyDescent="0.3">
      <c r="B10854" t="s">
        <v>1497</v>
      </c>
      <c r="N10854" t="str" cm="1">
        <f t="array" ref="N10854">IF(MOD(ROW()-ROW($B$2),16)=0,INDEX($M$2:$M$1000,(ROW()-ROW($B$2))/16+1),"")</f>
        <v/>
      </c>
    </row>
    <row r="10855" spans="2:14" x14ac:dyDescent="0.3">
      <c r="B10855" t="s">
        <v>1498</v>
      </c>
      <c r="N10855" t="str" cm="1">
        <f t="array" ref="N10855">IF(MOD(ROW()-ROW($B$2),16)=0,INDEX($M$2:$M$1000,(ROW()-ROW($B$2))/16+1),"")</f>
        <v/>
      </c>
    </row>
    <row r="10856" spans="2:14" x14ac:dyDescent="0.3">
      <c r="B10856" t="s">
        <v>1499</v>
      </c>
      <c r="N10856" t="str" cm="1">
        <f t="array" ref="N10856">IF(MOD(ROW()-ROW($B$2),16)=0,INDEX($M$2:$M$1000,(ROW()-ROW($B$2))/16+1),"")</f>
        <v/>
      </c>
    </row>
    <row r="10857" spans="2:14" x14ac:dyDescent="0.3">
      <c r="B10857" t="s">
        <v>1500</v>
      </c>
      <c r="N10857" t="str" cm="1">
        <f t="array" ref="N10857">IF(MOD(ROW()-ROW($B$2),16)=0,INDEX($M$2:$M$1000,(ROW()-ROW($B$2))/16+1),"")</f>
        <v/>
      </c>
    </row>
    <row r="10858" spans="2:14" x14ac:dyDescent="0.3">
      <c r="B10858" t="s">
        <v>1501</v>
      </c>
      <c r="N10858" t="str" cm="1">
        <f t="array" ref="N10858">IF(MOD(ROW()-ROW($B$2),16)=0,INDEX($M$2:$M$1000,(ROW()-ROW($B$2))/16+1),"")</f>
        <v/>
      </c>
    </row>
    <row r="10859" spans="2:14" x14ac:dyDescent="0.3">
      <c r="B10859" t="s">
        <v>1502</v>
      </c>
      <c r="N10859" t="str" cm="1">
        <f t="array" ref="N10859">IF(MOD(ROW()-ROW($B$2),16)=0,INDEX($M$2:$M$1000,(ROW()-ROW($B$2))/16+1),"")</f>
        <v/>
      </c>
    </row>
    <row r="10860" spans="2:14" x14ac:dyDescent="0.3">
      <c r="B10860" t="s">
        <v>1503</v>
      </c>
      <c r="N10860" t="str" cm="1">
        <f t="array" ref="N10860">IF(MOD(ROW()-ROW($B$2),16)=0,INDEX($M$2:$M$1000,(ROW()-ROW($B$2))/16+1),"")</f>
        <v/>
      </c>
    </row>
    <row r="10861" spans="2:14" x14ac:dyDescent="0.3">
      <c r="B10861" t="s">
        <v>1504</v>
      </c>
      <c r="N10861" t="str" cm="1">
        <f t="array" ref="N10861">IF(MOD(ROW()-ROW($B$2),16)=0,INDEX($M$2:$M$1000,(ROW()-ROW($B$2))/16+1),"")</f>
        <v/>
      </c>
    </row>
    <row r="10862" spans="2:14" x14ac:dyDescent="0.3">
      <c r="B10862" t="s">
        <v>1505</v>
      </c>
      <c r="N10862" t="str" cm="1">
        <f t="array" ref="N10862">IF(MOD(ROW()-ROW($B$2),16)=0,INDEX($M$2:$M$1000,(ROW()-ROW($B$2))/16+1),"")</f>
        <v/>
      </c>
    </row>
    <row r="10863" spans="2:14" x14ac:dyDescent="0.3">
      <c r="B10863" t="s">
        <v>1506</v>
      </c>
      <c r="N10863" t="str" cm="1">
        <f t="array" ref="N10863">IF(MOD(ROW()-ROW($B$2),16)=0,INDEX($M$2:$M$1000,(ROW()-ROW($B$2))/16+1),"")</f>
        <v/>
      </c>
    </row>
    <row r="10864" spans="2:14" x14ac:dyDescent="0.3">
      <c r="B10864" t="s">
        <v>1507</v>
      </c>
      <c r="N10864" t="str" cm="1">
        <f t="array" ref="N10864">IF(MOD(ROW()-ROW($B$2),16)=0,INDEX($M$2:$M$1000,(ROW()-ROW($B$2))/16+1),"")</f>
        <v/>
      </c>
    </row>
    <row r="10865" spans="2:14" x14ac:dyDescent="0.3">
      <c r="B10865" t="s">
        <v>1508</v>
      </c>
      <c r="N10865" t="str" cm="1">
        <f t="array" ref="N10865">IF(MOD(ROW()-ROW($B$2),16)=0,INDEX($M$2:$M$1000,(ROW()-ROW($B$2))/16+1),"")</f>
        <v/>
      </c>
    </row>
    <row r="10866" spans="2:14" x14ac:dyDescent="0.3">
      <c r="B10866" t="s">
        <v>1509</v>
      </c>
      <c r="N10866" t="str" cm="1">
        <f t="array" ref="N10866">IF(MOD(ROW()-ROW($B$2),16)=0,INDEX($M$2:$M$1000,(ROW()-ROW($B$2))/16+1),"")</f>
        <v/>
      </c>
    </row>
    <row r="10867" spans="2:14" x14ac:dyDescent="0.3">
      <c r="B10867" t="s">
        <v>1510</v>
      </c>
      <c r="N10867" t="str" cm="1">
        <f t="array" ref="N10867">IF(MOD(ROW()-ROW($B$2),16)=0,INDEX($M$2:$M$1000,(ROW()-ROW($B$2))/16+1),"")</f>
        <v/>
      </c>
    </row>
    <row r="10868" spans="2:14" x14ac:dyDescent="0.3">
      <c r="B10868" t="s">
        <v>1511</v>
      </c>
      <c r="N10868" t="str" cm="1">
        <f t="array" ref="N10868">IF(MOD(ROW()-ROW($B$2),16)=0,INDEX($M$2:$M$1000,(ROW()-ROW($B$2))/16+1),"")</f>
        <v/>
      </c>
    </row>
    <row r="10869" spans="2:14" x14ac:dyDescent="0.3">
      <c r="B10869" t="s">
        <v>1512</v>
      </c>
      <c r="N10869" t="str" cm="1">
        <f t="array" ref="N10869">IF(MOD(ROW()-ROW($B$2),16)=0,INDEX($M$2:$M$1000,(ROW()-ROW($B$2))/16+1),"")</f>
        <v/>
      </c>
    </row>
    <row r="10870" spans="2:14" x14ac:dyDescent="0.3">
      <c r="B10870" t="s">
        <v>1513</v>
      </c>
      <c r="N10870" t="str" cm="1">
        <f t="array" ref="N10870">IF(MOD(ROW()-ROW($B$2),16)=0,INDEX($M$2:$M$1000,(ROW()-ROW($B$2))/16+1),"")</f>
        <v/>
      </c>
    </row>
    <row r="10871" spans="2:14" x14ac:dyDescent="0.3">
      <c r="B10871" t="s">
        <v>1514</v>
      </c>
      <c r="N10871" t="str" cm="1">
        <f t="array" ref="N10871">IF(MOD(ROW()-ROW($B$2),16)=0,INDEX($M$2:$M$1000,(ROW()-ROW($B$2))/16+1),"")</f>
        <v/>
      </c>
    </row>
    <row r="10872" spans="2:14" x14ac:dyDescent="0.3">
      <c r="B10872" t="s">
        <v>1515</v>
      </c>
      <c r="N10872" t="str" cm="1">
        <f t="array" ref="N10872">IF(MOD(ROW()-ROW($B$2),16)=0,INDEX($M$2:$M$1000,(ROW()-ROW($B$2))/16+1),"")</f>
        <v/>
      </c>
    </row>
    <row r="10873" spans="2:14" x14ac:dyDescent="0.3">
      <c r="B10873" t="s">
        <v>1516</v>
      </c>
      <c r="N10873" t="str" cm="1">
        <f t="array" ref="N10873">IF(MOD(ROW()-ROW($B$2),16)=0,INDEX($M$2:$M$1000,(ROW()-ROW($B$2))/16+1),"")</f>
        <v/>
      </c>
    </row>
    <row r="10874" spans="2:14" x14ac:dyDescent="0.3">
      <c r="B10874" t="s">
        <v>1517</v>
      </c>
      <c r="N10874" t="str" cm="1">
        <f t="array" ref="N10874">IF(MOD(ROW()-ROW($B$2),16)=0,INDEX($M$2:$M$1000,(ROW()-ROW($B$2))/16+1),"")</f>
        <v/>
      </c>
    </row>
    <row r="10875" spans="2:14" x14ac:dyDescent="0.3">
      <c r="B10875" t="s">
        <v>1518</v>
      </c>
      <c r="N10875" t="str" cm="1">
        <f t="array" ref="N10875">IF(MOD(ROW()-ROW($B$2),16)=0,INDEX($M$2:$M$1000,(ROW()-ROW($B$2))/16+1),"")</f>
        <v/>
      </c>
    </row>
    <row r="10876" spans="2:14" x14ac:dyDescent="0.3">
      <c r="B10876" t="s">
        <v>1519</v>
      </c>
      <c r="N10876" t="str" cm="1">
        <f t="array" ref="N10876">IF(MOD(ROW()-ROW($B$2),16)=0,INDEX($M$2:$M$1000,(ROW()-ROW($B$2))/16+1),"")</f>
        <v/>
      </c>
    </row>
    <row r="10877" spans="2:14" x14ac:dyDescent="0.3">
      <c r="B10877" t="s">
        <v>1520</v>
      </c>
      <c r="N10877" t="str" cm="1">
        <f t="array" ref="N10877">IF(MOD(ROW()-ROW($B$2),16)=0,INDEX($M$2:$M$1000,(ROW()-ROW($B$2))/16+1),"")</f>
        <v/>
      </c>
    </row>
    <row r="10878" spans="2:14" x14ac:dyDescent="0.3">
      <c r="B10878" t="s">
        <v>1521</v>
      </c>
      <c r="N10878" t="str" cm="1">
        <f t="array" ref="N10878">IF(MOD(ROW()-ROW($B$2),16)=0,INDEX($M$2:$M$1000,(ROW()-ROW($B$2))/16+1),"")</f>
        <v/>
      </c>
    </row>
    <row r="10879" spans="2:14" x14ac:dyDescent="0.3">
      <c r="B10879" t="s">
        <v>1522</v>
      </c>
      <c r="N10879" t="str" cm="1">
        <f t="array" ref="N10879">IF(MOD(ROW()-ROW($B$2),16)=0,INDEX($M$2:$M$1000,(ROW()-ROW($B$2))/16+1),"")</f>
        <v/>
      </c>
    </row>
    <row r="10880" spans="2:14" x14ac:dyDescent="0.3">
      <c r="B10880" t="s">
        <v>1523</v>
      </c>
      <c r="N10880" t="str" cm="1">
        <f t="array" ref="N10880">IF(MOD(ROW()-ROW($B$2),16)=0,INDEX($M$2:$M$1000,(ROW()-ROW($B$2))/16+1),"")</f>
        <v/>
      </c>
    </row>
    <row r="10881" spans="2:14" x14ac:dyDescent="0.3">
      <c r="B10881" t="s">
        <v>1524</v>
      </c>
      <c r="N10881" t="str" cm="1">
        <f t="array" ref="N10881">IF(MOD(ROW()-ROW($B$2),16)=0,INDEX($M$2:$M$1000,(ROW()-ROW($B$2))/16+1),"")</f>
        <v/>
      </c>
    </row>
    <row r="10882" spans="2:14" x14ac:dyDescent="0.3">
      <c r="B10882" t="s">
        <v>1525</v>
      </c>
      <c r="N10882" t="str" cm="1">
        <f t="array" ref="N10882">IF(MOD(ROW()-ROW($B$2),16)=0,INDEX($M$2:$M$1000,(ROW()-ROW($B$2))/16+1),"")</f>
        <v/>
      </c>
    </row>
    <row r="10883" spans="2:14" x14ac:dyDescent="0.3">
      <c r="B10883" t="s">
        <v>1526</v>
      </c>
      <c r="N10883" t="str" cm="1">
        <f t="array" ref="N10883">IF(MOD(ROW()-ROW($B$2),16)=0,INDEX($M$2:$M$1000,(ROW()-ROW($B$2))/16+1),"")</f>
        <v/>
      </c>
    </row>
    <row r="10884" spans="2:14" x14ac:dyDescent="0.3">
      <c r="B10884" t="s">
        <v>1527</v>
      </c>
      <c r="N10884" t="str" cm="1">
        <f t="array" ref="N10884">IF(MOD(ROW()-ROW($B$2),16)=0,INDEX($M$2:$M$1000,(ROW()-ROW($B$2))/16+1),"")</f>
        <v/>
      </c>
    </row>
    <row r="10885" spans="2:14" x14ac:dyDescent="0.3">
      <c r="B10885" t="s">
        <v>1528</v>
      </c>
      <c r="N10885" t="str" cm="1">
        <f t="array" ref="N10885">IF(MOD(ROW()-ROW($B$2),16)=0,INDEX($M$2:$M$1000,(ROW()-ROW($B$2))/16+1),"")</f>
        <v/>
      </c>
    </row>
    <row r="10886" spans="2:14" x14ac:dyDescent="0.3">
      <c r="B10886" t="s">
        <v>1529</v>
      </c>
      <c r="N10886" t="str" cm="1">
        <f t="array" ref="N10886">IF(MOD(ROW()-ROW($B$2),16)=0,INDEX($M$2:$M$1000,(ROW()-ROW($B$2))/16+1),"")</f>
        <v/>
      </c>
    </row>
    <row r="10887" spans="2:14" x14ac:dyDescent="0.3">
      <c r="B10887" t="s">
        <v>1530</v>
      </c>
      <c r="N10887" t="str" cm="1">
        <f t="array" ref="N10887">IF(MOD(ROW()-ROW($B$2),16)=0,INDEX($M$2:$M$1000,(ROW()-ROW($B$2))/16+1),"")</f>
        <v/>
      </c>
    </row>
    <row r="10888" spans="2:14" x14ac:dyDescent="0.3">
      <c r="B10888" t="s">
        <v>1531</v>
      </c>
      <c r="N10888" t="str" cm="1">
        <f t="array" ref="N10888">IF(MOD(ROW()-ROW($B$2),16)=0,INDEX($M$2:$M$1000,(ROW()-ROW($B$2))/16+1),"")</f>
        <v/>
      </c>
    </row>
    <row r="10889" spans="2:14" x14ac:dyDescent="0.3">
      <c r="B10889" t="s">
        <v>1532</v>
      </c>
      <c r="N10889" t="str" cm="1">
        <f t="array" ref="N10889">IF(MOD(ROW()-ROW($B$2),16)=0,INDEX($M$2:$M$1000,(ROW()-ROW($B$2))/16+1),"")</f>
        <v/>
      </c>
    </row>
    <row r="10890" spans="2:14" x14ac:dyDescent="0.3">
      <c r="B10890" t="s">
        <v>1533</v>
      </c>
      <c r="N10890" t="str" cm="1">
        <f t="array" ref="N10890">IF(MOD(ROW()-ROW($B$2),16)=0,INDEX($M$2:$M$1000,(ROW()-ROW($B$2))/16+1),"")</f>
        <v/>
      </c>
    </row>
    <row r="10891" spans="2:14" x14ac:dyDescent="0.3">
      <c r="B10891" t="s">
        <v>1534</v>
      </c>
      <c r="N10891" t="str" cm="1">
        <f t="array" ref="N10891">IF(MOD(ROW()-ROW($B$2),16)=0,INDEX($M$2:$M$1000,(ROW()-ROW($B$2))/16+1),"")</f>
        <v/>
      </c>
    </row>
    <row r="10892" spans="2:14" x14ac:dyDescent="0.3">
      <c r="B10892" t="s">
        <v>1535</v>
      </c>
      <c r="N10892" t="str" cm="1">
        <f t="array" ref="N10892">IF(MOD(ROW()-ROW($B$2),16)=0,INDEX($M$2:$M$1000,(ROW()-ROW($B$2))/16+1),"")</f>
        <v/>
      </c>
    </row>
    <row r="10893" spans="2:14" x14ac:dyDescent="0.3">
      <c r="B10893" t="s">
        <v>1536</v>
      </c>
      <c r="N10893" t="str" cm="1">
        <f t="array" ref="N10893">IF(MOD(ROW()-ROW($B$2),16)=0,INDEX($M$2:$M$1000,(ROW()-ROW($B$2))/16+1),"")</f>
        <v/>
      </c>
    </row>
    <row r="10894" spans="2:14" x14ac:dyDescent="0.3">
      <c r="B10894" t="s">
        <v>1537</v>
      </c>
      <c r="N10894" t="str" cm="1">
        <f t="array" ref="N10894">IF(MOD(ROW()-ROW($B$2),16)=0,INDEX($M$2:$M$1000,(ROW()-ROW($B$2))/16+1),"")</f>
        <v/>
      </c>
    </row>
    <row r="10895" spans="2:14" x14ac:dyDescent="0.3">
      <c r="B10895" t="s">
        <v>1538</v>
      </c>
      <c r="N10895" t="str" cm="1">
        <f t="array" ref="N10895">IF(MOD(ROW()-ROW($B$2),16)=0,INDEX($M$2:$M$1000,(ROW()-ROW($B$2))/16+1),"")</f>
        <v/>
      </c>
    </row>
    <row r="10896" spans="2:14" x14ac:dyDescent="0.3">
      <c r="B10896" t="s">
        <v>1539</v>
      </c>
      <c r="N10896" t="str" cm="1">
        <f t="array" ref="N10896">IF(MOD(ROW()-ROW($B$2),16)=0,INDEX($M$2:$M$1000,(ROW()-ROW($B$2))/16+1),"")</f>
        <v/>
      </c>
    </row>
    <row r="10897" spans="2:14" x14ac:dyDescent="0.3">
      <c r="B10897" t="s">
        <v>1540</v>
      </c>
      <c r="N10897" t="str" cm="1">
        <f t="array" ref="N10897">IF(MOD(ROW()-ROW($B$2),16)=0,INDEX($M$2:$M$1000,(ROW()-ROW($B$2))/16+1),"")</f>
        <v/>
      </c>
    </row>
    <row r="10898" spans="2:14" x14ac:dyDescent="0.3">
      <c r="B10898" t="s">
        <v>1541</v>
      </c>
      <c r="N10898" t="str" cm="1">
        <f t="array" ref="N10898">IF(MOD(ROW()-ROW($B$2),16)=0,INDEX($M$2:$M$1000,(ROW()-ROW($B$2))/16+1),"")</f>
        <v/>
      </c>
    </row>
    <row r="10899" spans="2:14" x14ac:dyDescent="0.3">
      <c r="B10899" t="s">
        <v>1542</v>
      </c>
      <c r="N10899" t="str" cm="1">
        <f t="array" ref="N10899">IF(MOD(ROW()-ROW($B$2),16)=0,INDEX($M$2:$M$1000,(ROW()-ROW($B$2))/16+1),"")</f>
        <v/>
      </c>
    </row>
    <row r="10900" spans="2:14" x14ac:dyDescent="0.3">
      <c r="B10900" t="s">
        <v>1543</v>
      </c>
      <c r="N10900" t="str" cm="1">
        <f t="array" ref="N10900">IF(MOD(ROW()-ROW($B$2),16)=0,INDEX($M$2:$M$1000,(ROW()-ROW($B$2))/16+1),"")</f>
        <v/>
      </c>
    </row>
    <row r="10901" spans="2:14" x14ac:dyDescent="0.3">
      <c r="B10901" t="s">
        <v>1544</v>
      </c>
      <c r="N10901" t="str" cm="1">
        <f t="array" ref="N10901">IF(MOD(ROW()-ROW($B$2),16)=0,INDEX($M$2:$M$1000,(ROW()-ROW($B$2))/16+1),"")</f>
        <v/>
      </c>
    </row>
    <row r="10902" spans="2:14" x14ac:dyDescent="0.3">
      <c r="B10902" t="s">
        <v>1545</v>
      </c>
      <c r="N10902" t="str" cm="1">
        <f t="array" ref="N10902">IF(MOD(ROW()-ROW($B$2),16)=0,INDEX($M$2:$M$1000,(ROW()-ROW($B$2))/16+1),"")</f>
        <v/>
      </c>
    </row>
    <row r="10903" spans="2:14" x14ac:dyDescent="0.3">
      <c r="B10903" t="s">
        <v>1546</v>
      </c>
      <c r="N10903" t="str" cm="1">
        <f t="array" ref="N10903">IF(MOD(ROW()-ROW($B$2),16)=0,INDEX($M$2:$M$1000,(ROW()-ROW($B$2))/16+1),"")</f>
        <v/>
      </c>
    </row>
    <row r="10904" spans="2:14" x14ac:dyDescent="0.3">
      <c r="B10904" t="s">
        <v>1547</v>
      </c>
      <c r="N10904" t="str" cm="1">
        <f t="array" ref="N10904">IF(MOD(ROW()-ROW($B$2),16)=0,INDEX($M$2:$M$1000,(ROW()-ROW($B$2))/16+1),"")</f>
        <v/>
      </c>
    </row>
    <row r="10905" spans="2:14" x14ac:dyDescent="0.3">
      <c r="B10905" t="s">
        <v>1548</v>
      </c>
      <c r="N10905" t="str" cm="1">
        <f t="array" ref="N10905">IF(MOD(ROW()-ROW($B$2),16)=0,INDEX($M$2:$M$1000,(ROW()-ROW($B$2))/16+1),"")</f>
        <v/>
      </c>
    </row>
    <row r="10906" spans="2:14" x14ac:dyDescent="0.3">
      <c r="B10906" t="s">
        <v>1549</v>
      </c>
      <c r="N10906" t="str" cm="1">
        <f t="array" ref="N10906">IF(MOD(ROW()-ROW($B$2),16)=0,INDEX($M$2:$M$1000,(ROW()-ROW($B$2))/16+1),"")</f>
        <v/>
      </c>
    </row>
    <row r="10907" spans="2:14" x14ac:dyDescent="0.3">
      <c r="B10907" t="s">
        <v>1550</v>
      </c>
      <c r="N10907" t="str" cm="1">
        <f t="array" ref="N10907">IF(MOD(ROW()-ROW($B$2),16)=0,INDEX($M$2:$M$1000,(ROW()-ROW($B$2))/16+1),"")</f>
        <v/>
      </c>
    </row>
    <row r="10908" spans="2:14" x14ac:dyDescent="0.3">
      <c r="B10908" t="s">
        <v>1551</v>
      </c>
      <c r="N10908" t="str" cm="1">
        <f t="array" ref="N10908">IF(MOD(ROW()-ROW($B$2),16)=0,INDEX($M$2:$M$1000,(ROW()-ROW($B$2))/16+1),"")</f>
        <v/>
      </c>
    </row>
    <row r="10909" spans="2:14" x14ac:dyDescent="0.3">
      <c r="B10909" t="s">
        <v>1552</v>
      </c>
      <c r="N10909" t="str" cm="1">
        <f t="array" ref="N10909">IF(MOD(ROW()-ROW($B$2),16)=0,INDEX($M$2:$M$1000,(ROW()-ROW($B$2))/16+1),"")</f>
        <v/>
      </c>
    </row>
    <row r="10910" spans="2:14" x14ac:dyDescent="0.3">
      <c r="B10910" t="s">
        <v>1553</v>
      </c>
      <c r="N10910" t="str" cm="1">
        <f t="array" ref="N10910">IF(MOD(ROW()-ROW($B$2),16)=0,INDEX($M$2:$M$1000,(ROW()-ROW($B$2))/16+1),"")</f>
        <v/>
      </c>
    </row>
    <row r="10911" spans="2:14" x14ac:dyDescent="0.3">
      <c r="B10911" t="s">
        <v>1554</v>
      </c>
      <c r="N10911" t="str" cm="1">
        <f t="array" ref="N10911">IF(MOD(ROW()-ROW($B$2),16)=0,INDEX($M$2:$M$1000,(ROW()-ROW($B$2))/16+1),"")</f>
        <v/>
      </c>
    </row>
    <row r="10912" spans="2:14" x14ac:dyDescent="0.3">
      <c r="B10912" t="s">
        <v>1555</v>
      </c>
      <c r="N10912" t="str" cm="1">
        <f t="array" ref="N10912">IF(MOD(ROW()-ROW($B$2),16)=0,INDEX($M$2:$M$1000,(ROW()-ROW($B$2))/16+1),"")</f>
        <v/>
      </c>
    </row>
    <row r="10913" spans="2:14" x14ac:dyDescent="0.3">
      <c r="B10913" t="s">
        <v>1556</v>
      </c>
      <c r="N10913" t="str" cm="1">
        <f t="array" ref="N10913">IF(MOD(ROW()-ROW($B$2),16)=0,INDEX($M$2:$M$1000,(ROW()-ROW($B$2))/16+1),"")</f>
        <v/>
      </c>
    </row>
    <row r="10914" spans="2:14" x14ac:dyDescent="0.3">
      <c r="B10914" t="s">
        <v>1557</v>
      </c>
      <c r="N10914" t="str" cm="1">
        <f t="array" ref="N10914">IF(MOD(ROW()-ROW($B$2),16)=0,INDEX($M$2:$M$1000,(ROW()-ROW($B$2))/16+1),"")</f>
        <v/>
      </c>
    </row>
    <row r="10915" spans="2:14" x14ac:dyDescent="0.3">
      <c r="B10915" t="s">
        <v>1558</v>
      </c>
      <c r="N10915" t="str" cm="1">
        <f t="array" ref="N10915">IF(MOD(ROW()-ROW($B$2),16)=0,INDEX($M$2:$M$1000,(ROW()-ROW($B$2))/16+1),"")</f>
        <v/>
      </c>
    </row>
    <row r="10916" spans="2:14" x14ac:dyDescent="0.3">
      <c r="B10916" t="s">
        <v>1559</v>
      </c>
      <c r="N10916" t="str" cm="1">
        <f t="array" ref="N10916">IF(MOD(ROW()-ROW($B$2),16)=0,INDEX($M$2:$M$1000,(ROW()-ROW($B$2))/16+1),"")</f>
        <v/>
      </c>
    </row>
    <row r="10917" spans="2:14" x14ac:dyDescent="0.3">
      <c r="B10917" t="s">
        <v>1560</v>
      </c>
      <c r="N10917" t="str" cm="1">
        <f t="array" ref="N10917">IF(MOD(ROW()-ROW($B$2),16)=0,INDEX($M$2:$M$1000,(ROW()-ROW($B$2))/16+1),"")</f>
        <v/>
      </c>
    </row>
    <row r="10918" spans="2:14" x14ac:dyDescent="0.3">
      <c r="B10918" t="s">
        <v>1561</v>
      </c>
      <c r="N10918" t="str" cm="1">
        <f t="array" ref="N10918">IF(MOD(ROW()-ROW($B$2),16)=0,INDEX($M$2:$M$1000,(ROW()-ROW($B$2))/16+1),"")</f>
        <v/>
      </c>
    </row>
    <row r="10919" spans="2:14" x14ac:dyDescent="0.3">
      <c r="B10919" t="s">
        <v>1562</v>
      </c>
      <c r="N10919" t="str" cm="1">
        <f t="array" ref="N10919">IF(MOD(ROW()-ROW($B$2),16)=0,INDEX($M$2:$M$1000,(ROW()-ROW($B$2))/16+1),"")</f>
        <v/>
      </c>
    </row>
    <row r="10920" spans="2:14" x14ac:dyDescent="0.3">
      <c r="B10920" t="s">
        <v>1563</v>
      </c>
      <c r="N10920" t="str" cm="1">
        <f t="array" ref="N10920">IF(MOD(ROW()-ROW($B$2),16)=0,INDEX($M$2:$M$1000,(ROW()-ROW($B$2))/16+1),"")</f>
        <v/>
      </c>
    </row>
    <row r="10921" spans="2:14" x14ac:dyDescent="0.3">
      <c r="B10921" t="s">
        <v>1564</v>
      </c>
      <c r="N10921" t="str" cm="1">
        <f t="array" ref="N10921">IF(MOD(ROW()-ROW($B$2),16)=0,INDEX($M$2:$M$1000,(ROW()-ROW($B$2))/16+1),"")</f>
        <v/>
      </c>
    </row>
    <row r="10922" spans="2:14" x14ac:dyDescent="0.3">
      <c r="B10922" t="s">
        <v>1565</v>
      </c>
      <c r="N10922" t="str" cm="1">
        <f t="array" ref="N10922">IF(MOD(ROW()-ROW($B$2),16)=0,INDEX($M$2:$M$1000,(ROW()-ROW($B$2))/16+1),"")</f>
        <v/>
      </c>
    </row>
    <row r="10923" spans="2:14" x14ac:dyDescent="0.3">
      <c r="B10923" t="s">
        <v>1566</v>
      </c>
      <c r="N10923" t="str" cm="1">
        <f t="array" ref="N10923">IF(MOD(ROW()-ROW($B$2),16)=0,INDEX($M$2:$M$1000,(ROW()-ROW($B$2))/16+1),"")</f>
        <v/>
      </c>
    </row>
    <row r="10924" spans="2:14" x14ac:dyDescent="0.3">
      <c r="B10924" t="s">
        <v>1567</v>
      </c>
      <c r="N10924" t="str" cm="1">
        <f t="array" ref="N10924">IF(MOD(ROW()-ROW($B$2),16)=0,INDEX($M$2:$M$1000,(ROW()-ROW($B$2))/16+1),"")</f>
        <v/>
      </c>
    </row>
    <row r="10925" spans="2:14" x14ac:dyDescent="0.3">
      <c r="B10925" t="s">
        <v>1568</v>
      </c>
      <c r="N10925" t="str" cm="1">
        <f t="array" ref="N10925">IF(MOD(ROW()-ROW($B$2),16)=0,INDEX($M$2:$M$1000,(ROW()-ROW($B$2))/16+1),"")</f>
        <v/>
      </c>
    </row>
    <row r="10926" spans="2:14" x14ac:dyDescent="0.3">
      <c r="B10926" t="s">
        <v>1569</v>
      </c>
      <c r="N10926" t="str" cm="1">
        <f t="array" ref="N10926">IF(MOD(ROW()-ROW($B$2),16)=0,INDEX($M$2:$M$1000,(ROW()-ROW($B$2))/16+1),"")</f>
        <v/>
      </c>
    </row>
    <row r="10927" spans="2:14" x14ac:dyDescent="0.3">
      <c r="B10927" t="s">
        <v>1570</v>
      </c>
      <c r="N10927" t="str" cm="1">
        <f t="array" ref="N10927">IF(MOD(ROW()-ROW($B$2),16)=0,INDEX($M$2:$M$1000,(ROW()-ROW($B$2))/16+1),"")</f>
        <v/>
      </c>
    </row>
    <row r="10928" spans="2:14" x14ac:dyDescent="0.3">
      <c r="B10928" t="s">
        <v>1571</v>
      </c>
      <c r="N10928" t="str" cm="1">
        <f t="array" ref="N10928">IF(MOD(ROW()-ROW($B$2),16)=0,INDEX($M$2:$M$1000,(ROW()-ROW($B$2))/16+1),"")</f>
        <v/>
      </c>
    </row>
    <row r="10929" spans="2:14" x14ac:dyDescent="0.3">
      <c r="B10929" t="s">
        <v>1572</v>
      </c>
      <c r="N10929" t="str" cm="1">
        <f t="array" ref="N10929">IF(MOD(ROW()-ROW($B$2),16)=0,INDEX($M$2:$M$1000,(ROW()-ROW($B$2))/16+1),"")</f>
        <v/>
      </c>
    </row>
    <row r="10930" spans="2:14" x14ac:dyDescent="0.3">
      <c r="B10930" t="s">
        <v>1573</v>
      </c>
      <c r="N10930" t="str" cm="1">
        <f t="array" ref="N10930">IF(MOD(ROW()-ROW($B$2),16)=0,INDEX($M$2:$M$1000,(ROW()-ROW($B$2))/16+1),"")</f>
        <v/>
      </c>
    </row>
    <row r="10931" spans="2:14" x14ac:dyDescent="0.3">
      <c r="B10931" t="s">
        <v>1574</v>
      </c>
      <c r="N10931" t="str" cm="1">
        <f t="array" ref="N10931">IF(MOD(ROW()-ROW($B$2),16)=0,INDEX($M$2:$M$1000,(ROW()-ROW($B$2))/16+1),"")</f>
        <v/>
      </c>
    </row>
    <row r="10932" spans="2:14" x14ac:dyDescent="0.3">
      <c r="B10932" t="s">
        <v>1575</v>
      </c>
      <c r="N10932" t="str" cm="1">
        <f t="array" ref="N10932">IF(MOD(ROW()-ROW($B$2),16)=0,INDEX($M$2:$M$1000,(ROW()-ROW($B$2))/16+1),"")</f>
        <v/>
      </c>
    </row>
    <row r="10933" spans="2:14" x14ac:dyDescent="0.3">
      <c r="B10933" t="s">
        <v>1576</v>
      </c>
      <c r="N10933" t="str" cm="1">
        <f t="array" ref="N10933">IF(MOD(ROW()-ROW($B$2),16)=0,INDEX($M$2:$M$1000,(ROW()-ROW($B$2))/16+1),"")</f>
        <v/>
      </c>
    </row>
    <row r="10934" spans="2:14" x14ac:dyDescent="0.3">
      <c r="B10934" t="s">
        <v>1577</v>
      </c>
      <c r="N10934" t="str" cm="1">
        <f t="array" ref="N10934">IF(MOD(ROW()-ROW($B$2),16)=0,INDEX($M$2:$M$1000,(ROW()-ROW($B$2))/16+1),"")</f>
        <v/>
      </c>
    </row>
    <row r="10935" spans="2:14" x14ac:dyDescent="0.3">
      <c r="B10935" t="s">
        <v>1578</v>
      </c>
      <c r="N10935" t="str" cm="1">
        <f t="array" ref="N10935">IF(MOD(ROW()-ROW($B$2),16)=0,INDEX($M$2:$M$1000,(ROW()-ROW($B$2))/16+1),"")</f>
        <v/>
      </c>
    </row>
    <row r="10936" spans="2:14" x14ac:dyDescent="0.3">
      <c r="B10936" t="s">
        <v>1579</v>
      </c>
      <c r="N10936" t="str" cm="1">
        <f t="array" ref="N10936">IF(MOD(ROW()-ROW($B$2),16)=0,INDEX($M$2:$M$1000,(ROW()-ROW($B$2))/16+1),"")</f>
        <v/>
      </c>
    </row>
    <row r="10937" spans="2:14" x14ac:dyDescent="0.3">
      <c r="B10937" t="s">
        <v>1580</v>
      </c>
      <c r="N10937" t="str" cm="1">
        <f t="array" ref="N10937">IF(MOD(ROW()-ROW($B$2),16)=0,INDEX($M$2:$M$1000,(ROW()-ROW($B$2))/16+1),"")</f>
        <v/>
      </c>
    </row>
    <row r="10938" spans="2:14" x14ac:dyDescent="0.3">
      <c r="B10938" t="s">
        <v>1581</v>
      </c>
      <c r="N10938" t="str" cm="1">
        <f t="array" ref="N10938">IF(MOD(ROW()-ROW($B$2),16)=0,INDEX($M$2:$M$1000,(ROW()-ROW($B$2))/16+1),"")</f>
        <v/>
      </c>
    </row>
    <row r="10939" spans="2:14" x14ac:dyDescent="0.3">
      <c r="B10939" t="s">
        <v>1582</v>
      </c>
      <c r="N10939" t="str" cm="1">
        <f t="array" ref="N10939">IF(MOD(ROW()-ROW($B$2),16)=0,INDEX($M$2:$M$1000,(ROW()-ROW($B$2))/16+1),"")</f>
        <v/>
      </c>
    </row>
    <row r="10940" spans="2:14" x14ac:dyDescent="0.3">
      <c r="B10940" t="s">
        <v>1583</v>
      </c>
      <c r="N10940" t="str" cm="1">
        <f t="array" ref="N10940">IF(MOD(ROW()-ROW($B$2),16)=0,INDEX($M$2:$M$1000,(ROW()-ROW($B$2))/16+1),"")</f>
        <v/>
      </c>
    </row>
    <row r="10941" spans="2:14" x14ac:dyDescent="0.3">
      <c r="B10941" t="s">
        <v>1584</v>
      </c>
      <c r="N10941" t="str" cm="1">
        <f t="array" ref="N10941">IF(MOD(ROW()-ROW($B$2),16)=0,INDEX($M$2:$M$1000,(ROW()-ROW($B$2))/16+1),"")</f>
        <v/>
      </c>
    </row>
    <row r="10942" spans="2:14" x14ac:dyDescent="0.3">
      <c r="B10942" t="s">
        <v>1585</v>
      </c>
      <c r="N10942" t="str" cm="1">
        <f t="array" ref="N10942">IF(MOD(ROW()-ROW($B$2),16)=0,INDEX($M$2:$M$1000,(ROW()-ROW($B$2))/16+1),"")</f>
        <v/>
      </c>
    </row>
    <row r="10943" spans="2:14" x14ac:dyDescent="0.3">
      <c r="B10943" t="s">
        <v>1586</v>
      </c>
      <c r="N10943" t="str" cm="1">
        <f t="array" ref="N10943">IF(MOD(ROW()-ROW($B$2),16)=0,INDEX($M$2:$M$1000,(ROW()-ROW($B$2))/16+1),"")</f>
        <v/>
      </c>
    </row>
    <row r="10944" spans="2:14" x14ac:dyDescent="0.3">
      <c r="B10944" t="s">
        <v>1587</v>
      </c>
      <c r="N10944" t="str" cm="1">
        <f t="array" ref="N10944">IF(MOD(ROW()-ROW($B$2),16)=0,INDEX($M$2:$M$1000,(ROW()-ROW($B$2))/16+1),"")</f>
        <v/>
      </c>
    </row>
    <row r="10945" spans="2:14" x14ac:dyDescent="0.3">
      <c r="B10945" t="s">
        <v>1588</v>
      </c>
      <c r="N10945" t="str" cm="1">
        <f t="array" ref="N10945">IF(MOD(ROW()-ROW($B$2),16)=0,INDEX($M$2:$M$1000,(ROW()-ROW($B$2))/16+1),"")</f>
        <v/>
      </c>
    </row>
    <row r="10946" spans="2:14" x14ac:dyDescent="0.3">
      <c r="B10946" t="s">
        <v>1589</v>
      </c>
      <c r="N10946" t="str" cm="1">
        <f t="array" ref="N10946">IF(MOD(ROW()-ROW($B$2),16)=0,INDEX($M$2:$M$1000,(ROW()-ROW($B$2))/16+1),"")</f>
        <v/>
      </c>
    </row>
    <row r="10947" spans="2:14" x14ac:dyDescent="0.3">
      <c r="B10947" t="s">
        <v>1590</v>
      </c>
      <c r="N10947" t="str" cm="1">
        <f t="array" ref="N10947">IF(MOD(ROW()-ROW($B$2),16)=0,INDEX($M$2:$M$1000,(ROW()-ROW($B$2))/16+1),"")</f>
        <v/>
      </c>
    </row>
    <row r="10948" spans="2:14" x14ac:dyDescent="0.3">
      <c r="B10948" t="s">
        <v>1591</v>
      </c>
      <c r="N10948" t="str" cm="1">
        <f t="array" ref="N10948">IF(MOD(ROW()-ROW($B$2),16)=0,INDEX($M$2:$M$1000,(ROW()-ROW($B$2))/16+1),"")</f>
        <v/>
      </c>
    </row>
    <row r="10949" spans="2:14" x14ac:dyDescent="0.3">
      <c r="B10949" t="s">
        <v>1592</v>
      </c>
      <c r="N10949" t="str" cm="1">
        <f t="array" ref="N10949">IF(MOD(ROW()-ROW($B$2),16)=0,INDEX($M$2:$M$1000,(ROW()-ROW($B$2))/16+1),"")</f>
        <v/>
      </c>
    </row>
    <row r="10950" spans="2:14" x14ac:dyDescent="0.3">
      <c r="B10950" t="s">
        <v>1593</v>
      </c>
      <c r="N10950" t="str" cm="1">
        <f t="array" ref="N10950">IF(MOD(ROW()-ROW($B$2),16)=0,INDEX($M$2:$M$1000,(ROW()-ROW($B$2))/16+1),"")</f>
        <v/>
      </c>
    </row>
    <row r="10951" spans="2:14" x14ac:dyDescent="0.3">
      <c r="B10951" t="s">
        <v>1594</v>
      </c>
      <c r="N10951" t="str" cm="1">
        <f t="array" ref="N10951">IF(MOD(ROW()-ROW($B$2),16)=0,INDEX($M$2:$M$1000,(ROW()-ROW($B$2))/16+1),"")</f>
        <v/>
      </c>
    </row>
    <row r="10952" spans="2:14" x14ac:dyDescent="0.3">
      <c r="B10952" t="s">
        <v>1595</v>
      </c>
      <c r="N10952" t="str" cm="1">
        <f t="array" ref="N10952">IF(MOD(ROW()-ROW($B$2),16)=0,INDEX($M$2:$M$1000,(ROW()-ROW($B$2))/16+1),"")</f>
        <v/>
      </c>
    </row>
    <row r="10953" spans="2:14" x14ac:dyDescent="0.3">
      <c r="B10953" t="s">
        <v>1596</v>
      </c>
      <c r="N10953" t="str" cm="1">
        <f t="array" ref="N10953">IF(MOD(ROW()-ROW($B$2),16)=0,INDEX($M$2:$M$1000,(ROW()-ROW($B$2))/16+1),"")</f>
        <v/>
      </c>
    </row>
    <row r="10954" spans="2:14" x14ac:dyDescent="0.3">
      <c r="B10954" t="s">
        <v>1597</v>
      </c>
      <c r="N10954" t="str" cm="1">
        <f t="array" ref="N10954">IF(MOD(ROW()-ROW($B$2),16)=0,INDEX($M$2:$M$1000,(ROW()-ROW($B$2))/16+1),"")</f>
        <v/>
      </c>
    </row>
    <row r="10955" spans="2:14" x14ac:dyDescent="0.3">
      <c r="B10955" t="s">
        <v>1598</v>
      </c>
      <c r="N10955" t="str" cm="1">
        <f t="array" ref="N10955">IF(MOD(ROW()-ROW($B$2),16)=0,INDEX($M$2:$M$1000,(ROW()-ROW($B$2))/16+1),"")</f>
        <v/>
      </c>
    </row>
    <row r="10956" spans="2:14" x14ac:dyDescent="0.3">
      <c r="B10956" t="s">
        <v>1599</v>
      </c>
      <c r="N10956" t="str" cm="1">
        <f t="array" ref="N10956">IF(MOD(ROW()-ROW($B$2),16)=0,INDEX($M$2:$M$1000,(ROW()-ROW($B$2))/16+1),"")</f>
        <v/>
      </c>
    </row>
    <row r="10957" spans="2:14" x14ac:dyDescent="0.3">
      <c r="B10957" t="s">
        <v>1600</v>
      </c>
      <c r="N10957" t="str" cm="1">
        <f t="array" ref="N10957">IF(MOD(ROW()-ROW($B$2),16)=0,INDEX($M$2:$M$1000,(ROW()-ROW($B$2))/16+1),"")</f>
        <v/>
      </c>
    </row>
    <row r="10958" spans="2:14" x14ac:dyDescent="0.3">
      <c r="B10958" t="s">
        <v>1601</v>
      </c>
      <c r="N10958" t="str" cm="1">
        <f t="array" ref="N10958">IF(MOD(ROW()-ROW($B$2),16)=0,INDEX($M$2:$M$1000,(ROW()-ROW($B$2))/16+1),"")</f>
        <v/>
      </c>
    </row>
    <row r="10959" spans="2:14" x14ac:dyDescent="0.3">
      <c r="B10959" t="s">
        <v>1602</v>
      </c>
      <c r="N10959" t="str" cm="1">
        <f t="array" ref="N10959">IF(MOD(ROW()-ROW($B$2),16)=0,INDEX($M$2:$M$1000,(ROW()-ROW($B$2))/16+1),"")</f>
        <v/>
      </c>
    </row>
    <row r="10960" spans="2:14" x14ac:dyDescent="0.3">
      <c r="B10960" t="s">
        <v>1603</v>
      </c>
      <c r="N10960" t="str" cm="1">
        <f t="array" ref="N10960">IF(MOD(ROW()-ROW($B$2),16)=0,INDEX($M$2:$M$1000,(ROW()-ROW($B$2))/16+1),"")</f>
        <v/>
      </c>
    </row>
    <row r="10961" spans="2:14" x14ac:dyDescent="0.3">
      <c r="B10961" t="s">
        <v>1604</v>
      </c>
      <c r="N10961" t="str" cm="1">
        <f t="array" ref="N10961">IF(MOD(ROW()-ROW($B$2),16)=0,INDEX($M$2:$M$1000,(ROW()-ROW($B$2))/16+1),"")</f>
        <v/>
      </c>
    </row>
    <row r="10962" spans="2:14" x14ac:dyDescent="0.3">
      <c r="B10962" t="s">
        <v>1605</v>
      </c>
      <c r="N10962" t="str" cm="1">
        <f t="array" ref="N10962">IF(MOD(ROW()-ROW($B$2),16)=0,INDEX($M$2:$M$1000,(ROW()-ROW($B$2))/16+1),"")</f>
        <v/>
      </c>
    </row>
    <row r="10963" spans="2:14" x14ac:dyDescent="0.3">
      <c r="B10963" t="s">
        <v>1606</v>
      </c>
      <c r="N10963" t="str" cm="1">
        <f t="array" ref="N10963">IF(MOD(ROW()-ROW($B$2),16)=0,INDEX($M$2:$M$1000,(ROW()-ROW($B$2))/16+1),"")</f>
        <v/>
      </c>
    </row>
    <row r="10964" spans="2:14" x14ac:dyDescent="0.3">
      <c r="B10964" t="s">
        <v>1607</v>
      </c>
      <c r="N10964" t="str" cm="1">
        <f t="array" ref="N10964">IF(MOD(ROW()-ROW($B$2),16)=0,INDEX($M$2:$M$1000,(ROW()-ROW($B$2))/16+1),"")</f>
        <v/>
      </c>
    </row>
    <row r="10965" spans="2:14" x14ac:dyDescent="0.3">
      <c r="B10965" t="s">
        <v>1608</v>
      </c>
      <c r="N10965" t="str" cm="1">
        <f t="array" ref="N10965">IF(MOD(ROW()-ROW($B$2),16)=0,INDEX($M$2:$M$1000,(ROW()-ROW($B$2))/16+1),"")</f>
        <v/>
      </c>
    </row>
    <row r="10966" spans="2:14" x14ac:dyDescent="0.3">
      <c r="B10966" t="s">
        <v>1609</v>
      </c>
      <c r="N10966" t="str" cm="1">
        <f t="array" ref="N10966">IF(MOD(ROW()-ROW($B$2),16)=0,INDEX($M$2:$M$1000,(ROW()-ROW($B$2))/16+1),"")</f>
        <v/>
      </c>
    </row>
    <row r="10967" spans="2:14" x14ac:dyDescent="0.3">
      <c r="B10967" t="s">
        <v>1610</v>
      </c>
      <c r="N10967" t="str" cm="1">
        <f t="array" ref="N10967">IF(MOD(ROW()-ROW($B$2),16)=0,INDEX($M$2:$M$1000,(ROW()-ROW($B$2))/16+1),"")</f>
        <v/>
      </c>
    </row>
    <row r="10968" spans="2:14" x14ac:dyDescent="0.3">
      <c r="B10968" t="s">
        <v>1611</v>
      </c>
      <c r="N10968" t="str" cm="1">
        <f t="array" ref="N10968">IF(MOD(ROW()-ROW($B$2),16)=0,INDEX($M$2:$M$1000,(ROW()-ROW($B$2))/16+1),"")</f>
        <v/>
      </c>
    </row>
    <row r="10969" spans="2:14" x14ac:dyDescent="0.3">
      <c r="B10969" t="s">
        <v>1612</v>
      </c>
      <c r="N10969" t="str" cm="1">
        <f t="array" ref="N10969">IF(MOD(ROW()-ROW($B$2),16)=0,INDEX($M$2:$M$1000,(ROW()-ROW($B$2))/16+1),"")</f>
        <v/>
      </c>
    </row>
    <row r="10970" spans="2:14" x14ac:dyDescent="0.3">
      <c r="B10970" t="s">
        <v>1613</v>
      </c>
      <c r="N10970" t="str" cm="1">
        <f t="array" ref="N10970">IF(MOD(ROW()-ROW($B$2),16)=0,INDEX($M$2:$M$1000,(ROW()-ROW($B$2))/16+1),"")</f>
        <v/>
      </c>
    </row>
    <row r="10971" spans="2:14" x14ac:dyDescent="0.3">
      <c r="B10971" t="s">
        <v>1614</v>
      </c>
      <c r="N10971" t="str" cm="1">
        <f t="array" ref="N10971">IF(MOD(ROW()-ROW($B$2),16)=0,INDEX($M$2:$M$1000,(ROW()-ROW($B$2))/16+1),"")</f>
        <v/>
      </c>
    </row>
    <row r="10972" spans="2:14" x14ac:dyDescent="0.3">
      <c r="B10972" t="s">
        <v>1615</v>
      </c>
      <c r="N10972" t="str" cm="1">
        <f t="array" ref="N10972">IF(MOD(ROW()-ROW($B$2),16)=0,INDEX($M$2:$M$1000,(ROW()-ROW($B$2))/16+1),"")</f>
        <v/>
      </c>
    </row>
    <row r="10973" spans="2:14" x14ac:dyDescent="0.3">
      <c r="B10973" t="s">
        <v>1616</v>
      </c>
      <c r="N10973" t="str" cm="1">
        <f t="array" ref="N10973">IF(MOD(ROW()-ROW($B$2),16)=0,INDEX($M$2:$M$1000,(ROW()-ROW($B$2))/16+1),"")</f>
        <v/>
      </c>
    </row>
    <row r="10974" spans="2:14" x14ac:dyDescent="0.3">
      <c r="B10974" t="s">
        <v>1617</v>
      </c>
      <c r="N10974" t="str" cm="1">
        <f t="array" ref="N10974">IF(MOD(ROW()-ROW($B$2),16)=0,INDEX($M$2:$M$1000,(ROW()-ROW($B$2))/16+1),"")</f>
        <v/>
      </c>
    </row>
    <row r="10975" spans="2:14" x14ac:dyDescent="0.3">
      <c r="B10975" t="s">
        <v>1618</v>
      </c>
      <c r="N10975" t="str" cm="1">
        <f t="array" ref="N10975">IF(MOD(ROW()-ROW($B$2),16)=0,INDEX($M$2:$M$1000,(ROW()-ROW($B$2))/16+1),"")</f>
        <v/>
      </c>
    </row>
    <row r="10976" spans="2:14" x14ac:dyDescent="0.3">
      <c r="B10976" t="s">
        <v>1619</v>
      </c>
      <c r="N10976" t="str" cm="1">
        <f t="array" ref="N10976">IF(MOD(ROW()-ROW($B$2),16)=0,INDEX($M$2:$M$1000,(ROW()-ROW($B$2))/16+1),"")</f>
        <v/>
      </c>
    </row>
    <row r="10977" spans="2:14" x14ac:dyDescent="0.3">
      <c r="B10977" t="s">
        <v>1620</v>
      </c>
      <c r="N10977" t="str" cm="1">
        <f t="array" ref="N10977">IF(MOD(ROW()-ROW($B$2),16)=0,INDEX($M$2:$M$1000,(ROW()-ROW($B$2))/16+1),"")</f>
        <v/>
      </c>
    </row>
    <row r="10978" spans="2:14" x14ac:dyDescent="0.3">
      <c r="B10978" t="s">
        <v>1621</v>
      </c>
      <c r="N10978" t="str" cm="1">
        <f t="array" ref="N10978">IF(MOD(ROW()-ROW($B$2),16)=0,INDEX($M$2:$M$1000,(ROW()-ROW($B$2))/16+1),"")</f>
        <v/>
      </c>
    </row>
    <row r="10979" spans="2:14" x14ac:dyDescent="0.3">
      <c r="B10979" t="s">
        <v>1622</v>
      </c>
      <c r="N10979" t="str" cm="1">
        <f t="array" ref="N10979">IF(MOD(ROW()-ROW($B$2),16)=0,INDEX($M$2:$M$1000,(ROW()-ROW($B$2))/16+1),"")</f>
        <v/>
      </c>
    </row>
    <row r="10980" spans="2:14" x14ac:dyDescent="0.3">
      <c r="B10980" t="s">
        <v>1623</v>
      </c>
      <c r="N10980" t="str" cm="1">
        <f t="array" ref="N10980">IF(MOD(ROW()-ROW($B$2),16)=0,INDEX($M$2:$M$1000,(ROW()-ROW($B$2))/16+1),"")</f>
        <v/>
      </c>
    </row>
    <row r="10981" spans="2:14" x14ac:dyDescent="0.3">
      <c r="B10981" t="s">
        <v>1624</v>
      </c>
      <c r="N10981" t="str" cm="1">
        <f t="array" ref="N10981">IF(MOD(ROW()-ROW($B$2),16)=0,INDEX($M$2:$M$1000,(ROW()-ROW($B$2))/16+1),"")</f>
        <v/>
      </c>
    </row>
    <row r="10982" spans="2:14" x14ac:dyDescent="0.3">
      <c r="B10982" t="s">
        <v>1625</v>
      </c>
      <c r="N10982" t="str" cm="1">
        <f t="array" ref="N10982">IF(MOD(ROW()-ROW($B$2),16)=0,INDEX($M$2:$M$1000,(ROW()-ROW($B$2))/16+1),"")</f>
        <v/>
      </c>
    </row>
    <row r="10983" spans="2:14" x14ac:dyDescent="0.3">
      <c r="B10983" t="s">
        <v>1626</v>
      </c>
      <c r="N10983" t="str" cm="1">
        <f t="array" ref="N10983">IF(MOD(ROW()-ROW($B$2),16)=0,INDEX($M$2:$M$1000,(ROW()-ROW($B$2))/16+1),"")</f>
        <v/>
      </c>
    </row>
    <row r="10984" spans="2:14" x14ac:dyDescent="0.3">
      <c r="B10984" t="s">
        <v>1627</v>
      </c>
      <c r="N10984" t="str" cm="1">
        <f t="array" ref="N10984">IF(MOD(ROW()-ROW($B$2),16)=0,INDEX($M$2:$M$1000,(ROW()-ROW($B$2))/16+1),"")</f>
        <v/>
      </c>
    </row>
    <row r="10985" spans="2:14" x14ac:dyDescent="0.3">
      <c r="B10985" t="s">
        <v>1628</v>
      </c>
      <c r="N10985" t="str" cm="1">
        <f t="array" ref="N10985">IF(MOD(ROW()-ROW($B$2),16)=0,INDEX($M$2:$M$1000,(ROW()-ROW($B$2))/16+1),"")</f>
        <v/>
      </c>
    </row>
    <row r="10986" spans="2:14" x14ac:dyDescent="0.3">
      <c r="B10986" t="s">
        <v>1629</v>
      </c>
      <c r="N10986" t="str" cm="1">
        <f t="array" ref="N10986">IF(MOD(ROW()-ROW($B$2),16)=0,INDEX($M$2:$M$1000,(ROW()-ROW($B$2))/16+1),"")</f>
        <v/>
      </c>
    </row>
    <row r="10987" spans="2:14" x14ac:dyDescent="0.3">
      <c r="B10987" t="s">
        <v>1630</v>
      </c>
      <c r="N10987" t="str" cm="1">
        <f t="array" ref="N10987">IF(MOD(ROW()-ROW($B$2),16)=0,INDEX($M$2:$M$1000,(ROW()-ROW($B$2))/16+1),"")</f>
        <v/>
      </c>
    </row>
    <row r="10988" spans="2:14" x14ac:dyDescent="0.3">
      <c r="B10988" t="s">
        <v>1631</v>
      </c>
      <c r="N10988" t="str" cm="1">
        <f t="array" ref="N10988">IF(MOD(ROW()-ROW($B$2),16)=0,INDEX($M$2:$M$1000,(ROW()-ROW($B$2))/16+1),"")</f>
        <v/>
      </c>
    </row>
    <row r="10989" spans="2:14" x14ac:dyDescent="0.3">
      <c r="B10989" t="s">
        <v>1632</v>
      </c>
      <c r="N10989" t="str" cm="1">
        <f t="array" ref="N10989">IF(MOD(ROW()-ROW($B$2),16)=0,INDEX($M$2:$M$1000,(ROW()-ROW($B$2))/16+1),"")</f>
        <v/>
      </c>
    </row>
    <row r="10990" spans="2:14" x14ac:dyDescent="0.3">
      <c r="B10990" t="s">
        <v>1633</v>
      </c>
      <c r="N10990" t="str" cm="1">
        <f t="array" ref="N10990">IF(MOD(ROW()-ROW($B$2),16)=0,INDEX($M$2:$M$1000,(ROW()-ROW($B$2))/16+1),"")</f>
        <v/>
      </c>
    </row>
    <row r="10991" spans="2:14" x14ac:dyDescent="0.3">
      <c r="B10991" t="s">
        <v>1634</v>
      </c>
      <c r="N10991" t="str" cm="1">
        <f t="array" ref="N10991">IF(MOD(ROW()-ROW($B$2),16)=0,INDEX($M$2:$M$1000,(ROW()-ROW($B$2))/16+1),"")</f>
        <v/>
      </c>
    </row>
    <row r="10992" spans="2:14" x14ac:dyDescent="0.3">
      <c r="B10992" t="s">
        <v>1635</v>
      </c>
      <c r="N10992" t="str" cm="1">
        <f t="array" ref="N10992">IF(MOD(ROW()-ROW($B$2),16)=0,INDEX($M$2:$M$1000,(ROW()-ROW($B$2))/16+1),"")</f>
        <v/>
      </c>
    </row>
    <row r="10993" spans="2:14" x14ac:dyDescent="0.3">
      <c r="B10993" t="s">
        <v>1636</v>
      </c>
      <c r="N10993" t="str" cm="1">
        <f t="array" ref="N10993">IF(MOD(ROW()-ROW($B$2),16)=0,INDEX($M$2:$M$1000,(ROW()-ROW($B$2))/16+1),"")</f>
        <v/>
      </c>
    </row>
    <row r="10994" spans="2:14" x14ac:dyDescent="0.3">
      <c r="B10994" t="s">
        <v>1637</v>
      </c>
      <c r="N10994" t="str" cm="1">
        <f t="array" ref="N10994">IF(MOD(ROW()-ROW($B$2),16)=0,INDEX($M$2:$M$1000,(ROW()-ROW($B$2))/16+1),"")</f>
        <v/>
      </c>
    </row>
    <row r="10995" spans="2:14" x14ac:dyDescent="0.3">
      <c r="B10995" t="s">
        <v>1638</v>
      </c>
      <c r="N10995" t="str" cm="1">
        <f t="array" ref="N10995">IF(MOD(ROW()-ROW($B$2),16)=0,INDEX($M$2:$M$1000,(ROW()-ROW($B$2))/16+1),"")</f>
        <v/>
      </c>
    </row>
    <row r="10996" spans="2:14" x14ac:dyDescent="0.3">
      <c r="B10996" t="s">
        <v>1639</v>
      </c>
      <c r="N10996" t="str" cm="1">
        <f t="array" ref="N10996">IF(MOD(ROW()-ROW($B$2),16)=0,INDEX($M$2:$M$1000,(ROW()-ROW($B$2))/16+1),"")</f>
        <v/>
      </c>
    </row>
    <row r="10997" spans="2:14" x14ac:dyDescent="0.3">
      <c r="B10997" t="s">
        <v>1640</v>
      </c>
      <c r="N10997" t="str" cm="1">
        <f t="array" ref="N10997">IF(MOD(ROW()-ROW($B$2),16)=0,INDEX($M$2:$M$1000,(ROW()-ROW($B$2))/16+1),"")</f>
        <v/>
      </c>
    </row>
    <row r="10998" spans="2:14" x14ac:dyDescent="0.3">
      <c r="B10998" t="s">
        <v>1641</v>
      </c>
      <c r="N10998" t="str" cm="1">
        <f t="array" ref="N10998">IF(MOD(ROW()-ROW($B$2),16)=0,INDEX($M$2:$M$1000,(ROW()-ROW($B$2))/16+1),"")</f>
        <v/>
      </c>
    </row>
    <row r="10999" spans="2:14" x14ac:dyDescent="0.3">
      <c r="B10999" t="s">
        <v>1642</v>
      </c>
      <c r="N10999" t="str" cm="1">
        <f t="array" ref="N10999">IF(MOD(ROW()-ROW($B$2),16)=0,INDEX($M$2:$M$1000,(ROW()-ROW($B$2))/16+1),"")</f>
        <v/>
      </c>
    </row>
    <row r="11000" spans="2:14" x14ac:dyDescent="0.3">
      <c r="B11000" t="s">
        <v>1643</v>
      </c>
      <c r="N11000" t="str" cm="1">
        <f t="array" ref="N11000">IF(MOD(ROW()-ROW($B$2),16)=0,INDEX($M$2:$M$1000,(ROW()-ROW($B$2))/16+1),"")</f>
        <v/>
      </c>
    </row>
    <row r="11001" spans="2:14" x14ac:dyDescent="0.3">
      <c r="B11001" t="s">
        <v>1644</v>
      </c>
      <c r="N11001" t="str" cm="1">
        <f t="array" ref="N11001">IF(MOD(ROW()-ROW($B$2),16)=0,INDEX($M$2:$M$1000,(ROW()-ROW($B$2))/16+1),"")</f>
        <v/>
      </c>
    </row>
    <row r="11002" spans="2:14" x14ac:dyDescent="0.3">
      <c r="B11002" t="s">
        <v>1645</v>
      </c>
      <c r="N11002" t="str" cm="1">
        <f t="array" ref="N11002">IF(MOD(ROW()-ROW($B$2),16)=0,INDEX($M$2:$M$1000,(ROW()-ROW($B$2))/16+1),"")</f>
        <v/>
      </c>
    </row>
    <row r="11003" spans="2:14" x14ac:dyDescent="0.3">
      <c r="B11003" t="s">
        <v>1646</v>
      </c>
      <c r="N11003" t="str" cm="1">
        <f t="array" ref="N11003">IF(MOD(ROW()-ROW($B$2),16)=0,INDEX($M$2:$M$1000,(ROW()-ROW($B$2))/16+1),"")</f>
        <v/>
      </c>
    </row>
    <row r="11004" spans="2:14" x14ac:dyDescent="0.3">
      <c r="B11004" t="s">
        <v>1647</v>
      </c>
      <c r="N11004" t="str" cm="1">
        <f t="array" ref="N11004">IF(MOD(ROW()-ROW($B$2),16)=0,INDEX($M$2:$M$1000,(ROW()-ROW($B$2))/16+1),"")</f>
        <v/>
      </c>
    </row>
    <row r="11005" spans="2:14" x14ac:dyDescent="0.3">
      <c r="B11005" t="s">
        <v>1648</v>
      </c>
      <c r="N11005" t="str" cm="1">
        <f t="array" ref="N11005">IF(MOD(ROW()-ROW($B$2),16)=0,INDEX($M$2:$M$1000,(ROW()-ROW($B$2))/16+1),"")</f>
        <v/>
      </c>
    </row>
    <row r="11006" spans="2:14" x14ac:dyDescent="0.3">
      <c r="B11006" t="s">
        <v>1649</v>
      </c>
      <c r="N11006" t="str" cm="1">
        <f t="array" ref="N11006">IF(MOD(ROW()-ROW($B$2),16)=0,INDEX($M$2:$M$1000,(ROW()-ROW($B$2))/16+1),"")</f>
        <v/>
      </c>
    </row>
    <row r="11007" spans="2:14" x14ac:dyDescent="0.3">
      <c r="B11007" t="s">
        <v>1650</v>
      </c>
      <c r="N11007" t="str" cm="1">
        <f t="array" ref="N11007">IF(MOD(ROW()-ROW($B$2),16)=0,INDEX($M$2:$M$1000,(ROW()-ROW($B$2))/16+1),"")</f>
        <v/>
      </c>
    </row>
    <row r="11008" spans="2:14" x14ac:dyDescent="0.3">
      <c r="B11008" t="s">
        <v>1651</v>
      </c>
      <c r="N11008" t="str" cm="1">
        <f t="array" ref="N11008">IF(MOD(ROW()-ROW($B$2),16)=0,INDEX($M$2:$M$1000,(ROW()-ROW($B$2))/16+1),"")</f>
        <v/>
      </c>
    </row>
    <row r="11009" spans="2:14" x14ac:dyDescent="0.3">
      <c r="B11009" t="s">
        <v>1652</v>
      </c>
      <c r="N11009" t="str" cm="1">
        <f t="array" ref="N11009">IF(MOD(ROW()-ROW($B$2),16)=0,INDEX($M$2:$M$1000,(ROW()-ROW($B$2))/16+1),"")</f>
        <v/>
      </c>
    </row>
    <row r="11010" spans="2:14" x14ac:dyDescent="0.3">
      <c r="B11010" t="s">
        <v>1653</v>
      </c>
      <c r="N11010" t="str" cm="1">
        <f t="array" ref="N11010">IF(MOD(ROW()-ROW($B$2),16)=0,INDEX($M$2:$M$1000,(ROW()-ROW($B$2))/16+1),"")</f>
        <v/>
      </c>
    </row>
    <row r="11011" spans="2:14" x14ac:dyDescent="0.3">
      <c r="B11011" t="s">
        <v>1654</v>
      </c>
      <c r="N11011" t="str" cm="1">
        <f t="array" ref="N11011">IF(MOD(ROW()-ROW($B$2),16)=0,INDEX($M$2:$M$1000,(ROW()-ROW($B$2))/16+1),"")</f>
        <v/>
      </c>
    </row>
    <row r="11012" spans="2:14" x14ac:dyDescent="0.3">
      <c r="B11012" t="s">
        <v>1655</v>
      </c>
      <c r="N11012" t="str" cm="1">
        <f t="array" ref="N11012">IF(MOD(ROW()-ROW($B$2),16)=0,INDEX($M$2:$M$1000,(ROW()-ROW($B$2))/16+1),"")</f>
        <v/>
      </c>
    </row>
    <row r="11013" spans="2:14" x14ac:dyDescent="0.3">
      <c r="B11013" t="s">
        <v>1656</v>
      </c>
      <c r="N11013" t="str" cm="1">
        <f t="array" ref="N11013">IF(MOD(ROW()-ROW($B$2),16)=0,INDEX($M$2:$M$1000,(ROW()-ROW($B$2))/16+1),"")</f>
        <v/>
      </c>
    </row>
    <row r="11014" spans="2:14" x14ac:dyDescent="0.3">
      <c r="B11014" t="s">
        <v>1657</v>
      </c>
      <c r="N11014" t="str" cm="1">
        <f t="array" ref="N11014">IF(MOD(ROW()-ROW($B$2),16)=0,INDEX($M$2:$M$1000,(ROW()-ROW($B$2))/16+1),"")</f>
        <v/>
      </c>
    </row>
    <row r="11015" spans="2:14" x14ac:dyDescent="0.3">
      <c r="B11015" t="s">
        <v>1658</v>
      </c>
      <c r="N11015" t="str" cm="1">
        <f t="array" ref="N11015">IF(MOD(ROW()-ROW($B$2),16)=0,INDEX($M$2:$M$1000,(ROW()-ROW($B$2))/16+1),"")</f>
        <v/>
      </c>
    </row>
    <row r="11016" spans="2:14" x14ac:dyDescent="0.3">
      <c r="B11016" t="s">
        <v>1659</v>
      </c>
      <c r="N11016" t="str" cm="1">
        <f t="array" ref="N11016">IF(MOD(ROW()-ROW($B$2),16)=0,INDEX($M$2:$M$1000,(ROW()-ROW($B$2))/16+1),"")</f>
        <v/>
      </c>
    </row>
    <row r="11017" spans="2:14" x14ac:dyDescent="0.3">
      <c r="B11017" t="s">
        <v>1660</v>
      </c>
      <c r="N11017" t="str" cm="1">
        <f t="array" ref="N11017">IF(MOD(ROW()-ROW($B$2),16)=0,INDEX($M$2:$M$1000,(ROW()-ROW($B$2))/16+1),"")</f>
        <v/>
      </c>
    </row>
    <row r="11018" spans="2:14" x14ac:dyDescent="0.3">
      <c r="B11018" t="s">
        <v>1661</v>
      </c>
      <c r="N11018" t="str" cm="1">
        <f t="array" ref="N11018">IF(MOD(ROW()-ROW($B$2),16)=0,INDEX($M$2:$M$1000,(ROW()-ROW($B$2))/16+1),"")</f>
        <v/>
      </c>
    </row>
    <row r="11019" spans="2:14" x14ac:dyDescent="0.3">
      <c r="B11019" t="s">
        <v>1662</v>
      </c>
      <c r="N11019" t="str" cm="1">
        <f t="array" ref="N11019">IF(MOD(ROW()-ROW($B$2),16)=0,INDEX($M$2:$M$1000,(ROW()-ROW($B$2))/16+1),"")</f>
        <v/>
      </c>
    </row>
    <row r="11020" spans="2:14" x14ac:dyDescent="0.3">
      <c r="B11020" t="s">
        <v>1663</v>
      </c>
      <c r="N11020" t="str" cm="1">
        <f t="array" ref="N11020">IF(MOD(ROW()-ROW($B$2),16)=0,INDEX($M$2:$M$1000,(ROW()-ROW($B$2))/16+1),"")</f>
        <v/>
      </c>
    </row>
    <row r="11021" spans="2:14" x14ac:dyDescent="0.3">
      <c r="B11021" t="s">
        <v>1664</v>
      </c>
      <c r="N11021" t="str" cm="1">
        <f t="array" ref="N11021">IF(MOD(ROW()-ROW($B$2),16)=0,INDEX($M$2:$M$1000,(ROW()-ROW($B$2))/16+1),"")</f>
        <v/>
      </c>
    </row>
    <row r="11022" spans="2:14" x14ac:dyDescent="0.3">
      <c r="B11022" t="s">
        <v>1665</v>
      </c>
      <c r="N11022" t="str" cm="1">
        <f t="array" ref="N11022">IF(MOD(ROW()-ROW($B$2),16)=0,INDEX($M$2:$M$1000,(ROW()-ROW($B$2))/16+1),"")</f>
        <v/>
      </c>
    </row>
    <row r="11023" spans="2:14" x14ac:dyDescent="0.3">
      <c r="B11023" t="s">
        <v>1666</v>
      </c>
      <c r="N11023" t="str" cm="1">
        <f t="array" ref="N11023">IF(MOD(ROW()-ROW($B$2),16)=0,INDEX($M$2:$M$1000,(ROW()-ROW($B$2))/16+1),"")</f>
        <v/>
      </c>
    </row>
    <row r="11024" spans="2:14" x14ac:dyDescent="0.3">
      <c r="B11024" t="s">
        <v>1667</v>
      </c>
      <c r="N11024" t="str" cm="1">
        <f t="array" ref="N11024">IF(MOD(ROW()-ROW($B$2),16)=0,INDEX($M$2:$M$1000,(ROW()-ROW($B$2))/16+1),"")</f>
        <v/>
      </c>
    </row>
    <row r="11025" spans="2:14" x14ac:dyDescent="0.3">
      <c r="B11025" t="s">
        <v>1668</v>
      </c>
      <c r="N11025" t="str" cm="1">
        <f t="array" ref="N11025">IF(MOD(ROW()-ROW($B$2),16)=0,INDEX($M$2:$M$1000,(ROW()-ROW($B$2))/16+1),"")</f>
        <v/>
      </c>
    </row>
    <row r="11026" spans="2:14" x14ac:dyDescent="0.3">
      <c r="B11026" t="s">
        <v>1669</v>
      </c>
      <c r="N11026" t="str" cm="1">
        <f t="array" ref="N11026">IF(MOD(ROW()-ROW($B$2),16)=0,INDEX($M$2:$M$1000,(ROW()-ROW($B$2))/16+1),"")</f>
        <v/>
      </c>
    </row>
    <row r="11027" spans="2:14" x14ac:dyDescent="0.3">
      <c r="B11027" t="s">
        <v>1670</v>
      </c>
      <c r="N11027" t="str" cm="1">
        <f t="array" ref="N11027">IF(MOD(ROW()-ROW($B$2),16)=0,INDEX($M$2:$M$1000,(ROW()-ROW($B$2))/16+1),"")</f>
        <v/>
      </c>
    </row>
    <row r="11028" spans="2:14" x14ac:dyDescent="0.3">
      <c r="B11028" t="s">
        <v>1671</v>
      </c>
      <c r="N11028" t="str" cm="1">
        <f t="array" ref="N11028">IF(MOD(ROW()-ROW($B$2),16)=0,INDEX($M$2:$M$1000,(ROW()-ROW($B$2))/16+1),"")</f>
        <v/>
      </c>
    </row>
    <row r="11029" spans="2:14" x14ac:dyDescent="0.3">
      <c r="B11029" t="s">
        <v>1672</v>
      </c>
      <c r="N11029" t="str" cm="1">
        <f t="array" ref="N11029">IF(MOD(ROW()-ROW($B$2),16)=0,INDEX($M$2:$M$1000,(ROW()-ROW($B$2))/16+1),"")</f>
        <v/>
      </c>
    </row>
    <row r="11030" spans="2:14" x14ac:dyDescent="0.3">
      <c r="B11030" t="s">
        <v>1673</v>
      </c>
      <c r="N11030" t="str" cm="1">
        <f t="array" ref="N11030">IF(MOD(ROW()-ROW($B$2),16)=0,INDEX($M$2:$M$1000,(ROW()-ROW($B$2))/16+1),"")</f>
        <v/>
      </c>
    </row>
    <row r="11031" spans="2:14" x14ac:dyDescent="0.3">
      <c r="B11031" t="s">
        <v>1674</v>
      </c>
      <c r="N11031" t="str" cm="1">
        <f t="array" ref="N11031">IF(MOD(ROW()-ROW($B$2),16)=0,INDEX($M$2:$M$1000,(ROW()-ROW($B$2))/16+1),"")</f>
        <v/>
      </c>
    </row>
    <row r="11032" spans="2:14" x14ac:dyDescent="0.3">
      <c r="B11032" t="s">
        <v>1675</v>
      </c>
      <c r="N11032" t="str" cm="1">
        <f t="array" ref="N11032">IF(MOD(ROW()-ROW($B$2),16)=0,INDEX($M$2:$M$1000,(ROW()-ROW($B$2))/16+1),"")</f>
        <v/>
      </c>
    </row>
    <row r="11033" spans="2:14" x14ac:dyDescent="0.3">
      <c r="B11033" t="s">
        <v>1676</v>
      </c>
      <c r="N11033" t="str" cm="1">
        <f t="array" ref="N11033">IF(MOD(ROW()-ROW($B$2),16)=0,INDEX($M$2:$M$1000,(ROW()-ROW($B$2))/16+1),"")</f>
        <v/>
      </c>
    </row>
    <row r="11034" spans="2:14" x14ac:dyDescent="0.3">
      <c r="B11034" t="s">
        <v>1677</v>
      </c>
      <c r="N11034" t="str" cm="1">
        <f t="array" ref="N11034">IF(MOD(ROW()-ROW($B$2),16)=0,INDEX($M$2:$M$1000,(ROW()-ROW($B$2))/16+1),"")</f>
        <v/>
      </c>
    </row>
    <row r="11035" spans="2:14" x14ac:dyDescent="0.3">
      <c r="B11035" t="s">
        <v>1678</v>
      </c>
      <c r="N11035" t="str" cm="1">
        <f t="array" ref="N11035">IF(MOD(ROW()-ROW($B$2),16)=0,INDEX($M$2:$M$1000,(ROW()-ROW($B$2))/16+1),"")</f>
        <v/>
      </c>
    </row>
    <row r="11036" spans="2:14" x14ac:dyDescent="0.3">
      <c r="B11036" t="s">
        <v>1679</v>
      </c>
      <c r="N11036" t="str" cm="1">
        <f t="array" ref="N11036">IF(MOD(ROW()-ROW($B$2),16)=0,INDEX($M$2:$M$1000,(ROW()-ROW($B$2))/16+1),"")</f>
        <v/>
      </c>
    </row>
    <row r="11037" spans="2:14" x14ac:dyDescent="0.3">
      <c r="B11037" t="s">
        <v>1680</v>
      </c>
      <c r="N11037" t="str" cm="1">
        <f t="array" ref="N11037">IF(MOD(ROW()-ROW($B$2),16)=0,INDEX($M$2:$M$1000,(ROW()-ROW($B$2))/16+1),"")</f>
        <v/>
      </c>
    </row>
    <row r="11038" spans="2:14" x14ac:dyDescent="0.3">
      <c r="B11038" t="s">
        <v>1681</v>
      </c>
      <c r="N11038" t="str" cm="1">
        <f t="array" ref="N11038">IF(MOD(ROW()-ROW($B$2),16)=0,INDEX($M$2:$M$1000,(ROW()-ROW($B$2))/16+1),"")</f>
        <v/>
      </c>
    </row>
    <row r="11039" spans="2:14" x14ac:dyDescent="0.3">
      <c r="B11039" t="s">
        <v>1682</v>
      </c>
      <c r="N11039" t="str" cm="1">
        <f t="array" ref="N11039">IF(MOD(ROW()-ROW($B$2),16)=0,INDEX($M$2:$M$1000,(ROW()-ROW($B$2))/16+1),"")</f>
        <v/>
      </c>
    </row>
    <row r="11040" spans="2:14" x14ac:dyDescent="0.3">
      <c r="B11040" t="s">
        <v>1683</v>
      </c>
      <c r="N11040" t="str" cm="1">
        <f t="array" ref="N11040">IF(MOD(ROW()-ROW($B$2),16)=0,INDEX($M$2:$M$1000,(ROW()-ROW($B$2))/16+1),"")</f>
        <v/>
      </c>
    </row>
    <row r="11041" spans="2:14" x14ac:dyDescent="0.3">
      <c r="B11041" t="s">
        <v>1684</v>
      </c>
      <c r="N11041" t="str" cm="1">
        <f t="array" ref="N11041">IF(MOD(ROW()-ROW($B$2),16)=0,INDEX($M$2:$M$1000,(ROW()-ROW($B$2))/16+1),"")</f>
        <v/>
      </c>
    </row>
    <row r="11042" spans="2:14" x14ac:dyDescent="0.3">
      <c r="B11042" t="s">
        <v>1685</v>
      </c>
      <c r="N11042" t="str" cm="1">
        <f t="array" ref="N11042">IF(MOD(ROW()-ROW($B$2),16)=0,INDEX($M$2:$M$1000,(ROW()-ROW($B$2))/16+1),"")</f>
        <v/>
      </c>
    </row>
    <row r="11043" spans="2:14" x14ac:dyDescent="0.3">
      <c r="B11043" t="s">
        <v>1686</v>
      </c>
      <c r="N11043" t="str" cm="1">
        <f t="array" ref="N11043">IF(MOD(ROW()-ROW($B$2),16)=0,INDEX($M$2:$M$1000,(ROW()-ROW($B$2))/16+1),"")</f>
        <v/>
      </c>
    </row>
    <row r="11044" spans="2:14" x14ac:dyDescent="0.3">
      <c r="B11044" t="s">
        <v>1687</v>
      </c>
      <c r="N11044" t="str" cm="1">
        <f t="array" ref="N11044">IF(MOD(ROW()-ROW($B$2),16)=0,INDEX($M$2:$M$1000,(ROW()-ROW($B$2))/16+1),"")</f>
        <v/>
      </c>
    </row>
    <row r="11045" spans="2:14" x14ac:dyDescent="0.3">
      <c r="B11045" t="s">
        <v>1688</v>
      </c>
      <c r="N11045" t="str" cm="1">
        <f t="array" ref="N11045">IF(MOD(ROW()-ROW($B$2),16)=0,INDEX($M$2:$M$1000,(ROW()-ROW($B$2))/16+1),"")</f>
        <v/>
      </c>
    </row>
    <row r="11046" spans="2:14" x14ac:dyDescent="0.3">
      <c r="B11046" t="s">
        <v>1689</v>
      </c>
      <c r="N11046" t="str" cm="1">
        <f t="array" ref="N11046">IF(MOD(ROW()-ROW($B$2),16)=0,INDEX($M$2:$M$1000,(ROW()-ROW($B$2))/16+1),"")</f>
        <v/>
      </c>
    </row>
    <row r="11047" spans="2:14" x14ac:dyDescent="0.3">
      <c r="B11047" t="s">
        <v>1690</v>
      </c>
      <c r="N11047" t="str" cm="1">
        <f t="array" ref="N11047">IF(MOD(ROW()-ROW($B$2),16)=0,INDEX($M$2:$M$1000,(ROW()-ROW($B$2))/16+1),"")</f>
        <v/>
      </c>
    </row>
    <row r="11048" spans="2:14" x14ac:dyDescent="0.3">
      <c r="B11048" t="s">
        <v>1691</v>
      </c>
      <c r="N11048" t="str" cm="1">
        <f t="array" ref="N11048">IF(MOD(ROW()-ROW($B$2),16)=0,INDEX($M$2:$M$1000,(ROW()-ROW($B$2))/16+1),"")</f>
        <v/>
      </c>
    </row>
    <row r="11049" spans="2:14" x14ac:dyDescent="0.3">
      <c r="B11049" t="s">
        <v>1692</v>
      </c>
      <c r="N11049" t="str" cm="1">
        <f t="array" ref="N11049">IF(MOD(ROW()-ROW($B$2),16)=0,INDEX($M$2:$M$1000,(ROW()-ROW($B$2))/16+1),"")</f>
        <v/>
      </c>
    </row>
    <row r="11050" spans="2:14" x14ac:dyDescent="0.3">
      <c r="B11050" t="s">
        <v>1693</v>
      </c>
      <c r="N11050" t="str" cm="1">
        <f t="array" ref="N11050">IF(MOD(ROW()-ROW($B$2),16)=0,INDEX($M$2:$M$1000,(ROW()-ROW($B$2))/16+1),"")</f>
        <v/>
      </c>
    </row>
    <row r="11051" spans="2:14" x14ac:dyDescent="0.3">
      <c r="B11051" t="s">
        <v>1694</v>
      </c>
      <c r="N11051" t="str" cm="1">
        <f t="array" ref="N11051">IF(MOD(ROW()-ROW($B$2),16)=0,INDEX($M$2:$M$1000,(ROW()-ROW($B$2))/16+1),"")</f>
        <v/>
      </c>
    </row>
    <row r="11052" spans="2:14" x14ac:dyDescent="0.3">
      <c r="B11052" t="s">
        <v>1695</v>
      </c>
      <c r="N11052" t="str" cm="1">
        <f t="array" ref="N11052">IF(MOD(ROW()-ROW($B$2),16)=0,INDEX($M$2:$M$1000,(ROW()-ROW($B$2))/16+1),"")</f>
        <v/>
      </c>
    </row>
    <row r="11053" spans="2:14" x14ac:dyDescent="0.3">
      <c r="B11053" t="s">
        <v>1696</v>
      </c>
      <c r="N11053" t="str" cm="1">
        <f t="array" ref="N11053">IF(MOD(ROW()-ROW($B$2),16)=0,INDEX($M$2:$M$1000,(ROW()-ROW($B$2))/16+1),"")</f>
        <v/>
      </c>
    </row>
    <row r="11054" spans="2:14" x14ac:dyDescent="0.3">
      <c r="B11054" t="s">
        <v>1697</v>
      </c>
      <c r="N11054" t="str" cm="1">
        <f t="array" ref="N11054">IF(MOD(ROW()-ROW($B$2),16)=0,INDEX($M$2:$M$1000,(ROW()-ROW($B$2))/16+1),"")</f>
        <v/>
      </c>
    </row>
    <row r="11055" spans="2:14" x14ac:dyDescent="0.3">
      <c r="B11055" t="s">
        <v>1698</v>
      </c>
      <c r="N11055" t="str" cm="1">
        <f t="array" ref="N11055">IF(MOD(ROW()-ROW($B$2),16)=0,INDEX($M$2:$M$1000,(ROW()-ROW($B$2))/16+1),"")</f>
        <v/>
      </c>
    </row>
    <row r="11056" spans="2:14" x14ac:dyDescent="0.3">
      <c r="B11056" t="s">
        <v>1699</v>
      </c>
      <c r="N11056" t="str" cm="1">
        <f t="array" ref="N11056">IF(MOD(ROW()-ROW($B$2),16)=0,INDEX($M$2:$M$1000,(ROW()-ROW($B$2))/16+1),"")</f>
        <v/>
      </c>
    </row>
    <row r="11057" spans="2:14" x14ac:dyDescent="0.3">
      <c r="B11057" t="s">
        <v>1700</v>
      </c>
      <c r="N11057" t="str" cm="1">
        <f t="array" ref="N11057">IF(MOD(ROW()-ROW($B$2),16)=0,INDEX($M$2:$M$1000,(ROW()-ROW($B$2))/16+1),"")</f>
        <v/>
      </c>
    </row>
    <row r="11058" spans="2:14" x14ac:dyDescent="0.3">
      <c r="B11058" t="s">
        <v>1701</v>
      </c>
      <c r="N11058" t="str" cm="1">
        <f t="array" ref="N11058">IF(MOD(ROW()-ROW($B$2),16)=0,INDEX($M$2:$M$1000,(ROW()-ROW($B$2))/16+1),"")</f>
        <v/>
      </c>
    </row>
    <row r="11059" spans="2:14" x14ac:dyDescent="0.3">
      <c r="B11059" t="s">
        <v>1702</v>
      </c>
      <c r="N11059" t="str" cm="1">
        <f t="array" ref="N11059">IF(MOD(ROW()-ROW($B$2),16)=0,INDEX($M$2:$M$1000,(ROW()-ROW($B$2))/16+1),"")</f>
        <v/>
      </c>
    </row>
    <row r="11060" spans="2:14" x14ac:dyDescent="0.3">
      <c r="B11060" t="s">
        <v>1703</v>
      </c>
      <c r="N11060" t="str" cm="1">
        <f t="array" ref="N11060">IF(MOD(ROW()-ROW($B$2),16)=0,INDEX($M$2:$M$1000,(ROW()-ROW($B$2))/16+1),"")</f>
        <v/>
      </c>
    </row>
    <row r="11061" spans="2:14" x14ac:dyDescent="0.3">
      <c r="B11061" t="s">
        <v>1704</v>
      </c>
      <c r="N11061" t="str" cm="1">
        <f t="array" ref="N11061">IF(MOD(ROW()-ROW($B$2),16)=0,INDEX($M$2:$M$1000,(ROW()-ROW($B$2))/16+1),"")</f>
        <v/>
      </c>
    </row>
    <row r="11062" spans="2:14" x14ac:dyDescent="0.3">
      <c r="B11062" t="s">
        <v>1705</v>
      </c>
      <c r="N11062" t="str" cm="1">
        <f t="array" ref="N11062">IF(MOD(ROW()-ROW($B$2),16)=0,INDEX($M$2:$M$1000,(ROW()-ROW($B$2))/16+1),"")</f>
        <v/>
      </c>
    </row>
    <row r="11063" spans="2:14" x14ac:dyDescent="0.3">
      <c r="B11063" t="s">
        <v>1706</v>
      </c>
      <c r="N11063" t="str" cm="1">
        <f t="array" ref="N11063">IF(MOD(ROW()-ROW($B$2),16)=0,INDEX($M$2:$M$1000,(ROW()-ROW($B$2))/16+1),"")</f>
        <v/>
      </c>
    </row>
    <row r="11064" spans="2:14" x14ac:dyDescent="0.3">
      <c r="B11064" t="s">
        <v>1707</v>
      </c>
      <c r="N11064" t="str" cm="1">
        <f t="array" ref="N11064">IF(MOD(ROW()-ROW($B$2),16)=0,INDEX($M$2:$M$1000,(ROW()-ROW($B$2))/16+1),"")</f>
        <v/>
      </c>
    </row>
    <row r="11065" spans="2:14" x14ac:dyDescent="0.3">
      <c r="B11065" t="s">
        <v>1708</v>
      </c>
      <c r="N11065" t="str" cm="1">
        <f t="array" ref="N11065">IF(MOD(ROW()-ROW($B$2),16)=0,INDEX($M$2:$M$1000,(ROW()-ROW($B$2))/16+1),"")</f>
        <v/>
      </c>
    </row>
    <row r="11066" spans="2:14" x14ac:dyDescent="0.3">
      <c r="B11066" t="s">
        <v>1709</v>
      </c>
      <c r="N11066" t="str" cm="1">
        <f t="array" ref="N11066">IF(MOD(ROW()-ROW($B$2),16)=0,INDEX($M$2:$M$1000,(ROW()-ROW($B$2))/16+1),"")</f>
        <v/>
      </c>
    </row>
    <row r="11067" spans="2:14" x14ac:dyDescent="0.3">
      <c r="B11067" t="s">
        <v>1710</v>
      </c>
      <c r="N11067" t="str" cm="1">
        <f t="array" ref="N11067">IF(MOD(ROW()-ROW($B$2),16)=0,INDEX($M$2:$M$1000,(ROW()-ROW($B$2))/16+1),"")</f>
        <v/>
      </c>
    </row>
    <row r="11068" spans="2:14" x14ac:dyDescent="0.3">
      <c r="B11068" t="s">
        <v>1711</v>
      </c>
      <c r="N11068" t="str" cm="1">
        <f t="array" ref="N11068">IF(MOD(ROW()-ROW($B$2),16)=0,INDEX($M$2:$M$1000,(ROW()-ROW($B$2))/16+1),"")</f>
        <v/>
      </c>
    </row>
    <row r="11069" spans="2:14" x14ac:dyDescent="0.3">
      <c r="B11069" t="s">
        <v>1712</v>
      </c>
      <c r="N11069" t="str" cm="1">
        <f t="array" ref="N11069">IF(MOD(ROW()-ROW($B$2),16)=0,INDEX($M$2:$M$1000,(ROW()-ROW($B$2))/16+1),"")</f>
        <v/>
      </c>
    </row>
    <row r="11070" spans="2:14" x14ac:dyDescent="0.3">
      <c r="B11070" t="s">
        <v>1713</v>
      </c>
      <c r="N11070" t="str" cm="1">
        <f t="array" ref="N11070">IF(MOD(ROW()-ROW($B$2),16)=0,INDEX($M$2:$M$1000,(ROW()-ROW($B$2))/16+1),"")</f>
        <v/>
      </c>
    </row>
    <row r="11071" spans="2:14" x14ac:dyDescent="0.3">
      <c r="B11071" t="s">
        <v>1714</v>
      </c>
      <c r="N11071" t="str" cm="1">
        <f t="array" ref="N11071">IF(MOD(ROW()-ROW($B$2),16)=0,INDEX($M$2:$M$1000,(ROW()-ROW($B$2))/16+1),"")</f>
        <v/>
      </c>
    </row>
    <row r="11072" spans="2:14" x14ac:dyDescent="0.3">
      <c r="B11072" t="s">
        <v>1715</v>
      </c>
      <c r="N11072" t="str" cm="1">
        <f t="array" ref="N11072">IF(MOD(ROW()-ROW($B$2),16)=0,INDEX($M$2:$M$1000,(ROW()-ROW($B$2))/16+1),"")</f>
        <v/>
      </c>
    </row>
    <row r="11073" spans="2:14" x14ac:dyDescent="0.3">
      <c r="B11073" t="s">
        <v>1716</v>
      </c>
      <c r="N11073" t="str" cm="1">
        <f t="array" ref="N11073">IF(MOD(ROW()-ROW($B$2),16)=0,INDEX($M$2:$M$1000,(ROW()-ROW($B$2))/16+1),"")</f>
        <v/>
      </c>
    </row>
    <row r="11074" spans="2:14" x14ac:dyDescent="0.3">
      <c r="B11074" t="s">
        <v>1717</v>
      </c>
      <c r="N11074" t="str" cm="1">
        <f t="array" ref="N11074">IF(MOD(ROW()-ROW($B$2),16)=0,INDEX($M$2:$M$1000,(ROW()-ROW($B$2))/16+1),"")</f>
        <v/>
      </c>
    </row>
    <row r="11075" spans="2:14" x14ac:dyDescent="0.3">
      <c r="B11075" t="s">
        <v>1718</v>
      </c>
      <c r="N11075" t="str" cm="1">
        <f t="array" ref="N11075">IF(MOD(ROW()-ROW($B$2),16)=0,INDEX($M$2:$M$1000,(ROW()-ROW($B$2))/16+1),"")</f>
        <v/>
      </c>
    </row>
    <row r="11076" spans="2:14" x14ac:dyDescent="0.3">
      <c r="B11076" t="s">
        <v>1719</v>
      </c>
      <c r="N11076" t="str" cm="1">
        <f t="array" ref="N11076">IF(MOD(ROW()-ROW($B$2),16)=0,INDEX($M$2:$M$1000,(ROW()-ROW($B$2))/16+1),"")</f>
        <v/>
      </c>
    </row>
    <row r="11077" spans="2:14" x14ac:dyDescent="0.3">
      <c r="B11077" t="s">
        <v>1720</v>
      </c>
      <c r="N11077" t="str" cm="1">
        <f t="array" ref="N11077">IF(MOD(ROW()-ROW($B$2),16)=0,INDEX($M$2:$M$1000,(ROW()-ROW($B$2))/16+1),"")</f>
        <v/>
      </c>
    </row>
    <row r="11078" spans="2:14" x14ac:dyDescent="0.3">
      <c r="B11078" t="s">
        <v>1721</v>
      </c>
      <c r="N11078" t="str" cm="1">
        <f t="array" ref="N11078">IF(MOD(ROW()-ROW($B$2),16)=0,INDEX($M$2:$M$1000,(ROW()-ROW($B$2))/16+1),"")</f>
        <v/>
      </c>
    </row>
    <row r="11079" spans="2:14" x14ac:dyDescent="0.3">
      <c r="B11079" t="s">
        <v>1722</v>
      </c>
      <c r="N11079" t="str" cm="1">
        <f t="array" ref="N11079">IF(MOD(ROW()-ROW($B$2),16)=0,INDEX($M$2:$M$1000,(ROW()-ROW($B$2))/16+1),"")</f>
        <v/>
      </c>
    </row>
    <row r="11080" spans="2:14" x14ac:dyDescent="0.3">
      <c r="B11080" t="s">
        <v>1723</v>
      </c>
      <c r="N11080" t="str" cm="1">
        <f t="array" ref="N11080">IF(MOD(ROW()-ROW($B$2),16)=0,INDEX($M$2:$M$1000,(ROW()-ROW($B$2))/16+1),"")</f>
        <v/>
      </c>
    </row>
    <row r="11081" spans="2:14" x14ac:dyDescent="0.3">
      <c r="B11081" t="s">
        <v>1724</v>
      </c>
      <c r="N11081" t="str" cm="1">
        <f t="array" ref="N11081">IF(MOD(ROW()-ROW($B$2),16)=0,INDEX($M$2:$M$1000,(ROW()-ROW($B$2))/16+1),"")</f>
        <v/>
      </c>
    </row>
    <row r="11082" spans="2:14" x14ac:dyDescent="0.3">
      <c r="B11082" t="s">
        <v>1725</v>
      </c>
      <c r="N11082" t="str" cm="1">
        <f t="array" ref="N11082">IF(MOD(ROW()-ROW($B$2),16)=0,INDEX($M$2:$M$1000,(ROW()-ROW($B$2))/16+1),"")</f>
        <v/>
      </c>
    </row>
    <row r="11083" spans="2:14" x14ac:dyDescent="0.3">
      <c r="B11083" t="s">
        <v>1726</v>
      </c>
      <c r="N11083" t="str" cm="1">
        <f t="array" ref="N11083">IF(MOD(ROW()-ROW($B$2),16)=0,INDEX($M$2:$M$1000,(ROW()-ROW($B$2))/16+1),"")</f>
        <v/>
      </c>
    </row>
    <row r="11084" spans="2:14" x14ac:dyDescent="0.3">
      <c r="B11084" t="s">
        <v>1727</v>
      </c>
      <c r="N11084" t="str" cm="1">
        <f t="array" ref="N11084">IF(MOD(ROW()-ROW($B$2),16)=0,INDEX($M$2:$M$1000,(ROW()-ROW($B$2))/16+1),"")</f>
        <v/>
      </c>
    </row>
    <row r="11085" spans="2:14" x14ac:dyDescent="0.3">
      <c r="B11085" t="s">
        <v>1728</v>
      </c>
      <c r="N11085" t="str" cm="1">
        <f t="array" ref="N11085">IF(MOD(ROW()-ROW($B$2),16)=0,INDEX($M$2:$M$1000,(ROW()-ROW($B$2))/16+1),"")</f>
        <v/>
      </c>
    </row>
    <row r="11086" spans="2:14" x14ac:dyDescent="0.3">
      <c r="B11086" t="s">
        <v>1729</v>
      </c>
      <c r="N11086" t="str" cm="1">
        <f t="array" ref="N11086">IF(MOD(ROW()-ROW($B$2),16)=0,INDEX($M$2:$M$1000,(ROW()-ROW($B$2))/16+1),"")</f>
        <v/>
      </c>
    </row>
    <row r="11087" spans="2:14" x14ac:dyDescent="0.3">
      <c r="B11087" t="s">
        <v>1730</v>
      </c>
      <c r="N11087" t="str" cm="1">
        <f t="array" ref="N11087">IF(MOD(ROW()-ROW($B$2),16)=0,INDEX($M$2:$M$1000,(ROW()-ROW($B$2))/16+1),"")</f>
        <v/>
      </c>
    </row>
    <row r="11088" spans="2:14" x14ac:dyDescent="0.3">
      <c r="B11088" t="s">
        <v>1731</v>
      </c>
      <c r="N11088" t="str" cm="1">
        <f t="array" ref="N11088">IF(MOD(ROW()-ROW($B$2),16)=0,INDEX($M$2:$M$1000,(ROW()-ROW($B$2))/16+1),"")</f>
        <v/>
      </c>
    </row>
    <row r="11089" spans="2:14" x14ac:dyDescent="0.3">
      <c r="B11089" t="s">
        <v>1732</v>
      </c>
      <c r="N11089" t="str" cm="1">
        <f t="array" ref="N11089">IF(MOD(ROW()-ROW($B$2),16)=0,INDEX($M$2:$M$1000,(ROW()-ROW($B$2))/16+1),"")</f>
        <v/>
      </c>
    </row>
    <row r="11090" spans="2:14" x14ac:dyDescent="0.3">
      <c r="B11090" t="s">
        <v>1733</v>
      </c>
      <c r="N11090" t="str" cm="1">
        <f t="array" ref="N11090">IF(MOD(ROW()-ROW($B$2),16)=0,INDEX($M$2:$M$1000,(ROW()-ROW($B$2))/16+1),"")</f>
        <v/>
      </c>
    </row>
    <row r="11091" spans="2:14" x14ac:dyDescent="0.3">
      <c r="B11091" t="s">
        <v>1734</v>
      </c>
      <c r="N11091" t="str" cm="1">
        <f t="array" ref="N11091">IF(MOD(ROW()-ROW($B$2),16)=0,INDEX($M$2:$M$1000,(ROW()-ROW($B$2))/16+1),"")</f>
        <v/>
      </c>
    </row>
    <row r="11092" spans="2:14" x14ac:dyDescent="0.3">
      <c r="B11092" t="s">
        <v>1735</v>
      </c>
      <c r="N11092" t="str" cm="1">
        <f t="array" ref="N11092">IF(MOD(ROW()-ROW($B$2),16)=0,INDEX($M$2:$M$1000,(ROW()-ROW($B$2))/16+1),"")</f>
        <v/>
      </c>
    </row>
    <row r="11093" spans="2:14" x14ac:dyDescent="0.3">
      <c r="B11093" t="s">
        <v>1736</v>
      </c>
      <c r="N11093" t="str" cm="1">
        <f t="array" ref="N11093">IF(MOD(ROW()-ROW($B$2),16)=0,INDEX($M$2:$M$1000,(ROW()-ROW($B$2))/16+1),"")</f>
        <v/>
      </c>
    </row>
    <row r="11094" spans="2:14" x14ac:dyDescent="0.3">
      <c r="B11094" t="s">
        <v>1737</v>
      </c>
      <c r="N11094" t="str" cm="1">
        <f t="array" ref="N11094">IF(MOD(ROW()-ROW($B$2),16)=0,INDEX($M$2:$M$1000,(ROW()-ROW($B$2))/16+1),"")</f>
        <v/>
      </c>
    </row>
    <row r="11095" spans="2:14" x14ac:dyDescent="0.3">
      <c r="B11095" t="s">
        <v>1738</v>
      </c>
      <c r="N11095" t="str" cm="1">
        <f t="array" ref="N11095">IF(MOD(ROW()-ROW($B$2),16)=0,INDEX($M$2:$M$1000,(ROW()-ROW($B$2))/16+1),"")</f>
        <v/>
      </c>
    </row>
    <row r="11096" spans="2:14" x14ac:dyDescent="0.3">
      <c r="B11096" t="s">
        <v>1739</v>
      </c>
      <c r="N11096" t="str" cm="1">
        <f t="array" ref="N11096">IF(MOD(ROW()-ROW($B$2),16)=0,INDEX($M$2:$M$1000,(ROW()-ROW($B$2))/16+1),"")</f>
        <v/>
      </c>
    </row>
    <row r="11097" spans="2:14" x14ac:dyDescent="0.3">
      <c r="B11097" t="s">
        <v>1740</v>
      </c>
      <c r="N11097" t="str" cm="1">
        <f t="array" ref="N11097">IF(MOD(ROW()-ROW($B$2),16)=0,INDEX($M$2:$M$1000,(ROW()-ROW($B$2))/16+1),"")</f>
        <v/>
      </c>
    </row>
    <row r="11098" spans="2:14" x14ac:dyDescent="0.3">
      <c r="B11098" t="s">
        <v>1741</v>
      </c>
      <c r="N11098" t="str" cm="1">
        <f t="array" ref="N11098">IF(MOD(ROW()-ROW($B$2),16)=0,INDEX($M$2:$M$1000,(ROW()-ROW($B$2))/16+1),"")</f>
        <v/>
      </c>
    </row>
    <row r="11099" spans="2:14" x14ac:dyDescent="0.3">
      <c r="B11099" t="s">
        <v>1742</v>
      </c>
      <c r="N11099" t="str" cm="1">
        <f t="array" ref="N11099">IF(MOD(ROW()-ROW($B$2),16)=0,INDEX($M$2:$M$1000,(ROW()-ROW($B$2))/16+1),"")</f>
        <v/>
      </c>
    </row>
    <row r="11100" spans="2:14" x14ac:dyDescent="0.3">
      <c r="B11100" t="s">
        <v>1743</v>
      </c>
      <c r="N11100" t="str" cm="1">
        <f t="array" ref="N11100">IF(MOD(ROW()-ROW($B$2),16)=0,INDEX($M$2:$M$1000,(ROW()-ROW($B$2))/16+1),"")</f>
        <v/>
      </c>
    </row>
    <row r="11101" spans="2:14" x14ac:dyDescent="0.3">
      <c r="B11101" t="s">
        <v>1744</v>
      </c>
      <c r="N11101" t="str" cm="1">
        <f t="array" ref="N11101">IF(MOD(ROW()-ROW($B$2),16)=0,INDEX($M$2:$M$1000,(ROW()-ROW($B$2))/16+1),"")</f>
        <v/>
      </c>
    </row>
    <row r="11102" spans="2:14" x14ac:dyDescent="0.3">
      <c r="B11102" t="s">
        <v>1745</v>
      </c>
      <c r="N11102" t="str" cm="1">
        <f t="array" ref="N11102">IF(MOD(ROW()-ROW($B$2),16)=0,INDEX($M$2:$M$1000,(ROW()-ROW($B$2))/16+1),"")</f>
        <v/>
      </c>
    </row>
    <row r="11103" spans="2:14" x14ac:dyDescent="0.3">
      <c r="B11103" t="s">
        <v>1746</v>
      </c>
      <c r="N11103" t="str" cm="1">
        <f t="array" ref="N11103">IF(MOD(ROW()-ROW($B$2),16)=0,INDEX($M$2:$M$1000,(ROW()-ROW($B$2))/16+1),"")</f>
        <v/>
      </c>
    </row>
    <row r="11104" spans="2:14" x14ac:dyDescent="0.3">
      <c r="B11104" t="s">
        <v>1747</v>
      </c>
      <c r="N11104" t="str" cm="1">
        <f t="array" ref="N11104">IF(MOD(ROW()-ROW($B$2),16)=0,INDEX($M$2:$M$1000,(ROW()-ROW($B$2))/16+1),"")</f>
        <v/>
      </c>
    </row>
    <row r="11105" spans="2:14" x14ac:dyDescent="0.3">
      <c r="B11105" t="s">
        <v>1748</v>
      </c>
      <c r="N11105" t="str" cm="1">
        <f t="array" ref="N11105">IF(MOD(ROW()-ROW($B$2),16)=0,INDEX($M$2:$M$1000,(ROW()-ROW($B$2))/16+1),"")</f>
        <v/>
      </c>
    </row>
    <row r="11106" spans="2:14" x14ac:dyDescent="0.3">
      <c r="B11106" t="s">
        <v>1749</v>
      </c>
      <c r="N11106" t="str" cm="1">
        <f t="array" ref="N11106">IF(MOD(ROW()-ROW($B$2),16)=0,INDEX($M$2:$M$1000,(ROW()-ROW($B$2))/16+1),"")</f>
        <v/>
      </c>
    </row>
    <row r="11107" spans="2:14" x14ac:dyDescent="0.3">
      <c r="B11107" t="s">
        <v>1750</v>
      </c>
      <c r="N11107" t="str" cm="1">
        <f t="array" ref="N11107">IF(MOD(ROW()-ROW($B$2),16)=0,INDEX($M$2:$M$1000,(ROW()-ROW($B$2))/16+1),"")</f>
        <v/>
      </c>
    </row>
    <row r="11108" spans="2:14" x14ac:dyDescent="0.3">
      <c r="B11108" t="s">
        <v>1751</v>
      </c>
      <c r="N11108" t="str" cm="1">
        <f t="array" ref="N11108">IF(MOD(ROW()-ROW($B$2),16)=0,INDEX($M$2:$M$1000,(ROW()-ROW($B$2))/16+1),"")</f>
        <v/>
      </c>
    </row>
    <row r="11109" spans="2:14" x14ac:dyDescent="0.3">
      <c r="B11109" t="s">
        <v>1752</v>
      </c>
      <c r="N11109" t="str" cm="1">
        <f t="array" ref="N11109">IF(MOD(ROW()-ROW($B$2),16)=0,INDEX($M$2:$M$1000,(ROW()-ROW($B$2))/16+1),"")</f>
        <v/>
      </c>
    </row>
    <row r="11110" spans="2:14" x14ac:dyDescent="0.3">
      <c r="B11110" t="s">
        <v>1753</v>
      </c>
      <c r="N11110" t="str" cm="1">
        <f t="array" ref="N11110">IF(MOD(ROW()-ROW($B$2),16)=0,INDEX($M$2:$M$1000,(ROW()-ROW($B$2))/16+1),"")</f>
        <v/>
      </c>
    </row>
    <row r="11111" spans="2:14" x14ac:dyDescent="0.3">
      <c r="B11111" t="s">
        <v>1754</v>
      </c>
      <c r="N11111" t="str" cm="1">
        <f t="array" ref="N11111">IF(MOD(ROW()-ROW($B$2),16)=0,INDEX($M$2:$M$1000,(ROW()-ROW($B$2))/16+1),"")</f>
        <v/>
      </c>
    </row>
    <row r="11112" spans="2:14" x14ac:dyDescent="0.3">
      <c r="B11112" t="s">
        <v>1755</v>
      </c>
      <c r="N11112" t="str" cm="1">
        <f t="array" ref="N11112">IF(MOD(ROW()-ROW($B$2),16)=0,INDEX($M$2:$M$1000,(ROW()-ROW($B$2))/16+1),"")</f>
        <v/>
      </c>
    </row>
    <row r="11113" spans="2:14" x14ac:dyDescent="0.3">
      <c r="B11113" t="s">
        <v>1756</v>
      </c>
      <c r="N11113" t="str" cm="1">
        <f t="array" ref="N11113">IF(MOD(ROW()-ROW($B$2),16)=0,INDEX($M$2:$M$1000,(ROW()-ROW($B$2))/16+1),"")</f>
        <v/>
      </c>
    </row>
    <row r="11114" spans="2:14" x14ac:dyDescent="0.3">
      <c r="B11114" t="s">
        <v>1757</v>
      </c>
      <c r="N11114" t="str" cm="1">
        <f t="array" ref="N11114">IF(MOD(ROW()-ROW($B$2),16)=0,INDEX($M$2:$M$1000,(ROW()-ROW($B$2))/16+1),"")</f>
        <v/>
      </c>
    </row>
    <row r="11115" spans="2:14" x14ac:dyDescent="0.3">
      <c r="B11115" t="s">
        <v>1758</v>
      </c>
      <c r="N11115" t="str" cm="1">
        <f t="array" ref="N11115">IF(MOD(ROW()-ROW($B$2),16)=0,INDEX($M$2:$M$1000,(ROW()-ROW($B$2))/16+1),"")</f>
        <v/>
      </c>
    </row>
    <row r="11116" spans="2:14" x14ac:dyDescent="0.3">
      <c r="B11116" t="s">
        <v>1759</v>
      </c>
      <c r="N11116" t="str" cm="1">
        <f t="array" ref="N11116">IF(MOD(ROW()-ROW($B$2),16)=0,INDEX($M$2:$M$1000,(ROW()-ROW($B$2))/16+1),"")</f>
        <v/>
      </c>
    </row>
    <row r="11117" spans="2:14" x14ac:dyDescent="0.3">
      <c r="B11117" t="s">
        <v>1760</v>
      </c>
      <c r="N11117" t="str" cm="1">
        <f t="array" ref="N11117">IF(MOD(ROW()-ROW($B$2),16)=0,INDEX($M$2:$M$1000,(ROW()-ROW($B$2))/16+1),"")</f>
        <v/>
      </c>
    </row>
    <row r="11118" spans="2:14" x14ac:dyDescent="0.3">
      <c r="B11118" t="s">
        <v>1761</v>
      </c>
      <c r="N11118" t="str" cm="1">
        <f t="array" ref="N11118">IF(MOD(ROW()-ROW($B$2),16)=0,INDEX($M$2:$M$1000,(ROW()-ROW($B$2))/16+1),"")</f>
        <v/>
      </c>
    </row>
    <row r="11119" spans="2:14" x14ac:dyDescent="0.3">
      <c r="B11119" t="s">
        <v>1762</v>
      </c>
      <c r="N11119" t="str" cm="1">
        <f t="array" ref="N11119">IF(MOD(ROW()-ROW($B$2),16)=0,INDEX($M$2:$M$1000,(ROW()-ROW($B$2))/16+1),"")</f>
        <v/>
      </c>
    </row>
    <row r="11120" spans="2:14" x14ac:dyDescent="0.3">
      <c r="B11120" t="s">
        <v>1763</v>
      </c>
      <c r="N11120" t="str" cm="1">
        <f t="array" ref="N11120">IF(MOD(ROW()-ROW($B$2),16)=0,INDEX($M$2:$M$1000,(ROW()-ROW($B$2))/16+1),"")</f>
        <v/>
      </c>
    </row>
    <row r="11121" spans="2:14" x14ac:dyDescent="0.3">
      <c r="B11121" t="s">
        <v>1764</v>
      </c>
      <c r="N11121" t="str" cm="1">
        <f t="array" ref="N11121">IF(MOD(ROW()-ROW($B$2),16)=0,INDEX($M$2:$M$1000,(ROW()-ROW($B$2))/16+1),"")</f>
        <v/>
      </c>
    </row>
    <row r="11122" spans="2:14" x14ac:dyDescent="0.3">
      <c r="B11122" t="s">
        <v>1765</v>
      </c>
      <c r="N11122" t="str" cm="1">
        <f t="array" ref="N11122">IF(MOD(ROW()-ROW($B$2),16)=0,INDEX($M$2:$M$1000,(ROW()-ROW($B$2))/16+1),"")</f>
        <v/>
      </c>
    </row>
    <row r="11123" spans="2:14" x14ac:dyDescent="0.3">
      <c r="B11123" t="s">
        <v>1766</v>
      </c>
      <c r="N11123" t="str" cm="1">
        <f t="array" ref="N11123">IF(MOD(ROW()-ROW($B$2),16)=0,INDEX($M$2:$M$1000,(ROW()-ROW($B$2))/16+1),"")</f>
        <v/>
      </c>
    </row>
    <row r="11124" spans="2:14" x14ac:dyDescent="0.3">
      <c r="B11124" t="s">
        <v>1767</v>
      </c>
      <c r="N11124" t="str" cm="1">
        <f t="array" ref="N11124">IF(MOD(ROW()-ROW($B$2),16)=0,INDEX($M$2:$M$1000,(ROW()-ROW($B$2))/16+1),"")</f>
        <v/>
      </c>
    </row>
    <row r="11125" spans="2:14" x14ac:dyDescent="0.3">
      <c r="B11125" t="s">
        <v>1768</v>
      </c>
      <c r="N11125" t="str" cm="1">
        <f t="array" ref="N11125">IF(MOD(ROW()-ROW($B$2),16)=0,INDEX($M$2:$M$1000,(ROW()-ROW($B$2))/16+1),"")</f>
        <v/>
      </c>
    </row>
    <row r="11126" spans="2:14" x14ac:dyDescent="0.3">
      <c r="B11126" t="s">
        <v>1769</v>
      </c>
      <c r="N11126" t="str" cm="1">
        <f t="array" ref="N11126">IF(MOD(ROW()-ROW($B$2),16)=0,INDEX($M$2:$M$1000,(ROW()-ROW($B$2))/16+1),"")</f>
        <v/>
      </c>
    </row>
    <row r="11127" spans="2:14" x14ac:dyDescent="0.3">
      <c r="B11127" t="s">
        <v>1770</v>
      </c>
      <c r="N11127" t="str" cm="1">
        <f t="array" ref="N11127">IF(MOD(ROW()-ROW($B$2),16)=0,INDEX($M$2:$M$1000,(ROW()-ROW($B$2))/16+1),"")</f>
        <v/>
      </c>
    </row>
    <row r="11128" spans="2:14" x14ac:dyDescent="0.3">
      <c r="B11128" t="s">
        <v>1771</v>
      </c>
      <c r="N11128" t="str" cm="1">
        <f t="array" ref="N11128">IF(MOD(ROW()-ROW($B$2),16)=0,INDEX($M$2:$M$1000,(ROW()-ROW($B$2))/16+1),"")</f>
        <v/>
      </c>
    </row>
    <row r="11129" spans="2:14" x14ac:dyDescent="0.3">
      <c r="B11129" t="s">
        <v>1772</v>
      </c>
      <c r="N11129" t="str" cm="1">
        <f t="array" ref="N11129">IF(MOD(ROW()-ROW($B$2),16)=0,INDEX($M$2:$M$1000,(ROW()-ROW($B$2))/16+1),"")</f>
        <v/>
      </c>
    </row>
    <row r="11130" spans="2:14" x14ac:dyDescent="0.3">
      <c r="B11130" t="s">
        <v>1773</v>
      </c>
      <c r="N11130" t="str" cm="1">
        <f t="array" ref="N11130">IF(MOD(ROW()-ROW($B$2),16)=0,INDEX($M$2:$M$1000,(ROW()-ROW($B$2))/16+1),"")</f>
        <v/>
      </c>
    </row>
    <row r="11131" spans="2:14" x14ac:dyDescent="0.3">
      <c r="B11131" t="s">
        <v>1774</v>
      </c>
      <c r="N11131" t="str" cm="1">
        <f t="array" ref="N11131">IF(MOD(ROW()-ROW($B$2),16)=0,INDEX($M$2:$M$1000,(ROW()-ROW($B$2))/16+1),"")</f>
        <v/>
      </c>
    </row>
    <row r="11132" spans="2:14" x14ac:dyDescent="0.3">
      <c r="B11132" t="s">
        <v>1775</v>
      </c>
      <c r="N11132" t="str" cm="1">
        <f t="array" ref="N11132">IF(MOD(ROW()-ROW($B$2),16)=0,INDEX($M$2:$M$1000,(ROW()-ROW($B$2))/16+1),"")</f>
        <v/>
      </c>
    </row>
    <row r="11133" spans="2:14" x14ac:dyDescent="0.3">
      <c r="B11133" t="s">
        <v>1776</v>
      </c>
      <c r="N11133" t="str" cm="1">
        <f t="array" ref="N11133">IF(MOD(ROW()-ROW($B$2),16)=0,INDEX($M$2:$M$1000,(ROW()-ROW($B$2))/16+1),"")</f>
        <v/>
      </c>
    </row>
    <row r="11134" spans="2:14" x14ac:dyDescent="0.3">
      <c r="B11134" t="s">
        <v>1777</v>
      </c>
      <c r="N11134" t="str" cm="1">
        <f t="array" ref="N11134">IF(MOD(ROW()-ROW($B$2),16)=0,INDEX($M$2:$M$1000,(ROW()-ROW($B$2))/16+1),"")</f>
        <v/>
      </c>
    </row>
    <row r="11135" spans="2:14" x14ac:dyDescent="0.3">
      <c r="B11135" t="s">
        <v>1778</v>
      </c>
      <c r="N11135" t="str" cm="1">
        <f t="array" ref="N11135">IF(MOD(ROW()-ROW($B$2),16)=0,INDEX($M$2:$M$1000,(ROW()-ROW($B$2))/16+1),"")</f>
        <v/>
      </c>
    </row>
    <row r="11136" spans="2:14" x14ac:dyDescent="0.3">
      <c r="B11136" t="s">
        <v>1779</v>
      </c>
      <c r="N11136" t="str" cm="1">
        <f t="array" ref="N11136">IF(MOD(ROW()-ROW($B$2),16)=0,INDEX($M$2:$M$1000,(ROW()-ROW($B$2))/16+1),"")</f>
        <v/>
      </c>
    </row>
    <row r="11137" spans="2:14" x14ac:dyDescent="0.3">
      <c r="B11137" t="s">
        <v>1780</v>
      </c>
      <c r="N11137" t="str" cm="1">
        <f t="array" ref="N11137">IF(MOD(ROW()-ROW($B$2),16)=0,INDEX($M$2:$M$1000,(ROW()-ROW($B$2))/16+1),"")</f>
        <v/>
      </c>
    </row>
    <row r="11138" spans="2:14" x14ac:dyDescent="0.3">
      <c r="B11138" t="s">
        <v>1781</v>
      </c>
      <c r="N11138" t="str" cm="1">
        <f t="array" ref="N11138">IF(MOD(ROW()-ROW($B$2),16)=0,INDEX($M$2:$M$1000,(ROW()-ROW($B$2))/16+1),"")</f>
        <v/>
      </c>
    </row>
    <row r="11139" spans="2:14" x14ac:dyDescent="0.3">
      <c r="B11139" t="s">
        <v>1782</v>
      </c>
      <c r="N11139" t="str" cm="1">
        <f t="array" ref="N11139">IF(MOD(ROW()-ROW($B$2),16)=0,INDEX($M$2:$M$1000,(ROW()-ROW($B$2))/16+1),"")</f>
        <v/>
      </c>
    </row>
    <row r="11140" spans="2:14" x14ac:dyDescent="0.3">
      <c r="B11140" t="s">
        <v>1783</v>
      </c>
      <c r="N11140" t="str" cm="1">
        <f t="array" ref="N11140">IF(MOD(ROW()-ROW($B$2),16)=0,INDEX($M$2:$M$1000,(ROW()-ROW($B$2))/16+1),"")</f>
        <v/>
      </c>
    </row>
    <row r="11141" spans="2:14" x14ac:dyDescent="0.3">
      <c r="B11141" t="s">
        <v>1784</v>
      </c>
      <c r="N11141" t="str" cm="1">
        <f t="array" ref="N11141">IF(MOD(ROW()-ROW($B$2),16)=0,INDEX($M$2:$M$1000,(ROW()-ROW($B$2))/16+1),"")</f>
        <v/>
      </c>
    </row>
    <row r="11142" spans="2:14" x14ac:dyDescent="0.3">
      <c r="B11142" t="s">
        <v>1785</v>
      </c>
      <c r="N11142" t="str" cm="1">
        <f t="array" ref="N11142">IF(MOD(ROW()-ROW($B$2),16)=0,INDEX($M$2:$M$1000,(ROW()-ROW($B$2))/16+1),"")</f>
        <v/>
      </c>
    </row>
    <row r="11143" spans="2:14" x14ac:dyDescent="0.3">
      <c r="B11143" t="s">
        <v>1786</v>
      </c>
      <c r="N11143" t="str" cm="1">
        <f t="array" ref="N11143">IF(MOD(ROW()-ROW($B$2),16)=0,INDEX($M$2:$M$1000,(ROW()-ROW($B$2))/16+1),"")</f>
        <v/>
      </c>
    </row>
    <row r="11144" spans="2:14" x14ac:dyDescent="0.3">
      <c r="B11144" t="s">
        <v>1787</v>
      </c>
      <c r="N11144" t="str" cm="1">
        <f t="array" ref="N11144">IF(MOD(ROW()-ROW($B$2),16)=0,INDEX($M$2:$M$1000,(ROW()-ROW($B$2))/16+1),"")</f>
        <v/>
      </c>
    </row>
    <row r="11145" spans="2:14" x14ac:dyDescent="0.3">
      <c r="B11145" t="s">
        <v>1788</v>
      </c>
      <c r="N11145" t="str" cm="1">
        <f t="array" ref="N11145">IF(MOD(ROW()-ROW($B$2),16)=0,INDEX($M$2:$M$1000,(ROW()-ROW($B$2))/16+1),"")</f>
        <v/>
      </c>
    </row>
    <row r="11146" spans="2:14" x14ac:dyDescent="0.3">
      <c r="B11146" t="s">
        <v>1789</v>
      </c>
      <c r="N11146" t="str" cm="1">
        <f t="array" ref="N11146">IF(MOD(ROW()-ROW($B$2),16)=0,INDEX($M$2:$M$1000,(ROW()-ROW($B$2))/16+1),"")</f>
        <v/>
      </c>
    </row>
    <row r="11147" spans="2:14" x14ac:dyDescent="0.3">
      <c r="B11147" t="s">
        <v>1790</v>
      </c>
      <c r="N11147" t="str" cm="1">
        <f t="array" ref="N11147">IF(MOD(ROW()-ROW($B$2),16)=0,INDEX($M$2:$M$1000,(ROW()-ROW($B$2))/16+1),"")</f>
        <v/>
      </c>
    </row>
    <row r="11148" spans="2:14" x14ac:dyDescent="0.3">
      <c r="B11148" t="s">
        <v>1791</v>
      </c>
      <c r="N11148" t="str" cm="1">
        <f t="array" ref="N11148">IF(MOD(ROW()-ROW($B$2),16)=0,INDEX($M$2:$M$1000,(ROW()-ROW($B$2))/16+1),"")</f>
        <v/>
      </c>
    </row>
    <row r="11149" spans="2:14" x14ac:dyDescent="0.3">
      <c r="B11149" t="s">
        <v>1792</v>
      </c>
      <c r="N11149" t="str" cm="1">
        <f t="array" ref="N11149">IF(MOD(ROW()-ROW($B$2),16)=0,INDEX($M$2:$M$1000,(ROW()-ROW($B$2))/16+1),"")</f>
        <v/>
      </c>
    </row>
    <row r="11150" spans="2:14" x14ac:dyDescent="0.3">
      <c r="B11150" t="s">
        <v>1793</v>
      </c>
      <c r="N11150" t="str" cm="1">
        <f t="array" ref="N11150">IF(MOD(ROW()-ROW($B$2),16)=0,INDEX($M$2:$M$1000,(ROW()-ROW($B$2))/16+1),"")</f>
        <v/>
      </c>
    </row>
    <row r="11151" spans="2:14" x14ac:dyDescent="0.3">
      <c r="B11151" t="s">
        <v>1794</v>
      </c>
      <c r="N11151" t="str" cm="1">
        <f t="array" ref="N11151">IF(MOD(ROW()-ROW($B$2),16)=0,INDEX($M$2:$M$1000,(ROW()-ROW($B$2))/16+1),"")</f>
        <v/>
      </c>
    </row>
    <row r="11152" spans="2:14" x14ac:dyDescent="0.3">
      <c r="B11152" t="s">
        <v>1795</v>
      </c>
      <c r="N11152" t="str" cm="1">
        <f t="array" ref="N11152">IF(MOD(ROW()-ROW($B$2),16)=0,INDEX($M$2:$M$1000,(ROW()-ROW($B$2))/16+1),"")</f>
        <v/>
      </c>
    </row>
    <row r="11153" spans="2:14" x14ac:dyDescent="0.3">
      <c r="B11153" t="s">
        <v>1796</v>
      </c>
      <c r="N11153" t="str" cm="1">
        <f t="array" ref="N11153">IF(MOD(ROW()-ROW($B$2),16)=0,INDEX($M$2:$M$1000,(ROW()-ROW($B$2))/16+1),"")</f>
        <v/>
      </c>
    </row>
    <row r="11154" spans="2:14" x14ac:dyDescent="0.3">
      <c r="B11154" t="s">
        <v>1797</v>
      </c>
      <c r="N11154" t="str" cm="1">
        <f t="array" ref="N11154">IF(MOD(ROW()-ROW($B$2),16)=0,INDEX($M$2:$M$1000,(ROW()-ROW($B$2))/16+1),"")</f>
        <v/>
      </c>
    </row>
    <row r="11155" spans="2:14" x14ac:dyDescent="0.3">
      <c r="B11155" t="s">
        <v>1798</v>
      </c>
      <c r="N11155" t="str" cm="1">
        <f t="array" ref="N11155">IF(MOD(ROW()-ROW($B$2),16)=0,INDEX($M$2:$M$1000,(ROW()-ROW($B$2))/16+1),"")</f>
        <v/>
      </c>
    </row>
    <row r="11156" spans="2:14" x14ac:dyDescent="0.3">
      <c r="B11156" t="s">
        <v>1799</v>
      </c>
      <c r="N11156" t="str" cm="1">
        <f t="array" ref="N11156">IF(MOD(ROW()-ROW($B$2),16)=0,INDEX($M$2:$M$1000,(ROW()-ROW($B$2))/16+1),"")</f>
        <v/>
      </c>
    </row>
    <row r="11157" spans="2:14" x14ac:dyDescent="0.3">
      <c r="B11157" t="s">
        <v>1800</v>
      </c>
      <c r="N11157" t="str" cm="1">
        <f t="array" ref="N11157">IF(MOD(ROW()-ROW($B$2),16)=0,INDEX($M$2:$M$1000,(ROW()-ROW($B$2))/16+1),"")</f>
        <v/>
      </c>
    </row>
    <row r="11158" spans="2:14" x14ac:dyDescent="0.3">
      <c r="B11158" t="s">
        <v>1801</v>
      </c>
      <c r="N11158" t="str" cm="1">
        <f t="array" ref="N11158">IF(MOD(ROW()-ROW($B$2),16)=0,INDEX($M$2:$M$1000,(ROW()-ROW($B$2))/16+1),"")</f>
        <v/>
      </c>
    </row>
    <row r="11159" spans="2:14" x14ac:dyDescent="0.3">
      <c r="B11159" t="s">
        <v>1802</v>
      </c>
      <c r="N11159" t="str" cm="1">
        <f t="array" ref="N11159">IF(MOD(ROW()-ROW($B$2),16)=0,INDEX($M$2:$M$1000,(ROW()-ROW($B$2))/16+1),"")</f>
        <v/>
      </c>
    </row>
    <row r="11160" spans="2:14" x14ac:dyDescent="0.3">
      <c r="B11160" t="s">
        <v>1803</v>
      </c>
      <c r="N11160" t="str" cm="1">
        <f t="array" ref="N11160">IF(MOD(ROW()-ROW($B$2),16)=0,INDEX($M$2:$M$1000,(ROW()-ROW($B$2))/16+1),"")</f>
        <v/>
      </c>
    </row>
    <row r="11161" spans="2:14" x14ac:dyDescent="0.3">
      <c r="B11161" t="s">
        <v>1804</v>
      </c>
      <c r="N11161" t="str" cm="1">
        <f t="array" ref="N11161">IF(MOD(ROW()-ROW($B$2),16)=0,INDEX($M$2:$M$1000,(ROW()-ROW($B$2))/16+1),"")</f>
        <v/>
      </c>
    </row>
    <row r="11162" spans="2:14" x14ac:dyDescent="0.3">
      <c r="B11162" t="s">
        <v>1805</v>
      </c>
      <c r="N11162" t="str" cm="1">
        <f t="array" ref="N11162">IF(MOD(ROW()-ROW($B$2),16)=0,INDEX($M$2:$M$1000,(ROW()-ROW($B$2))/16+1),"")</f>
        <v/>
      </c>
    </row>
    <row r="11163" spans="2:14" x14ac:dyDescent="0.3">
      <c r="B11163" t="s">
        <v>1806</v>
      </c>
      <c r="N11163" t="str" cm="1">
        <f t="array" ref="N11163">IF(MOD(ROW()-ROW($B$2),16)=0,INDEX($M$2:$M$1000,(ROW()-ROW($B$2))/16+1),"")</f>
        <v/>
      </c>
    </row>
    <row r="11164" spans="2:14" x14ac:dyDescent="0.3">
      <c r="B11164" t="s">
        <v>1807</v>
      </c>
      <c r="N11164" t="str" cm="1">
        <f t="array" ref="N11164">IF(MOD(ROW()-ROW($B$2),16)=0,INDEX($M$2:$M$1000,(ROW()-ROW($B$2))/16+1),"")</f>
        <v/>
      </c>
    </row>
    <row r="11165" spans="2:14" x14ac:dyDescent="0.3">
      <c r="B11165" t="s">
        <v>1808</v>
      </c>
      <c r="N11165" t="str" cm="1">
        <f t="array" ref="N11165">IF(MOD(ROW()-ROW($B$2),16)=0,INDEX($M$2:$M$1000,(ROW()-ROW($B$2))/16+1),"")</f>
        <v/>
      </c>
    </row>
    <row r="11166" spans="2:14" x14ac:dyDescent="0.3">
      <c r="B11166" t="s">
        <v>1809</v>
      </c>
      <c r="N11166" t="str" cm="1">
        <f t="array" ref="N11166">IF(MOD(ROW()-ROW($B$2),16)=0,INDEX($M$2:$M$1000,(ROW()-ROW($B$2))/16+1),"")</f>
        <v/>
      </c>
    </row>
    <row r="11167" spans="2:14" x14ac:dyDescent="0.3">
      <c r="B11167" t="s">
        <v>1810</v>
      </c>
      <c r="N11167" t="str" cm="1">
        <f t="array" ref="N11167">IF(MOD(ROW()-ROW($B$2),16)=0,INDEX($M$2:$M$1000,(ROW()-ROW($B$2))/16+1),"")</f>
        <v/>
      </c>
    </row>
    <row r="11168" spans="2:14" x14ac:dyDescent="0.3">
      <c r="B11168" t="s">
        <v>1811</v>
      </c>
      <c r="N11168" t="str" cm="1">
        <f t="array" ref="N11168">IF(MOD(ROW()-ROW($B$2),16)=0,INDEX($M$2:$M$1000,(ROW()-ROW($B$2))/16+1),"")</f>
        <v/>
      </c>
    </row>
    <row r="11169" spans="2:14" x14ac:dyDescent="0.3">
      <c r="B11169" t="s">
        <v>1812</v>
      </c>
      <c r="N11169" t="str" cm="1">
        <f t="array" ref="N11169">IF(MOD(ROW()-ROW($B$2),16)=0,INDEX($M$2:$M$1000,(ROW()-ROW($B$2))/16+1),"")</f>
        <v/>
      </c>
    </row>
    <row r="11170" spans="2:14" x14ac:dyDescent="0.3">
      <c r="B11170" t="s">
        <v>1813</v>
      </c>
      <c r="N11170" t="str" cm="1">
        <f t="array" ref="N11170">IF(MOD(ROW()-ROW($B$2),16)=0,INDEX($M$2:$M$1000,(ROW()-ROW($B$2))/16+1),"")</f>
        <v/>
      </c>
    </row>
    <row r="11171" spans="2:14" x14ac:dyDescent="0.3">
      <c r="B11171" t="s">
        <v>1814</v>
      </c>
      <c r="N11171" t="str" cm="1">
        <f t="array" ref="N11171">IF(MOD(ROW()-ROW($B$2),16)=0,INDEX($M$2:$M$1000,(ROW()-ROW($B$2))/16+1),"")</f>
        <v/>
      </c>
    </row>
    <row r="11172" spans="2:14" x14ac:dyDescent="0.3">
      <c r="B11172" t="s">
        <v>1815</v>
      </c>
      <c r="N11172" t="str" cm="1">
        <f t="array" ref="N11172">IF(MOD(ROW()-ROW($B$2),16)=0,INDEX($M$2:$M$1000,(ROW()-ROW($B$2))/16+1),"")</f>
        <v/>
      </c>
    </row>
    <row r="11173" spans="2:14" x14ac:dyDescent="0.3">
      <c r="B11173" t="s">
        <v>1816</v>
      </c>
      <c r="N11173" t="str" cm="1">
        <f t="array" ref="N11173">IF(MOD(ROW()-ROW($B$2),16)=0,INDEX($M$2:$M$1000,(ROW()-ROW($B$2))/16+1),"")</f>
        <v/>
      </c>
    </row>
    <row r="11174" spans="2:14" x14ac:dyDescent="0.3">
      <c r="B11174" t="s">
        <v>1817</v>
      </c>
      <c r="N11174" t="str" cm="1">
        <f t="array" ref="N11174">IF(MOD(ROW()-ROW($B$2),16)=0,INDEX($M$2:$M$1000,(ROW()-ROW($B$2))/16+1),"")</f>
        <v/>
      </c>
    </row>
    <row r="11175" spans="2:14" x14ac:dyDescent="0.3">
      <c r="B11175" t="s">
        <v>1818</v>
      </c>
      <c r="N11175" t="str" cm="1">
        <f t="array" ref="N11175">IF(MOD(ROW()-ROW($B$2),16)=0,INDEX($M$2:$M$1000,(ROW()-ROW($B$2))/16+1),"")</f>
        <v/>
      </c>
    </row>
    <row r="11176" spans="2:14" x14ac:dyDescent="0.3">
      <c r="B11176" t="s">
        <v>1819</v>
      </c>
      <c r="N11176" t="str" cm="1">
        <f t="array" ref="N11176">IF(MOD(ROW()-ROW($B$2),16)=0,INDEX($M$2:$M$1000,(ROW()-ROW($B$2))/16+1),"")</f>
        <v/>
      </c>
    </row>
    <row r="11177" spans="2:14" x14ac:dyDescent="0.3">
      <c r="B11177" t="s">
        <v>1820</v>
      </c>
      <c r="N11177" t="str" cm="1">
        <f t="array" ref="N11177">IF(MOD(ROW()-ROW($B$2),16)=0,INDEX($M$2:$M$1000,(ROW()-ROW($B$2))/16+1),"")</f>
        <v/>
      </c>
    </row>
    <row r="11178" spans="2:14" x14ac:dyDescent="0.3">
      <c r="B11178" t="s">
        <v>1821</v>
      </c>
      <c r="N11178" t="str" cm="1">
        <f t="array" ref="N11178">IF(MOD(ROW()-ROW($B$2),16)=0,INDEX($M$2:$M$1000,(ROW()-ROW($B$2))/16+1),"")</f>
        <v/>
      </c>
    </row>
    <row r="11179" spans="2:14" x14ac:dyDescent="0.3">
      <c r="B11179" t="s">
        <v>1822</v>
      </c>
      <c r="N11179" t="str" cm="1">
        <f t="array" ref="N11179">IF(MOD(ROW()-ROW($B$2),16)=0,INDEX($M$2:$M$1000,(ROW()-ROW($B$2))/16+1),"")</f>
        <v/>
      </c>
    </row>
    <row r="11180" spans="2:14" x14ac:dyDescent="0.3">
      <c r="B11180" t="s">
        <v>1823</v>
      </c>
      <c r="N11180" t="str" cm="1">
        <f t="array" ref="N11180">IF(MOD(ROW()-ROW($B$2),16)=0,INDEX($M$2:$M$1000,(ROW()-ROW($B$2))/16+1),"")</f>
        <v/>
      </c>
    </row>
    <row r="11181" spans="2:14" x14ac:dyDescent="0.3">
      <c r="B11181" t="s">
        <v>1824</v>
      </c>
      <c r="N11181" t="str" cm="1">
        <f t="array" ref="N11181">IF(MOD(ROW()-ROW($B$2),16)=0,INDEX($M$2:$M$1000,(ROW()-ROW($B$2))/16+1),"")</f>
        <v/>
      </c>
    </row>
    <row r="11182" spans="2:14" x14ac:dyDescent="0.3">
      <c r="B11182" t="s">
        <v>1825</v>
      </c>
      <c r="N11182" t="str" cm="1">
        <f t="array" ref="N11182">IF(MOD(ROW()-ROW($B$2),16)=0,INDEX($M$2:$M$1000,(ROW()-ROW($B$2))/16+1),"")</f>
        <v/>
      </c>
    </row>
    <row r="11183" spans="2:14" x14ac:dyDescent="0.3">
      <c r="B11183" t="s">
        <v>1826</v>
      </c>
      <c r="N11183" t="str" cm="1">
        <f t="array" ref="N11183">IF(MOD(ROW()-ROW($B$2),16)=0,INDEX($M$2:$M$1000,(ROW()-ROW($B$2))/16+1),"")</f>
        <v/>
      </c>
    </row>
    <row r="11184" spans="2:14" x14ac:dyDescent="0.3">
      <c r="B11184" t="s">
        <v>1827</v>
      </c>
      <c r="N11184" t="str" cm="1">
        <f t="array" ref="N11184">IF(MOD(ROW()-ROW($B$2),16)=0,INDEX($M$2:$M$1000,(ROW()-ROW($B$2))/16+1),"")</f>
        <v/>
      </c>
    </row>
    <row r="11185" spans="2:14" x14ac:dyDescent="0.3">
      <c r="B11185" t="s">
        <v>1828</v>
      </c>
      <c r="N11185" t="str" cm="1">
        <f t="array" ref="N11185">IF(MOD(ROW()-ROW($B$2),16)=0,INDEX($M$2:$M$1000,(ROW()-ROW($B$2))/16+1),"")</f>
        <v/>
      </c>
    </row>
    <row r="11186" spans="2:14" x14ac:dyDescent="0.3">
      <c r="B11186" t="s">
        <v>1829</v>
      </c>
      <c r="N11186" t="str" cm="1">
        <f t="array" ref="N11186">IF(MOD(ROW()-ROW($B$2),16)=0,INDEX($M$2:$M$1000,(ROW()-ROW($B$2))/16+1),"")</f>
        <v/>
      </c>
    </row>
    <row r="11187" spans="2:14" x14ac:dyDescent="0.3">
      <c r="B11187" t="s">
        <v>1830</v>
      </c>
      <c r="N11187" t="str" cm="1">
        <f t="array" ref="N11187">IF(MOD(ROW()-ROW($B$2),16)=0,INDEX($M$2:$M$1000,(ROW()-ROW($B$2))/16+1),"")</f>
        <v/>
      </c>
    </row>
    <row r="11188" spans="2:14" x14ac:dyDescent="0.3">
      <c r="B11188" t="s">
        <v>1831</v>
      </c>
      <c r="N11188" t="str" cm="1">
        <f t="array" ref="N11188">IF(MOD(ROW()-ROW($B$2),16)=0,INDEX($M$2:$M$1000,(ROW()-ROW($B$2))/16+1),"")</f>
        <v/>
      </c>
    </row>
    <row r="11189" spans="2:14" x14ac:dyDescent="0.3">
      <c r="B11189" t="s">
        <v>1832</v>
      </c>
      <c r="N11189" t="str" cm="1">
        <f t="array" ref="N11189">IF(MOD(ROW()-ROW($B$2),16)=0,INDEX($M$2:$M$1000,(ROW()-ROW($B$2))/16+1),"")</f>
        <v/>
      </c>
    </row>
    <row r="11190" spans="2:14" x14ac:dyDescent="0.3">
      <c r="B11190" t="s">
        <v>1833</v>
      </c>
      <c r="N11190" t="str" cm="1">
        <f t="array" ref="N11190">IF(MOD(ROW()-ROW($B$2),16)=0,INDEX($M$2:$M$1000,(ROW()-ROW($B$2))/16+1),"")</f>
        <v/>
      </c>
    </row>
    <row r="11191" spans="2:14" x14ac:dyDescent="0.3">
      <c r="B11191" t="s">
        <v>1834</v>
      </c>
      <c r="N11191" t="str" cm="1">
        <f t="array" ref="N11191">IF(MOD(ROW()-ROW($B$2),16)=0,INDEX($M$2:$M$1000,(ROW()-ROW($B$2))/16+1),"")</f>
        <v/>
      </c>
    </row>
    <row r="11192" spans="2:14" x14ac:dyDescent="0.3">
      <c r="B11192" t="s">
        <v>1835</v>
      </c>
      <c r="N11192" t="str" cm="1">
        <f t="array" ref="N11192">IF(MOD(ROW()-ROW($B$2),16)=0,INDEX($M$2:$M$1000,(ROW()-ROW($B$2))/16+1),"")</f>
        <v/>
      </c>
    </row>
    <row r="11193" spans="2:14" x14ac:dyDescent="0.3">
      <c r="B11193" t="s">
        <v>1836</v>
      </c>
      <c r="N11193" t="str" cm="1">
        <f t="array" ref="N11193">IF(MOD(ROW()-ROW($B$2),16)=0,INDEX($M$2:$M$1000,(ROW()-ROW($B$2))/16+1),"")</f>
        <v/>
      </c>
    </row>
    <row r="11194" spans="2:14" x14ac:dyDescent="0.3">
      <c r="B11194" t="s">
        <v>1837</v>
      </c>
      <c r="N11194" t="str" cm="1">
        <f t="array" ref="N11194">IF(MOD(ROW()-ROW($B$2),16)=0,INDEX($M$2:$M$1000,(ROW()-ROW($B$2))/16+1),"")</f>
        <v/>
      </c>
    </row>
    <row r="11195" spans="2:14" x14ac:dyDescent="0.3">
      <c r="B11195" t="s">
        <v>1838</v>
      </c>
      <c r="N11195" t="str" cm="1">
        <f t="array" ref="N11195">IF(MOD(ROW()-ROW($B$2),16)=0,INDEX($M$2:$M$1000,(ROW()-ROW($B$2))/16+1),"")</f>
        <v/>
      </c>
    </row>
    <row r="11196" spans="2:14" x14ac:dyDescent="0.3">
      <c r="B11196" t="s">
        <v>1839</v>
      </c>
      <c r="N11196" t="str" cm="1">
        <f t="array" ref="N11196">IF(MOD(ROW()-ROW($B$2),16)=0,INDEX($M$2:$M$1000,(ROW()-ROW($B$2))/16+1),"")</f>
        <v/>
      </c>
    </row>
    <row r="11197" spans="2:14" x14ac:dyDescent="0.3">
      <c r="B11197" t="s">
        <v>1840</v>
      </c>
      <c r="N11197" t="str" cm="1">
        <f t="array" ref="N11197">IF(MOD(ROW()-ROW($B$2),16)=0,INDEX($M$2:$M$1000,(ROW()-ROW($B$2))/16+1),"")</f>
        <v/>
      </c>
    </row>
    <row r="11198" spans="2:14" x14ac:dyDescent="0.3">
      <c r="B11198" t="s">
        <v>1841</v>
      </c>
      <c r="N11198" t="str" cm="1">
        <f t="array" ref="N11198">IF(MOD(ROW()-ROW($B$2),16)=0,INDEX($M$2:$M$1000,(ROW()-ROW($B$2))/16+1),"")</f>
        <v/>
      </c>
    </row>
    <row r="11199" spans="2:14" x14ac:dyDescent="0.3">
      <c r="B11199" t="s">
        <v>1842</v>
      </c>
      <c r="N11199" t="str" cm="1">
        <f t="array" ref="N11199">IF(MOD(ROW()-ROW($B$2),16)=0,INDEX($M$2:$M$1000,(ROW()-ROW($B$2))/16+1),"")</f>
        <v/>
      </c>
    </row>
    <row r="11200" spans="2:14" x14ac:dyDescent="0.3">
      <c r="B11200" t="s">
        <v>1843</v>
      </c>
      <c r="N11200" t="str" cm="1">
        <f t="array" ref="N11200">IF(MOD(ROW()-ROW($B$2),16)=0,INDEX($M$2:$M$1000,(ROW()-ROW($B$2))/16+1),"")</f>
        <v/>
      </c>
    </row>
    <row r="11201" spans="2:14" x14ac:dyDescent="0.3">
      <c r="B11201" t="s">
        <v>1844</v>
      </c>
      <c r="N11201" t="str" cm="1">
        <f t="array" ref="N11201">IF(MOD(ROW()-ROW($B$2),16)=0,INDEX($M$2:$M$1000,(ROW()-ROW($B$2))/16+1),"")</f>
        <v/>
      </c>
    </row>
    <row r="11202" spans="2:14" x14ac:dyDescent="0.3">
      <c r="B11202" t="s">
        <v>1845</v>
      </c>
      <c r="N11202" t="str" cm="1">
        <f t="array" ref="N11202">IF(MOD(ROW()-ROW($B$2),16)=0,INDEX($M$2:$M$1000,(ROW()-ROW($B$2))/16+1),"")</f>
        <v/>
      </c>
    </row>
    <row r="11203" spans="2:14" x14ac:dyDescent="0.3">
      <c r="B11203" t="s">
        <v>1846</v>
      </c>
      <c r="N11203" t="str" cm="1">
        <f t="array" ref="N11203">IF(MOD(ROW()-ROW($B$2),16)=0,INDEX($M$2:$M$1000,(ROW()-ROW($B$2))/16+1),"")</f>
        <v/>
      </c>
    </row>
    <row r="11204" spans="2:14" x14ac:dyDescent="0.3">
      <c r="B11204" t="s">
        <v>1847</v>
      </c>
      <c r="N11204" t="str" cm="1">
        <f t="array" ref="N11204">IF(MOD(ROW()-ROW($B$2),16)=0,INDEX($M$2:$M$1000,(ROW()-ROW($B$2))/16+1),"")</f>
        <v/>
      </c>
    </row>
    <row r="11205" spans="2:14" x14ac:dyDescent="0.3">
      <c r="B11205" t="s">
        <v>1848</v>
      </c>
      <c r="N11205" t="str" cm="1">
        <f t="array" ref="N11205">IF(MOD(ROW()-ROW($B$2),16)=0,INDEX($M$2:$M$1000,(ROW()-ROW($B$2))/16+1),"")</f>
        <v/>
      </c>
    </row>
    <row r="11206" spans="2:14" x14ac:dyDescent="0.3">
      <c r="B11206" t="s">
        <v>1849</v>
      </c>
      <c r="N11206" t="str" cm="1">
        <f t="array" ref="N11206">IF(MOD(ROW()-ROW($B$2),16)=0,INDEX($M$2:$M$1000,(ROW()-ROW($B$2))/16+1),"")</f>
        <v/>
      </c>
    </row>
    <row r="11207" spans="2:14" x14ac:dyDescent="0.3">
      <c r="B11207" t="s">
        <v>1850</v>
      </c>
      <c r="N11207" t="str" cm="1">
        <f t="array" ref="N11207">IF(MOD(ROW()-ROW($B$2),16)=0,INDEX($M$2:$M$1000,(ROW()-ROW($B$2))/16+1),"")</f>
        <v/>
      </c>
    </row>
    <row r="11208" spans="2:14" x14ac:dyDescent="0.3">
      <c r="B11208" t="s">
        <v>1851</v>
      </c>
      <c r="N11208" t="str" cm="1">
        <f t="array" ref="N11208">IF(MOD(ROW()-ROW($B$2),16)=0,INDEX($M$2:$M$1000,(ROW()-ROW($B$2))/16+1),"")</f>
        <v/>
      </c>
    </row>
    <row r="11209" spans="2:14" x14ac:dyDescent="0.3">
      <c r="B11209" t="s">
        <v>1852</v>
      </c>
      <c r="N11209" t="str" cm="1">
        <f t="array" ref="N11209">IF(MOD(ROW()-ROW($B$2),16)=0,INDEX($M$2:$M$1000,(ROW()-ROW($B$2))/16+1),"")</f>
        <v/>
      </c>
    </row>
    <row r="11210" spans="2:14" x14ac:dyDescent="0.3">
      <c r="B11210" t="s">
        <v>1853</v>
      </c>
      <c r="N11210" t="str" cm="1">
        <f t="array" ref="N11210">IF(MOD(ROW()-ROW($B$2),16)=0,INDEX($M$2:$M$1000,(ROW()-ROW($B$2))/16+1),"")</f>
        <v/>
      </c>
    </row>
    <row r="11211" spans="2:14" x14ac:dyDescent="0.3">
      <c r="B11211" t="s">
        <v>1854</v>
      </c>
      <c r="N11211" t="str" cm="1">
        <f t="array" ref="N11211">IF(MOD(ROW()-ROW($B$2),16)=0,INDEX($M$2:$M$1000,(ROW()-ROW($B$2))/16+1),"")</f>
        <v/>
      </c>
    </row>
    <row r="11212" spans="2:14" x14ac:dyDescent="0.3">
      <c r="B11212" t="s">
        <v>1855</v>
      </c>
      <c r="N11212" t="str" cm="1">
        <f t="array" ref="N11212">IF(MOD(ROW()-ROW($B$2),16)=0,INDEX($M$2:$M$1000,(ROW()-ROW($B$2))/16+1),"")</f>
        <v/>
      </c>
    </row>
    <row r="11213" spans="2:14" x14ac:dyDescent="0.3">
      <c r="B11213" t="s">
        <v>1856</v>
      </c>
      <c r="N11213" t="str" cm="1">
        <f t="array" ref="N11213">IF(MOD(ROW()-ROW($B$2),16)=0,INDEX($M$2:$M$1000,(ROW()-ROW($B$2))/16+1),"")</f>
        <v/>
      </c>
    </row>
    <row r="11214" spans="2:14" x14ac:dyDescent="0.3">
      <c r="B11214" t="s">
        <v>1857</v>
      </c>
      <c r="N11214" t="str" cm="1">
        <f t="array" ref="N11214">IF(MOD(ROW()-ROW($B$2),16)=0,INDEX($M$2:$M$1000,(ROW()-ROW($B$2))/16+1),"")</f>
        <v/>
      </c>
    </row>
    <row r="11215" spans="2:14" x14ac:dyDescent="0.3">
      <c r="B11215" t="s">
        <v>1858</v>
      </c>
      <c r="N11215" t="str" cm="1">
        <f t="array" ref="N11215">IF(MOD(ROW()-ROW($B$2),16)=0,INDEX($M$2:$M$1000,(ROW()-ROW($B$2))/16+1),"")</f>
        <v/>
      </c>
    </row>
    <row r="11216" spans="2:14" x14ac:dyDescent="0.3">
      <c r="B11216" t="s">
        <v>1859</v>
      </c>
      <c r="N11216" t="str" cm="1">
        <f t="array" ref="N11216">IF(MOD(ROW()-ROW($B$2),16)=0,INDEX($M$2:$M$1000,(ROW()-ROW($B$2))/16+1),"")</f>
        <v/>
      </c>
    </row>
    <row r="11217" spans="2:14" x14ac:dyDescent="0.3">
      <c r="B11217" t="s">
        <v>1860</v>
      </c>
      <c r="N11217" t="str" cm="1">
        <f t="array" ref="N11217">IF(MOD(ROW()-ROW($B$2),16)=0,INDEX($M$2:$M$1000,(ROW()-ROW($B$2))/16+1),"")</f>
        <v/>
      </c>
    </row>
    <row r="11218" spans="2:14" x14ac:dyDescent="0.3">
      <c r="B11218" t="s">
        <v>1861</v>
      </c>
      <c r="N11218" t="str" cm="1">
        <f t="array" ref="N11218">IF(MOD(ROW()-ROW($B$2),16)=0,INDEX($M$2:$M$1000,(ROW()-ROW($B$2))/16+1),"")</f>
        <v/>
      </c>
    </row>
    <row r="11219" spans="2:14" x14ac:dyDescent="0.3">
      <c r="B11219" t="s">
        <v>1862</v>
      </c>
      <c r="N11219" t="str" cm="1">
        <f t="array" ref="N11219">IF(MOD(ROW()-ROW($B$2),16)=0,INDEX($M$2:$M$1000,(ROW()-ROW($B$2))/16+1),"")</f>
        <v/>
      </c>
    </row>
    <row r="11220" spans="2:14" x14ac:dyDescent="0.3">
      <c r="B11220" t="s">
        <v>1863</v>
      </c>
      <c r="N11220" t="str" cm="1">
        <f t="array" ref="N11220">IF(MOD(ROW()-ROW($B$2),16)=0,INDEX($M$2:$M$1000,(ROW()-ROW($B$2))/16+1),"")</f>
        <v/>
      </c>
    </row>
    <row r="11221" spans="2:14" x14ac:dyDescent="0.3">
      <c r="B11221" t="s">
        <v>1864</v>
      </c>
      <c r="N11221" t="str" cm="1">
        <f t="array" ref="N11221">IF(MOD(ROW()-ROW($B$2),16)=0,INDEX($M$2:$M$1000,(ROW()-ROW($B$2))/16+1),"")</f>
        <v/>
      </c>
    </row>
    <row r="11222" spans="2:14" x14ac:dyDescent="0.3">
      <c r="B11222" t="s">
        <v>1865</v>
      </c>
      <c r="N11222" t="str" cm="1">
        <f t="array" ref="N11222">IF(MOD(ROW()-ROW($B$2),16)=0,INDEX($M$2:$M$1000,(ROW()-ROW($B$2))/16+1),"")</f>
        <v/>
      </c>
    </row>
    <row r="11223" spans="2:14" x14ac:dyDescent="0.3">
      <c r="B11223" t="s">
        <v>1866</v>
      </c>
      <c r="N11223" t="str" cm="1">
        <f t="array" ref="N11223">IF(MOD(ROW()-ROW($B$2),16)=0,INDEX($M$2:$M$1000,(ROW()-ROW($B$2))/16+1),"")</f>
        <v/>
      </c>
    </row>
    <row r="11224" spans="2:14" x14ac:dyDescent="0.3">
      <c r="B11224" t="s">
        <v>1867</v>
      </c>
      <c r="N11224" t="str" cm="1">
        <f t="array" ref="N11224">IF(MOD(ROW()-ROW($B$2),16)=0,INDEX($M$2:$M$1000,(ROW()-ROW($B$2))/16+1),"")</f>
        <v/>
      </c>
    </row>
    <row r="11225" spans="2:14" x14ac:dyDescent="0.3">
      <c r="B11225" t="s">
        <v>1868</v>
      </c>
      <c r="N11225" t="str" cm="1">
        <f t="array" ref="N11225">IF(MOD(ROW()-ROW($B$2),16)=0,INDEX($M$2:$M$1000,(ROW()-ROW($B$2))/16+1),"")</f>
        <v/>
      </c>
    </row>
    <row r="11226" spans="2:14" x14ac:dyDescent="0.3">
      <c r="B11226" t="s">
        <v>1869</v>
      </c>
      <c r="N11226" t="str" cm="1">
        <f t="array" ref="N11226">IF(MOD(ROW()-ROW($B$2),16)=0,INDEX($M$2:$M$1000,(ROW()-ROW($B$2))/16+1),"")</f>
        <v/>
      </c>
    </row>
    <row r="11227" spans="2:14" x14ac:dyDescent="0.3">
      <c r="B11227" t="s">
        <v>1870</v>
      </c>
      <c r="N11227" t="str" cm="1">
        <f t="array" ref="N11227">IF(MOD(ROW()-ROW($B$2),16)=0,INDEX($M$2:$M$1000,(ROW()-ROW($B$2))/16+1),"")</f>
        <v/>
      </c>
    </row>
    <row r="11228" spans="2:14" x14ac:dyDescent="0.3">
      <c r="B11228" t="s">
        <v>1871</v>
      </c>
      <c r="N11228" t="str" cm="1">
        <f t="array" ref="N11228">IF(MOD(ROW()-ROW($B$2),16)=0,INDEX($M$2:$M$1000,(ROW()-ROW($B$2))/16+1),"")</f>
        <v/>
      </c>
    </row>
    <row r="11229" spans="2:14" x14ac:dyDescent="0.3">
      <c r="B11229" t="s">
        <v>1872</v>
      </c>
      <c r="N11229" t="str" cm="1">
        <f t="array" ref="N11229">IF(MOD(ROW()-ROW($B$2),16)=0,INDEX($M$2:$M$1000,(ROW()-ROW($B$2))/16+1),"")</f>
        <v/>
      </c>
    </row>
    <row r="11230" spans="2:14" x14ac:dyDescent="0.3">
      <c r="B11230" t="s">
        <v>1873</v>
      </c>
      <c r="N11230" t="str" cm="1">
        <f t="array" ref="N11230">IF(MOD(ROW()-ROW($B$2),16)=0,INDEX($M$2:$M$1000,(ROW()-ROW($B$2))/16+1),"")</f>
        <v/>
      </c>
    </row>
    <row r="11231" spans="2:14" x14ac:dyDescent="0.3">
      <c r="B11231" t="s">
        <v>1874</v>
      </c>
      <c r="N11231" t="str" cm="1">
        <f t="array" ref="N11231">IF(MOD(ROW()-ROW($B$2),16)=0,INDEX($M$2:$M$1000,(ROW()-ROW($B$2))/16+1),"")</f>
        <v/>
      </c>
    </row>
    <row r="11232" spans="2:14" x14ac:dyDescent="0.3">
      <c r="B11232" t="s">
        <v>1875</v>
      </c>
      <c r="N11232" t="str" cm="1">
        <f t="array" ref="N11232">IF(MOD(ROW()-ROW($B$2),16)=0,INDEX($M$2:$M$1000,(ROW()-ROW($B$2))/16+1),"")</f>
        <v/>
      </c>
    </row>
    <row r="11233" spans="2:14" x14ac:dyDescent="0.3">
      <c r="B11233" t="s">
        <v>1876</v>
      </c>
      <c r="N11233" t="str" cm="1">
        <f t="array" ref="N11233">IF(MOD(ROW()-ROW($B$2),16)=0,INDEX($M$2:$M$1000,(ROW()-ROW($B$2))/16+1),"")</f>
        <v/>
      </c>
    </row>
    <row r="11234" spans="2:14" x14ac:dyDescent="0.3">
      <c r="B11234" t="s">
        <v>1877</v>
      </c>
      <c r="N11234" t="str" cm="1">
        <f t="array" ref="N11234">IF(MOD(ROW()-ROW($B$2),16)=0,INDEX($M$2:$M$1000,(ROW()-ROW($B$2))/16+1),"")</f>
        <v/>
      </c>
    </row>
    <row r="11235" spans="2:14" x14ac:dyDescent="0.3">
      <c r="B11235" t="s">
        <v>1878</v>
      </c>
      <c r="N11235" t="str" cm="1">
        <f t="array" ref="N11235">IF(MOD(ROW()-ROW($B$2),16)=0,INDEX($M$2:$M$1000,(ROW()-ROW($B$2))/16+1),"")</f>
        <v/>
      </c>
    </row>
    <row r="11236" spans="2:14" x14ac:dyDescent="0.3">
      <c r="B11236" t="s">
        <v>1879</v>
      </c>
      <c r="N11236" t="str" cm="1">
        <f t="array" ref="N11236">IF(MOD(ROW()-ROW($B$2),16)=0,INDEX($M$2:$M$1000,(ROW()-ROW($B$2))/16+1),"")</f>
        <v/>
      </c>
    </row>
    <row r="11237" spans="2:14" x14ac:dyDescent="0.3">
      <c r="B11237" t="s">
        <v>1880</v>
      </c>
      <c r="N11237" t="str" cm="1">
        <f t="array" ref="N11237">IF(MOD(ROW()-ROW($B$2),16)=0,INDEX($M$2:$M$1000,(ROW()-ROW($B$2))/16+1),"")</f>
        <v/>
      </c>
    </row>
    <row r="11238" spans="2:14" x14ac:dyDescent="0.3">
      <c r="B11238" t="s">
        <v>1881</v>
      </c>
      <c r="N11238" t="str" cm="1">
        <f t="array" ref="N11238">IF(MOD(ROW()-ROW($B$2),16)=0,INDEX($M$2:$M$1000,(ROW()-ROW($B$2))/16+1),"")</f>
        <v/>
      </c>
    </row>
    <row r="11239" spans="2:14" x14ac:dyDescent="0.3">
      <c r="B11239" t="s">
        <v>1882</v>
      </c>
      <c r="N11239" t="str" cm="1">
        <f t="array" ref="N11239">IF(MOD(ROW()-ROW($B$2),16)=0,INDEX($M$2:$M$1000,(ROW()-ROW($B$2))/16+1),"")</f>
        <v/>
      </c>
    </row>
    <row r="11240" spans="2:14" x14ac:dyDescent="0.3">
      <c r="B11240" t="s">
        <v>1883</v>
      </c>
      <c r="N11240" t="str" cm="1">
        <f t="array" ref="N11240">IF(MOD(ROW()-ROW($B$2),16)=0,INDEX($M$2:$M$1000,(ROW()-ROW($B$2))/16+1),"")</f>
        <v/>
      </c>
    </row>
    <row r="11241" spans="2:14" x14ac:dyDescent="0.3">
      <c r="B11241" t="s">
        <v>1884</v>
      </c>
      <c r="N11241" t="str" cm="1">
        <f t="array" ref="N11241">IF(MOD(ROW()-ROW($B$2),16)=0,INDEX($M$2:$M$1000,(ROW()-ROW($B$2))/16+1),"")</f>
        <v/>
      </c>
    </row>
    <row r="11242" spans="2:14" x14ac:dyDescent="0.3">
      <c r="B11242" t="s">
        <v>1885</v>
      </c>
      <c r="N11242" t="str" cm="1">
        <f t="array" ref="N11242">IF(MOD(ROW()-ROW($B$2),16)=0,INDEX($M$2:$M$1000,(ROW()-ROW($B$2))/16+1),"")</f>
        <v/>
      </c>
    </row>
    <row r="11243" spans="2:14" x14ac:dyDescent="0.3">
      <c r="B11243" t="s">
        <v>1886</v>
      </c>
      <c r="N11243" t="str" cm="1">
        <f t="array" ref="N11243">IF(MOD(ROW()-ROW($B$2),16)=0,INDEX($M$2:$M$1000,(ROW()-ROW($B$2))/16+1),"")</f>
        <v/>
      </c>
    </row>
    <row r="11244" spans="2:14" x14ac:dyDescent="0.3">
      <c r="B11244" t="s">
        <v>1887</v>
      </c>
      <c r="N11244" t="str" cm="1">
        <f t="array" ref="N11244">IF(MOD(ROW()-ROW($B$2),16)=0,INDEX($M$2:$M$1000,(ROW()-ROW($B$2))/16+1),"")</f>
        <v/>
      </c>
    </row>
    <row r="11245" spans="2:14" x14ac:dyDescent="0.3">
      <c r="B11245" t="s">
        <v>1888</v>
      </c>
      <c r="N11245" t="str" cm="1">
        <f t="array" ref="N11245">IF(MOD(ROW()-ROW($B$2),16)=0,INDEX($M$2:$M$1000,(ROW()-ROW($B$2))/16+1),"")</f>
        <v/>
      </c>
    </row>
    <row r="11246" spans="2:14" x14ac:dyDescent="0.3">
      <c r="B11246" t="s">
        <v>1889</v>
      </c>
      <c r="N11246" t="str" cm="1">
        <f t="array" ref="N11246">IF(MOD(ROW()-ROW($B$2),16)=0,INDEX($M$2:$M$1000,(ROW()-ROW($B$2))/16+1),"")</f>
        <v/>
      </c>
    </row>
    <row r="11247" spans="2:14" x14ac:dyDescent="0.3">
      <c r="B11247" t="s">
        <v>1890</v>
      </c>
      <c r="N11247" t="str" cm="1">
        <f t="array" ref="N11247">IF(MOD(ROW()-ROW($B$2),16)=0,INDEX($M$2:$M$1000,(ROW()-ROW($B$2))/16+1),"")</f>
        <v/>
      </c>
    </row>
    <row r="11248" spans="2:14" x14ac:dyDescent="0.3">
      <c r="B11248" t="s">
        <v>1891</v>
      </c>
      <c r="N11248" t="str" cm="1">
        <f t="array" ref="N11248">IF(MOD(ROW()-ROW($B$2),16)=0,INDEX($M$2:$M$1000,(ROW()-ROW($B$2))/16+1),"")</f>
        <v/>
      </c>
    </row>
    <row r="11249" spans="2:14" x14ac:dyDescent="0.3">
      <c r="B11249" t="s">
        <v>1892</v>
      </c>
      <c r="N11249" t="str" cm="1">
        <f t="array" ref="N11249">IF(MOD(ROW()-ROW($B$2),16)=0,INDEX($M$2:$M$1000,(ROW()-ROW($B$2))/16+1),"")</f>
        <v/>
      </c>
    </row>
    <row r="11250" spans="2:14" x14ac:dyDescent="0.3">
      <c r="B11250" t="s">
        <v>1893</v>
      </c>
      <c r="N11250" t="str" cm="1">
        <f t="array" ref="N11250">IF(MOD(ROW()-ROW($B$2),16)=0,INDEX($M$2:$M$1000,(ROW()-ROW($B$2))/16+1),"")</f>
        <v/>
      </c>
    </row>
    <row r="11251" spans="2:14" x14ac:dyDescent="0.3">
      <c r="B11251" t="s">
        <v>1894</v>
      </c>
      <c r="N11251" t="str" cm="1">
        <f t="array" ref="N11251">IF(MOD(ROW()-ROW($B$2),16)=0,INDEX($M$2:$M$1000,(ROW()-ROW($B$2))/16+1),"")</f>
        <v/>
      </c>
    </row>
    <row r="11252" spans="2:14" x14ac:dyDescent="0.3">
      <c r="B11252" t="s">
        <v>1895</v>
      </c>
      <c r="N11252" t="str" cm="1">
        <f t="array" ref="N11252">IF(MOD(ROW()-ROW($B$2),16)=0,INDEX($M$2:$M$1000,(ROW()-ROW($B$2))/16+1),"")</f>
        <v/>
      </c>
    </row>
    <row r="11253" spans="2:14" x14ac:dyDescent="0.3">
      <c r="B11253" t="s">
        <v>1896</v>
      </c>
      <c r="N11253" t="str" cm="1">
        <f t="array" ref="N11253">IF(MOD(ROW()-ROW($B$2),16)=0,INDEX($M$2:$M$1000,(ROW()-ROW($B$2))/16+1),"")</f>
        <v/>
      </c>
    </row>
    <row r="11254" spans="2:14" x14ac:dyDescent="0.3">
      <c r="B11254" t="s">
        <v>1897</v>
      </c>
      <c r="N11254" t="str" cm="1">
        <f t="array" ref="N11254">IF(MOD(ROW()-ROW($B$2),16)=0,INDEX($M$2:$M$1000,(ROW()-ROW($B$2))/16+1),"")</f>
        <v/>
      </c>
    </row>
    <row r="11255" spans="2:14" x14ac:dyDescent="0.3">
      <c r="B11255" t="s">
        <v>1898</v>
      </c>
      <c r="N11255" t="str" cm="1">
        <f t="array" ref="N11255">IF(MOD(ROW()-ROW($B$2),16)=0,INDEX($M$2:$M$1000,(ROW()-ROW($B$2))/16+1),"")</f>
        <v/>
      </c>
    </row>
    <row r="11256" spans="2:14" x14ac:dyDescent="0.3">
      <c r="B11256" t="s">
        <v>1899</v>
      </c>
      <c r="N11256" t="str" cm="1">
        <f t="array" ref="N11256">IF(MOD(ROW()-ROW($B$2),16)=0,INDEX($M$2:$M$1000,(ROW()-ROW($B$2))/16+1),"")</f>
        <v/>
      </c>
    </row>
    <row r="11257" spans="2:14" x14ac:dyDescent="0.3">
      <c r="B11257" t="s">
        <v>1900</v>
      </c>
      <c r="N11257" t="str" cm="1">
        <f t="array" ref="N11257">IF(MOD(ROW()-ROW($B$2),16)=0,INDEX($M$2:$M$1000,(ROW()-ROW($B$2))/16+1),"")</f>
        <v/>
      </c>
    </row>
    <row r="11258" spans="2:14" x14ac:dyDescent="0.3">
      <c r="B11258" t="s">
        <v>1901</v>
      </c>
      <c r="N11258" t="str" cm="1">
        <f t="array" ref="N11258">IF(MOD(ROW()-ROW($B$2),16)=0,INDEX($M$2:$M$1000,(ROW()-ROW($B$2))/16+1),"")</f>
        <v/>
      </c>
    </row>
    <row r="11259" spans="2:14" x14ac:dyDescent="0.3">
      <c r="B11259" t="s">
        <v>1902</v>
      </c>
      <c r="N11259" t="str" cm="1">
        <f t="array" ref="N11259">IF(MOD(ROW()-ROW($B$2),16)=0,INDEX($M$2:$M$1000,(ROW()-ROW($B$2))/16+1),"")</f>
        <v/>
      </c>
    </row>
    <row r="11260" spans="2:14" x14ac:dyDescent="0.3">
      <c r="B11260" t="s">
        <v>1903</v>
      </c>
      <c r="N11260" t="str" cm="1">
        <f t="array" ref="N11260">IF(MOD(ROW()-ROW($B$2),16)=0,INDEX($M$2:$M$1000,(ROW()-ROW($B$2))/16+1),"")</f>
        <v/>
      </c>
    </row>
    <row r="11261" spans="2:14" x14ac:dyDescent="0.3">
      <c r="B11261" t="s">
        <v>1904</v>
      </c>
      <c r="N11261" t="str" cm="1">
        <f t="array" ref="N11261">IF(MOD(ROW()-ROW($B$2),16)=0,INDEX($M$2:$M$1000,(ROW()-ROW($B$2))/16+1),"")</f>
        <v/>
      </c>
    </row>
    <row r="11262" spans="2:14" x14ac:dyDescent="0.3">
      <c r="B11262" t="s">
        <v>1905</v>
      </c>
      <c r="N11262" t="str" cm="1">
        <f t="array" ref="N11262">IF(MOD(ROW()-ROW($B$2),16)=0,INDEX($M$2:$M$1000,(ROW()-ROW($B$2))/16+1),"")</f>
        <v/>
      </c>
    </row>
    <row r="11263" spans="2:14" x14ac:dyDescent="0.3">
      <c r="B11263" t="s">
        <v>1906</v>
      </c>
      <c r="N11263" t="str" cm="1">
        <f t="array" ref="N11263">IF(MOD(ROW()-ROW($B$2),16)=0,INDEX($M$2:$M$1000,(ROW()-ROW($B$2))/16+1),"")</f>
        <v/>
      </c>
    </row>
    <row r="11264" spans="2:14" x14ac:dyDescent="0.3">
      <c r="B11264" t="s">
        <v>1907</v>
      </c>
      <c r="N11264" t="str" cm="1">
        <f t="array" ref="N11264">IF(MOD(ROW()-ROW($B$2),16)=0,INDEX($M$2:$M$1000,(ROW()-ROW($B$2))/16+1),"")</f>
        <v/>
      </c>
    </row>
    <row r="11265" spans="2:14" x14ac:dyDescent="0.3">
      <c r="B11265" t="s">
        <v>1908</v>
      </c>
      <c r="N11265" t="str" cm="1">
        <f t="array" ref="N11265">IF(MOD(ROW()-ROW($B$2),16)=0,INDEX($M$2:$M$1000,(ROW()-ROW($B$2))/16+1),"")</f>
        <v/>
      </c>
    </row>
    <row r="11266" spans="2:14" x14ac:dyDescent="0.3">
      <c r="B11266" t="s">
        <v>1909</v>
      </c>
      <c r="N11266" t="str" cm="1">
        <f t="array" ref="N11266">IF(MOD(ROW()-ROW($B$2),16)=0,INDEX($M$2:$M$1000,(ROW()-ROW($B$2))/16+1),"")</f>
        <v/>
      </c>
    </row>
    <row r="11267" spans="2:14" x14ac:dyDescent="0.3">
      <c r="B11267" t="s">
        <v>1910</v>
      </c>
      <c r="N11267" t="str" cm="1">
        <f t="array" ref="N11267">IF(MOD(ROW()-ROW($B$2),16)=0,INDEX($M$2:$M$1000,(ROW()-ROW($B$2))/16+1),"")</f>
        <v/>
      </c>
    </row>
    <row r="11268" spans="2:14" x14ac:dyDescent="0.3">
      <c r="B11268" t="s">
        <v>1911</v>
      </c>
      <c r="N11268" t="str" cm="1">
        <f t="array" ref="N11268">IF(MOD(ROW()-ROW($B$2),16)=0,INDEX($M$2:$M$1000,(ROW()-ROW($B$2))/16+1),"")</f>
        <v/>
      </c>
    </row>
    <row r="11269" spans="2:14" x14ac:dyDescent="0.3">
      <c r="B11269" t="s">
        <v>1912</v>
      </c>
      <c r="N11269" t="str" cm="1">
        <f t="array" ref="N11269">IF(MOD(ROW()-ROW($B$2),16)=0,INDEX($M$2:$M$1000,(ROW()-ROW($B$2))/16+1),"")</f>
        <v/>
      </c>
    </row>
    <row r="11270" spans="2:14" x14ac:dyDescent="0.3">
      <c r="B11270" t="s">
        <v>1913</v>
      </c>
      <c r="N11270" t="str" cm="1">
        <f t="array" ref="N11270">IF(MOD(ROW()-ROW($B$2),16)=0,INDEX($M$2:$M$1000,(ROW()-ROW($B$2))/16+1),"")</f>
        <v/>
      </c>
    </row>
    <row r="11271" spans="2:14" x14ac:dyDescent="0.3">
      <c r="B11271" t="s">
        <v>1914</v>
      </c>
      <c r="N11271" t="str" cm="1">
        <f t="array" ref="N11271">IF(MOD(ROW()-ROW($B$2),16)=0,INDEX($M$2:$M$1000,(ROW()-ROW($B$2))/16+1),"")</f>
        <v/>
      </c>
    </row>
    <row r="11272" spans="2:14" x14ac:dyDescent="0.3">
      <c r="B11272" t="s">
        <v>1915</v>
      </c>
      <c r="N11272" t="str" cm="1">
        <f t="array" ref="N11272">IF(MOD(ROW()-ROW($B$2),16)=0,INDEX($M$2:$M$1000,(ROW()-ROW($B$2))/16+1),"")</f>
        <v/>
      </c>
    </row>
    <row r="11273" spans="2:14" x14ac:dyDescent="0.3">
      <c r="B11273" t="s">
        <v>1916</v>
      </c>
      <c r="N11273" t="str" cm="1">
        <f t="array" ref="N11273">IF(MOD(ROW()-ROW($B$2),16)=0,INDEX($M$2:$M$1000,(ROW()-ROW($B$2))/16+1),"")</f>
        <v/>
      </c>
    </row>
    <row r="11274" spans="2:14" x14ac:dyDescent="0.3">
      <c r="B11274" t="s">
        <v>1917</v>
      </c>
      <c r="N11274" t="str" cm="1">
        <f t="array" ref="N11274">IF(MOD(ROW()-ROW($B$2),16)=0,INDEX($M$2:$M$1000,(ROW()-ROW($B$2))/16+1),"")</f>
        <v/>
      </c>
    </row>
    <row r="11275" spans="2:14" x14ac:dyDescent="0.3">
      <c r="B11275" t="s">
        <v>1918</v>
      </c>
      <c r="N11275" t="str" cm="1">
        <f t="array" ref="N11275">IF(MOD(ROW()-ROW($B$2),16)=0,INDEX($M$2:$M$1000,(ROW()-ROW($B$2))/16+1),"")</f>
        <v/>
      </c>
    </row>
    <row r="11276" spans="2:14" x14ac:dyDescent="0.3">
      <c r="B11276" t="s">
        <v>1919</v>
      </c>
      <c r="N11276" t="str" cm="1">
        <f t="array" ref="N11276">IF(MOD(ROW()-ROW($B$2),16)=0,INDEX($M$2:$M$1000,(ROW()-ROW($B$2))/16+1),"")</f>
        <v/>
      </c>
    </row>
    <row r="11277" spans="2:14" x14ac:dyDescent="0.3">
      <c r="B11277" t="s">
        <v>1920</v>
      </c>
      <c r="N11277" t="str" cm="1">
        <f t="array" ref="N11277">IF(MOD(ROW()-ROW($B$2),16)=0,INDEX($M$2:$M$1000,(ROW()-ROW($B$2))/16+1),"")</f>
        <v/>
      </c>
    </row>
    <row r="11278" spans="2:14" x14ac:dyDescent="0.3">
      <c r="B11278" t="s">
        <v>1921</v>
      </c>
      <c r="N11278" t="str" cm="1">
        <f t="array" ref="N11278">IF(MOD(ROW()-ROW($B$2),16)=0,INDEX($M$2:$M$1000,(ROW()-ROW($B$2))/16+1),"")</f>
        <v/>
      </c>
    </row>
    <row r="11279" spans="2:14" x14ac:dyDescent="0.3">
      <c r="B11279" t="s">
        <v>1922</v>
      </c>
      <c r="N11279" t="str" cm="1">
        <f t="array" ref="N11279">IF(MOD(ROW()-ROW($B$2),16)=0,INDEX($M$2:$M$1000,(ROW()-ROW($B$2))/16+1),"")</f>
        <v/>
      </c>
    </row>
    <row r="11280" spans="2:14" x14ac:dyDescent="0.3">
      <c r="B11280" t="s">
        <v>1923</v>
      </c>
      <c r="N11280" t="str" cm="1">
        <f t="array" ref="N11280">IF(MOD(ROW()-ROW($B$2),16)=0,INDEX($M$2:$M$1000,(ROW()-ROW($B$2))/16+1),"")</f>
        <v/>
      </c>
    </row>
    <row r="11281" spans="2:14" x14ac:dyDescent="0.3">
      <c r="B11281" t="s">
        <v>1924</v>
      </c>
      <c r="N11281" t="str" cm="1">
        <f t="array" ref="N11281">IF(MOD(ROW()-ROW($B$2),16)=0,INDEX($M$2:$M$1000,(ROW()-ROW($B$2))/16+1),"")</f>
        <v/>
      </c>
    </row>
    <row r="11282" spans="2:14" x14ac:dyDescent="0.3">
      <c r="B11282" t="s">
        <v>1925</v>
      </c>
      <c r="N11282" t="str" cm="1">
        <f t="array" ref="N11282">IF(MOD(ROW()-ROW($B$2),16)=0,INDEX($M$2:$M$1000,(ROW()-ROW($B$2))/16+1),"")</f>
        <v/>
      </c>
    </row>
    <row r="11283" spans="2:14" x14ac:dyDescent="0.3">
      <c r="B11283" t="s">
        <v>1926</v>
      </c>
      <c r="N11283" t="str" cm="1">
        <f t="array" ref="N11283">IF(MOD(ROW()-ROW($B$2),16)=0,INDEX($M$2:$M$1000,(ROW()-ROW($B$2))/16+1),"")</f>
        <v/>
      </c>
    </row>
    <row r="11284" spans="2:14" x14ac:dyDescent="0.3">
      <c r="B11284" t="s">
        <v>1927</v>
      </c>
      <c r="N11284" t="str" cm="1">
        <f t="array" ref="N11284">IF(MOD(ROW()-ROW($B$2),16)=0,INDEX($M$2:$M$1000,(ROW()-ROW($B$2))/16+1),"")</f>
        <v/>
      </c>
    </row>
    <row r="11285" spans="2:14" x14ac:dyDescent="0.3">
      <c r="B11285" t="s">
        <v>1928</v>
      </c>
      <c r="N11285" t="str" cm="1">
        <f t="array" ref="N11285">IF(MOD(ROW()-ROW($B$2),16)=0,INDEX($M$2:$M$1000,(ROW()-ROW($B$2))/16+1),"")</f>
        <v/>
      </c>
    </row>
    <row r="11286" spans="2:14" x14ac:dyDescent="0.3">
      <c r="B11286" t="s">
        <v>1929</v>
      </c>
      <c r="N11286" t="str" cm="1">
        <f t="array" ref="N11286">IF(MOD(ROW()-ROW($B$2),16)=0,INDEX($M$2:$M$1000,(ROW()-ROW($B$2))/16+1),"")</f>
        <v/>
      </c>
    </row>
    <row r="11287" spans="2:14" x14ac:dyDescent="0.3">
      <c r="B11287" t="s">
        <v>1930</v>
      </c>
      <c r="N11287" t="str" cm="1">
        <f t="array" ref="N11287">IF(MOD(ROW()-ROW($B$2),16)=0,INDEX($M$2:$M$1000,(ROW()-ROW($B$2))/16+1),"")</f>
        <v/>
      </c>
    </row>
    <row r="11288" spans="2:14" x14ac:dyDescent="0.3">
      <c r="B11288" t="s">
        <v>1931</v>
      </c>
      <c r="N11288" t="str" cm="1">
        <f t="array" ref="N11288">IF(MOD(ROW()-ROW($B$2),16)=0,INDEX($M$2:$M$1000,(ROW()-ROW($B$2))/16+1),"")</f>
        <v/>
      </c>
    </row>
    <row r="11289" spans="2:14" x14ac:dyDescent="0.3">
      <c r="B11289" t="s">
        <v>1932</v>
      </c>
      <c r="N11289" t="str" cm="1">
        <f t="array" ref="N11289">IF(MOD(ROW()-ROW($B$2),16)=0,INDEX($M$2:$M$1000,(ROW()-ROW($B$2))/16+1),"")</f>
        <v/>
      </c>
    </row>
    <row r="11290" spans="2:14" x14ac:dyDescent="0.3">
      <c r="B11290" t="s">
        <v>1933</v>
      </c>
      <c r="N11290" t="str" cm="1">
        <f t="array" ref="N11290">IF(MOD(ROW()-ROW($B$2),16)=0,INDEX($M$2:$M$1000,(ROW()-ROW($B$2))/16+1),"")</f>
        <v/>
      </c>
    </row>
    <row r="11291" spans="2:14" x14ac:dyDescent="0.3">
      <c r="B11291" t="s">
        <v>1934</v>
      </c>
      <c r="N11291" t="str" cm="1">
        <f t="array" ref="N11291">IF(MOD(ROW()-ROW($B$2),16)=0,INDEX($M$2:$M$1000,(ROW()-ROW($B$2))/16+1),"")</f>
        <v/>
      </c>
    </row>
    <row r="11292" spans="2:14" x14ac:dyDescent="0.3">
      <c r="B11292" t="s">
        <v>1935</v>
      </c>
      <c r="N11292" t="str" cm="1">
        <f t="array" ref="N11292">IF(MOD(ROW()-ROW($B$2),16)=0,INDEX($M$2:$M$1000,(ROW()-ROW($B$2))/16+1),"")</f>
        <v/>
      </c>
    </row>
    <row r="11293" spans="2:14" x14ac:dyDescent="0.3">
      <c r="B11293" t="s">
        <v>1936</v>
      </c>
      <c r="N11293" t="str" cm="1">
        <f t="array" ref="N11293">IF(MOD(ROW()-ROW($B$2),16)=0,INDEX($M$2:$M$1000,(ROW()-ROW($B$2))/16+1),"")</f>
        <v/>
      </c>
    </row>
    <row r="11294" spans="2:14" x14ac:dyDescent="0.3">
      <c r="B11294" t="s">
        <v>1937</v>
      </c>
      <c r="N11294" t="str" cm="1">
        <f t="array" ref="N11294">IF(MOD(ROW()-ROW($B$2),16)=0,INDEX($M$2:$M$1000,(ROW()-ROW($B$2))/16+1),"")</f>
        <v/>
      </c>
    </row>
    <row r="11295" spans="2:14" x14ac:dyDescent="0.3">
      <c r="B11295" t="s">
        <v>1938</v>
      </c>
      <c r="N11295" t="str" cm="1">
        <f t="array" ref="N11295">IF(MOD(ROW()-ROW($B$2),16)=0,INDEX($M$2:$M$1000,(ROW()-ROW($B$2))/16+1),"")</f>
        <v/>
      </c>
    </row>
    <row r="11296" spans="2:14" x14ac:dyDescent="0.3">
      <c r="B11296" t="s">
        <v>1939</v>
      </c>
      <c r="N11296" t="str" cm="1">
        <f t="array" ref="N11296">IF(MOD(ROW()-ROW($B$2),16)=0,INDEX($M$2:$M$1000,(ROW()-ROW($B$2))/16+1),"")</f>
        <v/>
      </c>
    </row>
    <row r="11297" spans="2:14" x14ac:dyDescent="0.3">
      <c r="B11297" t="s">
        <v>1940</v>
      </c>
      <c r="N11297" t="str" cm="1">
        <f t="array" ref="N11297">IF(MOD(ROW()-ROW($B$2),16)=0,INDEX($M$2:$M$1000,(ROW()-ROW($B$2))/16+1),"")</f>
        <v/>
      </c>
    </row>
    <row r="11298" spans="2:14" x14ac:dyDescent="0.3">
      <c r="B11298" t="s">
        <v>1941</v>
      </c>
      <c r="N11298" t="str" cm="1">
        <f t="array" ref="N11298">IF(MOD(ROW()-ROW($B$2),16)=0,INDEX($M$2:$M$1000,(ROW()-ROW($B$2))/16+1),"")</f>
        <v/>
      </c>
    </row>
    <row r="11299" spans="2:14" x14ac:dyDescent="0.3">
      <c r="B11299" t="s">
        <v>1942</v>
      </c>
      <c r="N11299" t="str" cm="1">
        <f t="array" ref="N11299">IF(MOD(ROW()-ROW($B$2),16)=0,INDEX($M$2:$M$1000,(ROW()-ROW($B$2))/16+1),"")</f>
        <v/>
      </c>
    </row>
    <row r="11300" spans="2:14" x14ac:dyDescent="0.3">
      <c r="B11300" t="s">
        <v>1943</v>
      </c>
      <c r="N11300" t="str" cm="1">
        <f t="array" ref="N11300">IF(MOD(ROW()-ROW($B$2),16)=0,INDEX($M$2:$M$1000,(ROW()-ROW($B$2))/16+1),"")</f>
        <v/>
      </c>
    </row>
    <row r="11301" spans="2:14" x14ac:dyDescent="0.3">
      <c r="B11301" t="s">
        <v>1944</v>
      </c>
      <c r="N11301" t="str" cm="1">
        <f t="array" ref="N11301">IF(MOD(ROW()-ROW($B$2),16)=0,INDEX($M$2:$M$1000,(ROW()-ROW($B$2))/16+1),"")</f>
        <v/>
      </c>
    </row>
    <row r="11302" spans="2:14" x14ac:dyDescent="0.3">
      <c r="B11302" t="s">
        <v>1945</v>
      </c>
      <c r="N11302" t="str" cm="1">
        <f t="array" ref="N11302">IF(MOD(ROW()-ROW($B$2),16)=0,INDEX($M$2:$M$1000,(ROW()-ROW($B$2))/16+1),"")</f>
        <v/>
      </c>
    </row>
    <row r="11303" spans="2:14" x14ac:dyDescent="0.3">
      <c r="B11303" t="s">
        <v>1946</v>
      </c>
      <c r="N11303" t="str" cm="1">
        <f t="array" ref="N11303">IF(MOD(ROW()-ROW($B$2),16)=0,INDEX($M$2:$M$1000,(ROW()-ROW($B$2))/16+1),"")</f>
        <v/>
      </c>
    </row>
    <row r="11304" spans="2:14" x14ac:dyDescent="0.3">
      <c r="B11304" t="s">
        <v>1947</v>
      </c>
      <c r="N11304" t="str" cm="1">
        <f t="array" ref="N11304">IF(MOD(ROW()-ROW($B$2),16)=0,INDEX($M$2:$M$1000,(ROW()-ROW($B$2))/16+1),"")</f>
        <v/>
      </c>
    </row>
    <row r="11305" spans="2:14" x14ac:dyDescent="0.3">
      <c r="B11305" t="s">
        <v>1948</v>
      </c>
      <c r="N11305" t="str" cm="1">
        <f t="array" ref="N11305">IF(MOD(ROW()-ROW($B$2),16)=0,INDEX($M$2:$M$1000,(ROW()-ROW($B$2))/16+1),"")</f>
        <v/>
      </c>
    </row>
    <row r="11306" spans="2:14" x14ac:dyDescent="0.3">
      <c r="B11306" t="s">
        <v>1949</v>
      </c>
      <c r="N11306" t="str" cm="1">
        <f t="array" ref="N11306">IF(MOD(ROW()-ROW($B$2),16)=0,INDEX($M$2:$M$1000,(ROW()-ROW($B$2))/16+1),"")</f>
        <v/>
      </c>
    </row>
    <row r="11307" spans="2:14" x14ac:dyDescent="0.3">
      <c r="B11307" t="s">
        <v>1950</v>
      </c>
      <c r="N11307" t="str" cm="1">
        <f t="array" ref="N11307">IF(MOD(ROW()-ROW($B$2),16)=0,INDEX($M$2:$M$1000,(ROW()-ROW($B$2))/16+1),"")</f>
        <v/>
      </c>
    </row>
    <row r="11308" spans="2:14" x14ac:dyDescent="0.3">
      <c r="B11308" t="s">
        <v>1951</v>
      </c>
      <c r="N11308" t="str" cm="1">
        <f t="array" ref="N11308">IF(MOD(ROW()-ROW($B$2),16)=0,INDEX($M$2:$M$1000,(ROW()-ROW($B$2))/16+1),"")</f>
        <v/>
      </c>
    </row>
    <row r="11309" spans="2:14" x14ac:dyDescent="0.3">
      <c r="B11309" t="s">
        <v>1952</v>
      </c>
      <c r="N11309" t="str" cm="1">
        <f t="array" ref="N11309">IF(MOD(ROW()-ROW($B$2),16)=0,INDEX($M$2:$M$1000,(ROW()-ROW($B$2))/16+1),"")</f>
        <v/>
      </c>
    </row>
    <row r="11310" spans="2:14" x14ac:dyDescent="0.3">
      <c r="B11310" t="s">
        <v>1953</v>
      </c>
      <c r="N11310" t="str" cm="1">
        <f t="array" ref="N11310">IF(MOD(ROW()-ROW($B$2),16)=0,INDEX($M$2:$M$1000,(ROW()-ROW($B$2))/16+1),"")</f>
        <v/>
      </c>
    </row>
    <row r="11311" spans="2:14" x14ac:dyDescent="0.3">
      <c r="B11311" t="s">
        <v>1954</v>
      </c>
      <c r="N11311" t="str" cm="1">
        <f t="array" ref="N11311">IF(MOD(ROW()-ROW($B$2),16)=0,INDEX($M$2:$M$1000,(ROW()-ROW($B$2))/16+1),"")</f>
        <v/>
      </c>
    </row>
    <row r="11312" spans="2:14" x14ac:dyDescent="0.3">
      <c r="B11312" t="s">
        <v>1955</v>
      </c>
      <c r="N11312" t="str" cm="1">
        <f t="array" ref="N11312">IF(MOD(ROW()-ROW($B$2),16)=0,INDEX($M$2:$M$1000,(ROW()-ROW($B$2))/16+1),"")</f>
        <v/>
      </c>
    </row>
    <row r="11313" spans="2:14" x14ac:dyDescent="0.3">
      <c r="B11313" t="s">
        <v>1956</v>
      </c>
      <c r="N11313" t="str" cm="1">
        <f t="array" ref="N11313">IF(MOD(ROW()-ROW($B$2),16)=0,INDEX($M$2:$M$1000,(ROW()-ROW($B$2))/16+1),"")</f>
        <v/>
      </c>
    </row>
    <row r="11314" spans="2:14" x14ac:dyDescent="0.3">
      <c r="B11314" t="s">
        <v>1957</v>
      </c>
      <c r="N11314" t="str" cm="1">
        <f t="array" ref="N11314">IF(MOD(ROW()-ROW($B$2),16)=0,INDEX($M$2:$M$1000,(ROW()-ROW($B$2))/16+1),"")</f>
        <v/>
      </c>
    </row>
    <row r="11315" spans="2:14" x14ac:dyDescent="0.3">
      <c r="B11315" t="s">
        <v>1958</v>
      </c>
      <c r="N11315" t="str" cm="1">
        <f t="array" ref="N11315">IF(MOD(ROW()-ROW($B$2),16)=0,INDEX($M$2:$M$1000,(ROW()-ROW($B$2))/16+1),"")</f>
        <v/>
      </c>
    </row>
    <row r="11316" spans="2:14" x14ac:dyDescent="0.3">
      <c r="B11316" t="s">
        <v>1959</v>
      </c>
      <c r="N11316" t="str" cm="1">
        <f t="array" ref="N11316">IF(MOD(ROW()-ROW($B$2),16)=0,INDEX($M$2:$M$1000,(ROW()-ROW($B$2))/16+1),"")</f>
        <v/>
      </c>
    </row>
    <row r="11317" spans="2:14" x14ac:dyDescent="0.3">
      <c r="B11317" t="s">
        <v>1960</v>
      </c>
      <c r="N11317" t="str" cm="1">
        <f t="array" ref="N11317">IF(MOD(ROW()-ROW($B$2),16)=0,INDEX($M$2:$M$1000,(ROW()-ROW($B$2))/16+1),"")</f>
        <v/>
      </c>
    </row>
    <row r="11318" spans="2:14" x14ac:dyDescent="0.3">
      <c r="B11318" t="s">
        <v>1961</v>
      </c>
      <c r="N11318" t="str" cm="1">
        <f t="array" ref="N11318">IF(MOD(ROW()-ROW($B$2),16)=0,INDEX($M$2:$M$1000,(ROW()-ROW($B$2))/16+1),"")</f>
        <v/>
      </c>
    </row>
    <row r="11319" spans="2:14" x14ac:dyDescent="0.3">
      <c r="B11319" t="s">
        <v>1962</v>
      </c>
      <c r="N11319" t="str" cm="1">
        <f t="array" ref="N11319">IF(MOD(ROW()-ROW($B$2),16)=0,INDEX($M$2:$M$1000,(ROW()-ROW($B$2))/16+1),"")</f>
        <v/>
      </c>
    </row>
    <row r="11320" spans="2:14" x14ac:dyDescent="0.3">
      <c r="B11320" t="s">
        <v>1963</v>
      </c>
      <c r="N11320" t="str" cm="1">
        <f t="array" ref="N11320">IF(MOD(ROW()-ROW($B$2),16)=0,INDEX($M$2:$M$1000,(ROW()-ROW($B$2))/16+1),"")</f>
        <v/>
      </c>
    </row>
    <row r="11321" spans="2:14" x14ac:dyDescent="0.3">
      <c r="B11321" t="s">
        <v>1964</v>
      </c>
      <c r="N11321" t="str" cm="1">
        <f t="array" ref="N11321">IF(MOD(ROW()-ROW($B$2),16)=0,INDEX($M$2:$M$1000,(ROW()-ROW($B$2))/16+1),"")</f>
        <v/>
      </c>
    </row>
    <row r="11322" spans="2:14" x14ac:dyDescent="0.3">
      <c r="B11322" t="s">
        <v>1965</v>
      </c>
      <c r="N11322" t="str" cm="1">
        <f t="array" ref="N11322">IF(MOD(ROW()-ROW($B$2),16)=0,INDEX($M$2:$M$1000,(ROW()-ROW($B$2))/16+1),"")</f>
        <v/>
      </c>
    </row>
    <row r="11323" spans="2:14" x14ac:dyDescent="0.3">
      <c r="B11323" t="s">
        <v>1966</v>
      </c>
      <c r="N11323" t="str" cm="1">
        <f t="array" ref="N11323">IF(MOD(ROW()-ROW($B$2),16)=0,INDEX($M$2:$M$1000,(ROW()-ROW($B$2))/16+1),"")</f>
        <v/>
      </c>
    </row>
    <row r="11324" spans="2:14" x14ac:dyDescent="0.3">
      <c r="B11324" t="s">
        <v>1967</v>
      </c>
      <c r="N11324" t="str" cm="1">
        <f t="array" ref="N11324">IF(MOD(ROW()-ROW($B$2),16)=0,INDEX($M$2:$M$1000,(ROW()-ROW($B$2))/16+1),"")</f>
        <v/>
      </c>
    </row>
    <row r="11325" spans="2:14" x14ac:dyDescent="0.3">
      <c r="B11325" t="s">
        <v>1968</v>
      </c>
      <c r="N11325" t="str" cm="1">
        <f t="array" ref="N11325">IF(MOD(ROW()-ROW($B$2),16)=0,INDEX($M$2:$M$1000,(ROW()-ROW($B$2))/16+1),"")</f>
        <v/>
      </c>
    </row>
    <row r="11326" spans="2:14" x14ac:dyDescent="0.3">
      <c r="B11326" t="s">
        <v>1969</v>
      </c>
      <c r="N11326" t="str" cm="1">
        <f t="array" ref="N11326">IF(MOD(ROW()-ROW($B$2),16)=0,INDEX($M$2:$M$1000,(ROW()-ROW($B$2))/16+1),"")</f>
        <v/>
      </c>
    </row>
    <row r="11327" spans="2:14" x14ac:dyDescent="0.3">
      <c r="B11327" t="s">
        <v>1970</v>
      </c>
      <c r="N11327" t="str" cm="1">
        <f t="array" ref="N11327">IF(MOD(ROW()-ROW($B$2),16)=0,INDEX($M$2:$M$1000,(ROW()-ROW($B$2))/16+1),"")</f>
        <v/>
      </c>
    </row>
    <row r="11328" spans="2:14" x14ac:dyDescent="0.3">
      <c r="B11328" t="s">
        <v>1971</v>
      </c>
      <c r="N11328" t="str" cm="1">
        <f t="array" ref="N11328">IF(MOD(ROW()-ROW($B$2),16)=0,INDEX($M$2:$M$1000,(ROW()-ROW($B$2))/16+1),"")</f>
        <v/>
      </c>
    </row>
    <row r="11329" spans="2:14" x14ac:dyDescent="0.3">
      <c r="B11329" t="s">
        <v>1972</v>
      </c>
      <c r="N11329" t="str" cm="1">
        <f t="array" ref="N11329">IF(MOD(ROW()-ROW($B$2),16)=0,INDEX($M$2:$M$1000,(ROW()-ROW($B$2))/16+1),"")</f>
        <v/>
      </c>
    </row>
    <row r="11330" spans="2:14" x14ac:dyDescent="0.3">
      <c r="B11330" t="s">
        <v>1973</v>
      </c>
      <c r="N11330" t="str" cm="1">
        <f t="array" ref="N11330">IF(MOD(ROW()-ROW($B$2),16)=0,INDEX($M$2:$M$1000,(ROW()-ROW($B$2))/16+1),"")</f>
        <v/>
      </c>
    </row>
    <row r="11331" spans="2:14" x14ac:dyDescent="0.3">
      <c r="B11331" t="s">
        <v>1974</v>
      </c>
      <c r="N11331" t="str" cm="1">
        <f t="array" ref="N11331">IF(MOD(ROW()-ROW($B$2),16)=0,INDEX($M$2:$M$1000,(ROW()-ROW($B$2))/16+1),"")</f>
        <v/>
      </c>
    </row>
    <row r="11332" spans="2:14" x14ac:dyDescent="0.3">
      <c r="B11332" t="s">
        <v>1975</v>
      </c>
      <c r="N11332" t="str" cm="1">
        <f t="array" ref="N11332">IF(MOD(ROW()-ROW($B$2),16)=0,INDEX($M$2:$M$1000,(ROW()-ROW($B$2))/16+1),"")</f>
        <v/>
      </c>
    </row>
    <row r="11333" spans="2:14" x14ac:dyDescent="0.3">
      <c r="B11333" t="s">
        <v>1976</v>
      </c>
      <c r="N11333" t="str" cm="1">
        <f t="array" ref="N11333">IF(MOD(ROW()-ROW($B$2),16)=0,INDEX($M$2:$M$1000,(ROW()-ROW($B$2))/16+1),"")</f>
        <v/>
      </c>
    </row>
    <row r="11334" spans="2:14" x14ac:dyDescent="0.3">
      <c r="B11334" t="s">
        <v>1977</v>
      </c>
      <c r="N11334" t="str" cm="1">
        <f t="array" ref="N11334">IF(MOD(ROW()-ROW($B$2),16)=0,INDEX($M$2:$M$1000,(ROW()-ROW($B$2))/16+1),"")</f>
        <v/>
      </c>
    </row>
    <row r="11335" spans="2:14" x14ac:dyDescent="0.3">
      <c r="B11335" t="s">
        <v>1978</v>
      </c>
      <c r="N11335" t="str" cm="1">
        <f t="array" ref="N11335">IF(MOD(ROW()-ROW($B$2),16)=0,INDEX($M$2:$M$1000,(ROW()-ROW($B$2))/16+1),"")</f>
        <v/>
      </c>
    </row>
    <row r="11336" spans="2:14" x14ac:dyDescent="0.3">
      <c r="B11336" t="s">
        <v>1979</v>
      </c>
      <c r="N11336" t="str" cm="1">
        <f t="array" ref="N11336">IF(MOD(ROW()-ROW($B$2),16)=0,INDEX($M$2:$M$1000,(ROW()-ROW($B$2))/16+1),"")</f>
        <v/>
      </c>
    </row>
    <row r="11337" spans="2:14" x14ac:dyDescent="0.3">
      <c r="B11337" t="s">
        <v>1980</v>
      </c>
      <c r="N11337" t="str" cm="1">
        <f t="array" ref="N11337">IF(MOD(ROW()-ROW($B$2),16)=0,INDEX($M$2:$M$1000,(ROW()-ROW($B$2))/16+1),"")</f>
        <v/>
      </c>
    </row>
    <row r="11338" spans="2:14" x14ac:dyDescent="0.3">
      <c r="B11338" t="s">
        <v>1981</v>
      </c>
      <c r="N11338" t="str" cm="1">
        <f t="array" ref="N11338">IF(MOD(ROW()-ROW($B$2),16)=0,INDEX($M$2:$M$1000,(ROW()-ROW($B$2))/16+1),"")</f>
        <v/>
      </c>
    </row>
    <row r="11339" spans="2:14" x14ac:dyDescent="0.3">
      <c r="B11339" t="s">
        <v>1982</v>
      </c>
      <c r="N11339" t="str" cm="1">
        <f t="array" ref="N11339">IF(MOD(ROW()-ROW($B$2),16)=0,INDEX($M$2:$M$1000,(ROW()-ROW($B$2))/16+1),"")</f>
        <v/>
      </c>
    </row>
    <row r="11340" spans="2:14" x14ac:dyDescent="0.3">
      <c r="B11340" t="s">
        <v>1983</v>
      </c>
      <c r="N11340" t="str" cm="1">
        <f t="array" ref="N11340">IF(MOD(ROW()-ROW($B$2),16)=0,INDEX($M$2:$M$1000,(ROW()-ROW($B$2))/16+1),"")</f>
        <v/>
      </c>
    </row>
    <row r="11341" spans="2:14" x14ac:dyDescent="0.3">
      <c r="B11341" t="s">
        <v>1984</v>
      </c>
      <c r="N11341" t="str" cm="1">
        <f t="array" ref="N11341">IF(MOD(ROW()-ROW($B$2),16)=0,INDEX($M$2:$M$1000,(ROW()-ROW($B$2))/16+1),"")</f>
        <v/>
      </c>
    </row>
    <row r="11342" spans="2:14" x14ac:dyDescent="0.3">
      <c r="B11342" t="s">
        <v>1985</v>
      </c>
      <c r="N11342" t="str" cm="1">
        <f t="array" ref="N11342">IF(MOD(ROW()-ROW($B$2),16)=0,INDEX($M$2:$M$1000,(ROW()-ROW($B$2))/16+1),"")</f>
        <v/>
      </c>
    </row>
    <row r="11343" spans="2:14" x14ac:dyDescent="0.3">
      <c r="B11343" t="s">
        <v>1986</v>
      </c>
      <c r="N11343" t="str" cm="1">
        <f t="array" ref="N11343">IF(MOD(ROW()-ROW($B$2),16)=0,INDEX($M$2:$M$1000,(ROW()-ROW($B$2))/16+1),"")</f>
        <v/>
      </c>
    </row>
    <row r="11344" spans="2:14" x14ac:dyDescent="0.3">
      <c r="B11344" t="s">
        <v>1987</v>
      </c>
      <c r="N11344" t="str" cm="1">
        <f t="array" ref="N11344">IF(MOD(ROW()-ROW($B$2),16)=0,INDEX($M$2:$M$1000,(ROW()-ROW($B$2))/16+1),"")</f>
        <v/>
      </c>
    </row>
    <row r="11345" spans="2:14" x14ac:dyDescent="0.3">
      <c r="B11345" t="s">
        <v>1988</v>
      </c>
      <c r="N11345" t="str" cm="1">
        <f t="array" ref="N11345">IF(MOD(ROW()-ROW($B$2),16)=0,INDEX($M$2:$M$1000,(ROW()-ROW($B$2))/16+1),"")</f>
        <v/>
      </c>
    </row>
    <row r="11346" spans="2:14" x14ac:dyDescent="0.3">
      <c r="B11346" t="s">
        <v>1989</v>
      </c>
      <c r="N11346" t="str" cm="1">
        <f t="array" ref="N11346">IF(MOD(ROW()-ROW($B$2),16)=0,INDEX($M$2:$M$1000,(ROW()-ROW($B$2))/16+1),"")</f>
        <v/>
      </c>
    </row>
    <row r="11347" spans="2:14" x14ac:dyDescent="0.3">
      <c r="B11347" t="s">
        <v>1990</v>
      </c>
      <c r="N11347" t="str" cm="1">
        <f t="array" ref="N11347">IF(MOD(ROW()-ROW($B$2),16)=0,INDEX($M$2:$M$1000,(ROW()-ROW($B$2))/16+1),"")</f>
        <v/>
      </c>
    </row>
    <row r="11348" spans="2:14" x14ac:dyDescent="0.3">
      <c r="B11348" t="s">
        <v>1991</v>
      </c>
      <c r="N11348" t="str" cm="1">
        <f t="array" ref="N11348">IF(MOD(ROW()-ROW($B$2),16)=0,INDEX($M$2:$M$1000,(ROW()-ROW($B$2))/16+1),"")</f>
        <v/>
      </c>
    </row>
    <row r="11349" spans="2:14" x14ac:dyDescent="0.3">
      <c r="B11349" t="s">
        <v>1992</v>
      </c>
      <c r="N11349" t="str" cm="1">
        <f t="array" ref="N11349">IF(MOD(ROW()-ROW($B$2),16)=0,INDEX($M$2:$M$1000,(ROW()-ROW($B$2))/16+1),"")</f>
        <v/>
      </c>
    </row>
    <row r="11350" spans="2:14" x14ac:dyDescent="0.3">
      <c r="B11350" t="s">
        <v>1993</v>
      </c>
      <c r="N11350" t="str" cm="1">
        <f t="array" ref="N11350">IF(MOD(ROW()-ROW($B$2),16)=0,INDEX($M$2:$M$1000,(ROW()-ROW($B$2))/16+1),"")</f>
        <v/>
      </c>
    </row>
    <row r="11351" spans="2:14" x14ac:dyDescent="0.3">
      <c r="B11351" t="s">
        <v>1994</v>
      </c>
      <c r="N11351" t="str" cm="1">
        <f t="array" ref="N11351">IF(MOD(ROW()-ROW($B$2),16)=0,INDEX($M$2:$M$1000,(ROW()-ROW($B$2))/16+1),"")</f>
        <v/>
      </c>
    </row>
    <row r="11352" spans="2:14" x14ac:dyDescent="0.3">
      <c r="B11352" t="s">
        <v>1995</v>
      </c>
      <c r="N11352" t="str" cm="1">
        <f t="array" ref="N11352">IF(MOD(ROW()-ROW($B$2),16)=0,INDEX($M$2:$M$1000,(ROW()-ROW($B$2))/16+1),"")</f>
        <v/>
      </c>
    </row>
    <row r="11353" spans="2:14" x14ac:dyDescent="0.3">
      <c r="B11353" t="s">
        <v>1996</v>
      </c>
      <c r="N11353" t="str" cm="1">
        <f t="array" ref="N11353">IF(MOD(ROW()-ROW($B$2),16)=0,INDEX($M$2:$M$1000,(ROW()-ROW($B$2))/16+1),"")</f>
        <v/>
      </c>
    </row>
    <row r="11354" spans="2:14" x14ac:dyDescent="0.3">
      <c r="B11354" t="s">
        <v>1997</v>
      </c>
      <c r="N11354" t="str" cm="1">
        <f t="array" ref="N11354">IF(MOD(ROW()-ROW($B$2),16)=0,INDEX($M$2:$M$1000,(ROW()-ROW($B$2))/16+1),"")</f>
        <v/>
      </c>
    </row>
    <row r="11355" spans="2:14" x14ac:dyDescent="0.3">
      <c r="B11355" t="s">
        <v>1998</v>
      </c>
      <c r="N11355" t="str" cm="1">
        <f t="array" ref="N11355">IF(MOD(ROW()-ROW($B$2),16)=0,INDEX($M$2:$M$1000,(ROW()-ROW($B$2))/16+1),"")</f>
        <v/>
      </c>
    </row>
    <row r="11356" spans="2:14" x14ac:dyDescent="0.3">
      <c r="B11356" t="s">
        <v>1999</v>
      </c>
      <c r="N11356" t="str" cm="1">
        <f t="array" ref="N11356">IF(MOD(ROW()-ROW($B$2),16)=0,INDEX($M$2:$M$1000,(ROW()-ROW($B$2))/16+1),"")</f>
        <v/>
      </c>
    </row>
    <row r="11357" spans="2:14" x14ac:dyDescent="0.3">
      <c r="B11357" t="s">
        <v>2000</v>
      </c>
      <c r="N11357" t="str" cm="1">
        <f t="array" ref="N11357">IF(MOD(ROW()-ROW($B$2),16)=0,INDEX($M$2:$M$1000,(ROW()-ROW($B$2))/16+1),"")</f>
        <v/>
      </c>
    </row>
    <row r="11358" spans="2:14" x14ac:dyDescent="0.3">
      <c r="B11358" t="s">
        <v>2001</v>
      </c>
      <c r="N11358" t="str" cm="1">
        <f t="array" ref="N11358">IF(MOD(ROW()-ROW($B$2),16)=0,INDEX($M$2:$M$1000,(ROW()-ROW($B$2))/16+1),"")</f>
        <v/>
      </c>
    </row>
    <row r="11359" spans="2:14" x14ac:dyDescent="0.3">
      <c r="B11359" t="s">
        <v>2002</v>
      </c>
      <c r="N11359" t="str" cm="1">
        <f t="array" ref="N11359">IF(MOD(ROW()-ROW($B$2),16)=0,INDEX($M$2:$M$1000,(ROW()-ROW($B$2))/16+1),"")</f>
        <v/>
      </c>
    </row>
    <row r="11360" spans="2:14" x14ac:dyDescent="0.3">
      <c r="B11360" t="s">
        <v>2003</v>
      </c>
      <c r="N11360" t="str" cm="1">
        <f t="array" ref="N11360">IF(MOD(ROW()-ROW($B$2),16)=0,INDEX($M$2:$M$1000,(ROW()-ROW($B$2))/16+1),"")</f>
        <v/>
      </c>
    </row>
    <row r="11361" spans="2:14" x14ac:dyDescent="0.3">
      <c r="B11361" t="s">
        <v>2004</v>
      </c>
      <c r="N11361" t="str" cm="1">
        <f t="array" ref="N11361">IF(MOD(ROW()-ROW($B$2),16)=0,INDEX($M$2:$M$1000,(ROW()-ROW($B$2))/16+1),"")</f>
        <v/>
      </c>
    </row>
    <row r="11362" spans="2:14" x14ac:dyDescent="0.3">
      <c r="B11362" t="s">
        <v>2005</v>
      </c>
      <c r="N11362" t="str" cm="1">
        <f t="array" ref="N11362">IF(MOD(ROW()-ROW($B$2),16)=0,INDEX($M$2:$M$1000,(ROW()-ROW($B$2))/16+1),"")</f>
        <v/>
      </c>
    </row>
    <row r="11363" spans="2:14" x14ac:dyDescent="0.3">
      <c r="B11363" t="s">
        <v>2006</v>
      </c>
      <c r="N11363" t="str" cm="1">
        <f t="array" ref="N11363">IF(MOD(ROW()-ROW($B$2),16)=0,INDEX($M$2:$M$1000,(ROW()-ROW($B$2))/16+1),"")</f>
        <v/>
      </c>
    </row>
    <row r="11364" spans="2:14" x14ac:dyDescent="0.3">
      <c r="B11364" t="s">
        <v>2007</v>
      </c>
      <c r="N11364" t="str" cm="1">
        <f t="array" ref="N11364">IF(MOD(ROW()-ROW($B$2),16)=0,INDEX($M$2:$M$1000,(ROW()-ROW($B$2))/16+1),"")</f>
        <v/>
      </c>
    </row>
    <row r="11365" spans="2:14" x14ac:dyDescent="0.3">
      <c r="B11365" t="s">
        <v>2008</v>
      </c>
      <c r="N11365" t="str" cm="1">
        <f t="array" ref="N11365">IF(MOD(ROW()-ROW($B$2),16)=0,INDEX($M$2:$M$1000,(ROW()-ROW($B$2))/16+1),"")</f>
        <v/>
      </c>
    </row>
    <row r="11366" spans="2:14" x14ac:dyDescent="0.3">
      <c r="B11366" t="s">
        <v>2009</v>
      </c>
      <c r="N11366" t="str" cm="1">
        <f t="array" ref="N11366">IF(MOD(ROW()-ROW($B$2),16)=0,INDEX($M$2:$M$1000,(ROW()-ROW($B$2))/16+1),"")</f>
        <v/>
      </c>
    </row>
    <row r="11367" spans="2:14" x14ac:dyDescent="0.3">
      <c r="B11367" t="s">
        <v>2010</v>
      </c>
      <c r="N11367" t="str" cm="1">
        <f t="array" ref="N11367">IF(MOD(ROW()-ROW($B$2),16)=0,INDEX($M$2:$M$1000,(ROW()-ROW($B$2))/16+1),"")</f>
        <v/>
      </c>
    </row>
    <row r="11368" spans="2:14" x14ac:dyDescent="0.3">
      <c r="B11368" t="s">
        <v>2011</v>
      </c>
      <c r="N11368" t="str" cm="1">
        <f t="array" ref="N11368">IF(MOD(ROW()-ROW($B$2),16)=0,INDEX($M$2:$M$1000,(ROW()-ROW($B$2))/16+1),"")</f>
        <v/>
      </c>
    </row>
    <row r="11369" spans="2:14" x14ac:dyDescent="0.3">
      <c r="B11369" t="s">
        <v>2012</v>
      </c>
      <c r="N11369" t="str" cm="1">
        <f t="array" ref="N11369">IF(MOD(ROW()-ROW($B$2),16)=0,INDEX($M$2:$M$1000,(ROW()-ROW($B$2))/16+1),"")</f>
        <v/>
      </c>
    </row>
    <row r="11370" spans="2:14" x14ac:dyDescent="0.3">
      <c r="B11370" t="s">
        <v>2013</v>
      </c>
      <c r="N11370" t="str" cm="1">
        <f t="array" ref="N11370">IF(MOD(ROW()-ROW($B$2),16)=0,INDEX($M$2:$M$1000,(ROW()-ROW($B$2))/16+1),"")</f>
        <v/>
      </c>
    </row>
    <row r="11371" spans="2:14" x14ac:dyDescent="0.3">
      <c r="B11371" t="s">
        <v>2014</v>
      </c>
      <c r="N11371" t="str" cm="1">
        <f t="array" ref="N11371">IF(MOD(ROW()-ROW($B$2),16)=0,INDEX($M$2:$M$1000,(ROW()-ROW($B$2))/16+1),"")</f>
        <v/>
      </c>
    </row>
    <row r="11372" spans="2:14" x14ac:dyDescent="0.3">
      <c r="B11372" t="s">
        <v>2015</v>
      </c>
      <c r="N11372" t="str" cm="1">
        <f t="array" ref="N11372">IF(MOD(ROW()-ROW($B$2),16)=0,INDEX($M$2:$M$1000,(ROW()-ROW($B$2))/16+1),"")</f>
        <v/>
      </c>
    </row>
    <row r="11373" spans="2:14" x14ac:dyDescent="0.3">
      <c r="B11373" t="s">
        <v>2016</v>
      </c>
      <c r="N11373" t="str" cm="1">
        <f t="array" ref="N11373">IF(MOD(ROW()-ROW($B$2),16)=0,INDEX($M$2:$M$1000,(ROW()-ROW($B$2))/16+1),"")</f>
        <v/>
      </c>
    </row>
    <row r="11374" spans="2:14" x14ac:dyDescent="0.3">
      <c r="B11374" t="s">
        <v>2017</v>
      </c>
      <c r="N11374" t="str" cm="1">
        <f t="array" ref="N11374">IF(MOD(ROW()-ROW($B$2),16)=0,INDEX($M$2:$M$1000,(ROW()-ROW($B$2))/16+1),"")</f>
        <v/>
      </c>
    </row>
    <row r="11375" spans="2:14" x14ac:dyDescent="0.3">
      <c r="B11375" t="s">
        <v>2018</v>
      </c>
      <c r="N11375" t="str" cm="1">
        <f t="array" ref="N11375">IF(MOD(ROW()-ROW($B$2),16)=0,INDEX($M$2:$M$1000,(ROW()-ROW($B$2))/16+1),"")</f>
        <v/>
      </c>
    </row>
    <row r="11376" spans="2:14" x14ac:dyDescent="0.3">
      <c r="B11376" t="s">
        <v>2019</v>
      </c>
      <c r="N11376" t="str" cm="1">
        <f t="array" ref="N11376">IF(MOD(ROW()-ROW($B$2),16)=0,INDEX($M$2:$M$1000,(ROW()-ROW($B$2))/16+1),"")</f>
        <v/>
      </c>
    </row>
    <row r="11377" spans="2:14" x14ac:dyDescent="0.3">
      <c r="B11377" t="s">
        <v>2020</v>
      </c>
      <c r="N11377" t="str" cm="1">
        <f t="array" ref="N11377">IF(MOD(ROW()-ROW($B$2),16)=0,INDEX($M$2:$M$1000,(ROW()-ROW($B$2))/16+1),"")</f>
        <v/>
      </c>
    </row>
    <row r="11378" spans="2:14" x14ac:dyDescent="0.3">
      <c r="B11378" t="s">
        <v>2021</v>
      </c>
      <c r="N11378" t="str" cm="1">
        <f t="array" ref="N11378">IF(MOD(ROW()-ROW($B$2),16)=0,INDEX($M$2:$M$1000,(ROW()-ROW($B$2))/16+1),"")</f>
        <v/>
      </c>
    </row>
    <row r="11379" spans="2:14" x14ac:dyDescent="0.3">
      <c r="B11379" t="s">
        <v>2022</v>
      </c>
      <c r="N11379" t="str" cm="1">
        <f t="array" ref="N11379">IF(MOD(ROW()-ROW($B$2),16)=0,INDEX($M$2:$M$1000,(ROW()-ROW($B$2))/16+1),"")</f>
        <v/>
      </c>
    </row>
    <row r="11380" spans="2:14" x14ac:dyDescent="0.3">
      <c r="B11380" t="s">
        <v>2023</v>
      </c>
      <c r="N11380" t="str" cm="1">
        <f t="array" ref="N11380">IF(MOD(ROW()-ROW($B$2),16)=0,INDEX($M$2:$M$1000,(ROW()-ROW($B$2))/16+1),"")</f>
        <v/>
      </c>
    </row>
    <row r="11381" spans="2:14" x14ac:dyDescent="0.3">
      <c r="B11381" t="s">
        <v>2024</v>
      </c>
      <c r="N11381" t="str" cm="1">
        <f t="array" ref="N11381">IF(MOD(ROW()-ROW($B$2),16)=0,INDEX($M$2:$M$1000,(ROW()-ROW($B$2))/16+1),"")</f>
        <v/>
      </c>
    </row>
    <row r="11382" spans="2:14" x14ac:dyDescent="0.3">
      <c r="B11382" t="s">
        <v>2025</v>
      </c>
      <c r="N11382" t="str" cm="1">
        <f t="array" ref="N11382">IF(MOD(ROW()-ROW($B$2),16)=0,INDEX($M$2:$M$1000,(ROW()-ROW($B$2))/16+1),"")</f>
        <v/>
      </c>
    </row>
    <row r="11383" spans="2:14" x14ac:dyDescent="0.3">
      <c r="B11383" t="s">
        <v>2026</v>
      </c>
      <c r="N11383" t="str" cm="1">
        <f t="array" ref="N11383">IF(MOD(ROW()-ROW($B$2),16)=0,INDEX($M$2:$M$1000,(ROW()-ROW($B$2))/16+1),"")</f>
        <v/>
      </c>
    </row>
    <row r="11384" spans="2:14" x14ac:dyDescent="0.3">
      <c r="B11384" t="s">
        <v>2027</v>
      </c>
      <c r="N11384" t="str" cm="1">
        <f t="array" ref="N11384">IF(MOD(ROW()-ROW($B$2),16)=0,INDEX($M$2:$M$1000,(ROW()-ROW($B$2))/16+1),"")</f>
        <v/>
      </c>
    </row>
    <row r="11385" spans="2:14" x14ac:dyDescent="0.3">
      <c r="B11385" t="s">
        <v>2028</v>
      </c>
      <c r="N11385" t="str" cm="1">
        <f t="array" ref="N11385">IF(MOD(ROW()-ROW($B$2),16)=0,INDEX($M$2:$M$1000,(ROW()-ROW($B$2))/16+1),"")</f>
        <v/>
      </c>
    </row>
    <row r="11386" spans="2:14" x14ac:dyDescent="0.3">
      <c r="B11386" t="s">
        <v>2029</v>
      </c>
      <c r="N11386" t="str" cm="1">
        <f t="array" ref="N11386">IF(MOD(ROW()-ROW($B$2),16)=0,INDEX($M$2:$M$1000,(ROW()-ROW($B$2))/16+1),"")</f>
        <v/>
      </c>
    </row>
    <row r="11387" spans="2:14" x14ac:dyDescent="0.3">
      <c r="B11387" t="s">
        <v>2030</v>
      </c>
      <c r="N11387" t="str" cm="1">
        <f t="array" ref="N11387">IF(MOD(ROW()-ROW($B$2),16)=0,INDEX($M$2:$M$1000,(ROW()-ROW($B$2))/16+1),"")</f>
        <v/>
      </c>
    </row>
    <row r="11388" spans="2:14" x14ac:dyDescent="0.3">
      <c r="B11388" t="s">
        <v>2031</v>
      </c>
      <c r="N11388" t="str" cm="1">
        <f t="array" ref="N11388">IF(MOD(ROW()-ROW($B$2),16)=0,INDEX($M$2:$M$1000,(ROW()-ROW($B$2))/16+1),"")</f>
        <v/>
      </c>
    </row>
    <row r="11389" spans="2:14" x14ac:dyDescent="0.3">
      <c r="B11389" t="s">
        <v>2032</v>
      </c>
      <c r="N11389" t="str" cm="1">
        <f t="array" ref="N11389">IF(MOD(ROW()-ROW($B$2),16)=0,INDEX($M$2:$M$1000,(ROW()-ROW($B$2))/16+1),"")</f>
        <v/>
      </c>
    </row>
    <row r="11390" spans="2:14" x14ac:dyDescent="0.3">
      <c r="B11390" t="s">
        <v>2033</v>
      </c>
      <c r="N11390" t="str" cm="1">
        <f t="array" ref="N11390">IF(MOD(ROW()-ROW($B$2),16)=0,INDEX($M$2:$M$1000,(ROW()-ROW($B$2))/16+1),"")</f>
        <v/>
      </c>
    </row>
    <row r="11391" spans="2:14" x14ac:dyDescent="0.3">
      <c r="B11391" t="s">
        <v>2034</v>
      </c>
      <c r="N11391" t="str" cm="1">
        <f t="array" ref="N11391">IF(MOD(ROW()-ROW($B$2),16)=0,INDEX($M$2:$M$1000,(ROW()-ROW($B$2))/16+1),"")</f>
        <v/>
      </c>
    </row>
    <row r="11392" spans="2:14" x14ac:dyDescent="0.3">
      <c r="B11392" t="s">
        <v>2035</v>
      </c>
      <c r="N11392" t="str" cm="1">
        <f t="array" ref="N11392">IF(MOD(ROW()-ROW($B$2),16)=0,INDEX($M$2:$M$1000,(ROW()-ROW($B$2))/16+1),"")</f>
        <v/>
      </c>
    </row>
    <row r="11393" spans="2:14" x14ac:dyDescent="0.3">
      <c r="B11393" t="s">
        <v>2036</v>
      </c>
      <c r="N11393" t="str" cm="1">
        <f t="array" ref="N11393">IF(MOD(ROW()-ROW($B$2),16)=0,INDEX($M$2:$M$1000,(ROW()-ROW($B$2))/16+1),"")</f>
        <v/>
      </c>
    </row>
    <row r="11394" spans="2:14" x14ac:dyDescent="0.3">
      <c r="B11394" t="s">
        <v>2037</v>
      </c>
      <c r="N11394" t="str" cm="1">
        <f t="array" ref="N11394">IF(MOD(ROW()-ROW($B$2),16)=0,INDEX($M$2:$M$1000,(ROW()-ROW($B$2))/16+1),"")</f>
        <v/>
      </c>
    </row>
    <row r="11395" spans="2:14" x14ac:dyDescent="0.3">
      <c r="B11395" t="s">
        <v>2038</v>
      </c>
      <c r="N11395" t="str" cm="1">
        <f t="array" ref="N11395">IF(MOD(ROW()-ROW($B$2),16)=0,INDEX($M$2:$M$1000,(ROW()-ROW($B$2))/16+1),"")</f>
        <v/>
      </c>
    </row>
    <row r="11396" spans="2:14" x14ac:dyDescent="0.3">
      <c r="B11396" t="s">
        <v>2039</v>
      </c>
      <c r="N11396" t="str" cm="1">
        <f t="array" ref="N11396">IF(MOD(ROW()-ROW($B$2),16)=0,INDEX($M$2:$M$1000,(ROW()-ROW($B$2))/16+1),"")</f>
        <v/>
      </c>
    </row>
    <row r="11397" spans="2:14" x14ac:dyDescent="0.3">
      <c r="B11397" t="s">
        <v>2040</v>
      </c>
      <c r="N11397" t="str" cm="1">
        <f t="array" ref="N11397">IF(MOD(ROW()-ROW($B$2),16)=0,INDEX($M$2:$M$1000,(ROW()-ROW($B$2))/16+1),"")</f>
        <v/>
      </c>
    </row>
    <row r="11398" spans="2:14" x14ac:dyDescent="0.3">
      <c r="B11398" t="s">
        <v>2041</v>
      </c>
      <c r="N11398" t="str" cm="1">
        <f t="array" ref="N11398">IF(MOD(ROW()-ROW($B$2),16)=0,INDEX($M$2:$M$1000,(ROW()-ROW($B$2))/16+1),"")</f>
        <v/>
      </c>
    </row>
    <row r="11399" spans="2:14" x14ac:dyDescent="0.3">
      <c r="B11399" t="s">
        <v>2042</v>
      </c>
      <c r="N11399" t="str" cm="1">
        <f t="array" ref="N11399">IF(MOD(ROW()-ROW($B$2),16)=0,INDEX($M$2:$M$1000,(ROW()-ROW($B$2))/16+1),"")</f>
        <v/>
      </c>
    </row>
    <row r="11400" spans="2:14" x14ac:dyDescent="0.3">
      <c r="B11400" t="s">
        <v>2043</v>
      </c>
      <c r="N11400" t="str" cm="1">
        <f t="array" ref="N11400">IF(MOD(ROW()-ROW($B$2),16)=0,INDEX($M$2:$M$1000,(ROW()-ROW($B$2))/16+1),"")</f>
        <v/>
      </c>
    </row>
    <row r="11401" spans="2:14" x14ac:dyDescent="0.3">
      <c r="B11401" t="s">
        <v>2044</v>
      </c>
      <c r="N11401" t="str" cm="1">
        <f t="array" ref="N11401">IF(MOD(ROW()-ROW($B$2),16)=0,INDEX($M$2:$M$1000,(ROW()-ROW($B$2))/16+1),"")</f>
        <v/>
      </c>
    </row>
    <row r="11402" spans="2:14" x14ac:dyDescent="0.3">
      <c r="B11402" t="s">
        <v>2045</v>
      </c>
      <c r="N11402" t="str" cm="1">
        <f t="array" ref="N11402">IF(MOD(ROW()-ROW($B$2),16)=0,INDEX($M$2:$M$1000,(ROW()-ROW($B$2))/16+1),"")</f>
        <v/>
      </c>
    </row>
    <row r="11403" spans="2:14" x14ac:dyDescent="0.3">
      <c r="B11403" t="s">
        <v>2046</v>
      </c>
      <c r="N11403" t="str" cm="1">
        <f t="array" ref="N11403">IF(MOD(ROW()-ROW($B$2),16)=0,INDEX($M$2:$M$1000,(ROW()-ROW($B$2))/16+1),"")</f>
        <v/>
      </c>
    </row>
    <row r="11404" spans="2:14" x14ac:dyDescent="0.3">
      <c r="B11404" t="s">
        <v>2047</v>
      </c>
      <c r="N11404" t="str" cm="1">
        <f t="array" ref="N11404">IF(MOD(ROW()-ROW($B$2),16)=0,INDEX($M$2:$M$1000,(ROW()-ROW($B$2))/16+1),"")</f>
        <v/>
      </c>
    </row>
    <row r="11405" spans="2:14" x14ac:dyDescent="0.3">
      <c r="B11405" t="s">
        <v>2048</v>
      </c>
      <c r="N11405" t="str" cm="1">
        <f t="array" ref="N11405">IF(MOD(ROW()-ROW($B$2),16)=0,INDEX($M$2:$M$1000,(ROW()-ROW($B$2))/16+1),"")</f>
        <v/>
      </c>
    </row>
    <row r="11406" spans="2:14" x14ac:dyDescent="0.3">
      <c r="B11406" t="s">
        <v>2049</v>
      </c>
      <c r="N11406" t="str" cm="1">
        <f t="array" ref="N11406">IF(MOD(ROW()-ROW($B$2),16)=0,INDEX($M$2:$M$1000,(ROW()-ROW($B$2))/16+1),"")</f>
        <v/>
      </c>
    </row>
    <row r="11407" spans="2:14" x14ac:dyDescent="0.3">
      <c r="B11407" t="s">
        <v>2050</v>
      </c>
      <c r="N11407" t="str" cm="1">
        <f t="array" ref="N11407">IF(MOD(ROW()-ROW($B$2),16)=0,INDEX($M$2:$M$1000,(ROW()-ROW($B$2))/16+1),"")</f>
        <v/>
      </c>
    </row>
    <row r="11408" spans="2:14" x14ac:dyDescent="0.3">
      <c r="B11408" t="s">
        <v>2051</v>
      </c>
      <c r="N11408" t="str" cm="1">
        <f t="array" ref="N11408">IF(MOD(ROW()-ROW($B$2),16)=0,INDEX($M$2:$M$1000,(ROW()-ROW($B$2))/16+1),"")</f>
        <v/>
      </c>
    </row>
    <row r="11409" spans="2:14" x14ac:dyDescent="0.3">
      <c r="B11409" t="s">
        <v>2052</v>
      </c>
      <c r="N11409" t="str" cm="1">
        <f t="array" ref="N11409">IF(MOD(ROW()-ROW($B$2),16)=0,INDEX($M$2:$M$1000,(ROW()-ROW($B$2))/16+1),"")</f>
        <v/>
      </c>
    </row>
    <row r="11410" spans="2:14" x14ac:dyDescent="0.3">
      <c r="B11410" t="s">
        <v>2053</v>
      </c>
      <c r="N11410" t="str" cm="1">
        <f t="array" ref="N11410">IF(MOD(ROW()-ROW($B$2),16)=0,INDEX($M$2:$M$1000,(ROW()-ROW($B$2))/16+1),"")</f>
        <v/>
      </c>
    </row>
    <row r="11411" spans="2:14" x14ac:dyDescent="0.3">
      <c r="B11411" t="s">
        <v>2054</v>
      </c>
      <c r="N11411" t="str" cm="1">
        <f t="array" ref="N11411">IF(MOD(ROW()-ROW($B$2),16)=0,INDEX($M$2:$M$1000,(ROW()-ROW($B$2))/16+1),"")</f>
        <v/>
      </c>
    </row>
    <row r="11412" spans="2:14" x14ac:dyDescent="0.3">
      <c r="B11412" t="s">
        <v>2055</v>
      </c>
      <c r="N11412" t="str" cm="1">
        <f t="array" ref="N11412">IF(MOD(ROW()-ROW($B$2),16)=0,INDEX($M$2:$M$1000,(ROW()-ROW($B$2))/16+1),"")</f>
        <v/>
      </c>
    </row>
    <row r="11413" spans="2:14" x14ac:dyDescent="0.3">
      <c r="B11413" t="s">
        <v>2056</v>
      </c>
      <c r="N11413" t="str" cm="1">
        <f t="array" ref="N11413">IF(MOD(ROW()-ROW($B$2),16)=0,INDEX($M$2:$M$1000,(ROW()-ROW($B$2))/16+1),"")</f>
        <v/>
      </c>
    </row>
    <row r="11414" spans="2:14" x14ac:dyDescent="0.3">
      <c r="B11414" t="s">
        <v>2057</v>
      </c>
      <c r="N11414" t="str" cm="1">
        <f t="array" ref="N11414">IF(MOD(ROW()-ROW($B$2),16)=0,INDEX($M$2:$M$1000,(ROW()-ROW($B$2))/16+1),"")</f>
        <v/>
      </c>
    </row>
    <row r="11415" spans="2:14" x14ac:dyDescent="0.3">
      <c r="B11415" t="s">
        <v>2058</v>
      </c>
      <c r="N11415" t="str" cm="1">
        <f t="array" ref="N11415">IF(MOD(ROW()-ROW($B$2),16)=0,INDEX($M$2:$M$1000,(ROW()-ROW($B$2))/16+1),"")</f>
        <v/>
      </c>
    </row>
    <row r="11416" spans="2:14" x14ac:dyDescent="0.3">
      <c r="B11416" t="s">
        <v>2059</v>
      </c>
      <c r="N11416" t="str" cm="1">
        <f t="array" ref="N11416">IF(MOD(ROW()-ROW($B$2),16)=0,INDEX($M$2:$M$1000,(ROW()-ROW($B$2))/16+1),"")</f>
        <v/>
      </c>
    </row>
    <row r="11417" spans="2:14" x14ac:dyDescent="0.3">
      <c r="B11417" t="s">
        <v>2060</v>
      </c>
      <c r="N11417" t="str" cm="1">
        <f t="array" ref="N11417">IF(MOD(ROW()-ROW($B$2),16)=0,INDEX($M$2:$M$1000,(ROW()-ROW($B$2))/16+1),"")</f>
        <v/>
      </c>
    </row>
    <row r="11418" spans="2:14" x14ac:dyDescent="0.3">
      <c r="B11418" t="s">
        <v>2061</v>
      </c>
      <c r="N11418" t="str" cm="1">
        <f t="array" ref="N11418">IF(MOD(ROW()-ROW($B$2),16)=0,INDEX($M$2:$M$1000,(ROW()-ROW($B$2))/16+1),"")</f>
        <v/>
      </c>
    </row>
    <row r="11419" spans="2:14" x14ac:dyDescent="0.3">
      <c r="B11419" t="s">
        <v>2062</v>
      </c>
      <c r="N11419" t="str" cm="1">
        <f t="array" ref="N11419">IF(MOD(ROW()-ROW($B$2),16)=0,INDEX($M$2:$M$1000,(ROW()-ROW($B$2))/16+1),"")</f>
        <v/>
      </c>
    </row>
    <row r="11420" spans="2:14" x14ac:dyDescent="0.3">
      <c r="B11420" t="s">
        <v>2063</v>
      </c>
      <c r="N11420" t="str" cm="1">
        <f t="array" ref="N11420">IF(MOD(ROW()-ROW($B$2),16)=0,INDEX($M$2:$M$1000,(ROW()-ROW($B$2))/16+1),"")</f>
        <v/>
      </c>
    </row>
    <row r="11421" spans="2:14" x14ac:dyDescent="0.3">
      <c r="B11421" t="s">
        <v>2064</v>
      </c>
      <c r="N11421" t="str" cm="1">
        <f t="array" ref="N11421">IF(MOD(ROW()-ROW($B$2),16)=0,INDEX($M$2:$M$1000,(ROW()-ROW($B$2))/16+1),"")</f>
        <v/>
      </c>
    </row>
    <row r="11422" spans="2:14" x14ac:dyDescent="0.3">
      <c r="B11422" t="s">
        <v>2065</v>
      </c>
      <c r="N11422" t="str" cm="1">
        <f t="array" ref="N11422">IF(MOD(ROW()-ROW($B$2),16)=0,INDEX($M$2:$M$1000,(ROW()-ROW($B$2))/16+1),"")</f>
        <v/>
      </c>
    </row>
    <row r="11423" spans="2:14" x14ac:dyDescent="0.3">
      <c r="B11423" t="s">
        <v>2066</v>
      </c>
      <c r="N11423" t="str" cm="1">
        <f t="array" ref="N11423">IF(MOD(ROW()-ROW($B$2),16)=0,INDEX($M$2:$M$1000,(ROW()-ROW($B$2))/16+1),"")</f>
        <v/>
      </c>
    </row>
    <row r="11424" spans="2:14" x14ac:dyDescent="0.3">
      <c r="B11424" t="s">
        <v>2067</v>
      </c>
      <c r="N11424" t="str" cm="1">
        <f t="array" ref="N11424">IF(MOD(ROW()-ROW($B$2),16)=0,INDEX($M$2:$M$1000,(ROW()-ROW($B$2))/16+1),"")</f>
        <v/>
      </c>
    </row>
    <row r="11425" spans="2:14" x14ac:dyDescent="0.3">
      <c r="B11425" t="s">
        <v>2068</v>
      </c>
      <c r="N11425" t="str" cm="1">
        <f t="array" ref="N11425">IF(MOD(ROW()-ROW($B$2),16)=0,INDEX($M$2:$M$1000,(ROW()-ROW($B$2))/16+1),"")</f>
        <v/>
      </c>
    </row>
    <row r="11426" spans="2:14" x14ac:dyDescent="0.3">
      <c r="B11426" t="s">
        <v>2069</v>
      </c>
      <c r="N11426" t="str" cm="1">
        <f t="array" ref="N11426">IF(MOD(ROW()-ROW($B$2),16)=0,INDEX($M$2:$M$1000,(ROW()-ROW($B$2))/16+1),"")</f>
        <v/>
      </c>
    </row>
    <row r="11427" spans="2:14" x14ac:dyDescent="0.3">
      <c r="B11427" t="s">
        <v>2070</v>
      </c>
      <c r="N11427" t="str" cm="1">
        <f t="array" ref="N11427">IF(MOD(ROW()-ROW($B$2),16)=0,INDEX($M$2:$M$1000,(ROW()-ROW($B$2))/16+1),"")</f>
        <v/>
      </c>
    </row>
    <row r="11428" spans="2:14" x14ac:dyDescent="0.3">
      <c r="B11428" t="s">
        <v>2071</v>
      </c>
      <c r="N11428" t="str" cm="1">
        <f t="array" ref="N11428">IF(MOD(ROW()-ROW($B$2),16)=0,INDEX($M$2:$M$1000,(ROW()-ROW($B$2))/16+1),"")</f>
        <v/>
      </c>
    </row>
    <row r="11429" spans="2:14" x14ac:dyDescent="0.3">
      <c r="B11429" t="s">
        <v>2072</v>
      </c>
      <c r="N11429" t="str" cm="1">
        <f t="array" ref="N11429">IF(MOD(ROW()-ROW($B$2),16)=0,INDEX($M$2:$M$1000,(ROW()-ROW($B$2))/16+1),"")</f>
        <v/>
      </c>
    </row>
    <row r="11430" spans="2:14" x14ac:dyDescent="0.3">
      <c r="B11430" t="s">
        <v>2073</v>
      </c>
      <c r="N11430" t="str" cm="1">
        <f t="array" ref="N11430">IF(MOD(ROW()-ROW($B$2),16)=0,INDEX($M$2:$M$1000,(ROW()-ROW($B$2))/16+1),"")</f>
        <v/>
      </c>
    </row>
    <row r="11431" spans="2:14" x14ac:dyDescent="0.3">
      <c r="B11431" t="s">
        <v>2074</v>
      </c>
      <c r="N11431" t="str" cm="1">
        <f t="array" ref="N11431">IF(MOD(ROW()-ROW($B$2),16)=0,INDEX($M$2:$M$1000,(ROW()-ROW($B$2))/16+1),"")</f>
        <v/>
      </c>
    </row>
    <row r="11432" spans="2:14" x14ac:dyDescent="0.3">
      <c r="B11432" t="s">
        <v>2075</v>
      </c>
      <c r="N11432" t="str" cm="1">
        <f t="array" ref="N11432">IF(MOD(ROW()-ROW($B$2),16)=0,INDEX($M$2:$M$1000,(ROW()-ROW($B$2))/16+1),"")</f>
        <v/>
      </c>
    </row>
    <row r="11433" spans="2:14" x14ac:dyDescent="0.3">
      <c r="B11433" t="s">
        <v>2076</v>
      </c>
      <c r="N11433" t="str" cm="1">
        <f t="array" ref="N11433">IF(MOD(ROW()-ROW($B$2),16)=0,INDEX($M$2:$M$1000,(ROW()-ROW($B$2))/16+1),"")</f>
        <v/>
      </c>
    </row>
    <row r="11434" spans="2:14" x14ac:dyDescent="0.3">
      <c r="B11434" t="s">
        <v>2077</v>
      </c>
      <c r="N11434" t="str" cm="1">
        <f t="array" ref="N11434">IF(MOD(ROW()-ROW($B$2),16)=0,INDEX($M$2:$M$1000,(ROW()-ROW($B$2))/16+1),"")</f>
        <v/>
      </c>
    </row>
    <row r="11435" spans="2:14" x14ac:dyDescent="0.3">
      <c r="B11435" t="s">
        <v>2078</v>
      </c>
      <c r="N11435" t="str" cm="1">
        <f t="array" ref="N11435">IF(MOD(ROW()-ROW($B$2),16)=0,INDEX($M$2:$M$1000,(ROW()-ROW($B$2))/16+1),"")</f>
        <v/>
      </c>
    </row>
    <row r="11436" spans="2:14" x14ac:dyDescent="0.3">
      <c r="B11436" t="s">
        <v>2079</v>
      </c>
      <c r="N11436" t="str" cm="1">
        <f t="array" ref="N11436">IF(MOD(ROW()-ROW($B$2),16)=0,INDEX($M$2:$M$1000,(ROW()-ROW($B$2))/16+1),"")</f>
        <v/>
      </c>
    </row>
    <row r="11437" spans="2:14" x14ac:dyDescent="0.3">
      <c r="B11437" t="s">
        <v>2080</v>
      </c>
      <c r="N11437" t="str" cm="1">
        <f t="array" ref="N11437">IF(MOD(ROW()-ROW($B$2),16)=0,INDEX($M$2:$M$1000,(ROW()-ROW($B$2))/16+1),"")</f>
        <v/>
      </c>
    </row>
    <row r="11438" spans="2:14" x14ac:dyDescent="0.3">
      <c r="B11438" t="s">
        <v>2081</v>
      </c>
      <c r="N11438" t="str" cm="1">
        <f t="array" ref="N11438">IF(MOD(ROW()-ROW($B$2),16)=0,INDEX($M$2:$M$1000,(ROW()-ROW($B$2))/16+1),"")</f>
        <v/>
      </c>
    </row>
    <row r="11439" spans="2:14" x14ac:dyDescent="0.3">
      <c r="B11439" t="s">
        <v>2082</v>
      </c>
      <c r="N11439" t="str" cm="1">
        <f t="array" ref="N11439">IF(MOD(ROW()-ROW($B$2),16)=0,INDEX($M$2:$M$1000,(ROW()-ROW($B$2))/16+1),"")</f>
        <v/>
      </c>
    </row>
    <row r="11440" spans="2:14" x14ac:dyDescent="0.3">
      <c r="B11440" t="s">
        <v>2083</v>
      </c>
      <c r="N11440" t="str" cm="1">
        <f t="array" ref="N11440">IF(MOD(ROW()-ROW($B$2),16)=0,INDEX($M$2:$M$1000,(ROW()-ROW($B$2))/16+1),"")</f>
        <v/>
      </c>
    </row>
    <row r="11441" spans="2:14" x14ac:dyDescent="0.3">
      <c r="B11441" t="s">
        <v>2084</v>
      </c>
      <c r="N11441" t="str" cm="1">
        <f t="array" ref="N11441">IF(MOD(ROW()-ROW($B$2),16)=0,INDEX($M$2:$M$1000,(ROW()-ROW($B$2))/16+1),"")</f>
        <v/>
      </c>
    </row>
    <row r="11442" spans="2:14" x14ac:dyDescent="0.3">
      <c r="B11442" t="s">
        <v>2085</v>
      </c>
      <c r="N11442" t="str" cm="1">
        <f t="array" ref="N11442">IF(MOD(ROW()-ROW($B$2),16)=0,INDEX($M$2:$M$1000,(ROW()-ROW($B$2))/16+1),"")</f>
        <v/>
      </c>
    </row>
    <row r="11443" spans="2:14" x14ac:dyDescent="0.3">
      <c r="B11443" t="s">
        <v>2086</v>
      </c>
      <c r="N11443" t="str" cm="1">
        <f t="array" ref="N11443">IF(MOD(ROW()-ROW($B$2),16)=0,INDEX($M$2:$M$1000,(ROW()-ROW($B$2))/16+1),"")</f>
        <v/>
      </c>
    </row>
    <row r="11444" spans="2:14" x14ac:dyDescent="0.3">
      <c r="B11444" t="s">
        <v>2087</v>
      </c>
      <c r="N11444" t="str" cm="1">
        <f t="array" ref="N11444">IF(MOD(ROW()-ROW($B$2),16)=0,INDEX($M$2:$M$1000,(ROW()-ROW($B$2))/16+1),"")</f>
        <v/>
      </c>
    </row>
    <row r="11445" spans="2:14" x14ac:dyDescent="0.3">
      <c r="B11445" t="s">
        <v>2088</v>
      </c>
      <c r="N11445" t="str" cm="1">
        <f t="array" ref="N11445">IF(MOD(ROW()-ROW($B$2),16)=0,INDEX($M$2:$M$1000,(ROW()-ROW($B$2))/16+1),"")</f>
        <v/>
      </c>
    </row>
    <row r="11446" spans="2:14" x14ac:dyDescent="0.3">
      <c r="B11446" t="s">
        <v>2089</v>
      </c>
      <c r="N11446" t="str" cm="1">
        <f t="array" ref="N11446">IF(MOD(ROW()-ROW($B$2),16)=0,INDEX($M$2:$M$1000,(ROW()-ROW($B$2))/16+1),"")</f>
        <v/>
      </c>
    </row>
    <row r="11447" spans="2:14" x14ac:dyDescent="0.3">
      <c r="B11447" t="s">
        <v>2090</v>
      </c>
      <c r="N11447" t="str" cm="1">
        <f t="array" ref="N11447">IF(MOD(ROW()-ROW($B$2),16)=0,INDEX($M$2:$M$1000,(ROW()-ROW($B$2))/16+1),"")</f>
        <v/>
      </c>
    </row>
    <row r="11448" spans="2:14" x14ac:dyDescent="0.3">
      <c r="B11448" t="s">
        <v>2091</v>
      </c>
      <c r="N11448" t="str" cm="1">
        <f t="array" ref="N11448">IF(MOD(ROW()-ROW($B$2),16)=0,INDEX($M$2:$M$1000,(ROW()-ROW($B$2))/16+1),"")</f>
        <v/>
      </c>
    </row>
    <row r="11449" spans="2:14" x14ac:dyDescent="0.3">
      <c r="B11449" t="s">
        <v>2092</v>
      </c>
      <c r="N11449" t="str" cm="1">
        <f t="array" ref="N11449">IF(MOD(ROW()-ROW($B$2),16)=0,INDEX($M$2:$M$1000,(ROW()-ROW($B$2))/16+1),"")</f>
        <v/>
      </c>
    </row>
    <row r="11450" spans="2:14" x14ac:dyDescent="0.3">
      <c r="B11450" t="s">
        <v>2093</v>
      </c>
      <c r="N11450" t="str" cm="1">
        <f t="array" ref="N11450">IF(MOD(ROW()-ROW($B$2),16)=0,INDEX($M$2:$M$1000,(ROW()-ROW($B$2))/16+1),"")</f>
        <v/>
      </c>
    </row>
    <row r="11451" spans="2:14" x14ac:dyDescent="0.3">
      <c r="B11451" t="s">
        <v>2094</v>
      </c>
      <c r="N11451" t="str" cm="1">
        <f t="array" ref="N11451">IF(MOD(ROW()-ROW($B$2),16)=0,INDEX($M$2:$M$1000,(ROW()-ROW($B$2))/16+1),"")</f>
        <v/>
      </c>
    </row>
    <row r="11452" spans="2:14" x14ac:dyDescent="0.3">
      <c r="B11452" t="s">
        <v>2095</v>
      </c>
      <c r="N11452" t="str" cm="1">
        <f t="array" ref="N11452">IF(MOD(ROW()-ROW($B$2),16)=0,INDEX($M$2:$M$1000,(ROW()-ROW($B$2))/16+1),"")</f>
        <v/>
      </c>
    </row>
    <row r="11453" spans="2:14" x14ac:dyDescent="0.3">
      <c r="B11453" t="s">
        <v>2096</v>
      </c>
      <c r="N11453" t="str" cm="1">
        <f t="array" ref="N11453">IF(MOD(ROW()-ROW($B$2),16)=0,INDEX($M$2:$M$1000,(ROW()-ROW($B$2))/16+1),"")</f>
        <v/>
      </c>
    </row>
    <row r="11454" spans="2:14" x14ac:dyDescent="0.3">
      <c r="B11454" t="s">
        <v>2097</v>
      </c>
      <c r="N11454" t="str" cm="1">
        <f t="array" ref="N11454">IF(MOD(ROW()-ROW($B$2),16)=0,INDEX($M$2:$M$1000,(ROW()-ROW($B$2))/16+1),"")</f>
        <v/>
      </c>
    </row>
    <row r="11455" spans="2:14" x14ac:dyDescent="0.3">
      <c r="B11455" t="s">
        <v>2098</v>
      </c>
      <c r="N11455" t="str" cm="1">
        <f t="array" ref="N11455">IF(MOD(ROW()-ROW($B$2),16)=0,INDEX($M$2:$M$1000,(ROW()-ROW($B$2))/16+1),"")</f>
        <v/>
      </c>
    </row>
    <row r="11456" spans="2:14" x14ac:dyDescent="0.3">
      <c r="B11456" t="s">
        <v>2099</v>
      </c>
      <c r="N11456" t="str" cm="1">
        <f t="array" ref="N11456">IF(MOD(ROW()-ROW($B$2),16)=0,INDEX($M$2:$M$1000,(ROW()-ROW($B$2))/16+1),"")</f>
        <v/>
      </c>
    </row>
    <row r="11457" spans="2:14" x14ac:dyDescent="0.3">
      <c r="B11457" t="s">
        <v>2100</v>
      </c>
      <c r="N11457" t="str" cm="1">
        <f t="array" ref="N11457">IF(MOD(ROW()-ROW($B$2),16)=0,INDEX($M$2:$M$1000,(ROW()-ROW($B$2))/16+1),"")</f>
        <v/>
      </c>
    </row>
    <row r="11458" spans="2:14" x14ac:dyDescent="0.3">
      <c r="B11458" t="s">
        <v>2101</v>
      </c>
      <c r="N11458" t="str" cm="1">
        <f t="array" ref="N11458">IF(MOD(ROW()-ROW($B$2),16)=0,INDEX($M$2:$M$1000,(ROW()-ROW($B$2))/16+1),"")</f>
        <v/>
      </c>
    </row>
    <row r="11459" spans="2:14" x14ac:dyDescent="0.3">
      <c r="B11459" t="s">
        <v>2102</v>
      </c>
      <c r="N11459" t="str" cm="1">
        <f t="array" ref="N11459">IF(MOD(ROW()-ROW($B$2),16)=0,INDEX($M$2:$M$1000,(ROW()-ROW($B$2))/16+1),"")</f>
        <v/>
      </c>
    </row>
    <row r="11460" spans="2:14" x14ac:dyDescent="0.3">
      <c r="B11460" t="s">
        <v>2103</v>
      </c>
      <c r="N11460" t="str" cm="1">
        <f t="array" ref="N11460">IF(MOD(ROW()-ROW($B$2),16)=0,INDEX($M$2:$M$1000,(ROW()-ROW($B$2))/16+1),"")</f>
        <v/>
      </c>
    </row>
    <row r="11461" spans="2:14" x14ac:dyDescent="0.3">
      <c r="B11461" t="s">
        <v>2104</v>
      </c>
      <c r="N11461" t="str" cm="1">
        <f t="array" ref="N11461">IF(MOD(ROW()-ROW($B$2),16)=0,INDEX($M$2:$M$1000,(ROW()-ROW($B$2))/16+1),"")</f>
        <v/>
      </c>
    </row>
    <row r="11462" spans="2:14" x14ac:dyDescent="0.3">
      <c r="B11462" t="s">
        <v>2105</v>
      </c>
      <c r="N11462" t="str" cm="1">
        <f t="array" ref="N11462">IF(MOD(ROW()-ROW($B$2),16)=0,INDEX($M$2:$M$1000,(ROW()-ROW($B$2))/16+1),"")</f>
        <v/>
      </c>
    </row>
    <row r="11463" spans="2:14" x14ac:dyDescent="0.3">
      <c r="B11463" t="s">
        <v>2106</v>
      </c>
      <c r="N11463" t="str" cm="1">
        <f t="array" ref="N11463">IF(MOD(ROW()-ROW($B$2),16)=0,INDEX($M$2:$M$1000,(ROW()-ROW($B$2))/16+1),"")</f>
        <v/>
      </c>
    </row>
    <row r="11464" spans="2:14" x14ac:dyDescent="0.3">
      <c r="B11464" t="s">
        <v>2107</v>
      </c>
      <c r="N11464" t="str" cm="1">
        <f t="array" ref="N11464">IF(MOD(ROW()-ROW($B$2),16)=0,INDEX($M$2:$M$1000,(ROW()-ROW($B$2))/16+1),"")</f>
        <v/>
      </c>
    </row>
    <row r="11465" spans="2:14" x14ac:dyDescent="0.3">
      <c r="B11465" t="s">
        <v>2108</v>
      </c>
      <c r="N11465" t="str" cm="1">
        <f t="array" ref="N11465">IF(MOD(ROW()-ROW($B$2),16)=0,INDEX($M$2:$M$1000,(ROW()-ROW($B$2))/16+1),"")</f>
        <v/>
      </c>
    </row>
    <row r="11466" spans="2:14" x14ac:dyDescent="0.3">
      <c r="B11466" t="s">
        <v>2109</v>
      </c>
      <c r="N11466" t="str" cm="1">
        <f t="array" ref="N11466">IF(MOD(ROW()-ROW($B$2),16)=0,INDEX($M$2:$M$1000,(ROW()-ROW($B$2))/16+1),"")</f>
        <v/>
      </c>
    </row>
    <row r="11467" spans="2:14" x14ac:dyDescent="0.3">
      <c r="B11467" t="s">
        <v>2110</v>
      </c>
      <c r="N11467" t="str" cm="1">
        <f t="array" ref="N11467">IF(MOD(ROW()-ROW($B$2),16)=0,INDEX($M$2:$M$1000,(ROW()-ROW($B$2))/16+1),"")</f>
        <v/>
      </c>
    </row>
    <row r="11468" spans="2:14" x14ac:dyDescent="0.3">
      <c r="B11468" t="s">
        <v>2111</v>
      </c>
      <c r="N11468" t="str" cm="1">
        <f t="array" ref="N11468">IF(MOD(ROW()-ROW($B$2),16)=0,INDEX($M$2:$M$1000,(ROW()-ROW($B$2))/16+1),"")</f>
        <v/>
      </c>
    </row>
    <row r="11469" spans="2:14" x14ac:dyDescent="0.3">
      <c r="B11469" t="s">
        <v>2112</v>
      </c>
      <c r="N11469" t="str" cm="1">
        <f t="array" ref="N11469">IF(MOD(ROW()-ROW($B$2),16)=0,INDEX($M$2:$M$1000,(ROW()-ROW($B$2))/16+1),"")</f>
        <v/>
      </c>
    </row>
    <row r="11470" spans="2:14" x14ac:dyDescent="0.3">
      <c r="B11470" t="s">
        <v>2113</v>
      </c>
      <c r="N11470" t="str" cm="1">
        <f t="array" ref="N11470">IF(MOD(ROW()-ROW($B$2),16)=0,INDEX($M$2:$M$1000,(ROW()-ROW($B$2))/16+1),"")</f>
        <v/>
      </c>
    </row>
    <row r="11471" spans="2:14" x14ac:dyDescent="0.3">
      <c r="B11471" t="s">
        <v>2114</v>
      </c>
      <c r="N11471" t="str" cm="1">
        <f t="array" ref="N11471">IF(MOD(ROW()-ROW($B$2),16)=0,INDEX($M$2:$M$1000,(ROW()-ROW($B$2))/16+1),"")</f>
        <v/>
      </c>
    </row>
    <row r="11472" spans="2:14" x14ac:dyDescent="0.3">
      <c r="B11472" t="s">
        <v>2115</v>
      </c>
      <c r="N11472" t="str" cm="1">
        <f t="array" ref="N11472">IF(MOD(ROW()-ROW($B$2),16)=0,INDEX($M$2:$M$1000,(ROW()-ROW($B$2))/16+1),"")</f>
        <v/>
      </c>
    </row>
    <row r="11473" spans="2:14" x14ac:dyDescent="0.3">
      <c r="B11473" t="s">
        <v>2116</v>
      </c>
      <c r="N11473" t="str" cm="1">
        <f t="array" ref="N11473">IF(MOD(ROW()-ROW($B$2),16)=0,INDEX($M$2:$M$1000,(ROW()-ROW($B$2))/16+1),"")</f>
        <v/>
      </c>
    </row>
    <row r="11474" spans="2:14" x14ac:dyDescent="0.3">
      <c r="B11474" t="s">
        <v>2117</v>
      </c>
      <c r="N11474" t="str" cm="1">
        <f t="array" ref="N11474">IF(MOD(ROW()-ROW($B$2),16)=0,INDEX($M$2:$M$1000,(ROW()-ROW($B$2))/16+1),"")</f>
        <v/>
      </c>
    </row>
    <row r="11475" spans="2:14" x14ac:dyDescent="0.3">
      <c r="B11475" t="s">
        <v>2118</v>
      </c>
      <c r="N11475" t="str" cm="1">
        <f t="array" ref="N11475">IF(MOD(ROW()-ROW($B$2),16)=0,INDEX($M$2:$M$1000,(ROW()-ROW($B$2))/16+1),"")</f>
        <v/>
      </c>
    </row>
    <row r="11476" spans="2:14" x14ac:dyDescent="0.3">
      <c r="B11476" t="s">
        <v>2119</v>
      </c>
      <c r="N11476" t="str" cm="1">
        <f t="array" ref="N11476">IF(MOD(ROW()-ROW($B$2),16)=0,INDEX($M$2:$M$1000,(ROW()-ROW($B$2))/16+1),"")</f>
        <v/>
      </c>
    </row>
    <row r="11477" spans="2:14" x14ac:dyDescent="0.3">
      <c r="B11477" t="s">
        <v>2120</v>
      </c>
      <c r="N11477" t="str" cm="1">
        <f t="array" ref="N11477">IF(MOD(ROW()-ROW($B$2),16)=0,INDEX($M$2:$M$1000,(ROW()-ROW($B$2))/16+1),"")</f>
        <v/>
      </c>
    </row>
    <row r="11478" spans="2:14" x14ac:dyDescent="0.3">
      <c r="B11478" t="s">
        <v>2121</v>
      </c>
      <c r="N11478" t="str" cm="1">
        <f t="array" ref="N11478">IF(MOD(ROW()-ROW($B$2),16)=0,INDEX($M$2:$M$1000,(ROW()-ROW($B$2))/16+1),"")</f>
        <v/>
      </c>
    </row>
    <row r="11479" spans="2:14" x14ac:dyDescent="0.3">
      <c r="B11479" t="s">
        <v>2122</v>
      </c>
      <c r="N11479" t="str" cm="1">
        <f t="array" ref="N11479">IF(MOD(ROW()-ROW($B$2),16)=0,INDEX($M$2:$M$1000,(ROW()-ROW($B$2))/16+1),"")</f>
        <v/>
      </c>
    </row>
    <row r="11480" spans="2:14" x14ac:dyDescent="0.3">
      <c r="B11480" t="s">
        <v>2123</v>
      </c>
      <c r="N11480" t="str" cm="1">
        <f t="array" ref="N11480">IF(MOD(ROW()-ROW($B$2),16)=0,INDEX($M$2:$M$1000,(ROW()-ROW($B$2))/16+1),"")</f>
        <v/>
      </c>
    </row>
    <row r="11481" spans="2:14" x14ac:dyDescent="0.3">
      <c r="B11481" t="s">
        <v>2124</v>
      </c>
      <c r="N11481" t="str" cm="1">
        <f t="array" ref="N11481">IF(MOD(ROW()-ROW($B$2),16)=0,INDEX($M$2:$M$1000,(ROW()-ROW($B$2))/16+1),"")</f>
        <v/>
      </c>
    </row>
    <row r="11482" spans="2:14" x14ac:dyDescent="0.3">
      <c r="B11482" t="s">
        <v>2125</v>
      </c>
      <c r="N11482" t="str" cm="1">
        <f t="array" ref="N11482">IF(MOD(ROW()-ROW($B$2),16)=0,INDEX($M$2:$M$1000,(ROW()-ROW($B$2))/16+1),"")</f>
        <v/>
      </c>
    </row>
    <row r="11483" spans="2:14" x14ac:dyDescent="0.3">
      <c r="B11483" t="s">
        <v>2126</v>
      </c>
      <c r="N11483" t="str" cm="1">
        <f t="array" ref="N11483">IF(MOD(ROW()-ROW($B$2),16)=0,INDEX($M$2:$M$1000,(ROW()-ROW($B$2))/16+1),"")</f>
        <v/>
      </c>
    </row>
    <row r="11484" spans="2:14" x14ac:dyDescent="0.3">
      <c r="B11484" t="s">
        <v>2127</v>
      </c>
      <c r="N11484" t="str" cm="1">
        <f t="array" ref="N11484">IF(MOD(ROW()-ROW($B$2),16)=0,INDEX($M$2:$M$1000,(ROW()-ROW($B$2))/16+1),"")</f>
        <v/>
      </c>
    </row>
    <row r="11485" spans="2:14" x14ac:dyDescent="0.3">
      <c r="B11485" t="s">
        <v>2128</v>
      </c>
      <c r="N11485" t="str" cm="1">
        <f t="array" ref="N11485">IF(MOD(ROW()-ROW($B$2),16)=0,INDEX($M$2:$M$1000,(ROW()-ROW($B$2))/16+1),"")</f>
        <v/>
      </c>
    </row>
    <row r="11486" spans="2:14" x14ac:dyDescent="0.3">
      <c r="B11486" t="s">
        <v>2129</v>
      </c>
      <c r="N11486" t="str" cm="1">
        <f t="array" ref="N11486">IF(MOD(ROW()-ROW($B$2),16)=0,INDEX($M$2:$M$1000,(ROW()-ROW($B$2))/16+1),"")</f>
        <v/>
      </c>
    </row>
    <row r="11487" spans="2:14" x14ac:dyDescent="0.3">
      <c r="B11487" t="s">
        <v>2130</v>
      </c>
      <c r="N11487" t="str" cm="1">
        <f t="array" ref="N11487">IF(MOD(ROW()-ROW($B$2),16)=0,INDEX($M$2:$M$1000,(ROW()-ROW($B$2))/16+1),"")</f>
        <v/>
      </c>
    </row>
    <row r="11488" spans="2:14" x14ac:dyDescent="0.3">
      <c r="B11488" t="s">
        <v>2131</v>
      </c>
      <c r="N11488" t="str" cm="1">
        <f t="array" ref="N11488">IF(MOD(ROW()-ROW($B$2),16)=0,INDEX($M$2:$M$1000,(ROW()-ROW($B$2))/16+1),"")</f>
        <v/>
      </c>
    </row>
    <row r="11489" spans="2:14" x14ac:dyDescent="0.3">
      <c r="B11489" t="s">
        <v>2132</v>
      </c>
      <c r="N11489" t="str" cm="1">
        <f t="array" ref="N11489">IF(MOD(ROW()-ROW($B$2),16)=0,INDEX($M$2:$M$1000,(ROW()-ROW($B$2))/16+1),"")</f>
        <v/>
      </c>
    </row>
    <row r="11490" spans="2:14" x14ac:dyDescent="0.3">
      <c r="B11490" t="s">
        <v>2133</v>
      </c>
      <c r="N11490" t="str" cm="1">
        <f t="array" ref="N11490">IF(MOD(ROW()-ROW($B$2),16)=0,INDEX($M$2:$M$1000,(ROW()-ROW($B$2))/16+1),"")</f>
        <v/>
      </c>
    </row>
    <row r="11491" spans="2:14" x14ac:dyDescent="0.3">
      <c r="B11491" t="s">
        <v>2134</v>
      </c>
      <c r="N11491" t="str" cm="1">
        <f t="array" ref="N11491">IF(MOD(ROW()-ROW($B$2),16)=0,INDEX($M$2:$M$1000,(ROW()-ROW($B$2))/16+1),"")</f>
        <v/>
      </c>
    </row>
    <row r="11492" spans="2:14" x14ac:dyDescent="0.3">
      <c r="B11492" t="s">
        <v>2135</v>
      </c>
      <c r="N11492" t="str" cm="1">
        <f t="array" ref="N11492">IF(MOD(ROW()-ROW($B$2),16)=0,INDEX($M$2:$M$1000,(ROW()-ROW($B$2))/16+1),"")</f>
        <v/>
      </c>
    </row>
    <row r="11493" spans="2:14" x14ac:dyDescent="0.3">
      <c r="B11493" t="s">
        <v>2136</v>
      </c>
      <c r="N11493" t="str" cm="1">
        <f t="array" ref="N11493">IF(MOD(ROW()-ROW($B$2),16)=0,INDEX($M$2:$M$1000,(ROW()-ROW($B$2))/16+1),"")</f>
        <v/>
      </c>
    </row>
    <row r="11494" spans="2:14" x14ac:dyDescent="0.3">
      <c r="B11494" t="s">
        <v>2137</v>
      </c>
      <c r="N11494" t="str" cm="1">
        <f t="array" ref="N11494">IF(MOD(ROW()-ROW($B$2),16)=0,INDEX($M$2:$M$1000,(ROW()-ROW($B$2))/16+1),"")</f>
        <v/>
      </c>
    </row>
    <row r="11495" spans="2:14" x14ac:dyDescent="0.3">
      <c r="B11495" t="s">
        <v>2138</v>
      </c>
      <c r="N11495" t="str" cm="1">
        <f t="array" ref="N11495">IF(MOD(ROW()-ROW($B$2),16)=0,INDEX($M$2:$M$1000,(ROW()-ROW($B$2))/16+1),"")</f>
        <v/>
      </c>
    </row>
    <row r="11496" spans="2:14" x14ac:dyDescent="0.3">
      <c r="B11496" t="s">
        <v>2139</v>
      </c>
      <c r="N11496" t="str" cm="1">
        <f t="array" ref="N11496">IF(MOD(ROW()-ROW($B$2),16)=0,INDEX($M$2:$M$1000,(ROW()-ROW($B$2))/16+1),"")</f>
        <v/>
      </c>
    </row>
    <row r="11497" spans="2:14" x14ac:dyDescent="0.3">
      <c r="B11497" t="s">
        <v>2140</v>
      </c>
      <c r="N11497" t="str" cm="1">
        <f t="array" ref="N11497">IF(MOD(ROW()-ROW($B$2),16)=0,INDEX($M$2:$M$1000,(ROW()-ROW($B$2))/16+1),"")</f>
        <v/>
      </c>
    </row>
    <row r="11498" spans="2:14" x14ac:dyDescent="0.3">
      <c r="B11498" t="s">
        <v>2141</v>
      </c>
      <c r="N11498" t="str" cm="1">
        <f t="array" ref="N11498">IF(MOD(ROW()-ROW($B$2),16)=0,INDEX($M$2:$M$1000,(ROW()-ROW($B$2))/16+1),"")</f>
        <v/>
      </c>
    </row>
    <row r="11499" spans="2:14" x14ac:dyDescent="0.3">
      <c r="B11499" t="s">
        <v>2142</v>
      </c>
      <c r="N11499" t="str" cm="1">
        <f t="array" ref="N11499">IF(MOD(ROW()-ROW($B$2),16)=0,INDEX($M$2:$M$1000,(ROW()-ROW($B$2))/16+1),"")</f>
        <v/>
      </c>
    </row>
    <row r="11500" spans="2:14" x14ac:dyDescent="0.3">
      <c r="B11500" t="s">
        <v>2143</v>
      </c>
      <c r="N11500" t="str" cm="1">
        <f t="array" ref="N11500">IF(MOD(ROW()-ROW($B$2),16)=0,INDEX($M$2:$M$1000,(ROW()-ROW($B$2))/16+1),"")</f>
        <v/>
      </c>
    </row>
    <row r="11501" spans="2:14" x14ac:dyDescent="0.3">
      <c r="B11501" t="s">
        <v>2144</v>
      </c>
      <c r="N11501" t="str" cm="1">
        <f t="array" ref="N11501">IF(MOD(ROW()-ROW($B$2),16)=0,INDEX($M$2:$M$1000,(ROW()-ROW($B$2))/16+1),"")</f>
        <v/>
      </c>
    </row>
    <row r="11502" spans="2:14" x14ac:dyDescent="0.3">
      <c r="B11502" t="s">
        <v>2088</v>
      </c>
      <c r="N11502" t="str" cm="1">
        <f t="array" ref="N11502">IF(MOD(ROW()-ROW($B$2),16)=0,INDEX($M$2:$M$1000,(ROW()-ROW($B$2))/16+1),"")</f>
        <v/>
      </c>
    </row>
    <row r="11503" spans="2:14" x14ac:dyDescent="0.3">
      <c r="B11503" t="s">
        <v>2089</v>
      </c>
      <c r="N11503" t="str" cm="1">
        <f t="array" ref="N11503">IF(MOD(ROW()-ROW($B$2),16)=0,INDEX($M$2:$M$1000,(ROW()-ROW($B$2))/16+1),"")</f>
        <v/>
      </c>
    </row>
    <row r="11504" spans="2:14" x14ac:dyDescent="0.3">
      <c r="B11504" t="s">
        <v>2090</v>
      </c>
      <c r="N11504" t="str" cm="1">
        <f t="array" ref="N11504">IF(MOD(ROW()-ROW($B$2),16)=0,INDEX($M$2:$M$1000,(ROW()-ROW($B$2))/16+1),"")</f>
        <v/>
      </c>
    </row>
    <row r="11505" spans="2:14" x14ac:dyDescent="0.3">
      <c r="B11505" t="s">
        <v>2091</v>
      </c>
      <c r="N11505" t="str" cm="1">
        <f t="array" ref="N11505">IF(MOD(ROW()-ROW($B$2),16)=0,INDEX($M$2:$M$1000,(ROW()-ROW($B$2))/16+1),"")</f>
        <v/>
      </c>
    </row>
    <row r="11506" spans="2:14" x14ac:dyDescent="0.3">
      <c r="B11506" t="s">
        <v>2092</v>
      </c>
      <c r="N11506" t="str" cm="1">
        <f t="array" ref="N11506">IF(MOD(ROW()-ROW($B$2),16)=0,INDEX($M$2:$M$1000,(ROW()-ROW($B$2))/16+1),"")</f>
        <v/>
      </c>
    </row>
    <row r="11507" spans="2:14" x14ac:dyDescent="0.3">
      <c r="B11507" t="s">
        <v>2093</v>
      </c>
      <c r="N11507" t="str" cm="1">
        <f t="array" ref="N11507">IF(MOD(ROW()-ROW($B$2),16)=0,INDEX($M$2:$M$1000,(ROW()-ROW($B$2))/16+1),"")</f>
        <v/>
      </c>
    </row>
    <row r="11508" spans="2:14" x14ac:dyDescent="0.3">
      <c r="B11508" t="s">
        <v>2094</v>
      </c>
      <c r="N11508" t="str" cm="1">
        <f t="array" ref="N11508">IF(MOD(ROW()-ROW($B$2),16)=0,INDEX($M$2:$M$1000,(ROW()-ROW($B$2))/16+1),"")</f>
        <v/>
      </c>
    </row>
    <row r="11509" spans="2:14" x14ac:dyDescent="0.3">
      <c r="B11509" t="s">
        <v>2145</v>
      </c>
      <c r="N11509" t="str" cm="1">
        <f t="array" ref="N11509">IF(MOD(ROW()-ROW($B$2),16)=0,INDEX($M$2:$M$1000,(ROW()-ROW($B$2))/16+1),"")</f>
        <v/>
      </c>
    </row>
    <row r="11510" spans="2:14" x14ac:dyDescent="0.3">
      <c r="B11510" t="s">
        <v>2095</v>
      </c>
      <c r="N11510" t="str" cm="1">
        <f t="array" ref="N11510">IF(MOD(ROW()-ROW($B$2),16)=0,INDEX($M$2:$M$1000,(ROW()-ROW($B$2))/16+1),"")</f>
        <v/>
      </c>
    </row>
    <row r="11511" spans="2:14" x14ac:dyDescent="0.3">
      <c r="B11511" t="s">
        <v>2096</v>
      </c>
      <c r="N11511" t="str" cm="1">
        <f t="array" ref="N11511">IF(MOD(ROW()-ROW($B$2),16)=0,INDEX($M$2:$M$1000,(ROW()-ROW($B$2))/16+1),"")</f>
        <v/>
      </c>
    </row>
    <row r="11512" spans="2:14" x14ac:dyDescent="0.3">
      <c r="B11512" t="s">
        <v>2097</v>
      </c>
      <c r="N11512" t="str" cm="1">
        <f t="array" ref="N11512">IF(MOD(ROW()-ROW($B$2),16)=0,INDEX($M$2:$M$1000,(ROW()-ROW($B$2))/16+1),"")</f>
        <v/>
      </c>
    </row>
    <row r="11513" spans="2:14" x14ac:dyDescent="0.3">
      <c r="B11513" t="s">
        <v>2098</v>
      </c>
      <c r="N11513" t="str" cm="1">
        <f t="array" ref="N11513">IF(MOD(ROW()-ROW($B$2),16)=0,INDEX($M$2:$M$1000,(ROW()-ROW($B$2))/16+1),"")</f>
        <v/>
      </c>
    </row>
    <row r="11514" spans="2:14" x14ac:dyDescent="0.3">
      <c r="B11514" t="s">
        <v>2099</v>
      </c>
      <c r="N11514" t="str" cm="1">
        <f t="array" ref="N11514">IF(MOD(ROW()-ROW($B$2),16)=0,INDEX($M$2:$M$1000,(ROW()-ROW($B$2))/16+1),"")</f>
        <v/>
      </c>
    </row>
    <row r="11515" spans="2:14" x14ac:dyDescent="0.3">
      <c r="B11515" t="s">
        <v>2100</v>
      </c>
      <c r="N11515" t="str" cm="1">
        <f t="array" ref="N11515">IF(MOD(ROW()-ROW($B$2),16)=0,INDEX($M$2:$M$1000,(ROW()-ROW($B$2))/16+1),"")</f>
        <v/>
      </c>
    </row>
    <row r="11516" spans="2:14" x14ac:dyDescent="0.3">
      <c r="B11516" t="s">
        <v>2101</v>
      </c>
      <c r="N11516" t="str" cm="1">
        <f t="array" ref="N11516">IF(MOD(ROW()-ROW($B$2),16)=0,INDEX($M$2:$M$1000,(ROW()-ROW($B$2))/16+1),"")</f>
        <v/>
      </c>
    </row>
    <row r="11517" spans="2:14" x14ac:dyDescent="0.3">
      <c r="B11517" t="s">
        <v>2102</v>
      </c>
      <c r="N11517" t="str" cm="1">
        <f t="array" ref="N11517">IF(MOD(ROW()-ROW($B$2),16)=0,INDEX($M$2:$M$1000,(ROW()-ROW($B$2))/16+1),"")</f>
        <v/>
      </c>
    </row>
    <row r="11518" spans="2:14" x14ac:dyDescent="0.3">
      <c r="B11518" t="s">
        <v>2103</v>
      </c>
      <c r="N11518" t="str" cm="1">
        <f t="array" ref="N11518">IF(MOD(ROW()-ROW($B$2),16)=0,INDEX($M$2:$M$1000,(ROW()-ROW($B$2))/16+1),"")</f>
        <v/>
      </c>
    </row>
    <row r="11519" spans="2:14" x14ac:dyDescent="0.3">
      <c r="B11519" t="s">
        <v>2104</v>
      </c>
      <c r="N11519" t="str" cm="1">
        <f t="array" ref="N11519">IF(MOD(ROW()-ROW($B$2),16)=0,INDEX($M$2:$M$1000,(ROW()-ROW($B$2))/16+1),"")</f>
        <v/>
      </c>
    </row>
    <row r="11520" spans="2:14" x14ac:dyDescent="0.3">
      <c r="B11520" t="s">
        <v>2105</v>
      </c>
      <c r="N11520" t="str" cm="1">
        <f t="array" ref="N11520">IF(MOD(ROW()-ROW($B$2),16)=0,INDEX($M$2:$M$1000,(ROW()-ROW($B$2))/16+1),"")</f>
        <v/>
      </c>
    </row>
    <row r="11521" spans="2:14" x14ac:dyDescent="0.3">
      <c r="B11521" t="s">
        <v>2106</v>
      </c>
      <c r="N11521" t="str" cm="1">
        <f t="array" ref="N11521">IF(MOD(ROW()-ROW($B$2),16)=0,INDEX($M$2:$M$1000,(ROW()-ROW($B$2))/16+1),"")</f>
        <v/>
      </c>
    </row>
    <row r="11522" spans="2:14" x14ac:dyDescent="0.3">
      <c r="B11522" t="s">
        <v>2107</v>
      </c>
      <c r="N11522" t="str" cm="1">
        <f t="array" ref="N11522">IF(MOD(ROW()-ROW($B$2),16)=0,INDEX($M$2:$M$1000,(ROW()-ROW($B$2))/16+1),"")</f>
        <v/>
      </c>
    </row>
    <row r="11523" spans="2:14" x14ac:dyDescent="0.3">
      <c r="B11523" t="s">
        <v>2108</v>
      </c>
      <c r="N11523" t="str" cm="1">
        <f t="array" ref="N11523">IF(MOD(ROW()-ROW($B$2),16)=0,INDEX($M$2:$M$1000,(ROW()-ROW($B$2))/16+1),"")</f>
        <v/>
      </c>
    </row>
    <row r="11524" spans="2:14" x14ac:dyDescent="0.3">
      <c r="B11524" t="s">
        <v>2109</v>
      </c>
      <c r="N11524" t="str" cm="1">
        <f t="array" ref="N11524">IF(MOD(ROW()-ROW($B$2),16)=0,INDEX($M$2:$M$1000,(ROW()-ROW($B$2))/16+1),"")</f>
        <v/>
      </c>
    </row>
    <row r="11525" spans="2:14" x14ac:dyDescent="0.3">
      <c r="B11525" t="s">
        <v>2110</v>
      </c>
      <c r="N11525" t="str" cm="1">
        <f t="array" ref="N11525">IF(MOD(ROW()-ROW($B$2),16)=0,INDEX($M$2:$M$1000,(ROW()-ROW($B$2))/16+1),"")</f>
        <v/>
      </c>
    </row>
    <row r="11526" spans="2:14" x14ac:dyDescent="0.3">
      <c r="B11526" t="s">
        <v>2111</v>
      </c>
      <c r="N11526" t="str" cm="1">
        <f t="array" ref="N11526">IF(MOD(ROW()-ROW($B$2),16)=0,INDEX($M$2:$M$1000,(ROW()-ROW($B$2))/16+1),"")</f>
        <v/>
      </c>
    </row>
    <row r="11527" spans="2:14" x14ac:dyDescent="0.3">
      <c r="B11527" t="s">
        <v>2112</v>
      </c>
      <c r="N11527" t="str" cm="1">
        <f t="array" ref="N11527">IF(MOD(ROW()-ROW($B$2),16)=0,INDEX($M$2:$M$1000,(ROW()-ROW($B$2))/16+1),"")</f>
        <v/>
      </c>
    </row>
    <row r="11528" spans="2:14" x14ac:dyDescent="0.3">
      <c r="B11528" t="s">
        <v>2113</v>
      </c>
      <c r="N11528" t="str" cm="1">
        <f t="array" ref="N11528">IF(MOD(ROW()-ROW($B$2),16)=0,INDEX($M$2:$M$1000,(ROW()-ROW($B$2))/16+1),"")</f>
        <v/>
      </c>
    </row>
    <row r="11529" spans="2:14" x14ac:dyDescent="0.3">
      <c r="B11529" t="s">
        <v>2114</v>
      </c>
      <c r="N11529" t="str" cm="1">
        <f t="array" ref="N11529">IF(MOD(ROW()-ROW($B$2),16)=0,INDEX($M$2:$M$1000,(ROW()-ROW($B$2))/16+1),"")</f>
        <v/>
      </c>
    </row>
    <row r="11530" spans="2:14" x14ac:dyDescent="0.3">
      <c r="B11530" t="s">
        <v>2115</v>
      </c>
      <c r="N11530" t="str" cm="1">
        <f t="array" ref="N11530">IF(MOD(ROW()-ROW($B$2),16)=0,INDEX($M$2:$M$1000,(ROW()-ROW($B$2))/16+1),"")</f>
        <v/>
      </c>
    </row>
    <row r="11531" spans="2:14" x14ac:dyDescent="0.3">
      <c r="B11531" t="s">
        <v>2116</v>
      </c>
      <c r="N11531" t="str" cm="1">
        <f t="array" ref="N11531">IF(MOD(ROW()-ROW($B$2),16)=0,INDEX($M$2:$M$1000,(ROW()-ROW($B$2))/16+1),"")</f>
        <v/>
      </c>
    </row>
    <row r="11532" spans="2:14" x14ac:dyDescent="0.3">
      <c r="B11532" t="s">
        <v>2117</v>
      </c>
      <c r="N11532" t="str" cm="1">
        <f t="array" ref="N11532">IF(MOD(ROW()-ROW($B$2),16)=0,INDEX($M$2:$M$1000,(ROW()-ROW($B$2))/16+1),"")</f>
        <v/>
      </c>
    </row>
    <row r="11533" spans="2:14" x14ac:dyDescent="0.3">
      <c r="B11533" t="s">
        <v>2118</v>
      </c>
      <c r="N11533" t="str" cm="1">
        <f t="array" ref="N11533">IF(MOD(ROW()-ROW($B$2),16)=0,INDEX($M$2:$M$1000,(ROW()-ROW($B$2))/16+1),"")</f>
        <v/>
      </c>
    </row>
    <row r="11534" spans="2:14" x14ac:dyDescent="0.3">
      <c r="B11534" t="s">
        <v>2119</v>
      </c>
      <c r="N11534" t="str" cm="1">
        <f t="array" ref="N11534">IF(MOD(ROW()-ROW($B$2),16)=0,INDEX($M$2:$M$1000,(ROW()-ROW($B$2))/16+1),"")</f>
        <v/>
      </c>
    </row>
    <row r="11535" spans="2:14" x14ac:dyDescent="0.3">
      <c r="B11535" t="s">
        <v>2146</v>
      </c>
      <c r="N11535" t="str" cm="1">
        <f t="array" ref="N11535">IF(MOD(ROW()-ROW($B$2),16)=0,INDEX($M$2:$M$1000,(ROW()-ROW($B$2))/16+1),"")</f>
        <v/>
      </c>
    </row>
    <row r="11536" spans="2:14" x14ac:dyDescent="0.3">
      <c r="B11536" t="s">
        <v>2120</v>
      </c>
      <c r="N11536" t="str" cm="1">
        <f t="array" ref="N11536">IF(MOD(ROW()-ROW($B$2),16)=0,INDEX($M$2:$M$1000,(ROW()-ROW($B$2))/16+1),"")</f>
        <v/>
      </c>
    </row>
    <row r="11537" spans="2:14" x14ac:dyDescent="0.3">
      <c r="B11537" t="s">
        <v>2121</v>
      </c>
      <c r="N11537" t="str" cm="1">
        <f t="array" ref="N11537">IF(MOD(ROW()-ROW($B$2),16)=0,INDEX($M$2:$M$1000,(ROW()-ROW($B$2))/16+1),"")</f>
        <v/>
      </c>
    </row>
    <row r="11538" spans="2:14" x14ac:dyDescent="0.3">
      <c r="B11538" t="s">
        <v>2122</v>
      </c>
      <c r="N11538" t="str" cm="1">
        <f t="array" ref="N11538">IF(MOD(ROW()-ROW($B$2),16)=0,INDEX($M$2:$M$1000,(ROW()-ROW($B$2))/16+1),"")</f>
        <v/>
      </c>
    </row>
    <row r="11539" spans="2:14" x14ac:dyDescent="0.3">
      <c r="B11539" t="s">
        <v>2123</v>
      </c>
      <c r="N11539" t="str" cm="1">
        <f t="array" ref="N11539">IF(MOD(ROW()-ROW($B$2),16)=0,INDEX($M$2:$M$1000,(ROW()-ROW($B$2))/16+1),"")</f>
        <v/>
      </c>
    </row>
    <row r="11540" spans="2:14" x14ac:dyDescent="0.3">
      <c r="B11540" t="s">
        <v>2124</v>
      </c>
      <c r="N11540" t="str" cm="1">
        <f t="array" ref="N11540">IF(MOD(ROW()-ROW($B$2),16)=0,INDEX($M$2:$M$1000,(ROW()-ROW($B$2))/16+1),"")</f>
        <v/>
      </c>
    </row>
    <row r="11541" spans="2:14" x14ac:dyDescent="0.3">
      <c r="B11541" t="s">
        <v>2125</v>
      </c>
      <c r="N11541" t="str" cm="1">
        <f t="array" ref="N11541">IF(MOD(ROW()-ROW($B$2),16)=0,INDEX($M$2:$M$1000,(ROW()-ROW($B$2))/16+1),"")</f>
        <v/>
      </c>
    </row>
    <row r="11542" spans="2:14" x14ac:dyDescent="0.3">
      <c r="B11542" t="s">
        <v>2126</v>
      </c>
      <c r="N11542" t="str" cm="1">
        <f t="array" ref="N11542">IF(MOD(ROW()-ROW($B$2),16)=0,INDEX($M$2:$M$1000,(ROW()-ROW($B$2))/16+1),"")</f>
        <v/>
      </c>
    </row>
    <row r="11543" spans="2:14" x14ac:dyDescent="0.3">
      <c r="B11543" t="s">
        <v>2127</v>
      </c>
      <c r="N11543" t="str" cm="1">
        <f t="array" ref="N11543">IF(MOD(ROW()-ROW($B$2),16)=0,INDEX($M$2:$M$1000,(ROW()-ROW($B$2))/16+1),"")</f>
        <v/>
      </c>
    </row>
    <row r="11544" spans="2:14" x14ac:dyDescent="0.3">
      <c r="B11544" t="s">
        <v>2128</v>
      </c>
      <c r="N11544" t="str" cm="1">
        <f t="array" ref="N11544">IF(MOD(ROW()-ROW($B$2),16)=0,INDEX($M$2:$M$1000,(ROW()-ROW($B$2))/16+1),"")</f>
        <v/>
      </c>
    </row>
    <row r="11545" spans="2:14" x14ac:dyDescent="0.3">
      <c r="B11545" t="s">
        <v>2129</v>
      </c>
      <c r="N11545" t="str" cm="1">
        <f t="array" ref="N11545">IF(MOD(ROW()-ROW($B$2),16)=0,INDEX($M$2:$M$1000,(ROW()-ROW($B$2))/16+1),"")</f>
        <v/>
      </c>
    </row>
    <row r="11546" spans="2:14" x14ac:dyDescent="0.3">
      <c r="B11546" t="s">
        <v>2130</v>
      </c>
      <c r="N11546" t="str" cm="1">
        <f t="array" ref="N11546">IF(MOD(ROW()-ROW($B$2),16)=0,INDEX($M$2:$M$1000,(ROW()-ROW($B$2))/16+1),"")</f>
        <v/>
      </c>
    </row>
    <row r="11547" spans="2:14" x14ac:dyDescent="0.3">
      <c r="B11547" t="s">
        <v>2131</v>
      </c>
      <c r="N11547" t="str" cm="1">
        <f t="array" ref="N11547">IF(MOD(ROW()-ROW($B$2),16)=0,INDEX($M$2:$M$1000,(ROW()-ROW($B$2))/16+1),"")</f>
        <v/>
      </c>
    </row>
    <row r="11548" spans="2:14" x14ac:dyDescent="0.3">
      <c r="B11548" t="s">
        <v>2132</v>
      </c>
      <c r="N11548" t="str" cm="1">
        <f t="array" ref="N11548">IF(MOD(ROW()-ROW($B$2),16)=0,INDEX($M$2:$M$1000,(ROW()-ROW($B$2))/16+1),"")</f>
        <v/>
      </c>
    </row>
    <row r="11549" spans="2:14" x14ac:dyDescent="0.3">
      <c r="B11549" t="s">
        <v>2133</v>
      </c>
      <c r="N11549" t="str" cm="1">
        <f t="array" ref="N11549">IF(MOD(ROW()-ROW($B$2),16)=0,INDEX($M$2:$M$1000,(ROW()-ROW($B$2))/16+1),"")</f>
        <v/>
      </c>
    </row>
    <row r="11550" spans="2:14" x14ac:dyDescent="0.3">
      <c r="B11550" t="s">
        <v>2134</v>
      </c>
      <c r="N11550" t="str" cm="1">
        <f t="array" ref="N11550">IF(MOD(ROW()-ROW($B$2),16)=0,INDEX($M$2:$M$1000,(ROW()-ROW($B$2))/16+1),"")</f>
        <v/>
      </c>
    </row>
    <row r="11551" spans="2:14" x14ac:dyDescent="0.3">
      <c r="B11551" t="s">
        <v>2135</v>
      </c>
      <c r="N11551" t="str" cm="1">
        <f t="array" ref="N11551">IF(MOD(ROW()-ROW($B$2),16)=0,INDEX($M$2:$M$1000,(ROW()-ROW($B$2))/16+1),"")</f>
        <v/>
      </c>
    </row>
    <row r="11552" spans="2:14" x14ac:dyDescent="0.3">
      <c r="B11552" t="s">
        <v>2136</v>
      </c>
      <c r="N11552" t="str" cm="1">
        <f t="array" ref="N11552">IF(MOD(ROW()-ROW($B$2),16)=0,INDEX($M$2:$M$1000,(ROW()-ROW($B$2))/16+1),"")</f>
        <v/>
      </c>
    </row>
    <row r="11553" spans="2:14" x14ac:dyDescent="0.3">
      <c r="B11553" t="s">
        <v>2137</v>
      </c>
      <c r="N11553" t="str" cm="1">
        <f t="array" ref="N11553">IF(MOD(ROW()-ROW($B$2),16)=0,INDEX($M$2:$M$1000,(ROW()-ROW($B$2))/16+1),"")</f>
        <v/>
      </c>
    </row>
    <row r="11554" spans="2:14" x14ac:dyDescent="0.3">
      <c r="B11554" t="s">
        <v>2138</v>
      </c>
      <c r="N11554" t="str" cm="1">
        <f t="array" ref="N11554">IF(MOD(ROW()-ROW($B$2),16)=0,INDEX($M$2:$M$1000,(ROW()-ROW($B$2))/16+1),"")</f>
        <v/>
      </c>
    </row>
    <row r="11555" spans="2:14" x14ac:dyDescent="0.3">
      <c r="B11555" t="s">
        <v>2139</v>
      </c>
      <c r="N11555" t="str" cm="1">
        <f t="array" ref="N11555">IF(MOD(ROW()-ROW($B$2),16)=0,INDEX($M$2:$M$1000,(ROW()-ROW($B$2))/16+1),"")</f>
        <v/>
      </c>
    </row>
    <row r="11556" spans="2:14" x14ac:dyDescent="0.3">
      <c r="B11556" t="s">
        <v>2140</v>
      </c>
      <c r="N11556" t="str" cm="1">
        <f t="array" ref="N11556">IF(MOD(ROW()-ROW($B$2),16)=0,INDEX($M$2:$M$1000,(ROW()-ROW($B$2))/16+1),"")</f>
        <v/>
      </c>
    </row>
    <row r="11557" spans="2:14" x14ac:dyDescent="0.3">
      <c r="B11557" t="s">
        <v>2141</v>
      </c>
      <c r="N11557" t="str" cm="1">
        <f t="array" ref="N11557">IF(MOD(ROW()-ROW($B$2),16)=0,INDEX($M$2:$M$1000,(ROW()-ROW($B$2))/16+1),"")</f>
        <v/>
      </c>
    </row>
    <row r="11558" spans="2:14" x14ac:dyDescent="0.3">
      <c r="B11558" t="s">
        <v>2142</v>
      </c>
      <c r="N11558" t="str" cm="1">
        <f t="array" ref="N11558">IF(MOD(ROW()-ROW($B$2),16)=0,INDEX($M$2:$M$1000,(ROW()-ROW($B$2))/16+1),"")</f>
        <v/>
      </c>
    </row>
    <row r="11559" spans="2:14" x14ac:dyDescent="0.3">
      <c r="B11559" t="s">
        <v>2143</v>
      </c>
      <c r="N11559" t="str" cm="1">
        <f t="array" ref="N11559">IF(MOD(ROW()-ROW($B$2),16)=0,INDEX($M$2:$M$1000,(ROW()-ROW($B$2))/16+1),"")</f>
        <v/>
      </c>
    </row>
    <row r="11560" spans="2:14" x14ac:dyDescent="0.3">
      <c r="B11560" t="s">
        <v>2144</v>
      </c>
      <c r="N11560" t="str" cm="1">
        <f t="array" ref="N11560">IF(MOD(ROW()-ROW($B$2),16)=0,INDEX($M$2:$M$1000,(ROW()-ROW($B$2))/16+1),"")</f>
        <v/>
      </c>
    </row>
    <row r="11561" spans="2:14" x14ac:dyDescent="0.3">
      <c r="N11561" t="str" cm="1">
        <f t="array" ref="N11561">IF(MOD(ROW()-ROW($B$2),16)=0,INDEX($M$2:$M$1000,(ROW()-ROW($B$2))/16+1),"")</f>
        <v/>
      </c>
    </row>
    <row r="11562" spans="2:14" x14ac:dyDescent="0.3">
      <c r="N11562" t="str" cm="1">
        <f t="array" ref="N11562">IF(MOD(ROW()-ROW($B$2),16)=0,INDEX($M$2:$M$1000,(ROW()-ROW($B$2))/16+1),"")</f>
        <v/>
      </c>
    </row>
    <row r="11563" spans="2:14" x14ac:dyDescent="0.3">
      <c r="N11563" t="str" cm="1">
        <f t="array" ref="N11563">IF(MOD(ROW()-ROW($B$2),16)=0,INDEX($M$2:$M$1000,(ROW()-ROW($B$2))/16+1),"")</f>
        <v/>
      </c>
    </row>
    <row r="11564" spans="2:14" x14ac:dyDescent="0.3">
      <c r="N11564" t="str" cm="1">
        <f t="array" ref="N11564">IF(MOD(ROW()-ROW($B$2),16)=0,INDEX($M$2:$M$1000,(ROW()-ROW($B$2))/16+1),"")</f>
        <v/>
      </c>
    </row>
    <row r="11565" spans="2:14" x14ac:dyDescent="0.3">
      <c r="N11565" t="str" cm="1">
        <f t="array" ref="N11565">IF(MOD(ROW()-ROW($B$2),16)=0,INDEX($M$2:$M$1000,(ROW()-ROW($B$2))/16+1),"")</f>
        <v/>
      </c>
    </row>
    <row r="11566" spans="2:14" x14ac:dyDescent="0.3">
      <c r="N11566" t="str" cm="1">
        <f t="array" ref="N11566">IF(MOD(ROW()-ROW($B$2),16)=0,INDEX($M$2:$M$1000,(ROW()-ROW($B$2))/16+1),"")</f>
        <v/>
      </c>
    </row>
    <row r="11567" spans="2:14" x14ac:dyDescent="0.3">
      <c r="N11567" t="str" cm="1">
        <f t="array" ref="N11567">IF(MOD(ROW()-ROW($B$2),16)=0,INDEX($M$2:$M$1000,(ROW()-ROW($B$2))/16+1),"")</f>
        <v/>
      </c>
    </row>
    <row r="11568" spans="2:14" x14ac:dyDescent="0.3">
      <c r="N11568" t="str" cm="1">
        <f t="array" ref="N11568">IF(MOD(ROW()-ROW($B$2),16)=0,INDEX($M$2:$M$1000,(ROW()-ROW($B$2))/16+1),"")</f>
        <v/>
      </c>
    </row>
    <row r="11569" spans="14:14" x14ac:dyDescent="0.3">
      <c r="N11569" t="str" cm="1">
        <f t="array" ref="N11569">IF(MOD(ROW()-ROW($B$2),16)=0,INDEX($M$2:$M$1000,(ROW()-ROW($B$2))/16+1),"")</f>
        <v/>
      </c>
    </row>
    <row r="11570" spans="14:14" x14ac:dyDescent="0.3">
      <c r="N11570" t="str" cm="1">
        <f t="array" ref="N11570">IF(MOD(ROW()-ROW($B$2),16)=0,INDEX($M$2:$M$1000,(ROW()-ROW($B$2))/16+1),"")</f>
        <v/>
      </c>
    </row>
    <row r="11571" spans="14:14" x14ac:dyDescent="0.3">
      <c r="N11571" t="str" cm="1">
        <f t="array" ref="N11571">IF(MOD(ROW()-ROW($B$2),16)=0,INDEX($M$2:$M$1000,(ROW()-ROW($B$2))/16+1),"")</f>
        <v/>
      </c>
    </row>
    <row r="11572" spans="14:14" x14ac:dyDescent="0.3">
      <c r="N11572" t="str" cm="1">
        <f t="array" ref="N11572">IF(MOD(ROW()-ROW($B$2),16)=0,INDEX($M$2:$M$1000,(ROW()-ROW($B$2))/16+1),"")</f>
        <v/>
      </c>
    </row>
    <row r="11573" spans="14:14" x14ac:dyDescent="0.3">
      <c r="N11573" t="str" cm="1">
        <f t="array" ref="N11573">IF(MOD(ROW()-ROW($B$2),16)=0,INDEX($M$2:$M$1000,(ROW()-ROW($B$2))/16+1),"")</f>
        <v/>
      </c>
    </row>
    <row r="11574" spans="14:14" x14ac:dyDescent="0.3">
      <c r="N11574" t="str" cm="1">
        <f t="array" ref="N11574">IF(MOD(ROW()-ROW($B$2),16)=0,INDEX($M$2:$M$1000,(ROW()-ROW($B$2))/16+1),"")</f>
        <v/>
      </c>
    </row>
    <row r="11575" spans="14:14" x14ac:dyDescent="0.3">
      <c r="N11575" t="str" cm="1">
        <f t="array" ref="N11575">IF(MOD(ROW()-ROW($B$2),16)=0,INDEX($M$2:$M$1000,(ROW()-ROW($B$2))/16+1),"")</f>
        <v/>
      </c>
    </row>
    <row r="11576" spans="14:14" x14ac:dyDescent="0.3">
      <c r="N11576" t="str" cm="1">
        <f t="array" ref="N11576">IF(MOD(ROW()-ROW($B$2),16)=0,INDEX($M$2:$M$1000,(ROW()-ROW($B$2))/16+1),"")</f>
        <v/>
      </c>
    </row>
    <row r="11577" spans="14:14" x14ac:dyDescent="0.3">
      <c r="N11577" t="str" cm="1">
        <f t="array" ref="N11577">IF(MOD(ROW()-ROW($B$2),16)=0,INDEX($M$2:$M$1000,(ROW()-ROW($B$2))/16+1),"")</f>
        <v/>
      </c>
    </row>
    <row r="11578" spans="14:14" x14ac:dyDescent="0.3">
      <c r="N11578" t="str" cm="1">
        <f t="array" ref="N11578">IF(MOD(ROW()-ROW($B$2),16)=0,INDEX($M$2:$M$1000,(ROW()-ROW($B$2))/16+1),"")</f>
        <v/>
      </c>
    </row>
    <row r="11579" spans="14:14" x14ac:dyDescent="0.3">
      <c r="N11579" t="str" cm="1">
        <f t="array" ref="N11579">IF(MOD(ROW()-ROW($B$2),16)=0,INDEX($M$2:$M$1000,(ROW()-ROW($B$2))/16+1),"")</f>
        <v/>
      </c>
    </row>
    <row r="11580" spans="14:14" x14ac:dyDescent="0.3">
      <c r="N11580" t="str" cm="1">
        <f t="array" ref="N11580">IF(MOD(ROW()-ROW($B$2),16)=0,INDEX($M$2:$M$1000,(ROW()-ROW($B$2))/16+1),"")</f>
        <v/>
      </c>
    </row>
    <row r="11581" spans="14:14" x14ac:dyDescent="0.3">
      <c r="N11581" t="str" cm="1">
        <f t="array" ref="N11581">IF(MOD(ROW()-ROW($B$2),16)=0,INDEX($M$2:$M$1000,(ROW()-ROW($B$2))/16+1),"")</f>
        <v/>
      </c>
    </row>
    <row r="11582" spans="14:14" x14ac:dyDescent="0.3">
      <c r="N11582" t="str" cm="1">
        <f t="array" ref="N11582">IF(MOD(ROW()-ROW($B$2),16)=0,INDEX($M$2:$M$1000,(ROW()-ROW($B$2))/16+1),"")</f>
        <v/>
      </c>
    </row>
    <row r="11583" spans="14:14" x14ac:dyDescent="0.3">
      <c r="N11583" t="str" cm="1">
        <f t="array" ref="N11583">IF(MOD(ROW()-ROW($B$2),16)=0,INDEX($M$2:$M$1000,(ROW()-ROW($B$2))/16+1),"")</f>
        <v/>
      </c>
    </row>
    <row r="11584" spans="14:14" x14ac:dyDescent="0.3">
      <c r="N11584" t="str" cm="1">
        <f t="array" ref="N11584">IF(MOD(ROW()-ROW($B$2),16)=0,INDEX($M$2:$M$1000,(ROW()-ROW($B$2))/16+1),"")</f>
        <v/>
      </c>
    </row>
    <row r="11585" spans="14:14" x14ac:dyDescent="0.3">
      <c r="N11585" t="str" cm="1">
        <f t="array" ref="N11585">IF(MOD(ROW()-ROW($B$2),16)=0,INDEX($M$2:$M$1000,(ROW()-ROW($B$2))/16+1),"")</f>
        <v/>
      </c>
    </row>
    <row r="11586" spans="14:14" x14ac:dyDescent="0.3">
      <c r="N11586" t="str" cm="1">
        <f t="array" ref="N11586">IF(MOD(ROW()-ROW($B$2),16)=0,INDEX($M$2:$M$1000,(ROW()-ROW($B$2))/16+1),"")</f>
        <v/>
      </c>
    </row>
    <row r="11587" spans="14:14" x14ac:dyDescent="0.3">
      <c r="N11587" t="str" cm="1">
        <f t="array" ref="N11587">IF(MOD(ROW()-ROW($B$2),16)=0,INDEX($M$2:$M$1000,(ROW()-ROW($B$2))/16+1),"")</f>
        <v/>
      </c>
    </row>
    <row r="11588" spans="14:14" x14ac:dyDescent="0.3">
      <c r="N11588" t="str" cm="1">
        <f t="array" ref="N11588">IF(MOD(ROW()-ROW($B$2),16)=0,INDEX($M$2:$M$1000,(ROW()-ROW($B$2))/16+1),"")</f>
        <v/>
      </c>
    </row>
    <row r="11589" spans="14:14" x14ac:dyDescent="0.3">
      <c r="N11589" t="str" cm="1">
        <f t="array" ref="N11589">IF(MOD(ROW()-ROW($B$2),16)=0,INDEX($M$2:$M$1000,(ROW()-ROW($B$2))/16+1),"")</f>
        <v/>
      </c>
    </row>
    <row r="11590" spans="14:14" x14ac:dyDescent="0.3">
      <c r="N11590" t="str" cm="1">
        <f t="array" ref="N11590">IF(MOD(ROW()-ROW($B$2),16)=0,INDEX($M$2:$M$1000,(ROW()-ROW($B$2))/16+1),"")</f>
        <v/>
      </c>
    </row>
    <row r="11591" spans="14:14" x14ac:dyDescent="0.3">
      <c r="N11591" t="str" cm="1">
        <f t="array" ref="N11591">IF(MOD(ROW()-ROW($B$2),16)=0,INDEX($M$2:$M$1000,(ROW()-ROW($B$2))/16+1),"")</f>
        <v/>
      </c>
    </row>
    <row r="11592" spans="14:14" x14ac:dyDescent="0.3">
      <c r="N11592" t="str" cm="1">
        <f t="array" ref="N11592">IF(MOD(ROW()-ROW($B$2),16)=0,INDEX($M$2:$M$1000,(ROW()-ROW($B$2))/16+1),"")</f>
        <v/>
      </c>
    </row>
    <row r="11593" spans="14:14" x14ac:dyDescent="0.3">
      <c r="N11593" t="str" cm="1">
        <f t="array" ref="N11593">IF(MOD(ROW()-ROW($B$2),16)=0,INDEX($M$2:$M$1000,(ROW()-ROW($B$2))/16+1),"")</f>
        <v/>
      </c>
    </row>
    <row r="11594" spans="14:14" x14ac:dyDescent="0.3">
      <c r="N11594" t="str" cm="1">
        <f t="array" ref="N11594">IF(MOD(ROW()-ROW($B$2),16)=0,INDEX($M$2:$M$1000,(ROW()-ROW($B$2))/16+1),"")</f>
        <v/>
      </c>
    </row>
    <row r="11595" spans="14:14" x14ac:dyDescent="0.3">
      <c r="N11595" t="str" cm="1">
        <f t="array" ref="N11595">IF(MOD(ROW()-ROW($B$2),16)=0,INDEX($M$2:$M$1000,(ROW()-ROW($B$2))/16+1),"")</f>
        <v/>
      </c>
    </row>
    <row r="11596" spans="14:14" x14ac:dyDescent="0.3">
      <c r="N11596" t="str" cm="1">
        <f t="array" ref="N11596">IF(MOD(ROW()-ROW($B$2),16)=0,INDEX($M$2:$M$1000,(ROW()-ROW($B$2))/16+1),"")</f>
        <v/>
      </c>
    </row>
    <row r="11597" spans="14:14" x14ac:dyDescent="0.3">
      <c r="N11597" t="str" cm="1">
        <f t="array" ref="N11597">IF(MOD(ROW()-ROW($B$2),16)=0,INDEX($M$2:$M$1000,(ROW()-ROW($B$2))/16+1),"")</f>
        <v/>
      </c>
    </row>
    <row r="11598" spans="14:14" x14ac:dyDescent="0.3">
      <c r="N11598" t="str" cm="1">
        <f t="array" ref="N11598">IF(MOD(ROW()-ROW($B$2),16)=0,INDEX($M$2:$M$1000,(ROW()-ROW($B$2))/16+1),"")</f>
        <v/>
      </c>
    </row>
    <row r="11599" spans="14:14" x14ac:dyDescent="0.3">
      <c r="N11599" t="str" cm="1">
        <f t="array" ref="N11599">IF(MOD(ROW()-ROW($B$2),16)=0,INDEX($M$2:$M$1000,(ROW()-ROW($B$2))/16+1),"")</f>
        <v/>
      </c>
    </row>
    <row r="11600" spans="14:14" x14ac:dyDescent="0.3">
      <c r="N11600" t="str" cm="1">
        <f t="array" ref="N11600">IF(MOD(ROW()-ROW($B$2),16)=0,INDEX($M$2:$M$1000,(ROW()-ROW($B$2))/16+1),"")</f>
        <v/>
      </c>
    </row>
    <row r="11601" spans="14:14" x14ac:dyDescent="0.3">
      <c r="N11601" t="str" cm="1">
        <f t="array" ref="N11601">IF(MOD(ROW()-ROW($B$2),16)=0,INDEX($M$2:$M$1000,(ROW()-ROW($B$2))/16+1),"")</f>
        <v/>
      </c>
    </row>
    <row r="11602" spans="14:14" x14ac:dyDescent="0.3">
      <c r="N11602" t="str" cm="1">
        <f t="array" ref="N11602">IF(MOD(ROW()-ROW($B$2),16)=0,INDEX($M$2:$M$1000,(ROW()-ROW($B$2))/16+1),"")</f>
        <v/>
      </c>
    </row>
    <row r="11603" spans="14:14" x14ac:dyDescent="0.3">
      <c r="N11603" t="str" cm="1">
        <f t="array" ref="N11603">IF(MOD(ROW()-ROW($B$2),16)=0,INDEX($M$2:$M$1000,(ROW()-ROW($B$2))/16+1),"")</f>
        <v/>
      </c>
    </row>
    <row r="11604" spans="14:14" x14ac:dyDescent="0.3">
      <c r="N11604" t="str" cm="1">
        <f t="array" ref="N11604">IF(MOD(ROW()-ROW($B$2),16)=0,INDEX($M$2:$M$1000,(ROW()-ROW($B$2))/16+1),"")</f>
        <v/>
      </c>
    </row>
    <row r="11605" spans="14:14" x14ac:dyDescent="0.3">
      <c r="N11605" t="str" cm="1">
        <f t="array" ref="N11605">IF(MOD(ROW()-ROW($B$2),16)=0,INDEX($M$2:$M$1000,(ROW()-ROW($B$2))/16+1),"")</f>
        <v/>
      </c>
    </row>
    <row r="11606" spans="14:14" x14ac:dyDescent="0.3">
      <c r="N11606" t="str" cm="1">
        <f t="array" ref="N11606">IF(MOD(ROW()-ROW($B$2),16)=0,INDEX($M$2:$M$1000,(ROW()-ROW($B$2))/16+1),"")</f>
        <v/>
      </c>
    </row>
    <row r="11607" spans="14:14" x14ac:dyDescent="0.3">
      <c r="N11607" t="str" cm="1">
        <f t="array" ref="N11607">IF(MOD(ROW()-ROW($B$2),16)=0,INDEX($M$2:$M$1000,(ROW()-ROW($B$2))/16+1),"")</f>
        <v/>
      </c>
    </row>
    <row r="11608" spans="14:14" x14ac:dyDescent="0.3">
      <c r="N11608" t="str" cm="1">
        <f t="array" ref="N11608">IF(MOD(ROW()-ROW($B$2),16)=0,INDEX($M$2:$M$1000,(ROW()-ROW($B$2))/16+1),"")</f>
        <v/>
      </c>
    </row>
    <row r="11609" spans="14:14" x14ac:dyDescent="0.3">
      <c r="N11609" t="str" cm="1">
        <f t="array" ref="N11609">IF(MOD(ROW()-ROW($B$2),16)=0,INDEX($M$2:$M$1000,(ROW()-ROW($B$2))/16+1),"")</f>
        <v/>
      </c>
    </row>
    <row r="11610" spans="14:14" x14ac:dyDescent="0.3">
      <c r="N11610" t="str" cm="1">
        <f t="array" ref="N11610">IF(MOD(ROW()-ROW($B$2),16)=0,INDEX($M$2:$M$1000,(ROW()-ROW($B$2))/16+1),"")</f>
        <v/>
      </c>
    </row>
    <row r="11611" spans="14:14" x14ac:dyDescent="0.3">
      <c r="N11611" t="str" cm="1">
        <f t="array" ref="N11611">IF(MOD(ROW()-ROW($B$2),16)=0,INDEX($M$2:$M$1000,(ROW()-ROW($B$2))/16+1),"")</f>
        <v/>
      </c>
    </row>
    <row r="11612" spans="14:14" x14ac:dyDescent="0.3">
      <c r="N11612" t="str" cm="1">
        <f t="array" ref="N11612">IF(MOD(ROW()-ROW($B$2),16)=0,INDEX($M$2:$M$1000,(ROW()-ROW($B$2))/16+1),"")</f>
        <v/>
      </c>
    </row>
    <row r="11613" spans="14:14" x14ac:dyDescent="0.3">
      <c r="N11613" t="str" cm="1">
        <f t="array" ref="N11613">IF(MOD(ROW()-ROW($B$2),16)=0,INDEX($M$2:$M$1000,(ROW()-ROW($B$2))/16+1),"")</f>
        <v/>
      </c>
    </row>
    <row r="11614" spans="14:14" x14ac:dyDescent="0.3">
      <c r="N11614" t="str" cm="1">
        <f t="array" ref="N11614">IF(MOD(ROW()-ROW($B$2),16)=0,INDEX($M$2:$M$1000,(ROW()-ROW($B$2))/16+1),"")</f>
        <v/>
      </c>
    </row>
    <row r="11615" spans="14:14" x14ac:dyDescent="0.3">
      <c r="N11615" t="str" cm="1">
        <f t="array" ref="N11615">IF(MOD(ROW()-ROW($B$2),16)=0,INDEX($M$2:$M$1000,(ROW()-ROW($B$2))/16+1),"")</f>
        <v/>
      </c>
    </row>
    <row r="11616" spans="14:14" x14ac:dyDescent="0.3">
      <c r="N11616" t="str" cm="1">
        <f t="array" ref="N11616">IF(MOD(ROW()-ROW($B$2),16)=0,INDEX($M$2:$M$1000,(ROW()-ROW($B$2))/16+1),"")</f>
        <v/>
      </c>
    </row>
    <row r="11617" spans="14:14" x14ac:dyDescent="0.3">
      <c r="N11617" t="str" cm="1">
        <f t="array" ref="N11617">IF(MOD(ROW()-ROW($B$2),16)=0,INDEX($M$2:$M$1000,(ROW()-ROW($B$2))/16+1),"")</f>
        <v/>
      </c>
    </row>
    <row r="11618" spans="14:14" x14ac:dyDescent="0.3">
      <c r="N11618" t="str" cm="1">
        <f t="array" ref="N11618">IF(MOD(ROW()-ROW($B$2),16)=0,INDEX($M$2:$M$1000,(ROW()-ROW($B$2))/16+1),"")</f>
        <v/>
      </c>
    </row>
    <row r="11619" spans="14:14" x14ac:dyDescent="0.3">
      <c r="N11619" t="str" cm="1">
        <f t="array" ref="N11619">IF(MOD(ROW()-ROW($B$2),16)=0,INDEX($M$2:$M$1000,(ROW()-ROW($B$2))/16+1),"")</f>
        <v/>
      </c>
    </row>
    <row r="11620" spans="14:14" x14ac:dyDescent="0.3">
      <c r="N11620" t="str" cm="1">
        <f t="array" ref="N11620">IF(MOD(ROW()-ROW($B$2),16)=0,INDEX($M$2:$M$1000,(ROW()-ROW($B$2))/16+1),"")</f>
        <v/>
      </c>
    </row>
    <row r="11621" spans="14:14" x14ac:dyDescent="0.3">
      <c r="N11621" t="str" cm="1">
        <f t="array" ref="N11621">IF(MOD(ROW()-ROW($B$2),16)=0,INDEX($M$2:$M$1000,(ROW()-ROW($B$2))/16+1),"")</f>
        <v/>
      </c>
    </row>
    <row r="11622" spans="14:14" x14ac:dyDescent="0.3">
      <c r="N11622" t="str" cm="1">
        <f t="array" ref="N11622">IF(MOD(ROW()-ROW($B$2),16)=0,INDEX($M$2:$M$1000,(ROW()-ROW($B$2))/16+1),"")</f>
        <v/>
      </c>
    </row>
    <row r="11623" spans="14:14" x14ac:dyDescent="0.3">
      <c r="N11623" t="str" cm="1">
        <f t="array" ref="N11623">IF(MOD(ROW()-ROW($B$2),16)=0,INDEX($M$2:$M$1000,(ROW()-ROW($B$2))/16+1),"")</f>
        <v/>
      </c>
    </row>
    <row r="11624" spans="14:14" x14ac:dyDescent="0.3">
      <c r="N11624" t="str" cm="1">
        <f t="array" ref="N11624">IF(MOD(ROW()-ROW($B$2),16)=0,INDEX($M$2:$M$1000,(ROW()-ROW($B$2))/16+1),"")</f>
        <v/>
      </c>
    </row>
    <row r="11625" spans="14:14" x14ac:dyDescent="0.3">
      <c r="N11625" t="str" cm="1">
        <f t="array" ref="N11625">IF(MOD(ROW()-ROW($B$2),16)=0,INDEX($M$2:$M$1000,(ROW()-ROW($B$2))/16+1),"")</f>
        <v/>
      </c>
    </row>
    <row r="11626" spans="14:14" x14ac:dyDescent="0.3">
      <c r="N11626" t="str" cm="1">
        <f t="array" ref="N11626">IF(MOD(ROW()-ROW($B$2),16)=0,INDEX($M$2:$M$1000,(ROW()-ROW($B$2))/16+1),"")</f>
        <v/>
      </c>
    </row>
    <row r="11627" spans="14:14" x14ac:dyDescent="0.3">
      <c r="N11627" t="str" cm="1">
        <f t="array" ref="N11627">IF(MOD(ROW()-ROW($B$2),16)=0,INDEX($M$2:$M$1000,(ROW()-ROW($B$2))/16+1),"")</f>
        <v/>
      </c>
    </row>
    <row r="11628" spans="14:14" x14ac:dyDescent="0.3">
      <c r="N11628" t="str" cm="1">
        <f t="array" ref="N11628">IF(MOD(ROW()-ROW($B$2),16)=0,INDEX($M$2:$M$1000,(ROW()-ROW($B$2))/16+1),"")</f>
        <v/>
      </c>
    </row>
    <row r="11629" spans="14:14" x14ac:dyDescent="0.3">
      <c r="N11629" t="str" cm="1">
        <f t="array" ref="N11629">IF(MOD(ROW()-ROW($B$2),16)=0,INDEX($M$2:$M$1000,(ROW()-ROW($B$2))/16+1),"")</f>
        <v/>
      </c>
    </row>
    <row r="11630" spans="14:14" x14ac:dyDescent="0.3">
      <c r="N11630" t="str" cm="1">
        <f t="array" ref="N11630">IF(MOD(ROW()-ROW($B$2),16)=0,INDEX($M$2:$M$1000,(ROW()-ROW($B$2))/16+1),"")</f>
        <v/>
      </c>
    </row>
    <row r="11631" spans="14:14" x14ac:dyDescent="0.3">
      <c r="N11631" t="str" cm="1">
        <f t="array" ref="N11631">IF(MOD(ROW()-ROW($B$2),16)=0,INDEX($M$2:$M$1000,(ROW()-ROW($B$2))/16+1),"")</f>
        <v/>
      </c>
    </row>
    <row r="11632" spans="14:14" x14ac:dyDescent="0.3">
      <c r="N11632" t="str" cm="1">
        <f t="array" ref="N11632">IF(MOD(ROW()-ROW($B$2),16)=0,INDEX($M$2:$M$1000,(ROW()-ROW($B$2))/16+1),"")</f>
        <v/>
      </c>
    </row>
    <row r="11633" spans="14:14" x14ac:dyDescent="0.3">
      <c r="N11633" t="str" cm="1">
        <f t="array" ref="N11633">IF(MOD(ROW()-ROW($B$2),16)=0,INDEX($M$2:$M$1000,(ROW()-ROW($B$2))/16+1),"")</f>
        <v/>
      </c>
    </row>
    <row r="11634" spans="14:14" x14ac:dyDescent="0.3">
      <c r="N11634" t="str" cm="1">
        <f t="array" ref="N11634">IF(MOD(ROW()-ROW($B$2),16)=0,INDEX($M$2:$M$1000,(ROW()-ROW($B$2))/16+1),"")</f>
        <v/>
      </c>
    </row>
    <row r="11635" spans="14:14" x14ac:dyDescent="0.3">
      <c r="N11635" t="str" cm="1">
        <f t="array" ref="N11635">IF(MOD(ROW()-ROW($B$2),16)=0,INDEX($M$2:$M$1000,(ROW()-ROW($B$2))/16+1),"")</f>
        <v/>
      </c>
    </row>
    <row r="11636" spans="14:14" x14ac:dyDescent="0.3">
      <c r="N11636" t="str" cm="1">
        <f t="array" ref="N11636">IF(MOD(ROW()-ROW($B$2),16)=0,INDEX($M$2:$M$1000,(ROW()-ROW($B$2))/16+1),"")</f>
        <v/>
      </c>
    </row>
    <row r="11637" spans="14:14" x14ac:dyDescent="0.3">
      <c r="N11637" t="str" cm="1">
        <f t="array" ref="N11637">IF(MOD(ROW()-ROW($B$2),16)=0,INDEX($M$2:$M$1000,(ROW()-ROW($B$2))/16+1),"")</f>
        <v/>
      </c>
    </row>
    <row r="11638" spans="14:14" x14ac:dyDescent="0.3">
      <c r="N11638" t="str" cm="1">
        <f t="array" ref="N11638">IF(MOD(ROW()-ROW($B$2),16)=0,INDEX($M$2:$M$1000,(ROW()-ROW($B$2))/16+1),"")</f>
        <v/>
      </c>
    </row>
    <row r="11639" spans="14:14" x14ac:dyDescent="0.3">
      <c r="N11639" t="str" cm="1">
        <f t="array" ref="N11639">IF(MOD(ROW()-ROW($B$2),16)=0,INDEX($M$2:$M$1000,(ROW()-ROW($B$2))/16+1),"")</f>
        <v/>
      </c>
    </row>
    <row r="11640" spans="14:14" x14ac:dyDescent="0.3">
      <c r="N11640" t="str" cm="1">
        <f t="array" ref="N11640">IF(MOD(ROW()-ROW($B$2),16)=0,INDEX($M$2:$M$1000,(ROW()-ROW($B$2))/16+1),"")</f>
        <v/>
      </c>
    </row>
    <row r="11641" spans="14:14" x14ac:dyDescent="0.3">
      <c r="N11641" t="str" cm="1">
        <f t="array" ref="N11641">IF(MOD(ROW()-ROW($B$2),16)=0,INDEX($M$2:$M$1000,(ROW()-ROW($B$2))/16+1),"")</f>
        <v/>
      </c>
    </row>
    <row r="11642" spans="14:14" x14ac:dyDescent="0.3">
      <c r="N11642" t="str" cm="1">
        <f t="array" ref="N11642">IF(MOD(ROW()-ROW($B$2),16)=0,INDEX($M$2:$M$1000,(ROW()-ROW($B$2))/16+1),"")</f>
        <v/>
      </c>
    </row>
    <row r="11643" spans="14:14" x14ac:dyDescent="0.3">
      <c r="N11643" t="str" cm="1">
        <f t="array" ref="N11643">IF(MOD(ROW()-ROW($B$2),16)=0,INDEX($M$2:$M$1000,(ROW()-ROW($B$2))/16+1),"")</f>
        <v/>
      </c>
    </row>
    <row r="11644" spans="14:14" x14ac:dyDescent="0.3">
      <c r="N11644" t="str" cm="1">
        <f t="array" ref="N11644">IF(MOD(ROW()-ROW($B$2),16)=0,INDEX($M$2:$M$1000,(ROW()-ROW($B$2))/16+1),"")</f>
        <v/>
      </c>
    </row>
    <row r="11645" spans="14:14" x14ac:dyDescent="0.3">
      <c r="N11645" t="str" cm="1">
        <f t="array" ref="N11645">IF(MOD(ROW()-ROW($B$2),16)=0,INDEX($M$2:$M$1000,(ROW()-ROW($B$2))/16+1),"")</f>
        <v/>
      </c>
    </row>
    <row r="11646" spans="14:14" x14ac:dyDescent="0.3">
      <c r="N11646" t="str" cm="1">
        <f t="array" ref="N11646">IF(MOD(ROW()-ROW($B$2),16)=0,INDEX($M$2:$M$1000,(ROW()-ROW($B$2))/16+1),"")</f>
        <v/>
      </c>
    </row>
    <row r="11647" spans="14:14" x14ac:dyDescent="0.3">
      <c r="N11647" t="str" cm="1">
        <f t="array" ref="N11647">IF(MOD(ROW()-ROW($B$2),16)=0,INDEX($M$2:$M$1000,(ROW()-ROW($B$2))/16+1),"")</f>
        <v/>
      </c>
    </row>
    <row r="11648" spans="14:14" x14ac:dyDescent="0.3">
      <c r="N11648" t="str" cm="1">
        <f t="array" ref="N11648">IF(MOD(ROW()-ROW($B$2),16)=0,INDEX($M$2:$M$1000,(ROW()-ROW($B$2))/16+1),"")</f>
        <v/>
      </c>
    </row>
    <row r="11649" spans="14:14" x14ac:dyDescent="0.3">
      <c r="N11649" t="str" cm="1">
        <f t="array" ref="N11649">IF(MOD(ROW()-ROW($B$2),16)=0,INDEX($M$2:$M$1000,(ROW()-ROW($B$2))/16+1),"")</f>
        <v/>
      </c>
    </row>
    <row r="11650" spans="14:14" x14ac:dyDescent="0.3">
      <c r="N11650" t="str" cm="1">
        <f t="array" ref="N11650">IF(MOD(ROW()-ROW($B$2),16)=0,INDEX($M$2:$M$1000,(ROW()-ROW($B$2))/16+1),"")</f>
        <v/>
      </c>
    </row>
    <row r="11651" spans="14:14" x14ac:dyDescent="0.3">
      <c r="N11651" t="str" cm="1">
        <f t="array" ref="N11651">IF(MOD(ROW()-ROW($B$2),16)=0,INDEX($M$2:$M$1000,(ROW()-ROW($B$2))/16+1),"")</f>
        <v/>
      </c>
    </row>
    <row r="11652" spans="14:14" x14ac:dyDescent="0.3">
      <c r="N11652" t="str" cm="1">
        <f t="array" ref="N11652">IF(MOD(ROW()-ROW($B$2),16)=0,INDEX($M$2:$M$1000,(ROW()-ROW($B$2))/16+1),"")</f>
        <v/>
      </c>
    </row>
    <row r="11653" spans="14:14" x14ac:dyDescent="0.3">
      <c r="N11653" t="str" cm="1">
        <f t="array" ref="N11653">IF(MOD(ROW()-ROW($B$2),16)=0,INDEX($M$2:$M$1000,(ROW()-ROW($B$2))/16+1),"")</f>
        <v/>
      </c>
    </row>
    <row r="11654" spans="14:14" x14ac:dyDescent="0.3">
      <c r="N11654" t="str" cm="1">
        <f t="array" ref="N11654">IF(MOD(ROW()-ROW($B$2),16)=0,INDEX($M$2:$M$1000,(ROW()-ROW($B$2))/16+1),"")</f>
        <v/>
      </c>
    </row>
    <row r="11655" spans="14:14" x14ac:dyDescent="0.3">
      <c r="N11655" t="str" cm="1">
        <f t="array" ref="N11655">IF(MOD(ROW()-ROW($B$2),16)=0,INDEX($M$2:$M$1000,(ROW()-ROW($B$2))/16+1),"")</f>
        <v/>
      </c>
    </row>
    <row r="11656" spans="14:14" x14ac:dyDescent="0.3">
      <c r="N11656" t="str" cm="1">
        <f t="array" ref="N11656">IF(MOD(ROW()-ROW($B$2),16)=0,INDEX($M$2:$M$1000,(ROW()-ROW($B$2))/16+1),"")</f>
        <v/>
      </c>
    </row>
    <row r="11657" spans="14:14" x14ac:dyDescent="0.3">
      <c r="N11657" t="str" cm="1">
        <f t="array" ref="N11657">IF(MOD(ROW()-ROW($B$2),16)=0,INDEX($M$2:$M$1000,(ROW()-ROW($B$2))/16+1),"")</f>
        <v/>
      </c>
    </row>
    <row r="11658" spans="14:14" x14ac:dyDescent="0.3">
      <c r="N11658" t="str" cm="1">
        <f t="array" ref="N11658">IF(MOD(ROW()-ROW($B$2),16)=0,INDEX($M$2:$M$1000,(ROW()-ROW($B$2))/16+1),"")</f>
        <v/>
      </c>
    </row>
    <row r="11659" spans="14:14" x14ac:dyDescent="0.3">
      <c r="N11659" t="str" cm="1">
        <f t="array" ref="N11659">IF(MOD(ROW()-ROW($B$2),16)=0,INDEX($M$2:$M$1000,(ROW()-ROW($B$2))/16+1),"")</f>
        <v/>
      </c>
    </row>
    <row r="11660" spans="14:14" x14ac:dyDescent="0.3">
      <c r="N11660" t="str" cm="1">
        <f t="array" ref="N11660">IF(MOD(ROW()-ROW($B$2),16)=0,INDEX($M$2:$M$1000,(ROW()-ROW($B$2))/16+1),"")</f>
        <v/>
      </c>
    </row>
    <row r="11661" spans="14:14" x14ac:dyDescent="0.3">
      <c r="N11661" t="str" cm="1">
        <f t="array" ref="N11661">IF(MOD(ROW()-ROW($B$2),16)=0,INDEX($M$2:$M$1000,(ROW()-ROW($B$2))/16+1),"")</f>
        <v/>
      </c>
    </row>
    <row r="11662" spans="14:14" x14ac:dyDescent="0.3">
      <c r="N11662" t="str" cm="1">
        <f t="array" ref="N11662">IF(MOD(ROW()-ROW($B$2),16)=0,INDEX($M$2:$M$1000,(ROW()-ROW($B$2))/16+1),"")</f>
        <v/>
      </c>
    </row>
    <row r="11663" spans="14:14" x14ac:dyDescent="0.3">
      <c r="N11663" t="str" cm="1">
        <f t="array" ref="N11663">IF(MOD(ROW()-ROW($B$2),16)=0,INDEX($M$2:$M$1000,(ROW()-ROW($B$2))/16+1),"")</f>
        <v/>
      </c>
    </row>
    <row r="11664" spans="14:14" x14ac:dyDescent="0.3">
      <c r="N11664" t="str" cm="1">
        <f t="array" ref="N11664">IF(MOD(ROW()-ROW($B$2),16)=0,INDEX($M$2:$M$1000,(ROW()-ROW($B$2))/16+1),"")</f>
        <v/>
      </c>
    </row>
    <row r="11665" spans="14:14" x14ac:dyDescent="0.3">
      <c r="N11665" t="str" cm="1">
        <f t="array" ref="N11665">IF(MOD(ROW()-ROW($B$2),16)=0,INDEX($M$2:$M$1000,(ROW()-ROW($B$2))/16+1),"")</f>
        <v/>
      </c>
    </row>
    <row r="11666" spans="14:14" x14ac:dyDescent="0.3">
      <c r="N11666" t="str" cm="1">
        <f t="array" ref="N11666">IF(MOD(ROW()-ROW($B$2),16)=0,INDEX($M$2:$M$1000,(ROW()-ROW($B$2))/16+1),"")</f>
        <v/>
      </c>
    </row>
    <row r="11667" spans="14:14" x14ac:dyDescent="0.3">
      <c r="N11667" t="str" cm="1">
        <f t="array" ref="N11667">IF(MOD(ROW()-ROW($B$2),16)=0,INDEX($M$2:$M$1000,(ROW()-ROW($B$2))/16+1),"")</f>
        <v/>
      </c>
    </row>
    <row r="11668" spans="14:14" x14ac:dyDescent="0.3">
      <c r="N11668" t="str" cm="1">
        <f t="array" ref="N11668">IF(MOD(ROW()-ROW($B$2),16)=0,INDEX($M$2:$M$1000,(ROW()-ROW($B$2))/16+1),"")</f>
        <v/>
      </c>
    </row>
    <row r="11669" spans="14:14" x14ac:dyDescent="0.3">
      <c r="N11669" t="str" cm="1">
        <f t="array" ref="N11669">IF(MOD(ROW()-ROW($B$2),16)=0,INDEX($M$2:$M$1000,(ROW()-ROW($B$2))/16+1),"")</f>
        <v/>
      </c>
    </row>
    <row r="11670" spans="14:14" x14ac:dyDescent="0.3">
      <c r="N11670" t="str" cm="1">
        <f t="array" ref="N11670">IF(MOD(ROW()-ROW($B$2),16)=0,INDEX($M$2:$M$1000,(ROW()-ROW($B$2))/16+1),"")</f>
        <v/>
      </c>
    </row>
    <row r="11671" spans="14:14" x14ac:dyDescent="0.3">
      <c r="N11671" t="str" cm="1">
        <f t="array" ref="N11671">IF(MOD(ROW()-ROW($B$2),16)=0,INDEX($M$2:$M$1000,(ROW()-ROW($B$2))/16+1),"")</f>
        <v/>
      </c>
    </row>
    <row r="11672" spans="14:14" x14ac:dyDescent="0.3">
      <c r="N11672" t="str" cm="1">
        <f t="array" ref="N11672">IF(MOD(ROW()-ROW($B$2),16)=0,INDEX($M$2:$M$1000,(ROW()-ROW($B$2))/16+1),"")</f>
        <v/>
      </c>
    </row>
    <row r="11673" spans="14:14" x14ac:dyDescent="0.3">
      <c r="N11673" t="str" cm="1">
        <f t="array" ref="N11673">IF(MOD(ROW()-ROW($B$2),16)=0,INDEX($M$2:$M$1000,(ROW()-ROW($B$2))/16+1),"")</f>
        <v/>
      </c>
    </row>
    <row r="11674" spans="14:14" x14ac:dyDescent="0.3">
      <c r="N11674" t="str" cm="1">
        <f t="array" ref="N11674">IF(MOD(ROW()-ROW($B$2),16)=0,INDEX($M$2:$M$1000,(ROW()-ROW($B$2))/16+1),"")</f>
        <v/>
      </c>
    </row>
    <row r="11675" spans="14:14" x14ac:dyDescent="0.3">
      <c r="N11675" t="str" cm="1">
        <f t="array" ref="N11675">IF(MOD(ROW()-ROW($B$2),16)=0,INDEX($M$2:$M$1000,(ROW()-ROW($B$2))/16+1),"")</f>
        <v/>
      </c>
    </row>
    <row r="11676" spans="14:14" x14ac:dyDescent="0.3">
      <c r="N11676" t="str" cm="1">
        <f t="array" ref="N11676">IF(MOD(ROW()-ROW($B$2),16)=0,INDEX($M$2:$M$1000,(ROW()-ROW($B$2))/16+1),"")</f>
        <v/>
      </c>
    </row>
    <row r="11677" spans="14:14" x14ac:dyDescent="0.3">
      <c r="N11677" t="str" cm="1">
        <f t="array" ref="N11677">IF(MOD(ROW()-ROW($B$2),16)=0,INDEX($M$2:$M$1000,(ROW()-ROW($B$2))/16+1),"")</f>
        <v/>
      </c>
    </row>
    <row r="11678" spans="14:14" x14ac:dyDescent="0.3">
      <c r="N11678" t="str" cm="1">
        <f t="array" ref="N11678">IF(MOD(ROW()-ROW($B$2),16)=0,INDEX($M$2:$M$1000,(ROW()-ROW($B$2))/16+1),"")</f>
        <v/>
      </c>
    </row>
    <row r="11679" spans="14:14" x14ac:dyDescent="0.3">
      <c r="N11679" t="str" cm="1">
        <f t="array" ref="N11679">IF(MOD(ROW()-ROW($B$2),16)=0,INDEX($M$2:$M$1000,(ROW()-ROW($B$2))/16+1),"")</f>
        <v/>
      </c>
    </row>
    <row r="11680" spans="14:14" x14ac:dyDescent="0.3">
      <c r="N11680" t="str" cm="1">
        <f t="array" ref="N11680">IF(MOD(ROW()-ROW($B$2),16)=0,INDEX($M$2:$M$1000,(ROW()-ROW($B$2))/16+1),"")</f>
        <v/>
      </c>
    </row>
    <row r="11681" spans="14:14" x14ac:dyDescent="0.3">
      <c r="N11681" t="str" cm="1">
        <f t="array" ref="N11681">IF(MOD(ROW()-ROW($B$2),16)=0,INDEX($M$2:$M$1000,(ROW()-ROW($B$2))/16+1),"")</f>
        <v/>
      </c>
    </row>
    <row r="11682" spans="14:14" x14ac:dyDescent="0.3">
      <c r="N11682" t="str" cm="1">
        <f t="array" ref="N11682">IF(MOD(ROW()-ROW($B$2),16)=0,INDEX($M$2:$M$1000,(ROW()-ROW($B$2))/16+1),"")</f>
        <v/>
      </c>
    </row>
    <row r="11683" spans="14:14" x14ac:dyDescent="0.3">
      <c r="N11683" t="str" cm="1">
        <f t="array" ref="N11683">IF(MOD(ROW()-ROW($B$2),16)=0,INDEX($M$2:$M$1000,(ROW()-ROW($B$2))/16+1),"")</f>
        <v/>
      </c>
    </row>
    <row r="11684" spans="14:14" x14ac:dyDescent="0.3">
      <c r="N11684" t="str" cm="1">
        <f t="array" ref="N11684">IF(MOD(ROW()-ROW($B$2),16)=0,INDEX($M$2:$M$1000,(ROW()-ROW($B$2))/16+1),"")</f>
        <v/>
      </c>
    </row>
    <row r="11685" spans="14:14" x14ac:dyDescent="0.3">
      <c r="N11685" t="str" cm="1">
        <f t="array" ref="N11685">IF(MOD(ROW()-ROW($B$2),16)=0,INDEX($M$2:$M$1000,(ROW()-ROW($B$2))/16+1),"")</f>
        <v/>
      </c>
    </row>
    <row r="11686" spans="14:14" x14ac:dyDescent="0.3">
      <c r="N11686" t="str" cm="1">
        <f t="array" ref="N11686">IF(MOD(ROW()-ROW($B$2),16)=0,INDEX($M$2:$M$1000,(ROW()-ROW($B$2))/16+1),"")</f>
        <v/>
      </c>
    </row>
    <row r="11687" spans="14:14" x14ac:dyDescent="0.3">
      <c r="N11687" t="str" cm="1">
        <f t="array" ref="N11687">IF(MOD(ROW()-ROW($B$2),16)=0,INDEX($M$2:$M$1000,(ROW()-ROW($B$2))/16+1),"")</f>
        <v/>
      </c>
    </row>
    <row r="11688" spans="14:14" x14ac:dyDescent="0.3">
      <c r="N11688" t="str" cm="1">
        <f t="array" ref="N11688">IF(MOD(ROW()-ROW($B$2),16)=0,INDEX($M$2:$M$1000,(ROW()-ROW($B$2))/16+1),"")</f>
        <v/>
      </c>
    </row>
    <row r="11689" spans="14:14" x14ac:dyDescent="0.3">
      <c r="N11689" t="str" cm="1">
        <f t="array" ref="N11689">IF(MOD(ROW()-ROW($B$2),16)=0,INDEX($M$2:$M$1000,(ROW()-ROW($B$2))/16+1),"")</f>
        <v/>
      </c>
    </row>
    <row r="11690" spans="14:14" x14ac:dyDescent="0.3">
      <c r="N11690" t="str" cm="1">
        <f t="array" ref="N11690">IF(MOD(ROW()-ROW($B$2),16)=0,INDEX($M$2:$M$1000,(ROW()-ROW($B$2))/16+1),"")</f>
        <v/>
      </c>
    </row>
    <row r="11691" spans="14:14" x14ac:dyDescent="0.3">
      <c r="N11691" t="str" cm="1">
        <f t="array" ref="N11691">IF(MOD(ROW()-ROW($B$2),16)=0,INDEX($M$2:$M$1000,(ROW()-ROW($B$2))/16+1),"")</f>
        <v/>
      </c>
    </row>
    <row r="11692" spans="14:14" x14ac:dyDescent="0.3">
      <c r="N11692" t="str" cm="1">
        <f t="array" ref="N11692">IF(MOD(ROW()-ROW($B$2),16)=0,INDEX($M$2:$M$1000,(ROW()-ROW($B$2))/16+1),"")</f>
        <v/>
      </c>
    </row>
    <row r="11693" spans="14:14" x14ac:dyDescent="0.3">
      <c r="N11693" t="str" cm="1">
        <f t="array" ref="N11693">IF(MOD(ROW()-ROW($B$2),16)=0,INDEX($M$2:$M$1000,(ROW()-ROW($B$2))/16+1),"")</f>
        <v/>
      </c>
    </row>
    <row r="11694" spans="14:14" x14ac:dyDescent="0.3">
      <c r="N11694" t="str" cm="1">
        <f t="array" ref="N11694">IF(MOD(ROW()-ROW($B$2),16)=0,INDEX($M$2:$M$1000,(ROW()-ROW($B$2))/16+1),"")</f>
        <v/>
      </c>
    </row>
    <row r="11695" spans="14:14" x14ac:dyDescent="0.3">
      <c r="N11695" t="str" cm="1">
        <f t="array" ref="N11695">IF(MOD(ROW()-ROW($B$2),16)=0,INDEX($M$2:$M$1000,(ROW()-ROW($B$2))/16+1),"")</f>
        <v/>
      </c>
    </row>
    <row r="11696" spans="14:14" x14ac:dyDescent="0.3">
      <c r="N11696" t="str" cm="1">
        <f t="array" ref="N11696">IF(MOD(ROW()-ROW($B$2),16)=0,INDEX($M$2:$M$1000,(ROW()-ROW($B$2))/16+1),"")</f>
        <v/>
      </c>
    </row>
    <row r="11697" spans="14:14" x14ac:dyDescent="0.3">
      <c r="N11697" t="str" cm="1">
        <f t="array" ref="N11697">IF(MOD(ROW()-ROW($B$2),16)=0,INDEX($M$2:$M$1000,(ROW()-ROW($B$2))/16+1),"")</f>
        <v/>
      </c>
    </row>
    <row r="11698" spans="14:14" x14ac:dyDescent="0.3">
      <c r="N11698" t="str" cm="1">
        <f t="array" ref="N11698">IF(MOD(ROW()-ROW($B$2),16)=0,INDEX($M$2:$M$1000,(ROW()-ROW($B$2))/16+1),"")</f>
        <v/>
      </c>
    </row>
    <row r="11699" spans="14:14" x14ac:dyDescent="0.3">
      <c r="N11699" t="str" cm="1">
        <f t="array" ref="N11699">IF(MOD(ROW()-ROW($B$2),16)=0,INDEX($M$2:$M$1000,(ROW()-ROW($B$2))/16+1),"")</f>
        <v/>
      </c>
    </row>
    <row r="11700" spans="14:14" x14ac:dyDescent="0.3">
      <c r="N11700" t="str" cm="1">
        <f t="array" ref="N11700">IF(MOD(ROW()-ROW($B$2),16)=0,INDEX($M$2:$M$1000,(ROW()-ROW($B$2))/16+1),"")</f>
        <v/>
      </c>
    </row>
    <row r="11701" spans="14:14" x14ac:dyDescent="0.3">
      <c r="N11701" t="str" cm="1">
        <f t="array" ref="N11701">IF(MOD(ROW()-ROW($B$2),16)=0,INDEX($M$2:$M$1000,(ROW()-ROW($B$2))/16+1),"")</f>
        <v/>
      </c>
    </row>
    <row r="11702" spans="14:14" x14ac:dyDescent="0.3">
      <c r="N11702" t="str" cm="1">
        <f t="array" ref="N11702">IF(MOD(ROW()-ROW($B$2),16)=0,INDEX($M$2:$M$1000,(ROW()-ROW($B$2))/16+1),"")</f>
        <v/>
      </c>
    </row>
    <row r="11703" spans="14:14" x14ac:dyDescent="0.3">
      <c r="N11703" t="str" cm="1">
        <f t="array" ref="N11703">IF(MOD(ROW()-ROW($B$2),16)=0,INDEX($M$2:$M$1000,(ROW()-ROW($B$2))/16+1),"")</f>
        <v/>
      </c>
    </row>
    <row r="11704" spans="14:14" x14ac:dyDescent="0.3">
      <c r="N11704" t="str" cm="1">
        <f t="array" ref="N11704">IF(MOD(ROW()-ROW($B$2),16)=0,INDEX($M$2:$M$1000,(ROW()-ROW($B$2))/16+1),"")</f>
        <v/>
      </c>
    </row>
    <row r="11705" spans="14:14" x14ac:dyDescent="0.3">
      <c r="N11705" t="str" cm="1">
        <f t="array" ref="N11705">IF(MOD(ROW()-ROW($B$2),16)=0,INDEX($M$2:$M$1000,(ROW()-ROW($B$2))/16+1),"")</f>
        <v/>
      </c>
    </row>
    <row r="11706" spans="14:14" x14ac:dyDescent="0.3">
      <c r="N11706" t="str" cm="1">
        <f t="array" ref="N11706">IF(MOD(ROW()-ROW($B$2),16)=0,INDEX($M$2:$M$1000,(ROW()-ROW($B$2))/16+1),"")</f>
        <v/>
      </c>
    </row>
    <row r="11707" spans="14:14" x14ac:dyDescent="0.3">
      <c r="N11707" t="str" cm="1">
        <f t="array" ref="N11707">IF(MOD(ROW()-ROW($B$2),16)=0,INDEX($M$2:$M$1000,(ROW()-ROW($B$2))/16+1),"")</f>
        <v/>
      </c>
    </row>
    <row r="11708" spans="14:14" x14ac:dyDescent="0.3">
      <c r="N11708" t="str" cm="1">
        <f t="array" ref="N11708">IF(MOD(ROW()-ROW($B$2),16)=0,INDEX($M$2:$M$1000,(ROW()-ROW($B$2))/16+1),"")</f>
        <v/>
      </c>
    </row>
    <row r="11709" spans="14:14" x14ac:dyDescent="0.3">
      <c r="N11709" t="str" cm="1">
        <f t="array" ref="N11709">IF(MOD(ROW()-ROW($B$2),16)=0,INDEX($M$2:$M$1000,(ROW()-ROW($B$2))/16+1),"")</f>
        <v/>
      </c>
    </row>
    <row r="11710" spans="14:14" x14ac:dyDescent="0.3">
      <c r="N11710" t="str" cm="1">
        <f t="array" ref="N11710">IF(MOD(ROW()-ROW($B$2),16)=0,INDEX($M$2:$M$1000,(ROW()-ROW($B$2))/16+1),"")</f>
        <v/>
      </c>
    </row>
    <row r="11711" spans="14:14" x14ac:dyDescent="0.3">
      <c r="N11711" t="str" cm="1">
        <f t="array" ref="N11711">IF(MOD(ROW()-ROW($B$2),16)=0,INDEX($M$2:$M$1000,(ROW()-ROW($B$2))/16+1),"")</f>
        <v/>
      </c>
    </row>
    <row r="11712" spans="14:14" x14ac:dyDescent="0.3">
      <c r="N11712" t="str" cm="1">
        <f t="array" ref="N11712">IF(MOD(ROW()-ROW($B$2),16)=0,INDEX($M$2:$M$1000,(ROW()-ROW($B$2))/16+1),"")</f>
        <v/>
      </c>
    </row>
    <row r="11713" spans="14:14" x14ac:dyDescent="0.3">
      <c r="N11713" t="str" cm="1">
        <f t="array" ref="N11713">IF(MOD(ROW()-ROW($B$2),16)=0,INDEX($M$2:$M$1000,(ROW()-ROW($B$2))/16+1),"")</f>
        <v/>
      </c>
    </row>
    <row r="11714" spans="14:14" x14ac:dyDescent="0.3">
      <c r="N11714" t="str" cm="1">
        <f t="array" ref="N11714">IF(MOD(ROW()-ROW($B$2),16)=0,INDEX($M$2:$M$1000,(ROW()-ROW($B$2))/16+1),"")</f>
        <v/>
      </c>
    </row>
    <row r="11715" spans="14:14" x14ac:dyDescent="0.3">
      <c r="N11715" t="str" cm="1">
        <f t="array" ref="N11715">IF(MOD(ROW()-ROW($B$2),16)=0,INDEX($M$2:$M$1000,(ROW()-ROW($B$2))/16+1),"")</f>
        <v/>
      </c>
    </row>
    <row r="11716" spans="14:14" x14ac:dyDescent="0.3">
      <c r="N11716" t="str" cm="1">
        <f t="array" ref="N11716">IF(MOD(ROW()-ROW($B$2),16)=0,INDEX($M$2:$M$1000,(ROW()-ROW($B$2))/16+1),"")</f>
        <v/>
      </c>
    </row>
    <row r="11717" spans="14:14" x14ac:dyDescent="0.3">
      <c r="N11717" t="str" cm="1">
        <f t="array" ref="N11717">IF(MOD(ROW()-ROW($B$2),16)=0,INDEX($M$2:$M$1000,(ROW()-ROW($B$2))/16+1),"")</f>
        <v/>
      </c>
    </row>
    <row r="11718" spans="14:14" x14ac:dyDescent="0.3">
      <c r="N11718" t="str" cm="1">
        <f t="array" ref="N11718">IF(MOD(ROW()-ROW($B$2),16)=0,INDEX($M$2:$M$1000,(ROW()-ROW($B$2))/16+1),"")</f>
        <v/>
      </c>
    </row>
    <row r="11719" spans="14:14" x14ac:dyDescent="0.3">
      <c r="N11719" t="str" cm="1">
        <f t="array" ref="N11719">IF(MOD(ROW()-ROW($B$2),16)=0,INDEX($M$2:$M$1000,(ROW()-ROW($B$2))/16+1),"")</f>
        <v/>
      </c>
    </row>
    <row r="11720" spans="14:14" x14ac:dyDescent="0.3">
      <c r="N11720" t="str" cm="1">
        <f t="array" ref="N11720">IF(MOD(ROW()-ROW($B$2),16)=0,INDEX($M$2:$M$1000,(ROW()-ROW($B$2))/16+1),"")</f>
        <v/>
      </c>
    </row>
    <row r="11721" spans="14:14" x14ac:dyDescent="0.3">
      <c r="N11721" t="str" cm="1">
        <f t="array" ref="N11721">IF(MOD(ROW()-ROW($B$2),16)=0,INDEX($M$2:$M$1000,(ROW()-ROW($B$2))/16+1),"")</f>
        <v/>
      </c>
    </row>
    <row r="11722" spans="14:14" x14ac:dyDescent="0.3">
      <c r="N11722" t="str" cm="1">
        <f t="array" ref="N11722">IF(MOD(ROW()-ROW($B$2),16)=0,INDEX($M$2:$M$1000,(ROW()-ROW($B$2))/16+1),"")</f>
        <v/>
      </c>
    </row>
    <row r="11723" spans="14:14" x14ac:dyDescent="0.3">
      <c r="N11723" t="str" cm="1">
        <f t="array" ref="N11723">IF(MOD(ROW()-ROW($B$2),16)=0,INDEX($M$2:$M$1000,(ROW()-ROW($B$2))/16+1),"")</f>
        <v/>
      </c>
    </row>
    <row r="11724" spans="14:14" x14ac:dyDescent="0.3">
      <c r="N11724" t="str" cm="1">
        <f t="array" ref="N11724">IF(MOD(ROW()-ROW($B$2),16)=0,INDEX($M$2:$M$1000,(ROW()-ROW($B$2))/16+1),"")</f>
        <v/>
      </c>
    </row>
    <row r="11725" spans="14:14" x14ac:dyDescent="0.3">
      <c r="N11725" t="str" cm="1">
        <f t="array" ref="N11725">IF(MOD(ROW()-ROW($B$2),16)=0,INDEX($M$2:$M$1000,(ROW()-ROW($B$2))/16+1),"")</f>
        <v/>
      </c>
    </row>
    <row r="11726" spans="14:14" x14ac:dyDescent="0.3">
      <c r="N11726" t="str" cm="1">
        <f t="array" ref="N11726">IF(MOD(ROW()-ROW($B$2),16)=0,INDEX($M$2:$M$1000,(ROW()-ROW($B$2))/16+1),"")</f>
        <v/>
      </c>
    </row>
    <row r="11727" spans="14:14" x14ac:dyDescent="0.3">
      <c r="N11727" t="str" cm="1">
        <f t="array" ref="N11727">IF(MOD(ROW()-ROW($B$2),16)=0,INDEX($M$2:$M$1000,(ROW()-ROW($B$2))/16+1),"")</f>
        <v/>
      </c>
    </row>
    <row r="11728" spans="14:14" x14ac:dyDescent="0.3">
      <c r="N11728" t="str" cm="1">
        <f t="array" ref="N11728">IF(MOD(ROW()-ROW($B$2),16)=0,INDEX($M$2:$M$1000,(ROW()-ROW($B$2))/16+1),"")</f>
        <v/>
      </c>
    </row>
    <row r="11729" spans="14:14" x14ac:dyDescent="0.3">
      <c r="N11729" t="str" cm="1">
        <f t="array" ref="N11729">IF(MOD(ROW()-ROW($B$2),16)=0,INDEX($M$2:$M$1000,(ROW()-ROW($B$2))/16+1),"")</f>
        <v/>
      </c>
    </row>
    <row r="11730" spans="14:14" x14ac:dyDescent="0.3">
      <c r="N11730" t="str" cm="1">
        <f t="array" ref="N11730">IF(MOD(ROW()-ROW($B$2),16)=0,INDEX($M$2:$M$1000,(ROW()-ROW($B$2))/16+1),"")</f>
        <v/>
      </c>
    </row>
    <row r="11731" spans="14:14" x14ac:dyDescent="0.3">
      <c r="N11731" t="str" cm="1">
        <f t="array" ref="N11731">IF(MOD(ROW()-ROW($B$2),16)=0,INDEX($M$2:$M$1000,(ROW()-ROW($B$2))/16+1),"")</f>
        <v/>
      </c>
    </row>
    <row r="11732" spans="14:14" x14ac:dyDescent="0.3">
      <c r="N11732" t="str" cm="1">
        <f t="array" ref="N11732">IF(MOD(ROW()-ROW($B$2),16)=0,INDEX($M$2:$M$1000,(ROW()-ROW($B$2))/16+1),"")</f>
        <v/>
      </c>
    </row>
    <row r="11733" spans="14:14" x14ac:dyDescent="0.3">
      <c r="N11733" t="str" cm="1">
        <f t="array" ref="N11733">IF(MOD(ROW()-ROW($B$2),16)=0,INDEX($M$2:$M$1000,(ROW()-ROW($B$2))/16+1),"")</f>
        <v/>
      </c>
    </row>
    <row r="11734" spans="14:14" x14ac:dyDescent="0.3">
      <c r="N11734" t="str" cm="1">
        <f t="array" ref="N11734">IF(MOD(ROW()-ROW($B$2),16)=0,INDEX($M$2:$M$1000,(ROW()-ROW($B$2))/16+1),"")</f>
        <v/>
      </c>
    </row>
    <row r="11735" spans="14:14" x14ac:dyDescent="0.3">
      <c r="N11735" t="str" cm="1">
        <f t="array" ref="N11735">IF(MOD(ROW()-ROW($B$2),16)=0,INDEX($M$2:$M$1000,(ROW()-ROW($B$2))/16+1),"")</f>
        <v/>
      </c>
    </row>
    <row r="11736" spans="14:14" x14ac:dyDescent="0.3">
      <c r="N11736" t="str" cm="1">
        <f t="array" ref="N11736">IF(MOD(ROW()-ROW($B$2),16)=0,INDEX($M$2:$M$1000,(ROW()-ROW($B$2))/16+1),"")</f>
        <v/>
      </c>
    </row>
    <row r="11737" spans="14:14" x14ac:dyDescent="0.3">
      <c r="N11737" t="str" cm="1">
        <f t="array" ref="N11737">IF(MOD(ROW()-ROW($B$2),16)=0,INDEX($M$2:$M$1000,(ROW()-ROW($B$2))/16+1),"")</f>
        <v/>
      </c>
    </row>
    <row r="11738" spans="14:14" x14ac:dyDescent="0.3">
      <c r="N11738" t="str" cm="1">
        <f t="array" ref="N11738">IF(MOD(ROW()-ROW($B$2),16)=0,INDEX($M$2:$M$1000,(ROW()-ROW($B$2))/16+1),"")</f>
        <v/>
      </c>
    </row>
    <row r="11739" spans="14:14" x14ac:dyDescent="0.3">
      <c r="N11739" t="str" cm="1">
        <f t="array" ref="N11739">IF(MOD(ROW()-ROW($B$2),16)=0,INDEX($M$2:$M$1000,(ROW()-ROW($B$2))/16+1),"")</f>
        <v/>
      </c>
    </row>
    <row r="11740" spans="14:14" x14ac:dyDescent="0.3">
      <c r="N11740" t="str" cm="1">
        <f t="array" ref="N11740">IF(MOD(ROW()-ROW($B$2),16)=0,INDEX($M$2:$M$1000,(ROW()-ROW($B$2))/16+1),"")</f>
        <v/>
      </c>
    </row>
    <row r="11741" spans="14:14" x14ac:dyDescent="0.3">
      <c r="N11741" t="str" cm="1">
        <f t="array" ref="N11741">IF(MOD(ROW()-ROW($B$2),16)=0,INDEX($M$2:$M$1000,(ROW()-ROW($B$2))/16+1),"")</f>
        <v/>
      </c>
    </row>
    <row r="11742" spans="14:14" x14ac:dyDescent="0.3">
      <c r="N11742" t="str" cm="1">
        <f t="array" ref="N11742">IF(MOD(ROW()-ROW($B$2),16)=0,INDEX($M$2:$M$1000,(ROW()-ROW($B$2))/16+1),"")</f>
        <v/>
      </c>
    </row>
    <row r="11743" spans="14:14" x14ac:dyDescent="0.3">
      <c r="N11743" t="str" cm="1">
        <f t="array" ref="N11743">IF(MOD(ROW()-ROW($B$2),16)=0,INDEX($M$2:$M$1000,(ROW()-ROW($B$2))/16+1),"")</f>
        <v/>
      </c>
    </row>
    <row r="11744" spans="14:14" x14ac:dyDescent="0.3">
      <c r="N11744" t="str" cm="1">
        <f t="array" ref="N11744">IF(MOD(ROW()-ROW($B$2),16)=0,INDEX($M$2:$M$1000,(ROW()-ROW($B$2))/16+1),"")</f>
        <v/>
      </c>
    </row>
    <row r="11745" spans="14:14" x14ac:dyDescent="0.3">
      <c r="N11745" t="str" cm="1">
        <f t="array" ref="N11745">IF(MOD(ROW()-ROW($B$2),16)=0,INDEX($M$2:$M$1000,(ROW()-ROW($B$2))/16+1),"")</f>
        <v/>
      </c>
    </row>
    <row r="11746" spans="14:14" x14ac:dyDescent="0.3">
      <c r="N11746" t="str" cm="1">
        <f t="array" ref="N11746">IF(MOD(ROW()-ROW($B$2),16)=0,INDEX($M$2:$M$1000,(ROW()-ROW($B$2))/16+1),"")</f>
        <v/>
      </c>
    </row>
    <row r="11747" spans="14:14" x14ac:dyDescent="0.3">
      <c r="N11747" t="str" cm="1">
        <f t="array" ref="N11747">IF(MOD(ROW()-ROW($B$2),16)=0,INDEX($M$2:$M$1000,(ROW()-ROW($B$2))/16+1),"")</f>
        <v/>
      </c>
    </row>
    <row r="11748" spans="14:14" x14ac:dyDescent="0.3">
      <c r="N11748" t="str" cm="1">
        <f t="array" ref="N11748">IF(MOD(ROW()-ROW($B$2),16)=0,INDEX($M$2:$M$1000,(ROW()-ROW($B$2))/16+1),"")</f>
        <v/>
      </c>
    </row>
    <row r="11749" spans="14:14" x14ac:dyDescent="0.3">
      <c r="N11749" t="str" cm="1">
        <f t="array" ref="N11749">IF(MOD(ROW()-ROW($B$2),16)=0,INDEX($M$2:$M$1000,(ROW()-ROW($B$2))/16+1),"")</f>
        <v/>
      </c>
    </row>
    <row r="11750" spans="14:14" x14ac:dyDescent="0.3">
      <c r="N11750" t="str" cm="1">
        <f t="array" ref="N11750">IF(MOD(ROW()-ROW($B$2),16)=0,INDEX($M$2:$M$1000,(ROW()-ROW($B$2))/16+1),"")</f>
        <v/>
      </c>
    </row>
    <row r="11751" spans="14:14" x14ac:dyDescent="0.3">
      <c r="N11751" t="str" cm="1">
        <f t="array" ref="N11751">IF(MOD(ROW()-ROW($B$2),16)=0,INDEX($M$2:$M$1000,(ROW()-ROW($B$2))/16+1),"")</f>
        <v/>
      </c>
    </row>
    <row r="11752" spans="14:14" x14ac:dyDescent="0.3">
      <c r="N11752" t="str" cm="1">
        <f t="array" ref="N11752">IF(MOD(ROW()-ROW($B$2),16)=0,INDEX($M$2:$M$1000,(ROW()-ROW($B$2))/16+1),"")</f>
        <v/>
      </c>
    </row>
    <row r="11753" spans="14:14" x14ac:dyDescent="0.3">
      <c r="N11753" t="str" cm="1">
        <f t="array" ref="N11753">IF(MOD(ROW()-ROW($B$2),16)=0,INDEX($M$2:$M$1000,(ROW()-ROW($B$2))/16+1),"")</f>
        <v/>
      </c>
    </row>
    <row r="11754" spans="14:14" x14ac:dyDescent="0.3">
      <c r="N11754" t="str" cm="1">
        <f t="array" ref="N11754">IF(MOD(ROW()-ROW($B$2),16)=0,INDEX($M$2:$M$1000,(ROW()-ROW($B$2))/16+1),"")</f>
        <v/>
      </c>
    </row>
    <row r="11755" spans="14:14" x14ac:dyDescent="0.3">
      <c r="N11755" t="str" cm="1">
        <f t="array" ref="N11755">IF(MOD(ROW()-ROW($B$2),16)=0,INDEX($M$2:$M$1000,(ROW()-ROW($B$2))/16+1),"")</f>
        <v/>
      </c>
    </row>
    <row r="11756" spans="14:14" x14ac:dyDescent="0.3">
      <c r="N11756" t="str" cm="1">
        <f t="array" ref="N11756">IF(MOD(ROW()-ROW($B$2),16)=0,INDEX($M$2:$M$1000,(ROW()-ROW($B$2))/16+1),"")</f>
        <v/>
      </c>
    </row>
    <row r="11757" spans="14:14" x14ac:dyDescent="0.3">
      <c r="N11757" t="str" cm="1">
        <f t="array" ref="N11757">IF(MOD(ROW()-ROW($B$2),16)=0,INDEX($M$2:$M$1000,(ROW()-ROW($B$2))/16+1),"")</f>
        <v/>
      </c>
    </row>
    <row r="11758" spans="14:14" x14ac:dyDescent="0.3">
      <c r="N11758" t="str" cm="1">
        <f t="array" ref="N11758">IF(MOD(ROW()-ROW($B$2),16)=0,INDEX($M$2:$M$1000,(ROW()-ROW($B$2))/16+1),"")</f>
        <v/>
      </c>
    </row>
    <row r="11759" spans="14:14" x14ac:dyDescent="0.3">
      <c r="N11759" t="str" cm="1">
        <f t="array" ref="N11759">IF(MOD(ROW()-ROW($B$2),16)=0,INDEX($M$2:$M$1000,(ROW()-ROW($B$2))/16+1),"")</f>
        <v/>
      </c>
    </row>
    <row r="11760" spans="14:14" x14ac:dyDescent="0.3">
      <c r="N11760" t="str" cm="1">
        <f t="array" ref="N11760">IF(MOD(ROW()-ROW($B$2),16)=0,INDEX($M$2:$M$1000,(ROW()-ROW($B$2))/16+1),"")</f>
        <v/>
      </c>
    </row>
    <row r="11761" spans="14:14" x14ac:dyDescent="0.3">
      <c r="N11761" t="str" cm="1">
        <f t="array" ref="N11761">IF(MOD(ROW()-ROW($B$2),16)=0,INDEX($M$2:$M$1000,(ROW()-ROW($B$2))/16+1),"")</f>
        <v/>
      </c>
    </row>
    <row r="11762" spans="14:14" x14ac:dyDescent="0.3">
      <c r="N11762" t="str" cm="1">
        <f t="array" ref="N11762">IF(MOD(ROW()-ROW($B$2),16)=0,INDEX($M$2:$M$1000,(ROW()-ROW($B$2))/16+1),"")</f>
        <v/>
      </c>
    </row>
    <row r="11763" spans="14:14" x14ac:dyDescent="0.3">
      <c r="N11763" t="str" cm="1">
        <f t="array" ref="N11763">IF(MOD(ROW()-ROW($B$2),16)=0,INDEX($M$2:$M$1000,(ROW()-ROW($B$2))/16+1),"")</f>
        <v/>
      </c>
    </row>
    <row r="11764" spans="14:14" x14ac:dyDescent="0.3">
      <c r="N11764" t="str" cm="1">
        <f t="array" ref="N11764">IF(MOD(ROW()-ROW($B$2),16)=0,INDEX($M$2:$M$1000,(ROW()-ROW($B$2))/16+1),"")</f>
        <v/>
      </c>
    </row>
    <row r="11765" spans="14:14" x14ac:dyDescent="0.3">
      <c r="N11765" t="str" cm="1">
        <f t="array" ref="N11765">IF(MOD(ROW()-ROW($B$2),16)=0,INDEX($M$2:$M$1000,(ROW()-ROW($B$2))/16+1),"")</f>
        <v/>
      </c>
    </row>
    <row r="11766" spans="14:14" x14ac:dyDescent="0.3">
      <c r="N11766" t="str" cm="1">
        <f t="array" ref="N11766">IF(MOD(ROW()-ROW($B$2),16)=0,INDEX($M$2:$M$1000,(ROW()-ROW($B$2))/16+1),"")</f>
        <v/>
      </c>
    </row>
    <row r="11767" spans="14:14" x14ac:dyDescent="0.3">
      <c r="N11767" t="str" cm="1">
        <f t="array" ref="N11767">IF(MOD(ROW()-ROW($B$2),16)=0,INDEX($M$2:$M$1000,(ROW()-ROW($B$2))/16+1),"")</f>
        <v/>
      </c>
    </row>
    <row r="11768" spans="14:14" x14ac:dyDescent="0.3">
      <c r="N11768" t="str" cm="1">
        <f t="array" ref="N11768">IF(MOD(ROW()-ROW($B$2),16)=0,INDEX($M$2:$M$1000,(ROW()-ROW($B$2))/16+1),"")</f>
        <v/>
      </c>
    </row>
    <row r="11769" spans="14:14" x14ac:dyDescent="0.3">
      <c r="N11769" t="str" cm="1">
        <f t="array" ref="N11769">IF(MOD(ROW()-ROW($B$2),16)=0,INDEX($M$2:$M$1000,(ROW()-ROW($B$2))/16+1),"")</f>
        <v/>
      </c>
    </row>
    <row r="11770" spans="14:14" x14ac:dyDescent="0.3">
      <c r="N11770" t="str" cm="1">
        <f t="array" ref="N11770">IF(MOD(ROW()-ROW($B$2),16)=0,INDEX($M$2:$M$1000,(ROW()-ROW($B$2))/16+1),"")</f>
        <v/>
      </c>
    </row>
    <row r="11771" spans="14:14" x14ac:dyDescent="0.3">
      <c r="N11771" t="str" cm="1">
        <f t="array" ref="N11771">IF(MOD(ROW()-ROW($B$2),16)=0,INDEX($M$2:$M$1000,(ROW()-ROW($B$2))/16+1),"")</f>
        <v/>
      </c>
    </row>
    <row r="11772" spans="14:14" x14ac:dyDescent="0.3">
      <c r="N11772" t="str" cm="1">
        <f t="array" ref="N11772">IF(MOD(ROW()-ROW($B$2),16)=0,INDEX($M$2:$M$1000,(ROW()-ROW($B$2))/16+1),"")</f>
        <v/>
      </c>
    </row>
    <row r="11773" spans="14:14" x14ac:dyDescent="0.3">
      <c r="N11773" t="str" cm="1">
        <f t="array" ref="N11773">IF(MOD(ROW()-ROW($B$2),16)=0,INDEX($M$2:$M$1000,(ROW()-ROW($B$2))/16+1),"")</f>
        <v/>
      </c>
    </row>
    <row r="11774" spans="14:14" x14ac:dyDescent="0.3">
      <c r="N11774" t="str" cm="1">
        <f t="array" ref="N11774">IF(MOD(ROW()-ROW($B$2),16)=0,INDEX($M$2:$M$1000,(ROW()-ROW($B$2))/16+1),"")</f>
        <v/>
      </c>
    </row>
    <row r="11775" spans="14:14" x14ac:dyDescent="0.3">
      <c r="N11775" t="str" cm="1">
        <f t="array" ref="N11775">IF(MOD(ROW()-ROW($B$2),16)=0,INDEX($M$2:$M$1000,(ROW()-ROW($B$2))/16+1),"")</f>
        <v/>
      </c>
    </row>
    <row r="11776" spans="14:14" x14ac:dyDescent="0.3">
      <c r="N11776" t="str" cm="1">
        <f t="array" ref="N11776">IF(MOD(ROW()-ROW($B$2),16)=0,INDEX($M$2:$M$1000,(ROW()-ROW($B$2))/16+1),"")</f>
        <v/>
      </c>
    </row>
    <row r="11777" spans="14:14" x14ac:dyDescent="0.3">
      <c r="N11777" t="str" cm="1">
        <f t="array" ref="N11777">IF(MOD(ROW()-ROW($B$2),16)=0,INDEX($M$2:$M$1000,(ROW()-ROW($B$2))/16+1),"")</f>
        <v/>
      </c>
    </row>
    <row r="11778" spans="14:14" x14ac:dyDescent="0.3">
      <c r="N11778" t="str" cm="1">
        <f t="array" ref="N11778">IF(MOD(ROW()-ROW($B$2),16)=0,INDEX($M$2:$M$1000,(ROW()-ROW($B$2))/16+1),"")</f>
        <v/>
      </c>
    </row>
    <row r="11779" spans="14:14" x14ac:dyDescent="0.3">
      <c r="N11779" t="str" cm="1">
        <f t="array" ref="N11779">IF(MOD(ROW()-ROW($B$2),16)=0,INDEX($M$2:$M$1000,(ROW()-ROW($B$2))/16+1),"")</f>
        <v/>
      </c>
    </row>
    <row r="11780" spans="14:14" x14ac:dyDescent="0.3">
      <c r="N11780" t="str" cm="1">
        <f t="array" ref="N11780">IF(MOD(ROW()-ROW($B$2),16)=0,INDEX($M$2:$M$1000,(ROW()-ROW($B$2))/16+1),"")</f>
        <v/>
      </c>
    </row>
    <row r="11781" spans="14:14" x14ac:dyDescent="0.3">
      <c r="N11781" t="str" cm="1">
        <f t="array" ref="N11781">IF(MOD(ROW()-ROW($B$2),16)=0,INDEX($M$2:$M$1000,(ROW()-ROW($B$2))/16+1),"")</f>
        <v/>
      </c>
    </row>
    <row r="11782" spans="14:14" x14ac:dyDescent="0.3">
      <c r="N11782" t="str" cm="1">
        <f t="array" ref="N11782">IF(MOD(ROW()-ROW($B$2),16)=0,INDEX($M$2:$M$1000,(ROW()-ROW($B$2))/16+1),"")</f>
        <v/>
      </c>
    </row>
    <row r="11783" spans="14:14" x14ac:dyDescent="0.3">
      <c r="N11783" t="str" cm="1">
        <f t="array" ref="N11783">IF(MOD(ROW()-ROW($B$2),16)=0,INDEX($M$2:$M$1000,(ROW()-ROW($B$2))/16+1),"")</f>
        <v/>
      </c>
    </row>
    <row r="11784" spans="14:14" x14ac:dyDescent="0.3">
      <c r="N11784" t="str" cm="1">
        <f t="array" ref="N11784">IF(MOD(ROW()-ROW($B$2),16)=0,INDEX($M$2:$M$1000,(ROW()-ROW($B$2))/16+1),"")</f>
        <v/>
      </c>
    </row>
    <row r="11785" spans="14:14" x14ac:dyDescent="0.3">
      <c r="N11785" t="str" cm="1">
        <f t="array" ref="N11785">IF(MOD(ROW()-ROW($B$2),16)=0,INDEX($M$2:$M$1000,(ROW()-ROW($B$2))/16+1),"")</f>
        <v/>
      </c>
    </row>
    <row r="11786" spans="14:14" x14ac:dyDescent="0.3">
      <c r="N11786" t="str" cm="1">
        <f t="array" ref="N11786">IF(MOD(ROW()-ROW($B$2),16)=0,INDEX($M$2:$M$1000,(ROW()-ROW($B$2))/16+1),"")</f>
        <v/>
      </c>
    </row>
    <row r="11787" spans="14:14" x14ac:dyDescent="0.3">
      <c r="N11787" t="str" cm="1">
        <f t="array" ref="N11787">IF(MOD(ROW()-ROW($B$2),16)=0,INDEX($M$2:$M$1000,(ROW()-ROW($B$2))/16+1),"")</f>
        <v/>
      </c>
    </row>
    <row r="11788" spans="14:14" x14ac:dyDescent="0.3">
      <c r="N11788" t="str" cm="1">
        <f t="array" ref="N11788">IF(MOD(ROW()-ROW($B$2),16)=0,INDEX($M$2:$M$1000,(ROW()-ROW($B$2))/16+1),"")</f>
        <v/>
      </c>
    </row>
    <row r="11789" spans="14:14" x14ac:dyDescent="0.3">
      <c r="N11789" t="str" cm="1">
        <f t="array" ref="N11789">IF(MOD(ROW()-ROW($B$2),16)=0,INDEX($M$2:$M$1000,(ROW()-ROW($B$2))/16+1),"")</f>
        <v/>
      </c>
    </row>
    <row r="11790" spans="14:14" x14ac:dyDescent="0.3">
      <c r="N11790" t="str" cm="1">
        <f t="array" ref="N11790">IF(MOD(ROW()-ROW($B$2),16)=0,INDEX($M$2:$M$1000,(ROW()-ROW($B$2))/16+1),"")</f>
        <v/>
      </c>
    </row>
    <row r="11791" spans="14:14" x14ac:dyDescent="0.3">
      <c r="N11791" t="str" cm="1">
        <f t="array" ref="N11791">IF(MOD(ROW()-ROW($B$2),16)=0,INDEX($M$2:$M$1000,(ROW()-ROW($B$2))/16+1),"")</f>
        <v/>
      </c>
    </row>
    <row r="11792" spans="14:14" x14ac:dyDescent="0.3">
      <c r="N11792" t="str" cm="1">
        <f t="array" ref="N11792">IF(MOD(ROW()-ROW($B$2),16)=0,INDEX($M$2:$M$1000,(ROW()-ROW($B$2))/16+1),"")</f>
        <v/>
      </c>
    </row>
    <row r="11793" spans="14:14" x14ac:dyDescent="0.3">
      <c r="N11793" t="str" cm="1">
        <f t="array" ref="N11793">IF(MOD(ROW()-ROW($B$2),16)=0,INDEX($M$2:$M$1000,(ROW()-ROW($B$2))/16+1),"")</f>
        <v/>
      </c>
    </row>
    <row r="11794" spans="14:14" x14ac:dyDescent="0.3">
      <c r="N11794" t="str" cm="1">
        <f t="array" ref="N11794">IF(MOD(ROW()-ROW($B$2),16)=0,INDEX($M$2:$M$1000,(ROW()-ROW($B$2))/16+1),"")</f>
        <v/>
      </c>
    </row>
    <row r="11795" spans="14:14" x14ac:dyDescent="0.3">
      <c r="N11795" t="str" cm="1">
        <f t="array" ref="N11795">IF(MOD(ROW()-ROW($B$2),16)=0,INDEX($M$2:$M$1000,(ROW()-ROW($B$2))/16+1),"")</f>
        <v/>
      </c>
    </row>
    <row r="11796" spans="14:14" x14ac:dyDescent="0.3">
      <c r="N11796" t="str" cm="1">
        <f t="array" ref="N11796">IF(MOD(ROW()-ROW($B$2),16)=0,INDEX($M$2:$M$1000,(ROW()-ROW($B$2))/16+1),"")</f>
        <v/>
      </c>
    </row>
    <row r="11797" spans="14:14" x14ac:dyDescent="0.3">
      <c r="N11797" t="str" cm="1">
        <f t="array" ref="N11797">IF(MOD(ROW()-ROW($B$2),16)=0,INDEX($M$2:$M$1000,(ROW()-ROW($B$2))/16+1),"")</f>
        <v/>
      </c>
    </row>
    <row r="11798" spans="14:14" x14ac:dyDescent="0.3">
      <c r="N11798" t="str" cm="1">
        <f t="array" ref="N11798">IF(MOD(ROW()-ROW($B$2),16)=0,INDEX($M$2:$M$1000,(ROW()-ROW($B$2))/16+1),"")</f>
        <v/>
      </c>
    </row>
    <row r="11799" spans="14:14" x14ac:dyDescent="0.3">
      <c r="N11799" t="str" cm="1">
        <f t="array" ref="N11799">IF(MOD(ROW()-ROW($B$2),16)=0,INDEX($M$2:$M$1000,(ROW()-ROW($B$2))/16+1),"")</f>
        <v/>
      </c>
    </row>
    <row r="11800" spans="14:14" x14ac:dyDescent="0.3">
      <c r="N11800" t="str" cm="1">
        <f t="array" ref="N11800">IF(MOD(ROW()-ROW($B$2),16)=0,INDEX($M$2:$M$1000,(ROW()-ROW($B$2))/16+1),"")</f>
        <v/>
      </c>
    </row>
    <row r="11801" spans="14:14" x14ac:dyDescent="0.3">
      <c r="N11801" t="str" cm="1">
        <f t="array" ref="N11801">IF(MOD(ROW()-ROW($B$2),16)=0,INDEX($M$2:$M$1000,(ROW()-ROW($B$2))/16+1),"")</f>
        <v/>
      </c>
    </row>
    <row r="11802" spans="14:14" x14ac:dyDescent="0.3">
      <c r="N11802" t="str" cm="1">
        <f t="array" ref="N11802">IF(MOD(ROW()-ROW($B$2),16)=0,INDEX($M$2:$M$1000,(ROW()-ROW($B$2))/16+1),"")</f>
        <v/>
      </c>
    </row>
    <row r="11803" spans="14:14" x14ac:dyDescent="0.3">
      <c r="N11803" t="str" cm="1">
        <f t="array" ref="N11803">IF(MOD(ROW()-ROW($B$2),16)=0,INDEX($M$2:$M$1000,(ROW()-ROW($B$2))/16+1),"")</f>
        <v/>
      </c>
    </row>
    <row r="11804" spans="14:14" x14ac:dyDescent="0.3">
      <c r="N11804" t="str" cm="1">
        <f t="array" ref="N11804">IF(MOD(ROW()-ROW($B$2),16)=0,INDEX($M$2:$M$1000,(ROW()-ROW($B$2))/16+1),"")</f>
        <v/>
      </c>
    </row>
    <row r="11805" spans="14:14" x14ac:dyDescent="0.3">
      <c r="N11805" t="str" cm="1">
        <f t="array" ref="N11805">IF(MOD(ROW()-ROW($B$2),16)=0,INDEX($M$2:$M$1000,(ROW()-ROW($B$2))/16+1),"")</f>
        <v/>
      </c>
    </row>
    <row r="11806" spans="14:14" x14ac:dyDescent="0.3">
      <c r="N11806" t="str" cm="1">
        <f t="array" ref="N11806">IF(MOD(ROW()-ROW($B$2),16)=0,INDEX($M$2:$M$1000,(ROW()-ROW($B$2))/16+1),"")</f>
        <v/>
      </c>
    </row>
    <row r="11807" spans="14:14" x14ac:dyDescent="0.3">
      <c r="N11807" t="str" cm="1">
        <f t="array" ref="N11807">IF(MOD(ROW()-ROW($B$2),16)=0,INDEX($M$2:$M$1000,(ROW()-ROW($B$2))/16+1),"")</f>
        <v/>
      </c>
    </row>
    <row r="11808" spans="14:14" x14ac:dyDescent="0.3">
      <c r="N11808" t="str" cm="1">
        <f t="array" ref="N11808">IF(MOD(ROW()-ROW($B$2),16)=0,INDEX($M$2:$M$1000,(ROW()-ROW($B$2))/16+1),"")</f>
        <v/>
      </c>
    </row>
    <row r="11809" spans="14:14" x14ac:dyDescent="0.3">
      <c r="N11809" t="str" cm="1">
        <f t="array" ref="N11809">IF(MOD(ROW()-ROW($B$2),16)=0,INDEX($M$2:$M$1000,(ROW()-ROW($B$2))/16+1),"")</f>
        <v/>
      </c>
    </row>
    <row r="11810" spans="14:14" x14ac:dyDescent="0.3">
      <c r="N11810" t="str" cm="1">
        <f t="array" ref="N11810">IF(MOD(ROW()-ROW($B$2),16)=0,INDEX($M$2:$M$1000,(ROW()-ROW($B$2))/16+1),"")</f>
        <v/>
      </c>
    </row>
    <row r="11811" spans="14:14" x14ac:dyDescent="0.3">
      <c r="N11811" t="str" cm="1">
        <f t="array" ref="N11811">IF(MOD(ROW()-ROW($B$2),16)=0,INDEX($M$2:$M$1000,(ROW()-ROW($B$2))/16+1),"")</f>
        <v/>
      </c>
    </row>
    <row r="11812" spans="14:14" x14ac:dyDescent="0.3">
      <c r="N11812" t="str" cm="1">
        <f t="array" ref="N11812">IF(MOD(ROW()-ROW($B$2),16)=0,INDEX($M$2:$M$1000,(ROW()-ROW($B$2))/16+1),"")</f>
        <v/>
      </c>
    </row>
    <row r="11813" spans="14:14" x14ac:dyDescent="0.3">
      <c r="N11813" t="str" cm="1">
        <f t="array" ref="N11813">IF(MOD(ROW()-ROW($B$2),16)=0,INDEX($M$2:$M$1000,(ROW()-ROW($B$2))/16+1),"")</f>
        <v/>
      </c>
    </row>
    <row r="11814" spans="14:14" x14ac:dyDescent="0.3">
      <c r="N11814" t="str" cm="1">
        <f t="array" ref="N11814">IF(MOD(ROW()-ROW($B$2),16)=0,INDEX($M$2:$M$1000,(ROW()-ROW($B$2))/16+1),"")</f>
        <v/>
      </c>
    </row>
    <row r="11815" spans="14:14" x14ac:dyDescent="0.3">
      <c r="N11815" t="str" cm="1">
        <f t="array" ref="N11815">IF(MOD(ROW()-ROW($B$2),16)=0,INDEX($M$2:$M$1000,(ROW()-ROW($B$2))/16+1),"")</f>
        <v/>
      </c>
    </row>
    <row r="11816" spans="14:14" x14ac:dyDescent="0.3">
      <c r="N11816" t="str" cm="1">
        <f t="array" ref="N11816">IF(MOD(ROW()-ROW($B$2),16)=0,INDEX($M$2:$M$1000,(ROW()-ROW($B$2))/16+1),"")</f>
        <v/>
      </c>
    </row>
    <row r="11817" spans="14:14" x14ac:dyDescent="0.3">
      <c r="N11817" t="str" cm="1">
        <f t="array" ref="N11817">IF(MOD(ROW()-ROW($B$2),16)=0,INDEX($M$2:$M$1000,(ROW()-ROW($B$2))/16+1),"")</f>
        <v/>
      </c>
    </row>
    <row r="11818" spans="14:14" x14ac:dyDescent="0.3">
      <c r="N11818" t="str" cm="1">
        <f t="array" ref="N11818">IF(MOD(ROW()-ROW($B$2),16)=0,INDEX($M$2:$M$1000,(ROW()-ROW($B$2))/16+1),"")</f>
        <v/>
      </c>
    </row>
    <row r="11819" spans="14:14" x14ac:dyDescent="0.3">
      <c r="N11819" t="str" cm="1">
        <f t="array" ref="N11819">IF(MOD(ROW()-ROW($B$2),16)=0,INDEX($M$2:$M$1000,(ROW()-ROW($B$2))/16+1),"")</f>
        <v/>
      </c>
    </row>
    <row r="11820" spans="14:14" x14ac:dyDescent="0.3">
      <c r="N11820" t="str" cm="1">
        <f t="array" ref="N11820">IF(MOD(ROW()-ROW($B$2),16)=0,INDEX($M$2:$M$1000,(ROW()-ROW($B$2))/16+1),"")</f>
        <v/>
      </c>
    </row>
    <row r="11821" spans="14:14" x14ac:dyDescent="0.3">
      <c r="N11821" t="str" cm="1">
        <f t="array" ref="N11821">IF(MOD(ROW()-ROW($B$2),16)=0,INDEX($M$2:$M$1000,(ROW()-ROW($B$2))/16+1),"")</f>
        <v/>
      </c>
    </row>
    <row r="11822" spans="14:14" x14ac:dyDescent="0.3">
      <c r="N11822" t="str" cm="1">
        <f t="array" ref="N11822">IF(MOD(ROW()-ROW($B$2),16)=0,INDEX($M$2:$M$1000,(ROW()-ROW($B$2))/16+1),"")</f>
        <v/>
      </c>
    </row>
    <row r="11823" spans="14:14" x14ac:dyDescent="0.3">
      <c r="N11823" t="str" cm="1">
        <f t="array" ref="N11823">IF(MOD(ROW()-ROW($B$2),16)=0,INDEX($M$2:$M$1000,(ROW()-ROW($B$2))/16+1),"")</f>
        <v/>
      </c>
    </row>
    <row r="11824" spans="14:14" x14ac:dyDescent="0.3">
      <c r="N11824" t="str" cm="1">
        <f t="array" ref="N11824">IF(MOD(ROW()-ROW($B$2),16)=0,INDEX($M$2:$M$1000,(ROW()-ROW($B$2))/16+1),"")</f>
        <v/>
      </c>
    </row>
    <row r="11825" spans="14:14" x14ac:dyDescent="0.3">
      <c r="N11825" t="str" cm="1">
        <f t="array" ref="N11825">IF(MOD(ROW()-ROW($B$2),16)=0,INDEX($M$2:$M$1000,(ROW()-ROW($B$2))/16+1),"")</f>
        <v/>
      </c>
    </row>
    <row r="11826" spans="14:14" x14ac:dyDescent="0.3">
      <c r="N11826" t="str" cm="1">
        <f t="array" ref="N11826">IF(MOD(ROW()-ROW($B$2),16)=0,INDEX($M$2:$M$1000,(ROW()-ROW($B$2))/16+1),"")</f>
        <v/>
      </c>
    </row>
    <row r="11827" spans="14:14" x14ac:dyDescent="0.3">
      <c r="N11827" t="str" cm="1">
        <f t="array" ref="N11827">IF(MOD(ROW()-ROW($B$2),16)=0,INDEX($M$2:$M$1000,(ROW()-ROW($B$2))/16+1),"")</f>
        <v/>
      </c>
    </row>
    <row r="11828" spans="14:14" x14ac:dyDescent="0.3">
      <c r="N11828" t="str" cm="1">
        <f t="array" ref="N11828">IF(MOD(ROW()-ROW($B$2),16)=0,INDEX($M$2:$M$1000,(ROW()-ROW($B$2))/16+1),"")</f>
        <v/>
      </c>
    </row>
    <row r="11829" spans="14:14" x14ac:dyDescent="0.3">
      <c r="N11829" t="str" cm="1">
        <f t="array" ref="N11829">IF(MOD(ROW()-ROW($B$2),16)=0,INDEX($M$2:$M$1000,(ROW()-ROW($B$2))/16+1),"")</f>
        <v/>
      </c>
    </row>
    <row r="11830" spans="14:14" x14ac:dyDescent="0.3">
      <c r="N11830" t="str" cm="1">
        <f t="array" ref="N11830">IF(MOD(ROW()-ROW($B$2),16)=0,INDEX($M$2:$M$1000,(ROW()-ROW($B$2))/16+1),"")</f>
        <v/>
      </c>
    </row>
    <row r="11831" spans="14:14" x14ac:dyDescent="0.3">
      <c r="N11831" t="str" cm="1">
        <f t="array" ref="N11831">IF(MOD(ROW()-ROW($B$2),16)=0,INDEX($M$2:$M$1000,(ROW()-ROW($B$2))/16+1),"")</f>
        <v/>
      </c>
    </row>
    <row r="11832" spans="14:14" x14ac:dyDescent="0.3">
      <c r="N11832" t="str" cm="1">
        <f t="array" ref="N11832">IF(MOD(ROW()-ROW($B$2),16)=0,INDEX($M$2:$M$1000,(ROW()-ROW($B$2))/16+1),"")</f>
        <v/>
      </c>
    </row>
    <row r="11833" spans="14:14" x14ac:dyDescent="0.3">
      <c r="N11833" t="str" cm="1">
        <f t="array" ref="N11833">IF(MOD(ROW()-ROW($B$2),16)=0,INDEX($M$2:$M$1000,(ROW()-ROW($B$2))/16+1),"")</f>
        <v/>
      </c>
    </row>
    <row r="11834" spans="14:14" x14ac:dyDescent="0.3">
      <c r="N11834" t="str" cm="1">
        <f t="array" ref="N11834">IF(MOD(ROW()-ROW($B$2),16)=0,INDEX($M$2:$M$1000,(ROW()-ROW($B$2))/16+1),"")</f>
        <v/>
      </c>
    </row>
    <row r="11835" spans="14:14" x14ac:dyDescent="0.3">
      <c r="N11835" t="str" cm="1">
        <f t="array" ref="N11835">IF(MOD(ROW()-ROW($B$2),16)=0,INDEX($M$2:$M$1000,(ROW()-ROW($B$2))/16+1),"")</f>
        <v/>
      </c>
    </row>
    <row r="11836" spans="14:14" x14ac:dyDescent="0.3">
      <c r="N11836" t="str" cm="1">
        <f t="array" ref="N11836">IF(MOD(ROW()-ROW($B$2),16)=0,INDEX($M$2:$M$1000,(ROW()-ROW($B$2))/16+1),"")</f>
        <v/>
      </c>
    </row>
    <row r="11837" spans="14:14" x14ac:dyDescent="0.3">
      <c r="N11837" t="str" cm="1">
        <f t="array" ref="N11837">IF(MOD(ROW()-ROW($B$2),16)=0,INDEX($M$2:$M$1000,(ROW()-ROW($B$2))/16+1),"")</f>
        <v/>
      </c>
    </row>
    <row r="11838" spans="14:14" x14ac:dyDescent="0.3">
      <c r="N11838" t="str" cm="1">
        <f t="array" ref="N11838">IF(MOD(ROW()-ROW($B$2),16)=0,INDEX($M$2:$M$1000,(ROW()-ROW($B$2))/16+1),"")</f>
        <v/>
      </c>
    </row>
    <row r="11839" spans="14:14" x14ac:dyDescent="0.3">
      <c r="N11839" t="str" cm="1">
        <f t="array" ref="N11839">IF(MOD(ROW()-ROW($B$2),16)=0,INDEX($M$2:$M$1000,(ROW()-ROW($B$2))/16+1),"")</f>
        <v/>
      </c>
    </row>
    <row r="11840" spans="14:14" x14ac:dyDescent="0.3">
      <c r="N11840" t="str" cm="1">
        <f t="array" ref="N11840">IF(MOD(ROW()-ROW($B$2),16)=0,INDEX($M$2:$M$1000,(ROW()-ROW($B$2))/16+1),"")</f>
        <v/>
      </c>
    </row>
    <row r="11841" spans="14:14" x14ac:dyDescent="0.3">
      <c r="N11841" t="str" cm="1">
        <f t="array" ref="N11841">IF(MOD(ROW()-ROW($B$2),16)=0,INDEX($M$2:$M$1000,(ROW()-ROW($B$2))/16+1),"")</f>
        <v/>
      </c>
    </row>
    <row r="11842" spans="14:14" x14ac:dyDescent="0.3">
      <c r="N11842" t="str" cm="1">
        <f t="array" ref="N11842">IF(MOD(ROW()-ROW($B$2),16)=0,INDEX($M$2:$M$1000,(ROW()-ROW($B$2))/16+1),"")</f>
        <v/>
      </c>
    </row>
    <row r="11843" spans="14:14" x14ac:dyDescent="0.3">
      <c r="N11843" t="str" cm="1">
        <f t="array" ref="N11843">IF(MOD(ROW()-ROW($B$2),16)=0,INDEX($M$2:$M$1000,(ROW()-ROW($B$2))/16+1),"")</f>
        <v/>
      </c>
    </row>
    <row r="11844" spans="14:14" x14ac:dyDescent="0.3">
      <c r="N11844" t="str" cm="1">
        <f t="array" ref="N11844">IF(MOD(ROW()-ROW($B$2),16)=0,INDEX($M$2:$M$1000,(ROW()-ROW($B$2))/16+1),"")</f>
        <v/>
      </c>
    </row>
    <row r="11845" spans="14:14" x14ac:dyDescent="0.3">
      <c r="N11845" t="str" cm="1">
        <f t="array" ref="N11845">IF(MOD(ROW()-ROW($B$2),16)=0,INDEX($M$2:$M$1000,(ROW()-ROW($B$2))/16+1),"")</f>
        <v/>
      </c>
    </row>
    <row r="11846" spans="14:14" x14ac:dyDescent="0.3">
      <c r="N11846" t="str" cm="1">
        <f t="array" ref="N11846">IF(MOD(ROW()-ROW($B$2),16)=0,INDEX($M$2:$M$1000,(ROW()-ROW($B$2))/16+1),"")</f>
        <v/>
      </c>
    </row>
    <row r="11847" spans="14:14" x14ac:dyDescent="0.3">
      <c r="N11847" t="str" cm="1">
        <f t="array" ref="N11847">IF(MOD(ROW()-ROW($B$2),16)=0,INDEX($M$2:$M$1000,(ROW()-ROW($B$2))/16+1),"")</f>
        <v/>
      </c>
    </row>
    <row r="11848" spans="14:14" x14ac:dyDescent="0.3">
      <c r="N11848" t="str" cm="1">
        <f t="array" ref="N11848">IF(MOD(ROW()-ROW($B$2),16)=0,INDEX($M$2:$M$1000,(ROW()-ROW($B$2))/16+1),"")</f>
        <v/>
      </c>
    </row>
    <row r="11849" spans="14:14" x14ac:dyDescent="0.3">
      <c r="N11849" t="str" cm="1">
        <f t="array" ref="N11849">IF(MOD(ROW()-ROW($B$2),16)=0,INDEX($M$2:$M$1000,(ROW()-ROW($B$2))/16+1),"")</f>
        <v/>
      </c>
    </row>
    <row r="11850" spans="14:14" x14ac:dyDescent="0.3">
      <c r="N11850" t="str" cm="1">
        <f t="array" ref="N11850">IF(MOD(ROW()-ROW($B$2),16)=0,INDEX($M$2:$M$1000,(ROW()-ROW($B$2))/16+1),"")</f>
        <v/>
      </c>
    </row>
    <row r="11851" spans="14:14" x14ac:dyDescent="0.3">
      <c r="N11851" t="str" cm="1">
        <f t="array" ref="N11851">IF(MOD(ROW()-ROW($B$2),16)=0,INDEX($M$2:$M$1000,(ROW()-ROW($B$2))/16+1),"")</f>
        <v/>
      </c>
    </row>
    <row r="11852" spans="14:14" x14ac:dyDescent="0.3">
      <c r="N11852" t="str" cm="1">
        <f t="array" ref="N11852">IF(MOD(ROW()-ROW($B$2),16)=0,INDEX($M$2:$M$1000,(ROW()-ROW($B$2))/16+1),"")</f>
        <v/>
      </c>
    </row>
    <row r="11853" spans="14:14" x14ac:dyDescent="0.3">
      <c r="N11853" t="str" cm="1">
        <f t="array" ref="N11853">IF(MOD(ROW()-ROW($B$2),16)=0,INDEX($M$2:$M$1000,(ROW()-ROW($B$2))/16+1),"")</f>
        <v/>
      </c>
    </row>
    <row r="11854" spans="14:14" x14ac:dyDescent="0.3">
      <c r="N11854" t="str" cm="1">
        <f t="array" ref="N11854">IF(MOD(ROW()-ROW($B$2),16)=0,INDEX($M$2:$M$1000,(ROW()-ROW($B$2))/16+1),"")</f>
        <v/>
      </c>
    </row>
    <row r="11855" spans="14:14" x14ac:dyDescent="0.3">
      <c r="N11855" t="str" cm="1">
        <f t="array" ref="N11855">IF(MOD(ROW()-ROW($B$2),16)=0,INDEX($M$2:$M$1000,(ROW()-ROW($B$2))/16+1),"")</f>
        <v/>
      </c>
    </row>
    <row r="11856" spans="14:14" x14ac:dyDescent="0.3">
      <c r="N11856" t="str" cm="1">
        <f t="array" ref="N11856">IF(MOD(ROW()-ROW($B$2),16)=0,INDEX($M$2:$M$1000,(ROW()-ROW($B$2))/16+1),"")</f>
        <v/>
      </c>
    </row>
    <row r="11857" spans="14:14" x14ac:dyDescent="0.3">
      <c r="N11857" t="str" cm="1">
        <f t="array" ref="N11857">IF(MOD(ROW()-ROW($B$2),16)=0,INDEX($M$2:$M$1000,(ROW()-ROW($B$2))/16+1),"")</f>
        <v/>
      </c>
    </row>
    <row r="11858" spans="14:14" x14ac:dyDescent="0.3">
      <c r="N11858" t="str" cm="1">
        <f t="array" ref="N11858">IF(MOD(ROW()-ROW($B$2),16)=0,INDEX($M$2:$M$1000,(ROW()-ROW($B$2))/16+1),"")</f>
        <v/>
      </c>
    </row>
    <row r="11859" spans="14:14" x14ac:dyDescent="0.3">
      <c r="N11859" t="str" cm="1">
        <f t="array" ref="N11859">IF(MOD(ROW()-ROW($B$2),16)=0,INDEX($M$2:$M$1000,(ROW()-ROW($B$2))/16+1),"")</f>
        <v/>
      </c>
    </row>
    <row r="11860" spans="14:14" x14ac:dyDescent="0.3">
      <c r="N11860" t="str" cm="1">
        <f t="array" ref="N11860">IF(MOD(ROW()-ROW($B$2),16)=0,INDEX($M$2:$M$1000,(ROW()-ROW($B$2))/16+1),"")</f>
        <v/>
      </c>
    </row>
    <row r="11861" spans="14:14" x14ac:dyDescent="0.3">
      <c r="N11861" t="str" cm="1">
        <f t="array" ref="N11861">IF(MOD(ROW()-ROW($B$2),16)=0,INDEX($M$2:$M$1000,(ROW()-ROW($B$2))/16+1),"")</f>
        <v/>
      </c>
    </row>
    <row r="11862" spans="14:14" x14ac:dyDescent="0.3">
      <c r="N11862" t="str" cm="1">
        <f t="array" ref="N11862">IF(MOD(ROW()-ROW($B$2),16)=0,INDEX($M$2:$M$1000,(ROW()-ROW($B$2))/16+1),"")</f>
        <v/>
      </c>
    </row>
    <row r="11863" spans="14:14" x14ac:dyDescent="0.3">
      <c r="N11863" t="str" cm="1">
        <f t="array" ref="N11863">IF(MOD(ROW()-ROW($B$2),16)=0,INDEX($M$2:$M$1000,(ROW()-ROW($B$2))/16+1),"")</f>
        <v/>
      </c>
    </row>
    <row r="11864" spans="14:14" x14ac:dyDescent="0.3">
      <c r="N11864" t="str" cm="1">
        <f t="array" ref="N11864">IF(MOD(ROW()-ROW($B$2),16)=0,INDEX($M$2:$M$1000,(ROW()-ROW($B$2))/16+1),"")</f>
        <v/>
      </c>
    </row>
    <row r="11865" spans="14:14" x14ac:dyDescent="0.3">
      <c r="N11865" t="str" cm="1">
        <f t="array" ref="N11865">IF(MOD(ROW()-ROW($B$2),16)=0,INDEX($M$2:$M$1000,(ROW()-ROW($B$2))/16+1),"")</f>
        <v/>
      </c>
    </row>
    <row r="11866" spans="14:14" x14ac:dyDescent="0.3">
      <c r="N11866" t="str" cm="1">
        <f t="array" ref="N11866">IF(MOD(ROW()-ROW($B$2),16)=0,INDEX($M$2:$M$1000,(ROW()-ROW($B$2))/16+1),"")</f>
        <v/>
      </c>
    </row>
    <row r="11867" spans="14:14" x14ac:dyDescent="0.3">
      <c r="N11867" t="str" cm="1">
        <f t="array" ref="N11867">IF(MOD(ROW()-ROW($B$2),16)=0,INDEX($M$2:$M$1000,(ROW()-ROW($B$2))/16+1),"")</f>
        <v/>
      </c>
    </row>
    <row r="11868" spans="14:14" x14ac:dyDescent="0.3">
      <c r="N11868" t="str" cm="1">
        <f t="array" ref="N11868">IF(MOD(ROW()-ROW($B$2),16)=0,INDEX($M$2:$M$1000,(ROW()-ROW($B$2))/16+1),"")</f>
        <v/>
      </c>
    </row>
    <row r="11869" spans="14:14" x14ac:dyDescent="0.3">
      <c r="N11869" t="str" cm="1">
        <f t="array" ref="N11869">IF(MOD(ROW()-ROW($B$2),16)=0,INDEX($M$2:$M$1000,(ROW()-ROW($B$2))/16+1),"")</f>
        <v/>
      </c>
    </row>
    <row r="11870" spans="14:14" x14ac:dyDescent="0.3">
      <c r="N11870" t="str" cm="1">
        <f t="array" ref="N11870">IF(MOD(ROW()-ROW($B$2),16)=0,INDEX($M$2:$M$1000,(ROW()-ROW($B$2))/16+1),"")</f>
        <v/>
      </c>
    </row>
    <row r="11871" spans="14:14" x14ac:dyDescent="0.3">
      <c r="N11871" t="str" cm="1">
        <f t="array" ref="N11871">IF(MOD(ROW()-ROW($B$2),16)=0,INDEX($M$2:$M$1000,(ROW()-ROW($B$2))/16+1),"")</f>
        <v/>
      </c>
    </row>
    <row r="11872" spans="14:14" x14ac:dyDescent="0.3">
      <c r="N11872" t="str" cm="1">
        <f t="array" ref="N11872">IF(MOD(ROW()-ROW($B$2),16)=0,INDEX($M$2:$M$1000,(ROW()-ROW($B$2))/16+1),"")</f>
        <v/>
      </c>
    </row>
    <row r="11873" spans="14:14" x14ac:dyDescent="0.3">
      <c r="N11873" t="str" cm="1">
        <f t="array" ref="N11873">IF(MOD(ROW()-ROW($B$2),16)=0,INDEX($M$2:$M$1000,(ROW()-ROW($B$2))/16+1),"")</f>
        <v/>
      </c>
    </row>
    <row r="11874" spans="14:14" x14ac:dyDescent="0.3">
      <c r="N11874" t="str" cm="1">
        <f t="array" ref="N11874">IF(MOD(ROW()-ROW($B$2),16)=0,INDEX($M$2:$M$1000,(ROW()-ROW($B$2))/16+1),"")</f>
        <v/>
      </c>
    </row>
    <row r="11875" spans="14:14" x14ac:dyDescent="0.3">
      <c r="N11875" t="str" cm="1">
        <f t="array" ref="N11875">IF(MOD(ROW()-ROW($B$2),16)=0,INDEX($M$2:$M$1000,(ROW()-ROW($B$2))/16+1),"")</f>
        <v/>
      </c>
    </row>
    <row r="11876" spans="14:14" x14ac:dyDescent="0.3">
      <c r="N11876" t="str" cm="1">
        <f t="array" ref="N11876">IF(MOD(ROW()-ROW($B$2),16)=0,INDEX($M$2:$M$1000,(ROW()-ROW($B$2))/16+1),"")</f>
        <v/>
      </c>
    </row>
    <row r="11877" spans="14:14" x14ac:dyDescent="0.3">
      <c r="N11877" t="str" cm="1">
        <f t="array" ref="N11877">IF(MOD(ROW()-ROW($B$2),16)=0,INDEX($M$2:$M$1000,(ROW()-ROW($B$2))/16+1),"")</f>
        <v/>
      </c>
    </row>
    <row r="11878" spans="14:14" x14ac:dyDescent="0.3">
      <c r="N11878" t="str" cm="1">
        <f t="array" ref="N11878">IF(MOD(ROW()-ROW($B$2),16)=0,INDEX($M$2:$M$1000,(ROW()-ROW($B$2))/16+1),"")</f>
        <v/>
      </c>
    </row>
    <row r="11879" spans="14:14" x14ac:dyDescent="0.3">
      <c r="N11879" t="str" cm="1">
        <f t="array" ref="N11879">IF(MOD(ROW()-ROW($B$2),16)=0,INDEX($M$2:$M$1000,(ROW()-ROW($B$2))/16+1),"")</f>
        <v/>
      </c>
    </row>
    <row r="11880" spans="14:14" x14ac:dyDescent="0.3">
      <c r="N11880" t="str" cm="1">
        <f t="array" ref="N11880">IF(MOD(ROW()-ROW($B$2),16)=0,INDEX($M$2:$M$1000,(ROW()-ROW($B$2))/16+1),"")</f>
        <v/>
      </c>
    </row>
    <row r="11881" spans="14:14" x14ac:dyDescent="0.3">
      <c r="N11881" t="str" cm="1">
        <f t="array" ref="N11881">IF(MOD(ROW()-ROW($B$2),16)=0,INDEX($M$2:$M$1000,(ROW()-ROW($B$2))/16+1),"")</f>
        <v/>
      </c>
    </row>
    <row r="11882" spans="14:14" x14ac:dyDescent="0.3">
      <c r="N11882" t="str" cm="1">
        <f t="array" ref="N11882">IF(MOD(ROW()-ROW($B$2),16)=0,INDEX($M$2:$M$1000,(ROW()-ROW($B$2))/16+1),"")</f>
        <v/>
      </c>
    </row>
    <row r="11883" spans="14:14" x14ac:dyDescent="0.3">
      <c r="N11883" t="str" cm="1">
        <f t="array" ref="N11883">IF(MOD(ROW()-ROW($B$2),16)=0,INDEX($M$2:$M$1000,(ROW()-ROW($B$2))/16+1),"")</f>
        <v/>
      </c>
    </row>
    <row r="11884" spans="14:14" x14ac:dyDescent="0.3">
      <c r="N11884" t="str" cm="1">
        <f t="array" ref="N11884">IF(MOD(ROW()-ROW($B$2),16)=0,INDEX($M$2:$M$1000,(ROW()-ROW($B$2))/16+1),"")</f>
        <v/>
      </c>
    </row>
    <row r="11885" spans="14:14" x14ac:dyDescent="0.3">
      <c r="N11885" t="str" cm="1">
        <f t="array" ref="N11885">IF(MOD(ROW()-ROW($B$2),16)=0,INDEX($M$2:$M$1000,(ROW()-ROW($B$2))/16+1),"")</f>
        <v/>
      </c>
    </row>
    <row r="11886" spans="14:14" x14ac:dyDescent="0.3">
      <c r="N11886" t="str" cm="1">
        <f t="array" ref="N11886">IF(MOD(ROW()-ROW($B$2),16)=0,INDEX($M$2:$M$1000,(ROW()-ROW($B$2))/16+1),"")</f>
        <v/>
      </c>
    </row>
    <row r="11887" spans="14:14" x14ac:dyDescent="0.3">
      <c r="N11887" t="str" cm="1">
        <f t="array" ref="N11887">IF(MOD(ROW()-ROW($B$2),16)=0,INDEX($M$2:$M$1000,(ROW()-ROW($B$2))/16+1),"")</f>
        <v/>
      </c>
    </row>
    <row r="11888" spans="14:14" x14ac:dyDescent="0.3">
      <c r="N11888" t="str" cm="1">
        <f t="array" ref="N11888">IF(MOD(ROW()-ROW($B$2),16)=0,INDEX($M$2:$M$1000,(ROW()-ROW($B$2))/16+1),"")</f>
        <v/>
      </c>
    </row>
    <row r="11889" spans="14:14" x14ac:dyDescent="0.3">
      <c r="N11889" t="str" cm="1">
        <f t="array" ref="N11889">IF(MOD(ROW()-ROW($B$2),16)=0,INDEX($M$2:$M$1000,(ROW()-ROW($B$2))/16+1),"")</f>
        <v/>
      </c>
    </row>
    <row r="11890" spans="14:14" x14ac:dyDescent="0.3">
      <c r="N11890" t="str" cm="1">
        <f t="array" ref="N11890">IF(MOD(ROW()-ROW($B$2),16)=0,INDEX($M$2:$M$1000,(ROW()-ROW($B$2))/16+1),"")</f>
        <v/>
      </c>
    </row>
    <row r="11891" spans="14:14" x14ac:dyDescent="0.3">
      <c r="N11891" t="str" cm="1">
        <f t="array" ref="N11891">IF(MOD(ROW()-ROW($B$2),16)=0,INDEX($M$2:$M$1000,(ROW()-ROW($B$2))/16+1),"")</f>
        <v/>
      </c>
    </row>
    <row r="11892" spans="14:14" x14ac:dyDescent="0.3">
      <c r="N11892" t="str" cm="1">
        <f t="array" ref="N11892">IF(MOD(ROW()-ROW($B$2),16)=0,INDEX($M$2:$M$1000,(ROW()-ROW($B$2))/16+1),"")</f>
        <v/>
      </c>
    </row>
    <row r="11893" spans="14:14" x14ac:dyDescent="0.3">
      <c r="N11893" t="str" cm="1">
        <f t="array" ref="N11893">IF(MOD(ROW()-ROW($B$2),16)=0,INDEX($M$2:$M$1000,(ROW()-ROW($B$2))/16+1),"")</f>
        <v/>
      </c>
    </row>
    <row r="11894" spans="14:14" x14ac:dyDescent="0.3">
      <c r="N11894" t="str" cm="1">
        <f t="array" ref="N11894">IF(MOD(ROW()-ROW($B$2),16)=0,INDEX($M$2:$M$1000,(ROW()-ROW($B$2))/16+1),"")</f>
        <v/>
      </c>
    </row>
    <row r="11895" spans="14:14" x14ac:dyDescent="0.3">
      <c r="N11895" t="str" cm="1">
        <f t="array" ref="N11895">IF(MOD(ROW()-ROW($B$2),16)=0,INDEX($M$2:$M$1000,(ROW()-ROW($B$2))/16+1),"")</f>
        <v/>
      </c>
    </row>
    <row r="11896" spans="14:14" x14ac:dyDescent="0.3">
      <c r="N11896" t="str" cm="1">
        <f t="array" ref="N11896">IF(MOD(ROW()-ROW($B$2),16)=0,INDEX($M$2:$M$1000,(ROW()-ROW($B$2))/16+1),"")</f>
        <v/>
      </c>
    </row>
    <row r="11897" spans="14:14" x14ac:dyDescent="0.3">
      <c r="N11897" t="str" cm="1">
        <f t="array" ref="N11897">IF(MOD(ROW()-ROW($B$2),16)=0,INDEX($M$2:$M$1000,(ROW()-ROW($B$2))/16+1),"")</f>
        <v/>
      </c>
    </row>
    <row r="11898" spans="14:14" x14ac:dyDescent="0.3">
      <c r="N11898" t="str" cm="1">
        <f t="array" ref="N11898">IF(MOD(ROW()-ROW($B$2),16)=0,INDEX($M$2:$M$1000,(ROW()-ROW($B$2))/16+1),"")</f>
        <v/>
      </c>
    </row>
    <row r="11899" spans="14:14" x14ac:dyDescent="0.3">
      <c r="N11899" t="str" cm="1">
        <f t="array" ref="N11899">IF(MOD(ROW()-ROW($B$2),16)=0,INDEX($M$2:$M$1000,(ROW()-ROW($B$2))/16+1),"")</f>
        <v/>
      </c>
    </row>
    <row r="11900" spans="14:14" x14ac:dyDescent="0.3">
      <c r="N11900" t="str" cm="1">
        <f t="array" ref="N11900">IF(MOD(ROW()-ROW($B$2),16)=0,INDEX($M$2:$M$1000,(ROW()-ROW($B$2))/16+1),"")</f>
        <v/>
      </c>
    </row>
    <row r="11901" spans="14:14" x14ac:dyDescent="0.3">
      <c r="N11901" t="str" cm="1">
        <f t="array" ref="N11901">IF(MOD(ROW()-ROW($B$2),16)=0,INDEX($M$2:$M$1000,(ROW()-ROW($B$2))/16+1),"")</f>
        <v/>
      </c>
    </row>
    <row r="11902" spans="14:14" x14ac:dyDescent="0.3">
      <c r="N11902" t="str" cm="1">
        <f t="array" ref="N11902">IF(MOD(ROW()-ROW($B$2),16)=0,INDEX($M$2:$M$1000,(ROW()-ROW($B$2))/16+1),"")</f>
        <v/>
      </c>
    </row>
    <row r="11903" spans="14:14" x14ac:dyDescent="0.3">
      <c r="N11903" t="str" cm="1">
        <f t="array" ref="N11903">IF(MOD(ROW()-ROW($B$2),16)=0,INDEX($M$2:$M$1000,(ROW()-ROW($B$2))/16+1),"")</f>
        <v/>
      </c>
    </row>
    <row r="11904" spans="14:14" x14ac:dyDescent="0.3">
      <c r="N11904" t="str" cm="1">
        <f t="array" ref="N11904">IF(MOD(ROW()-ROW($B$2),16)=0,INDEX($M$2:$M$1000,(ROW()-ROW($B$2))/16+1),"")</f>
        <v/>
      </c>
    </row>
    <row r="11905" spans="14:14" x14ac:dyDescent="0.3">
      <c r="N11905" t="str" cm="1">
        <f t="array" ref="N11905">IF(MOD(ROW()-ROW($B$2),16)=0,INDEX($M$2:$M$1000,(ROW()-ROW($B$2))/16+1),"")</f>
        <v/>
      </c>
    </row>
    <row r="11906" spans="14:14" x14ac:dyDescent="0.3">
      <c r="N11906" t="str" cm="1">
        <f t="array" ref="N11906">IF(MOD(ROW()-ROW($B$2),16)=0,INDEX($M$2:$M$1000,(ROW()-ROW($B$2))/16+1),"")</f>
        <v/>
      </c>
    </row>
    <row r="11907" spans="14:14" x14ac:dyDescent="0.3">
      <c r="N11907" t="str" cm="1">
        <f t="array" ref="N11907">IF(MOD(ROW()-ROW($B$2),16)=0,INDEX($M$2:$M$1000,(ROW()-ROW($B$2))/16+1),"")</f>
        <v/>
      </c>
    </row>
    <row r="11908" spans="14:14" x14ac:dyDescent="0.3">
      <c r="N11908" t="str" cm="1">
        <f t="array" ref="N11908">IF(MOD(ROW()-ROW($B$2),16)=0,INDEX($M$2:$M$1000,(ROW()-ROW($B$2))/16+1),"")</f>
        <v/>
      </c>
    </row>
    <row r="11909" spans="14:14" x14ac:dyDescent="0.3">
      <c r="N11909" t="str" cm="1">
        <f t="array" ref="N11909">IF(MOD(ROW()-ROW($B$2),16)=0,INDEX($M$2:$M$1000,(ROW()-ROW($B$2))/16+1),"")</f>
        <v/>
      </c>
    </row>
    <row r="11910" spans="14:14" x14ac:dyDescent="0.3">
      <c r="N11910" t="str" cm="1">
        <f t="array" ref="N11910">IF(MOD(ROW()-ROW($B$2),16)=0,INDEX($M$2:$M$1000,(ROW()-ROW($B$2))/16+1),"")</f>
        <v/>
      </c>
    </row>
    <row r="11911" spans="14:14" x14ac:dyDescent="0.3">
      <c r="N11911" t="str" cm="1">
        <f t="array" ref="N11911">IF(MOD(ROW()-ROW($B$2),16)=0,INDEX($M$2:$M$1000,(ROW()-ROW($B$2))/16+1),"")</f>
        <v/>
      </c>
    </row>
    <row r="11912" spans="14:14" x14ac:dyDescent="0.3">
      <c r="N11912" t="str" cm="1">
        <f t="array" ref="N11912">IF(MOD(ROW()-ROW($B$2),16)=0,INDEX($M$2:$M$1000,(ROW()-ROW($B$2))/16+1),"")</f>
        <v/>
      </c>
    </row>
    <row r="11913" spans="14:14" x14ac:dyDescent="0.3">
      <c r="N11913" t="str" cm="1">
        <f t="array" ref="N11913">IF(MOD(ROW()-ROW($B$2),16)=0,INDEX($M$2:$M$1000,(ROW()-ROW($B$2))/16+1),"")</f>
        <v/>
      </c>
    </row>
    <row r="11914" spans="14:14" x14ac:dyDescent="0.3">
      <c r="N11914" t="str" cm="1">
        <f t="array" ref="N11914">IF(MOD(ROW()-ROW($B$2),16)=0,INDEX($M$2:$M$1000,(ROW()-ROW($B$2))/16+1),"")</f>
        <v/>
      </c>
    </row>
    <row r="11915" spans="14:14" x14ac:dyDescent="0.3">
      <c r="N11915" t="str" cm="1">
        <f t="array" ref="N11915">IF(MOD(ROW()-ROW($B$2),16)=0,INDEX($M$2:$M$1000,(ROW()-ROW($B$2))/16+1),"")</f>
        <v/>
      </c>
    </row>
    <row r="11916" spans="14:14" x14ac:dyDescent="0.3">
      <c r="N11916" t="str" cm="1">
        <f t="array" ref="N11916">IF(MOD(ROW()-ROW($B$2),16)=0,INDEX($M$2:$M$1000,(ROW()-ROW($B$2))/16+1),"")</f>
        <v/>
      </c>
    </row>
    <row r="11917" spans="14:14" x14ac:dyDescent="0.3">
      <c r="N11917" t="str" cm="1">
        <f t="array" ref="N11917">IF(MOD(ROW()-ROW($B$2),16)=0,INDEX($M$2:$M$1000,(ROW()-ROW($B$2))/16+1),"")</f>
        <v/>
      </c>
    </row>
    <row r="11918" spans="14:14" x14ac:dyDescent="0.3">
      <c r="N11918" t="str" cm="1">
        <f t="array" ref="N11918">IF(MOD(ROW()-ROW($B$2),16)=0,INDEX($M$2:$M$1000,(ROW()-ROW($B$2))/16+1),"")</f>
        <v/>
      </c>
    </row>
    <row r="11919" spans="14:14" x14ac:dyDescent="0.3">
      <c r="N11919" t="str" cm="1">
        <f t="array" ref="N11919">IF(MOD(ROW()-ROW($B$2),16)=0,INDEX($M$2:$M$1000,(ROW()-ROW($B$2))/16+1),"")</f>
        <v/>
      </c>
    </row>
    <row r="11920" spans="14:14" x14ac:dyDescent="0.3">
      <c r="N11920" t="str" cm="1">
        <f t="array" ref="N11920">IF(MOD(ROW()-ROW($B$2),16)=0,INDEX($M$2:$M$1000,(ROW()-ROW($B$2))/16+1),"")</f>
        <v/>
      </c>
    </row>
    <row r="11921" spans="14:14" x14ac:dyDescent="0.3">
      <c r="N11921" t="str" cm="1">
        <f t="array" ref="N11921">IF(MOD(ROW()-ROW($B$2),16)=0,INDEX($M$2:$M$1000,(ROW()-ROW($B$2))/16+1),"")</f>
        <v/>
      </c>
    </row>
    <row r="11922" spans="14:14" x14ac:dyDescent="0.3">
      <c r="N11922" t="str" cm="1">
        <f t="array" ref="N11922">IF(MOD(ROW()-ROW($B$2),16)=0,INDEX($M$2:$M$1000,(ROW()-ROW($B$2))/16+1),"")</f>
        <v/>
      </c>
    </row>
    <row r="11923" spans="14:14" x14ac:dyDescent="0.3">
      <c r="N11923" t="str" cm="1">
        <f t="array" ref="N11923">IF(MOD(ROW()-ROW($B$2),16)=0,INDEX($M$2:$M$1000,(ROW()-ROW($B$2))/16+1),"")</f>
        <v/>
      </c>
    </row>
    <row r="11924" spans="14:14" x14ac:dyDescent="0.3">
      <c r="N11924" t="str" cm="1">
        <f t="array" ref="N11924">IF(MOD(ROW()-ROW($B$2),16)=0,INDEX($M$2:$M$1000,(ROW()-ROW($B$2))/16+1),"")</f>
        <v/>
      </c>
    </row>
    <row r="11925" spans="14:14" x14ac:dyDescent="0.3">
      <c r="N11925" t="str" cm="1">
        <f t="array" ref="N11925">IF(MOD(ROW()-ROW($B$2),16)=0,INDEX($M$2:$M$1000,(ROW()-ROW($B$2))/16+1),"")</f>
        <v/>
      </c>
    </row>
    <row r="11926" spans="14:14" x14ac:dyDescent="0.3">
      <c r="N11926" t="str" cm="1">
        <f t="array" ref="N11926">IF(MOD(ROW()-ROW($B$2),16)=0,INDEX($M$2:$M$1000,(ROW()-ROW($B$2))/16+1),"")</f>
        <v/>
      </c>
    </row>
    <row r="11927" spans="14:14" x14ac:dyDescent="0.3">
      <c r="N11927" t="str" cm="1">
        <f t="array" ref="N11927">IF(MOD(ROW()-ROW($B$2),16)=0,INDEX($M$2:$M$1000,(ROW()-ROW($B$2))/16+1),"")</f>
        <v/>
      </c>
    </row>
    <row r="11928" spans="14:14" x14ac:dyDescent="0.3">
      <c r="N11928" t="str" cm="1">
        <f t="array" ref="N11928">IF(MOD(ROW()-ROW($B$2),16)=0,INDEX($M$2:$M$1000,(ROW()-ROW($B$2))/16+1),"")</f>
        <v/>
      </c>
    </row>
    <row r="11929" spans="14:14" x14ac:dyDescent="0.3">
      <c r="N11929" t="str" cm="1">
        <f t="array" ref="N11929">IF(MOD(ROW()-ROW($B$2),16)=0,INDEX($M$2:$M$1000,(ROW()-ROW($B$2))/16+1),"")</f>
        <v/>
      </c>
    </row>
    <row r="11930" spans="14:14" x14ac:dyDescent="0.3">
      <c r="N11930" t="str" cm="1">
        <f t="array" ref="N11930">IF(MOD(ROW()-ROW($B$2),16)=0,INDEX($M$2:$M$1000,(ROW()-ROW($B$2))/16+1),"")</f>
        <v/>
      </c>
    </row>
    <row r="11931" spans="14:14" x14ac:dyDescent="0.3">
      <c r="N11931" t="str" cm="1">
        <f t="array" ref="N11931">IF(MOD(ROW()-ROW($B$2),16)=0,INDEX($M$2:$M$1000,(ROW()-ROW($B$2))/16+1),"")</f>
        <v/>
      </c>
    </row>
    <row r="11932" spans="14:14" x14ac:dyDescent="0.3">
      <c r="N11932" t="str" cm="1">
        <f t="array" ref="N11932">IF(MOD(ROW()-ROW($B$2),16)=0,INDEX($M$2:$M$1000,(ROW()-ROW($B$2))/16+1),"")</f>
        <v/>
      </c>
    </row>
    <row r="11933" spans="14:14" x14ac:dyDescent="0.3">
      <c r="N11933" t="str" cm="1">
        <f t="array" ref="N11933">IF(MOD(ROW()-ROW($B$2),16)=0,INDEX($M$2:$M$1000,(ROW()-ROW($B$2))/16+1),"")</f>
        <v/>
      </c>
    </row>
    <row r="11934" spans="14:14" x14ac:dyDescent="0.3">
      <c r="N11934" t="str" cm="1">
        <f t="array" ref="N11934">IF(MOD(ROW()-ROW($B$2),16)=0,INDEX($M$2:$M$1000,(ROW()-ROW($B$2))/16+1),"")</f>
        <v/>
      </c>
    </row>
    <row r="11935" spans="14:14" x14ac:dyDescent="0.3">
      <c r="N11935" t="str" cm="1">
        <f t="array" ref="N11935">IF(MOD(ROW()-ROW($B$2),16)=0,INDEX($M$2:$M$1000,(ROW()-ROW($B$2))/16+1),"")</f>
        <v/>
      </c>
    </row>
    <row r="11936" spans="14:14" x14ac:dyDescent="0.3">
      <c r="N11936" t="str" cm="1">
        <f t="array" ref="N11936">IF(MOD(ROW()-ROW($B$2),16)=0,INDEX($M$2:$M$1000,(ROW()-ROW($B$2))/16+1),"")</f>
        <v/>
      </c>
    </row>
    <row r="11937" spans="14:14" x14ac:dyDescent="0.3">
      <c r="N11937" t="str" cm="1">
        <f t="array" ref="N11937">IF(MOD(ROW()-ROW($B$2),16)=0,INDEX($M$2:$M$1000,(ROW()-ROW($B$2))/16+1),"")</f>
        <v/>
      </c>
    </row>
    <row r="11938" spans="14:14" x14ac:dyDescent="0.3">
      <c r="N11938" t="str" cm="1">
        <f t="array" ref="N11938">IF(MOD(ROW()-ROW($B$2),16)=0,INDEX($M$2:$M$1000,(ROW()-ROW($B$2))/16+1),"")</f>
        <v/>
      </c>
    </row>
    <row r="11939" spans="14:14" x14ac:dyDescent="0.3">
      <c r="N11939" t="str" cm="1">
        <f t="array" ref="N11939">IF(MOD(ROW()-ROW($B$2),16)=0,INDEX($M$2:$M$1000,(ROW()-ROW($B$2))/16+1),"")</f>
        <v/>
      </c>
    </row>
    <row r="11940" spans="14:14" x14ac:dyDescent="0.3">
      <c r="N11940" t="str" cm="1">
        <f t="array" ref="N11940">IF(MOD(ROW()-ROW($B$2),16)=0,INDEX($M$2:$M$1000,(ROW()-ROW($B$2))/16+1),"")</f>
        <v/>
      </c>
    </row>
    <row r="11941" spans="14:14" x14ac:dyDescent="0.3">
      <c r="N11941" t="str" cm="1">
        <f t="array" ref="N11941">IF(MOD(ROW()-ROW($B$2),16)=0,INDEX($M$2:$M$1000,(ROW()-ROW($B$2))/16+1),"")</f>
        <v/>
      </c>
    </row>
    <row r="11942" spans="14:14" x14ac:dyDescent="0.3">
      <c r="N11942" t="str" cm="1">
        <f t="array" ref="N11942">IF(MOD(ROW()-ROW($B$2),16)=0,INDEX($M$2:$M$1000,(ROW()-ROW($B$2))/16+1),"")</f>
        <v/>
      </c>
    </row>
    <row r="11943" spans="14:14" x14ac:dyDescent="0.3">
      <c r="N11943" t="str" cm="1">
        <f t="array" ref="N11943">IF(MOD(ROW()-ROW($B$2),16)=0,INDEX($M$2:$M$1000,(ROW()-ROW($B$2))/16+1),"")</f>
        <v/>
      </c>
    </row>
    <row r="11944" spans="14:14" x14ac:dyDescent="0.3">
      <c r="N11944" t="str" cm="1">
        <f t="array" ref="N11944">IF(MOD(ROW()-ROW($B$2),16)=0,INDEX($M$2:$M$1000,(ROW()-ROW($B$2))/16+1),"")</f>
        <v/>
      </c>
    </row>
    <row r="11945" spans="14:14" x14ac:dyDescent="0.3">
      <c r="N11945" t="str" cm="1">
        <f t="array" ref="N11945">IF(MOD(ROW()-ROW($B$2),16)=0,INDEX($M$2:$M$1000,(ROW()-ROW($B$2))/16+1),"")</f>
        <v/>
      </c>
    </row>
    <row r="11946" spans="14:14" x14ac:dyDescent="0.3">
      <c r="N11946" t="str" cm="1">
        <f t="array" ref="N11946">IF(MOD(ROW()-ROW($B$2),16)=0,INDEX($M$2:$M$1000,(ROW()-ROW($B$2))/16+1),"")</f>
        <v/>
      </c>
    </row>
    <row r="11947" spans="14:14" x14ac:dyDescent="0.3">
      <c r="N11947" t="str" cm="1">
        <f t="array" ref="N11947">IF(MOD(ROW()-ROW($B$2),16)=0,INDEX($M$2:$M$1000,(ROW()-ROW($B$2))/16+1),"")</f>
        <v/>
      </c>
    </row>
    <row r="11948" spans="14:14" x14ac:dyDescent="0.3">
      <c r="N11948" t="str" cm="1">
        <f t="array" ref="N11948">IF(MOD(ROW()-ROW($B$2),16)=0,INDEX($M$2:$M$1000,(ROW()-ROW($B$2))/16+1),"")</f>
        <v/>
      </c>
    </row>
    <row r="11949" spans="14:14" x14ac:dyDescent="0.3">
      <c r="N11949" t="str" cm="1">
        <f t="array" ref="N11949">IF(MOD(ROW()-ROW($B$2),16)=0,INDEX($M$2:$M$1000,(ROW()-ROW($B$2))/16+1),"")</f>
        <v/>
      </c>
    </row>
    <row r="11950" spans="14:14" x14ac:dyDescent="0.3">
      <c r="N11950" t="str" cm="1">
        <f t="array" ref="N11950">IF(MOD(ROW()-ROW($B$2),16)=0,INDEX($M$2:$M$1000,(ROW()-ROW($B$2))/16+1),"")</f>
        <v/>
      </c>
    </row>
    <row r="11951" spans="14:14" x14ac:dyDescent="0.3">
      <c r="N11951" t="str" cm="1">
        <f t="array" ref="N11951">IF(MOD(ROW()-ROW($B$2),16)=0,INDEX($M$2:$M$1000,(ROW()-ROW($B$2))/16+1),"")</f>
        <v/>
      </c>
    </row>
    <row r="11952" spans="14:14" x14ac:dyDescent="0.3">
      <c r="N11952" t="str" cm="1">
        <f t="array" ref="N11952">IF(MOD(ROW()-ROW($B$2),16)=0,INDEX($M$2:$M$1000,(ROW()-ROW($B$2))/16+1),"")</f>
        <v/>
      </c>
    </row>
    <row r="11953" spans="14:14" x14ac:dyDescent="0.3">
      <c r="N11953" t="str" cm="1">
        <f t="array" ref="N11953">IF(MOD(ROW()-ROW($B$2),16)=0,INDEX($M$2:$M$1000,(ROW()-ROW($B$2))/16+1),"")</f>
        <v/>
      </c>
    </row>
    <row r="11954" spans="14:14" x14ac:dyDescent="0.3">
      <c r="N11954" cm="1">
        <f t="array" ref="N11954">IF(MOD(ROW()-ROW($B$2),16)=0,INDEX($M$2:$M$1000,(ROW()-ROW($B$2))/16+1),"")</f>
        <v>0</v>
      </c>
    </row>
    <row r="11955" spans="14:14" x14ac:dyDescent="0.3">
      <c r="N11955" t="str" cm="1">
        <f t="array" ref="N11955">IF(MOD(ROW()-ROW($B$2),16)=0,INDEX($M$2:$M$1000,(ROW()-ROW($B$2))/16+1),"")</f>
        <v/>
      </c>
    </row>
    <row r="11956" spans="14:14" x14ac:dyDescent="0.3">
      <c r="N11956" t="str" cm="1">
        <f t="array" ref="N11956">IF(MOD(ROW()-ROW($B$2),16)=0,INDEX($M$2:$M$1000,(ROW()-ROW($B$2))/16+1),"")</f>
        <v/>
      </c>
    </row>
    <row r="11957" spans="14:14" x14ac:dyDescent="0.3">
      <c r="N11957" t="str" cm="1">
        <f t="array" ref="N11957">IF(MOD(ROW()-ROW($B$2),16)=0,INDEX($M$2:$M$1000,(ROW()-ROW($B$2))/16+1),"")</f>
        <v/>
      </c>
    </row>
    <row r="11958" spans="14:14" x14ac:dyDescent="0.3">
      <c r="N11958" t="str" cm="1">
        <f t="array" ref="N11958">IF(MOD(ROW()-ROW($B$2),16)=0,INDEX($M$2:$M$1000,(ROW()-ROW($B$2))/16+1),"")</f>
        <v/>
      </c>
    </row>
    <row r="11959" spans="14:14" x14ac:dyDescent="0.3">
      <c r="N11959" t="str" cm="1">
        <f t="array" ref="N11959">IF(MOD(ROW()-ROW($B$2),16)=0,INDEX($M$2:$M$1000,(ROW()-ROW($B$2))/16+1),"")</f>
        <v/>
      </c>
    </row>
    <row r="11960" spans="14:14" x14ac:dyDescent="0.3">
      <c r="N11960" t="str" cm="1">
        <f t="array" ref="N11960">IF(MOD(ROW()-ROW($B$2),16)=0,INDEX($M$2:$M$1000,(ROW()-ROW($B$2))/16+1),"")</f>
        <v/>
      </c>
    </row>
    <row r="11961" spans="14:14" x14ac:dyDescent="0.3">
      <c r="N11961" t="str" cm="1">
        <f t="array" ref="N11961">IF(MOD(ROW()-ROW($B$2),16)=0,INDEX($M$2:$M$1000,(ROW()-ROW($B$2))/16+1),"")</f>
        <v/>
      </c>
    </row>
    <row r="11962" spans="14:14" x14ac:dyDescent="0.3">
      <c r="N11962" t="str" cm="1">
        <f t="array" ref="N11962">IF(MOD(ROW()-ROW($B$2),16)=0,INDEX($M$2:$M$1000,(ROW()-ROW($B$2))/16+1),"")</f>
        <v/>
      </c>
    </row>
    <row r="11963" spans="14:14" x14ac:dyDescent="0.3">
      <c r="N11963" t="str" cm="1">
        <f t="array" ref="N11963">IF(MOD(ROW()-ROW($B$2),16)=0,INDEX($M$2:$M$1000,(ROW()-ROW($B$2))/16+1),"")</f>
        <v/>
      </c>
    </row>
    <row r="11964" spans="14:14" x14ac:dyDescent="0.3">
      <c r="N11964" t="str" cm="1">
        <f t="array" ref="N11964">IF(MOD(ROW()-ROW($B$2),16)=0,INDEX($M$2:$M$1000,(ROW()-ROW($B$2))/16+1),"")</f>
        <v/>
      </c>
    </row>
    <row r="11965" spans="14:14" x14ac:dyDescent="0.3">
      <c r="N11965" t="str" cm="1">
        <f t="array" ref="N11965">IF(MOD(ROW()-ROW($B$2),16)=0,INDEX($M$2:$M$1000,(ROW()-ROW($B$2))/16+1),"")</f>
        <v/>
      </c>
    </row>
    <row r="11966" spans="14:14" x14ac:dyDescent="0.3">
      <c r="N11966" t="str" cm="1">
        <f t="array" ref="N11966">IF(MOD(ROW()-ROW($B$2),16)=0,INDEX($M$2:$M$1000,(ROW()-ROW($B$2))/16+1),"")</f>
        <v/>
      </c>
    </row>
    <row r="11967" spans="14:14" x14ac:dyDescent="0.3">
      <c r="N11967" t="str" cm="1">
        <f t="array" ref="N11967">IF(MOD(ROW()-ROW($B$2),16)=0,INDEX($M$2:$M$1000,(ROW()-ROW($B$2))/16+1),"")</f>
        <v/>
      </c>
    </row>
    <row r="11968" spans="14:14" x14ac:dyDescent="0.3">
      <c r="N11968" t="str" cm="1">
        <f t="array" ref="N11968">IF(MOD(ROW()-ROW($B$2),16)=0,INDEX($M$2:$M$1000,(ROW()-ROW($B$2))/16+1),"")</f>
        <v/>
      </c>
    </row>
    <row r="11969" spans="14:14" x14ac:dyDescent="0.3">
      <c r="N11969" t="str" cm="1">
        <f t="array" ref="N11969">IF(MOD(ROW()-ROW($B$2),16)=0,INDEX($M$2:$M$1000,(ROW()-ROW($B$2))/16+1),"")</f>
        <v/>
      </c>
    </row>
    <row r="11970" spans="14:14" x14ac:dyDescent="0.3">
      <c r="N11970" cm="1">
        <f t="array" ref="N11970">IF(MOD(ROW()-ROW($B$2),16)=0,INDEX($M$2:$M$1000,(ROW()-ROW($B$2))/16+1),"")</f>
        <v>0</v>
      </c>
    </row>
    <row r="11971" spans="14:14" x14ac:dyDescent="0.3">
      <c r="N11971" t="str" cm="1">
        <f t="array" ref="N11971">IF(MOD(ROW()-ROW($B$2),16)=0,INDEX($M$2:$M$1000,(ROW()-ROW($B$2))/16+1),"")</f>
        <v/>
      </c>
    </row>
    <row r="11972" spans="14:14" x14ac:dyDescent="0.3">
      <c r="N11972" t="str" cm="1">
        <f t="array" ref="N11972">IF(MOD(ROW()-ROW($B$2),16)=0,INDEX($M$2:$M$1000,(ROW()-ROW($B$2))/16+1),"")</f>
        <v/>
      </c>
    </row>
    <row r="11973" spans="14:14" x14ac:dyDescent="0.3">
      <c r="N11973" t="str" cm="1">
        <f t="array" ref="N11973">IF(MOD(ROW()-ROW($B$2),16)=0,INDEX($M$2:$M$1000,(ROW()-ROW($B$2))/16+1),"")</f>
        <v/>
      </c>
    </row>
    <row r="11974" spans="14:14" x14ac:dyDescent="0.3">
      <c r="N11974" t="str" cm="1">
        <f t="array" ref="N11974">IF(MOD(ROW()-ROW($B$2),16)=0,INDEX($M$2:$M$1000,(ROW()-ROW($B$2))/16+1),"")</f>
        <v/>
      </c>
    </row>
    <row r="11975" spans="14:14" x14ac:dyDescent="0.3">
      <c r="N11975" t="str" cm="1">
        <f t="array" ref="N11975">IF(MOD(ROW()-ROW($B$2),16)=0,INDEX($M$2:$M$1000,(ROW()-ROW($B$2))/16+1),"")</f>
        <v/>
      </c>
    </row>
    <row r="11976" spans="14:14" x14ac:dyDescent="0.3">
      <c r="N11976" t="str" cm="1">
        <f t="array" ref="N11976">IF(MOD(ROW()-ROW($B$2),16)=0,INDEX($M$2:$M$1000,(ROW()-ROW($B$2))/16+1),"")</f>
        <v/>
      </c>
    </row>
    <row r="11977" spans="14:14" x14ac:dyDescent="0.3">
      <c r="N11977" t="str" cm="1">
        <f t="array" ref="N11977">IF(MOD(ROW()-ROW($B$2),16)=0,INDEX($M$2:$M$1000,(ROW()-ROW($B$2))/16+1),"")</f>
        <v/>
      </c>
    </row>
    <row r="11978" spans="14:14" x14ac:dyDescent="0.3">
      <c r="N11978" t="str" cm="1">
        <f t="array" ref="N11978">IF(MOD(ROW()-ROW($B$2),16)=0,INDEX($M$2:$M$1000,(ROW()-ROW($B$2))/16+1),"")</f>
        <v/>
      </c>
    </row>
    <row r="11979" spans="14:14" x14ac:dyDescent="0.3">
      <c r="N11979" t="str" cm="1">
        <f t="array" ref="N11979">IF(MOD(ROW()-ROW($B$2),16)=0,INDEX($M$2:$M$1000,(ROW()-ROW($B$2))/16+1),"")</f>
        <v/>
      </c>
    </row>
    <row r="11980" spans="14:14" x14ac:dyDescent="0.3">
      <c r="N11980" t="str" cm="1">
        <f t="array" ref="N11980">IF(MOD(ROW()-ROW($B$2),16)=0,INDEX($M$2:$M$1000,(ROW()-ROW($B$2))/16+1),"")</f>
        <v/>
      </c>
    </row>
    <row r="11981" spans="14:14" x14ac:dyDescent="0.3">
      <c r="N11981" t="str" cm="1">
        <f t="array" ref="N11981">IF(MOD(ROW()-ROW($B$2),16)=0,INDEX($M$2:$M$1000,(ROW()-ROW($B$2))/16+1),"")</f>
        <v/>
      </c>
    </row>
    <row r="11982" spans="14:14" x14ac:dyDescent="0.3">
      <c r="N11982" t="str" cm="1">
        <f t="array" ref="N11982">IF(MOD(ROW()-ROW($B$2),16)=0,INDEX($M$2:$M$1000,(ROW()-ROW($B$2))/16+1),"")</f>
        <v/>
      </c>
    </row>
    <row r="11983" spans="14:14" x14ac:dyDescent="0.3">
      <c r="N11983" t="str" cm="1">
        <f t="array" ref="N11983">IF(MOD(ROW()-ROW($B$2),16)=0,INDEX($M$2:$M$1000,(ROW()-ROW($B$2))/16+1),"")</f>
        <v/>
      </c>
    </row>
    <row r="11984" spans="14:14" x14ac:dyDescent="0.3">
      <c r="N11984" t="str" cm="1">
        <f t="array" ref="N11984">IF(MOD(ROW()-ROW($B$2),16)=0,INDEX($M$2:$M$1000,(ROW()-ROW($B$2))/16+1),"")</f>
        <v/>
      </c>
    </row>
    <row r="11985" spans="14:14" x14ac:dyDescent="0.3">
      <c r="N11985" t="str" cm="1">
        <f t="array" ref="N11985">IF(MOD(ROW()-ROW($B$2),16)=0,INDEX($M$2:$M$1000,(ROW()-ROW($B$2))/16+1),"")</f>
        <v/>
      </c>
    </row>
    <row r="11986" spans="14:14" x14ac:dyDescent="0.3">
      <c r="N11986" cm="1">
        <f t="array" ref="N11986">IF(MOD(ROW()-ROW($B$2),16)=0,INDEX($M$2:$M$1000,(ROW()-ROW($B$2))/16+1),"")</f>
        <v>0</v>
      </c>
    </row>
    <row r="11987" spans="14:14" x14ac:dyDescent="0.3">
      <c r="N11987" t="str" cm="1">
        <f t="array" ref="N11987">IF(MOD(ROW()-ROW($B$2),16)=0,INDEX($M$2:$M$1000,(ROW()-ROW($B$2))/16+1),"")</f>
        <v/>
      </c>
    </row>
    <row r="11988" spans="14:14" x14ac:dyDescent="0.3">
      <c r="N11988" t="str" cm="1">
        <f t="array" ref="N11988">IF(MOD(ROW()-ROW($B$2),16)=0,INDEX($M$2:$M$1000,(ROW()-ROW($B$2))/16+1),"")</f>
        <v/>
      </c>
    </row>
    <row r="11989" spans="14:14" x14ac:dyDescent="0.3">
      <c r="N11989" t="str" cm="1">
        <f t="array" ref="N11989">IF(MOD(ROW()-ROW($B$2),16)=0,INDEX($M$2:$M$1000,(ROW()-ROW($B$2))/16+1),"")</f>
        <v/>
      </c>
    </row>
    <row r="11990" spans="14:14" x14ac:dyDescent="0.3">
      <c r="N11990" t="str" cm="1">
        <f t="array" ref="N11990">IF(MOD(ROW()-ROW($B$2),16)=0,INDEX($M$2:$M$1000,(ROW()-ROW($B$2))/16+1),"")</f>
        <v/>
      </c>
    </row>
    <row r="11991" spans="14:14" x14ac:dyDescent="0.3">
      <c r="N11991" t="str" cm="1">
        <f t="array" ref="N11991">IF(MOD(ROW()-ROW($B$2),16)=0,INDEX($M$2:$M$1000,(ROW()-ROW($B$2))/16+1),"")</f>
        <v/>
      </c>
    </row>
    <row r="11992" spans="14:14" x14ac:dyDescent="0.3">
      <c r="N11992" t="str" cm="1">
        <f t="array" ref="N11992">IF(MOD(ROW()-ROW($B$2),16)=0,INDEX($M$2:$M$1000,(ROW()-ROW($B$2))/16+1),"")</f>
        <v/>
      </c>
    </row>
    <row r="11993" spans="14:14" x14ac:dyDescent="0.3">
      <c r="N11993" t="str" cm="1">
        <f t="array" ref="N11993">IF(MOD(ROW()-ROW($B$2),16)=0,INDEX($M$2:$M$1000,(ROW()-ROW($B$2))/16+1),"")</f>
        <v/>
      </c>
    </row>
    <row r="11994" spans="14:14" x14ac:dyDescent="0.3">
      <c r="N11994" t="str" cm="1">
        <f t="array" ref="N11994">IF(MOD(ROW()-ROW($B$2),16)=0,INDEX($M$2:$M$1000,(ROW()-ROW($B$2))/16+1),"")</f>
        <v/>
      </c>
    </row>
    <row r="11995" spans="14:14" x14ac:dyDescent="0.3">
      <c r="N11995" t="str" cm="1">
        <f t="array" ref="N11995">IF(MOD(ROW()-ROW($B$2),16)=0,INDEX($M$2:$M$1000,(ROW()-ROW($B$2))/16+1),"")</f>
        <v/>
      </c>
    </row>
    <row r="11996" spans="14:14" x14ac:dyDescent="0.3">
      <c r="N11996" t="str" cm="1">
        <f t="array" ref="N11996">IF(MOD(ROW()-ROW($B$2),16)=0,INDEX($M$2:$M$1000,(ROW()-ROW($B$2))/16+1),"")</f>
        <v/>
      </c>
    </row>
    <row r="11997" spans="14:14" x14ac:dyDescent="0.3">
      <c r="N11997" t="str" cm="1">
        <f t="array" ref="N11997">IF(MOD(ROW()-ROW($B$2),16)=0,INDEX($M$2:$M$1000,(ROW()-ROW($B$2))/16+1),"")</f>
        <v/>
      </c>
    </row>
    <row r="11998" spans="14:14" x14ac:dyDescent="0.3">
      <c r="N11998" t="str" cm="1">
        <f t="array" ref="N11998">IF(MOD(ROW()-ROW($B$2),16)=0,INDEX($M$2:$M$1000,(ROW()-ROW($B$2))/16+1),"")</f>
        <v/>
      </c>
    </row>
    <row r="11999" spans="14:14" x14ac:dyDescent="0.3">
      <c r="N11999" t="str" cm="1">
        <f t="array" ref="N11999">IF(MOD(ROW()-ROW($B$2),16)=0,INDEX($M$2:$M$1000,(ROW()-ROW($B$2))/16+1),"")</f>
        <v/>
      </c>
    </row>
    <row r="12000" spans="14:14" x14ac:dyDescent="0.3">
      <c r="N12000" t="str" cm="1">
        <f t="array" ref="N12000">IF(MOD(ROW()-ROW($B$2),16)=0,INDEX($M$2:$M$1000,(ROW()-ROW($B$2))/16+1),"")</f>
        <v/>
      </c>
    </row>
    <row r="12001" spans="2:14" x14ac:dyDescent="0.3">
      <c r="N12001" t="str" cm="1">
        <f t="array" ref="N12001">IF(MOD(ROW()-ROW($B$2),16)=0,INDEX($M$2:$M$1000,(ROW()-ROW($B$2))/16+1),"")</f>
        <v/>
      </c>
    </row>
    <row r="12002" spans="2:14" x14ac:dyDescent="0.3">
      <c r="B12002" t="s">
        <v>2147</v>
      </c>
      <c r="N12002" cm="1">
        <f t="array" ref="N12002">IF(MOD(ROW()-ROW($B$2),16)=0,INDEX($M$2:$M$1000,(ROW()-ROW($B$2))/16+1),"")</f>
        <v>0</v>
      </c>
    </row>
    <row r="12003" spans="2:14" x14ac:dyDescent="0.3">
      <c r="B12003" t="s">
        <v>2148</v>
      </c>
      <c r="N12003" t="str" cm="1">
        <f t="array" ref="N12003">IF(MOD(ROW()-ROW($B$2),16)=0,INDEX($M$2:$M$1000,(ROW()-ROW($B$2))/16+1),"")</f>
        <v/>
      </c>
    </row>
    <row r="12004" spans="2:14" x14ac:dyDescent="0.3">
      <c r="B12004" t="s">
        <v>2149</v>
      </c>
      <c r="N12004" t="str" cm="1">
        <f t="array" ref="N12004">IF(MOD(ROW()-ROW($B$2),16)=0,INDEX($M$2:$M$1000,(ROW()-ROW($B$2))/16+1),"")</f>
        <v/>
      </c>
    </row>
    <row r="12005" spans="2:14" x14ac:dyDescent="0.3">
      <c r="B12005" t="s">
        <v>2150</v>
      </c>
      <c r="N12005" t="str" cm="1">
        <f t="array" ref="N12005">IF(MOD(ROW()-ROW($B$2),16)=0,INDEX($M$2:$M$1000,(ROW()-ROW($B$2))/16+1),"")</f>
        <v/>
      </c>
    </row>
    <row r="12006" spans="2:14" x14ac:dyDescent="0.3">
      <c r="B12006" t="s">
        <v>2151</v>
      </c>
      <c r="N12006" t="str" cm="1">
        <f t="array" ref="N12006">IF(MOD(ROW()-ROW($B$2),16)=0,INDEX($M$2:$M$1000,(ROW()-ROW($B$2))/16+1),"")</f>
        <v/>
      </c>
    </row>
    <row r="12007" spans="2:14" x14ac:dyDescent="0.3">
      <c r="B12007" t="s">
        <v>2152</v>
      </c>
      <c r="N12007" t="str" cm="1">
        <f t="array" ref="N12007">IF(MOD(ROW()-ROW($B$2),16)=0,INDEX($M$2:$M$1000,(ROW()-ROW($B$2))/16+1),"")</f>
        <v/>
      </c>
    </row>
    <row r="12008" spans="2:14" x14ac:dyDescent="0.3">
      <c r="B12008" t="s">
        <v>2153</v>
      </c>
      <c r="N12008" t="str" cm="1">
        <f t="array" ref="N12008">IF(MOD(ROW()-ROW($B$2),16)=0,INDEX($M$2:$M$1000,(ROW()-ROW($B$2))/16+1),"")</f>
        <v/>
      </c>
    </row>
    <row r="12009" spans="2:14" x14ac:dyDescent="0.3">
      <c r="B12009" t="s">
        <v>2154</v>
      </c>
      <c r="N12009" t="str" cm="1">
        <f t="array" ref="N12009">IF(MOD(ROW()-ROW($B$2),16)=0,INDEX($M$2:$M$1000,(ROW()-ROW($B$2))/16+1),"")</f>
        <v/>
      </c>
    </row>
    <row r="12010" spans="2:14" x14ac:dyDescent="0.3">
      <c r="B12010" t="s">
        <v>2155</v>
      </c>
      <c r="N12010" t="str" cm="1">
        <f t="array" ref="N12010">IF(MOD(ROW()-ROW($B$2),16)=0,INDEX($M$2:$M$1000,(ROW()-ROW($B$2))/16+1),"")</f>
        <v/>
      </c>
    </row>
    <row r="12011" spans="2:14" x14ac:dyDescent="0.3">
      <c r="B12011" t="s">
        <v>2156</v>
      </c>
      <c r="N12011" t="str" cm="1">
        <f t="array" ref="N12011">IF(MOD(ROW()-ROW($B$2),16)=0,INDEX($M$2:$M$1000,(ROW()-ROW($B$2))/16+1),"")</f>
        <v/>
      </c>
    </row>
    <row r="12012" spans="2:14" x14ac:dyDescent="0.3">
      <c r="B12012" t="s">
        <v>2157</v>
      </c>
      <c r="N12012" t="str" cm="1">
        <f t="array" ref="N12012">IF(MOD(ROW()-ROW($B$2),16)=0,INDEX($M$2:$M$1000,(ROW()-ROW($B$2))/16+1),"")</f>
        <v/>
      </c>
    </row>
    <row r="12013" spans="2:14" x14ac:dyDescent="0.3">
      <c r="B12013" t="s">
        <v>2158</v>
      </c>
      <c r="N12013" t="str" cm="1">
        <f t="array" ref="N12013">IF(MOD(ROW()-ROW($B$2),16)=0,INDEX($M$2:$M$1000,(ROW()-ROW($B$2))/16+1),"")</f>
        <v/>
      </c>
    </row>
    <row r="12014" spans="2:14" x14ac:dyDescent="0.3">
      <c r="B12014" t="s">
        <v>2159</v>
      </c>
      <c r="N12014" t="str" cm="1">
        <f t="array" ref="N12014">IF(MOD(ROW()-ROW($B$2),16)=0,INDEX($M$2:$M$1000,(ROW()-ROW($B$2))/16+1),"")</f>
        <v/>
      </c>
    </row>
    <row r="12015" spans="2:14" x14ac:dyDescent="0.3">
      <c r="B12015" t="s">
        <v>2160</v>
      </c>
      <c r="N12015" t="str" cm="1">
        <f t="array" ref="N12015">IF(MOD(ROW()-ROW($B$2),16)=0,INDEX($M$2:$M$1000,(ROW()-ROW($B$2))/16+1),"")</f>
        <v/>
      </c>
    </row>
    <row r="12016" spans="2:14" x14ac:dyDescent="0.3">
      <c r="B12016" t="s">
        <v>2161</v>
      </c>
      <c r="N12016" t="str" cm="1">
        <f t="array" ref="N12016">IF(MOD(ROW()-ROW($B$2),16)=0,INDEX($M$2:$M$1000,(ROW()-ROW($B$2))/16+1),"")</f>
        <v/>
      </c>
    </row>
    <row r="12017" spans="2:14" x14ac:dyDescent="0.3">
      <c r="B12017" t="s">
        <v>2162</v>
      </c>
      <c r="N12017" t="str" cm="1">
        <f t="array" ref="N12017">IF(MOD(ROW()-ROW($B$2),16)=0,INDEX($M$2:$M$1000,(ROW()-ROW($B$2))/16+1),"")</f>
        <v/>
      </c>
    </row>
    <row r="12018" spans="2:14" x14ac:dyDescent="0.3">
      <c r="B12018" t="s">
        <v>2163</v>
      </c>
      <c r="N12018" cm="1">
        <f t="array" ref="N12018">IF(MOD(ROW()-ROW($B$2),16)=0,INDEX($M$2:$M$1000,(ROW()-ROW($B$2))/16+1),"")</f>
        <v>0</v>
      </c>
    </row>
    <row r="12019" spans="2:14" x14ac:dyDescent="0.3">
      <c r="B12019" t="s">
        <v>2164</v>
      </c>
      <c r="N12019" t="str" cm="1">
        <f t="array" ref="N12019">IF(MOD(ROW()-ROW($B$2),16)=0,INDEX($M$2:$M$1000,(ROW()-ROW($B$2))/16+1),"")</f>
        <v/>
      </c>
    </row>
    <row r="12020" spans="2:14" x14ac:dyDescent="0.3">
      <c r="B12020" t="s">
        <v>2165</v>
      </c>
      <c r="N12020" t="str" cm="1">
        <f t="array" ref="N12020">IF(MOD(ROW()-ROW($B$2),16)=0,INDEX($M$2:$M$1000,(ROW()-ROW($B$2))/16+1),"")</f>
        <v/>
      </c>
    </row>
    <row r="12021" spans="2:14" x14ac:dyDescent="0.3">
      <c r="B12021" t="s">
        <v>2166</v>
      </c>
      <c r="N12021" t="str" cm="1">
        <f t="array" ref="N12021">IF(MOD(ROW()-ROW($B$2),16)=0,INDEX($M$2:$M$1000,(ROW()-ROW($B$2))/16+1),"")</f>
        <v/>
      </c>
    </row>
    <row r="12022" spans="2:14" x14ac:dyDescent="0.3">
      <c r="B12022" t="s">
        <v>2167</v>
      </c>
      <c r="N12022" t="str" cm="1">
        <f t="array" ref="N12022">IF(MOD(ROW()-ROW($B$2),16)=0,INDEX($M$2:$M$1000,(ROW()-ROW($B$2))/16+1),"")</f>
        <v/>
      </c>
    </row>
    <row r="12023" spans="2:14" x14ac:dyDescent="0.3">
      <c r="B12023" t="s">
        <v>2168</v>
      </c>
      <c r="N12023" t="str" cm="1">
        <f t="array" ref="N12023">IF(MOD(ROW()-ROW($B$2),16)=0,INDEX($M$2:$M$1000,(ROW()-ROW($B$2))/16+1),"")</f>
        <v/>
      </c>
    </row>
    <row r="12024" spans="2:14" x14ac:dyDescent="0.3">
      <c r="B12024" t="s">
        <v>2169</v>
      </c>
      <c r="N12024" t="str" cm="1">
        <f t="array" ref="N12024">IF(MOD(ROW()-ROW($B$2),16)=0,INDEX($M$2:$M$1000,(ROW()-ROW($B$2))/16+1),"")</f>
        <v/>
      </c>
    </row>
    <row r="12025" spans="2:14" x14ac:dyDescent="0.3">
      <c r="B12025" t="s">
        <v>2170</v>
      </c>
      <c r="N12025" t="str" cm="1">
        <f t="array" ref="N12025">IF(MOD(ROW()-ROW($B$2),16)=0,INDEX($M$2:$M$1000,(ROW()-ROW($B$2))/16+1),"")</f>
        <v/>
      </c>
    </row>
    <row r="12026" spans="2:14" x14ac:dyDescent="0.3">
      <c r="B12026" t="s">
        <v>2171</v>
      </c>
      <c r="N12026" t="str" cm="1">
        <f t="array" ref="N12026">IF(MOD(ROW()-ROW($B$2),16)=0,INDEX($M$2:$M$1000,(ROW()-ROW($B$2))/16+1),"")</f>
        <v/>
      </c>
    </row>
    <row r="12027" spans="2:14" x14ac:dyDescent="0.3">
      <c r="N12027" t="str" cm="1">
        <f t="array" ref="N12027">IF(MOD(ROW()-ROW($B$2),16)=0,INDEX($M$2:$M$1000,(ROW()-ROW($B$2))/16+1),"")</f>
        <v/>
      </c>
    </row>
    <row r="12028" spans="2:14" x14ac:dyDescent="0.3">
      <c r="N12028" t="str" cm="1">
        <f t="array" ref="N12028">IF(MOD(ROW()-ROW($B$2),16)=0,INDEX($M$2:$M$1000,(ROW()-ROW($B$2))/16+1),"")</f>
        <v/>
      </c>
    </row>
    <row r="12029" spans="2:14" x14ac:dyDescent="0.3">
      <c r="N12029" t="str" cm="1">
        <f t="array" ref="N12029">IF(MOD(ROW()-ROW($B$2),16)=0,INDEX($M$2:$M$1000,(ROW()-ROW($B$2))/16+1),"")</f>
        <v/>
      </c>
    </row>
    <row r="12030" spans="2:14" x14ac:dyDescent="0.3">
      <c r="N12030" t="str" cm="1">
        <f t="array" ref="N12030">IF(MOD(ROW()-ROW($B$2),16)=0,INDEX($M$2:$M$1000,(ROW()-ROW($B$2))/16+1),"")</f>
        <v/>
      </c>
    </row>
    <row r="12031" spans="2:14" x14ac:dyDescent="0.3">
      <c r="N12031" t="str" cm="1">
        <f t="array" ref="N12031">IF(MOD(ROW()-ROW($B$2),16)=0,INDEX($M$2:$M$1000,(ROW()-ROW($B$2))/16+1),"")</f>
        <v/>
      </c>
    </row>
    <row r="12032" spans="2:14" x14ac:dyDescent="0.3">
      <c r="N12032" t="str" cm="1">
        <f t="array" ref="N12032">IF(MOD(ROW()-ROW($B$2),16)=0,INDEX($M$2:$M$1000,(ROW()-ROW($B$2))/16+1),"")</f>
        <v/>
      </c>
    </row>
    <row r="12033" spans="14:14" x14ac:dyDescent="0.3">
      <c r="N12033" t="str" cm="1">
        <f t="array" ref="N12033">IF(MOD(ROW()-ROW($B$2),16)=0,INDEX($M$2:$M$1000,(ROW()-ROW($B$2))/16+1),"")</f>
        <v/>
      </c>
    </row>
    <row r="12034" spans="14:14" x14ac:dyDescent="0.3">
      <c r="N12034" cm="1">
        <f t="array" ref="N12034">IF(MOD(ROW()-ROW($B$2),16)=0,INDEX($M$2:$M$1000,(ROW()-ROW($B$2))/16+1),"")</f>
        <v>0</v>
      </c>
    </row>
    <row r="12035" spans="14:14" x14ac:dyDescent="0.3">
      <c r="N12035" t="str" cm="1">
        <f t="array" ref="N12035">IF(MOD(ROW()-ROW($B$2),16)=0,INDEX($M$2:$M$1000,(ROW()-ROW($B$2))/16+1),"")</f>
        <v/>
      </c>
    </row>
    <row r="12036" spans="14:14" x14ac:dyDescent="0.3">
      <c r="N12036" t="str" cm="1">
        <f t="array" ref="N12036">IF(MOD(ROW()-ROW($B$2),16)=0,INDEX($M$2:$M$1000,(ROW()-ROW($B$2))/16+1),"")</f>
        <v/>
      </c>
    </row>
    <row r="12037" spans="14:14" x14ac:dyDescent="0.3">
      <c r="N12037" t="str" cm="1">
        <f t="array" ref="N12037">IF(MOD(ROW()-ROW($B$2),16)=0,INDEX($M$2:$M$1000,(ROW()-ROW($B$2))/16+1),"")</f>
        <v/>
      </c>
    </row>
    <row r="12038" spans="14:14" x14ac:dyDescent="0.3">
      <c r="N12038" t="str" cm="1">
        <f t="array" ref="N12038">IF(MOD(ROW()-ROW($B$2),16)=0,INDEX($M$2:$M$1000,(ROW()-ROW($B$2))/16+1),"")</f>
        <v/>
      </c>
    </row>
    <row r="12039" spans="14:14" x14ac:dyDescent="0.3">
      <c r="N12039" t="str" cm="1">
        <f t="array" ref="N12039">IF(MOD(ROW()-ROW($B$2),16)=0,INDEX($M$2:$M$1000,(ROW()-ROW($B$2))/16+1),"")</f>
        <v/>
      </c>
    </row>
    <row r="12040" spans="14:14" x14ac:dyDescent="0.3">
      <c r="N12040" t="str" cm="1">
        <f t="array" ref="N12040">IF(MOD(ROW()-ROW($B$2),16)=0,INDEX($M$2:$M$1000,(ROW()-ROW($B$2))/16+1),"")</f>
        <v/>
      </c>
    </row>
    <row r="12041" spans="14:14" x14ac:dyDescent="0.3">
      <c r="N12041" t="str" cm="1">
        <f t="array" ref="N12041">IF(MOD(ROW()-ROW($B$2),16)=0,INDEX($M$2:$M$1000,(ROW()-ROW($B$2))/16+1),"")</f>
        <v/>
      </c>
    </row>
    <row r="12042" spans="14:14" x14ac:dyDescent="0.3">
      <c r="N12042" t="str" cm="1">
        <f t="array" ref="N12042">IF(MOD(ROW()-ROW($B$2),16)=0,INDEX($M$2:$M$1000,(ROW()-ROW($B$2))/16+1),"")</f>
        <v/>
      </c>
    </row>
    <row r="12043" spans="14:14" x14ac:dyDescent="0.3">
      <c r="N12043" t="str" cm="1">
        <f t="array" ref="N12043">IF(MOD(ROW()-ROW($B$2),16)=0,INDEX($M$2:$M$1000,(ROW()-ROW($B$2))/16+1),"")</f>
        <v/>
      </c>
    </row>
    <row r="12044" spans="14:14" x14ac:dyDescent="0.3">
      <c r="N12044" t="str" cm="1">
        <f t="array" ref="N12044">IF(MOD(ROW()-ROW($B$2),16)=0,INDEX($M$2:$M$1000,(ROW()-ROW($B$2))/16+1),"")</f>
        <v/>
      </c>
    </row>
    <row r="12045" spans="14:14" x14ac:dyDescent="0.3">
      <c r="N12045" t="str" cm="1">
        <f t="array" ref="N12045">IF(MOD(ROW()-ROW($B$2),16)=0,INDEX($M$2:$M$1000,(ROW()-ROW($B$2))/16+1),"")</f>
        <v/>
      </c>
    </row>
    <row r="12046" spans="14:14" x14ac:dyDescent="0.3">
      <c r="N12046" t="str" cm="1">
        <f t="array" ref="N12046">IF(MOD(ROW()-ROW($B$2),16)=0,INDEX($M$2:$M$1000,(ROW()-ROW($B$2))/16+1),"")</f>
        <v/>
      </c>
    </row>
    <row r="12047" spans="14:14" x14ac:dyDescent="0.3">
      <c r="N12047" t="str" cm="1">
        <f t="array" ref="N12047">IF(MOD(ROW()-ROW($B$2),16)=0,INDEX($M$2:$M$1000,(ROW()-ROW($B$2))/16+1),"")</f>
        <v/>
      </c>
    </row>
    <row r="12048" spans="14:14" x14ac:dyDescent="0.3">
      <c r="N12048" t="str" cm="1">
        <f t="array" ref="N12048">IF(MOD(ROW()-ROW($B$2),16)=0,INDEX($M$2:$M$1000,(ROW()-ROW($B$2))/16+1),"")</f>
        <v/>
      </c>
    </row>
    <row r="12049" spans="14:14" x14ac:dyDescent="0.3">
      <c r="N12049" t="str" cm="1">
        <f t="array" ref="N12049">IF(MOD(ROW()-ROW($B$2),16)=0,INDEX($M$2:$M$1000,(ROW()-ROW($B$2))/16+1),"")</f>
        <v/>
      </c>
    </row>
    <row r="12050" spans="14:14" x14ac:dyDescent="0.3">
      <c r="N12050" cm="1">
        <f t="array" ref="N12050">IF(MOD(ROW()-ROW($B$2),16)=0,INDEX($M$2:$M$1000,(ROW()-ROW($B$2))/16+1),"")</f>
        <v>0</v>
      </c>
    </row>
    <row r="12051" spans="14:14" x14ac:dyDescent="0.3">
      <c r="N12051" t="str" cm="1">
        <f t="array" ref="N12051">IF(MOD(ROW()-ROW($B$2),16)=0,INDEX($M$2:$M$1000,(ROW()-ROW($B$2))/16+1),"")</f>
        <v/>
      </c>
    </row>
    <row r="12052" spans="14:14" x14ac:dyDescent="0.3">
      <c r="N12052" t="str" cm="1">
        <f t="array" ref="N12052">IF(MOD(ROW()-ROW($B$2),16)=0,INDEX($M$2:$M$1000,(ROW()-ROW($B$2))/16+1),"")</f>
        <v/>
      </c>
    </row>
    <row r="12053" spans="14:14" x14ac:dyDescent="0.3">
      <c r="N12053" t="str" cm="1">
        <f t="array" ref="N12053">IF(MOD(ROW()-ROW($B$2),16)=0,INDEX($M$2:$M$1000,(ROW()-ROW($B$2))/16+1),"")</f>
        <v/>
      </c>
    </row>
    <row r="12054" spans="14:14" x14ac:dyDescent="0.3">
      <c r="N12054" t="str" cm="1">
        <f t="array" ref="N12054">IF(MOD(ROW()-ROW($B$2),16)=0,INDEX($M$2:$M$1000,(ROW()-ROW($B$2))/16+1),"")</f>
        <v/>
      </c>
    </row>
    <row r="12055" spans="14:14" x14ac:dyDescent="0.3">
      <c r="N12055" t="str" cm="1">
        <f t="array" ref="N12055">IF(MOD(ROW()-ROW($B$2),16)=0,INDEX($M$2:$M$1000,(ROW()-ROW($B$2))/16+1),"")</f>
        <v/>
      </c>
    </row>
    <row r="12056" spans="14:14" x14ac:dyDescent="0.3">
      <c r="N12056" t="str" cm="1">
        <f t="array" ref="N12056">IF(MOD(ROW()-ROW($B$2),16)=0,INDEX($M$2:$M$1000,(ROW()-ROW($B$2))/16+1),"")</f>
        <v/>
      </c>
    </row>
    <row r="12057" spans="14:14" x14ac:dyDescent="0.3">
      <c r="N12057" t="str" cm="1">
        <f t="array" ref="N12057">IF(MOD(ROW()-ROW($B$2),16)=0,INDEX($M$2:$M$1000,(ROW()-ROW($B$2))/16+1),"")</f>
        <v/>
      </c>
    </row>
    <row r="12058" spans="14:14" x14ac:dyDescent="0.3">
      <c r="N12058" t="str" cm="1">
        <f t="array" ref="N12058">IF(MOD(ROW()-ROW($B$2),16)=0,INDEX($M$2:$M$1000,(ROW()-ROW($B$2))/16+1),"")</f>
        <v/>
      </c>
    </row>
    <row r="12059" spans="14:14" x14ac:dyDescent="0.3">
      <c r="N12059" t="str" cm="1">
        <f t="array" ref="N12059">IF(MOD(ROW()-ROW($B$2),16)=0,INDEX($M$2:$M$1000,(ROW()-ROW($B$2))/16+1),"")</f>
        <v/>
      </c>
    </row>
    <row r="12060" spans="14:14" x14ac:dyDescent="0.3">
      <c r="N12060" t="str" cm="1">
        <f t="array" ref="N12060">IF(MOD(ROW()-ROW($B$2),16)=0,INDEX($M$2:$M$1000,(ROW()-ROW($B$2))/16+1),"")</f>
        <v/>
      </c>
    </row>
    <row r="12061" spans="14:14" x14ac:dyDescent="0.3">
      <c r="N12061" t="str" cm="1">
        <f t="array" ref="N12061">IF(MOD(ROW()-ROW($B$2),16)=0,INDEX($M$2:$M$1000,(ROW()-ROW($B$2))/16+1),"")</f>
        <v/>
      </c>
    </row>
    <row r="12062" spans="14:14" x14ac:dyDescent="0.3">
      <c r="N12062" t="str" cm="1">
        <f t="array" ref="N12062">IF(MOD(ROW()-ROW($B$2),16)=0,INDEX($M$2:$M$1000,(ROW()-ROW($B$2))/16+1),"")</f>
        <v/>
      </c>
    </row>
    <row r="12063" spans="14:14" x14ac:dyDescent="0.3">
      <c r="N12063" t="str" cm="1">
        <f t="array" ref="N12063">IF(MOD(ROW()-ROW($B$2),16)=0,INDEX($M$2:$M$1000,(ROW()-ROW($B$2))/16+1),"")</f>
        <v/>
      </c>
    </row>
    <row r="12064" spans="14:14" x14ac:dyDescent="0.3">
      <c r="N12064" t="str" cm="1">
        <f t="array" ref="N12064">IF(MOD(ROW()-ROW($B$2),16)=0,INDEX($M$2:$M$1000,(ROW()-ROW($B$2))/16+1),"")</f>
        <v/>
      </c>
    </row>
    <row r="12065" spans="14:14" x14ac:dyDescent="0.3">
      <c r="N12065" t="str" cm="1">
        <f t="array" ref="N12065">IF(MOD(ROW()-ROW($B$2),16)=0,INDEX($M$2:$M$1000,(ROW()-ROW($B$2))/16+1),"")</f>
        <v/>
      </c>
    </row>
    <row r="12066" spans="14:14" x14ac:dyDescent="0.3">
      <c r="N12066" cm="1">
        <f t="array" ref="N12066">IF(MOD(ROW()-ROW($B$2),16)=0,INDEX($M$2:$M$1000,(ROW()-ROW($B$2))/16+1),"")</f>
        <v>0</v>
      </c>
    </row>
    <row r="12067" spans="14:14" x14ac:dyDescent="0.3">
      <c r="N12067" t="str" cm="1">
        <f t="array" ref="N12067">IF(MOD(ROW()-ROW($B$2),16)=0,INDEX($M$2:$M$1000,(ROW()-ROW($B$2))/16+1),"")</f>
        <v/>
      </c>
    </row>
    <row r="12068" spans="14:14" x14ac:dyDescent="0.3">
      <c r="N12068" t="str" cm="1">
        <f t="array" ref="N12068">IF(MOD(ROW()-ROW($B$2),16)=0,INDEX($M$2:$M$1000,(ROW()-ROW($B$2))/16+1),"")</f>
        <v/>
      </c>
    </row>
    <row r="12069" spans="14:14" x14ac:dyDescent="0.3">
      <c r="N12069" t="str" cm="1">
        <f t="array" ref="N12069">IF(MOD(ROW()-ROW($B$2),16)=0,INDEX($M$2:$M$1000,(ROW()-ROW($B$2))/16+1),"")</f>
        <v/>
      </c>
    </row>
    <row r="12070" spans="14:14" x14ac:dyDescent="0.3">
      <c r="N12070" t="str" cm="1">
        <f t="array" ref="N12070">IF(MOD(ROW()-ROW($B$2),16)=0,INDEX($M$2:$M$1000,(ROW()-ROW($B$2))/16+1),"")</f>
        <v/>
      </c>
    </row>
    <row r="12071" spans="14:14" x14ac:dyDescent="0.3">
      <c r="N12071" t="str" cm="1">
        <f t="array" ref="N12071">IF(MOD(ROW()-ROW($B$2),16)=0,INDEX($M$2:$M$1000,(ROW()-ROW($B$2))/16+1),"")</f>
        <v/>
      </c>
    </row>
    <row r="12072" spans="14:14" x14ac:dyDescent="0.3">
      <c r="N12072" t="str" cm="1">
        <f t="array" ref="N12072">IF(MOD(ROW()-ROW($B$2),16)=0,INDEX($M$2:$M$1000,(ROW()-ROW($B$2))/16+1),"")</f>
        <v/>
      </c>
    </row>
    <row r="12073" spans="14:14" x14ac:dyDescent="0.3">
      <c r="N12073" t="str" cm="1">
        <f t="array" ref="N12073">IF(MOD(ROW()-ROW($B$2),16)=0,INDEX($M$2:$M$1000,(ROW()-ROW($B$2))/16+1),"")</f>
        <v/>
      </c>
    </row>
    <row r="12074" spans="14:14" x14ac:dyDescent="0.3">
      <c r="N12074" t="str" cm="1">
        <f t="array" ref="N12074">IF(MOD(ROW()-ROW($B$2),16)=0,INDEX($M$2:$M$1000,(ROW()-ROW($B$2))/16+1),"")</f>
        <v/>
      </c>
    </row>
    <row r="12075" spans="14:14" x14ac:dyDescent="0.3">
      <c r="N12075" t="str" cm="1">
        <f t="array" ref="N12075">IF(MOD(ROW()-ROW($B$2),16)=0,INDEX($M$2:$M$1000,(ROW()-ROW($B$2))/16+1),"")</f>
        <v/>
      </c>
    </row>
    <row r="12076" spans="14:14" x14ac:dyDescent="0.3">
      <c r="N12076" t="str" cm="1">
        <f t="array" ref="N12076">IF(MOD(ROW()-ROW($B$2),16)=0,INDEX($M$2:$M$1000,(ROW()-ROW($B$2))/16+1),"")</f>
        <v/>
      </c>
    </row>
    <row r="12077" spans="14:14" x14ac:dyDescent="0.3">
      <c r="N12077" t="str" cm="1">
        <f t="array" ref="N12077">IF(MOD(ROW()-ROW($B$2),16)=0,INDEX($M$2:$M$1000,(ROW()-ROW($B$2))/16+1),"")</f>
        <v/>
      </c>
    </row>
    <row r="12078" spans="14:14" x14ac:dyDescent="0.3">
      <c r="N12078" t="str" cm="1">
        <f t="array" ref="N12078">IF(MOD(ROW()-ROW($B$2),16)=0,INDEX($M$2:$M$1000,(ROW()-ROW($B$2))/16+1),"")</f>
        <v/>
      </c>
    </row>
    <row r="12079" spans="14:14" x14ac:dyDescent="0.3">
      <c r="N12079" t="str" cm="1">
        <f t="array" ref="N12079">IF(MOD(ROW()-ROW($B$2),16)=0,INDEX($M$2:$M$1000,(ROW()-ROW($B$2))/16+1),"")</f>
        <v/>
      </c>
    </row>
    <row r="12080" spans="14:14" x14ac:dyDescent="0.3">
      <c r="N12080" t="str" cm="1">
        <f t="array" ref="N12080">IF(MOD(ROW()-ROW($B$2),16)=0,INDEX($M$2:$M$1000,(ROW()-ROW($B$2))/16+1),"")</f>
        <v/>
      </c>
    </row>
    <row r="12081" spans="14:14" x14ac:dyDescent="0.3">
      <c r="N12081" t="str" cm="1">
        <f t="array" ref="N12081">IF(MOD(ROW()-ROW($B$2),16)=0,INDEX($M$2:$M$1000,(ROW()-ROW($B$2))/16+1),"")</f>
        <v/>
      </c>
    </row>
    <row r="12082" spans="14:14" x14ac:dyDescent="0.3">
      <c r="N12082" cm="1">
        <f t="array" ref="N12082">IF(MOD(ROW()-ROW($B$2),16)=0,INDEX($M$2:$M$1000,(ROW()-ROW($B$2))/16+1),"")</f>
        <v>0</v>
      </c>
    </row>
    <row r="12083" spans="14:14" x14ac:dyDescent="0.3">
      <c r="N12083" t="str" cm="1">
        <f t="array" ref="N12083">IF(MOD(ROW()-ROW($B$2),16)=0,INDEX($M$2:$M$1000,(ROW()-ROW($B$2))/16+1),"")</f>
        <v/>
      </c>
    </row>
    <row r="12084" spans="14:14" x14ac:dyDescent="0.3">
      <c r="N12084" t="str" cm="1">
        <f t="array" ref="N12084">IF(MOD(ROW()-ROW($B$2),16)=0,INDEX($M$2:$M$1000,(ROW()-ROW($B$2))/16+1),"")</f>
        <v/>
      </c>
    </row>
    <row r="12085" spans="14:14" x14ac:dyDescent="0.3">
      <c r="N12085" t="str" cm="1">
        <f t="array" ref="N12085">IF(MOD(ROW()-ROW($B$2),16)=0,INDEX($M$2:$M$1000,(ROW()-ROW($B$2))/16+1),"")</f>
        <v/>
      </c>
    </row>
    <row r="12086" spans="14:14" x14ac:dyDescent="0.3">
      <c r="N12086" t="str" cm="1">
        <f t="array" ref="N12086">IF(MOD(ROW()-ROW($B$2),16)=0,INDEX($M$2:$M$1000,(ROW()-ROW($B$2))/16+1),"")</f>
        <v/>
      </c>
    </row>
    <row r="12087" spans="14:14" x14ac:dyDescent="0.3">
      <c r="N12087" t="str" cm="1">
        <f t="array" ref="N12087">IF(MOD(ROW()-ROW($B$2),16)=0,INDEX($M$2:$M$1000,(ROW()-ROW($B$2))/16+1),"")</f>
        <v/>
      </c>
    </row>
    <row r="12088" spans="14:14" x14ac:dyDescent="0.3">
      <c r="N12088" t="str" cm="1">
        <f t="array" ref="N12088">IF(MOD(ROW()-ROW($B$2),16)=0,INDEX($M$2:$M$1000,(ROW()-ROW($B$2))/16+1),"")</f>
        <v/>
      </c>
    </row>
    <row r="12089" spans="14:14" x14ac:dyDescent="0.3">
      <c r="N12089" t="str" cm="1">
        <f t="array" ref="N12089">IF(MOD(ROW()-ROW($B$2),16)=0,INDEX($M$2:$M$1000,(ROW()-ROW($B$2))/16+1),"")</f>
        <v/>
      </c>
    </row>
    <row r="12090" spans="14:14" x14ac:dyDescent="0.3">
      <c r="N12090" t="str" cm="1">
        <f t="array" ref="N12090">IF(MOD(ROW()-ROW($B$2),16)=0,INDEX($M$2:$M$1000,(ROW()-ROW($B$2))/16+1),"")</f>
        <v/>
      </c>
    </row>
    <row r="12091" spans="14:14" x14ac:dyDescent="0.3">
      <c r="N12091" t="str" cm="1">
        <f t="array" ref="N12091">IF(MOD(ROW()-ROW($B$2),16)=0,INDEX($M$2:$M$1000,(ROW()-ROW($B$2))/16+1),"")</f>
        <v/>
      </c>
    </row>
    <row r="12092" spans="14:14" x14ac:dyDescent="0.3">
      <c r="N12092" t="str" cm="1">
        <f t="array" ref="N12092">IF(MOD(ROW()-ROW($B$2),16)=0,INDEX($M$2:$M$1000,(ROW()-ROW($B$2))/16+1),"")</f>
        <v/>
      </c>
    </row>
    <row r="12093" spans="14:14" x14ac:dyDescent="0.3">
      <c r="N12093" t="str" cm="1">
        <f t="array" ref="N12093">IF(MOD(ROW()-ROW($B$2),16)=0,INDEX($M$2:$M$1000,(ROW()-ROW($B$2))/16+1),"")</f>
        <v/>
      </c>
    </row>
    <row r="12094" spans="14:14" x14ac:dyDescent="0.3">
      <c r="N12094" t="str" cm="1">
        <f t="array" ref="N12094">IF(MOD(ROW()-ROW($B$2),16)=0,INDEX($M$2:$M$1000,(ROW()-ROW($B$2))/16+1),"")</f>
        <v/>
      </c>
    </row>
    <row r="12095" spans="14:14" x14ac:dyDescent="0.3">
      <c r="N12095" t="str" cm="1">
        <f t="array" ref="N12095">IF(MOD(ROW()-ROW($B$2),16)=0,INDEX($M$2:$M$1000,(ROW()-ROW($B$2))/16+1),"")</f>
        <v/>
      </c>
    </row>
    <row r="12096" spans="14:14" x14ac:dyDescent="0.3">
      <c r="N12096" t="str" cm="1">
        <f t="array" ref="N12096">IF(MOD(ROW()-ROW($B$2),16)=0,INDEX($M$2:$M$1000,(ROW()-ROW($B$2))/16+1),"")</f>
        <v/>
      </c>
    </row>
    <row r="12097" spans="14:14" x14ac:dyDescent="0.3">
      <c r="N12097" t="str" cm="1">
        <f t="array" ref="N12097">IF(MOD(ROW()-ROW($B$2),16)=0,INDEX($M$2:$M$1000,(ROW()-ROW($B$2))/16+1),"")</f>
        <v/>
      </c>
    </row>
    <row r="12098" spans="14:14" x14ac:dyDescent="0.3">
      <c r="N12098" cm="1">
        <f t="array" ref="N12098">IF(MOD(ROW()-ROW($B$2),16)=0,INDEX($M$2:$M$1000,(ROW()-ROW($B$2))/16+1),"")</f>
        <v>0</v>
      </c>
    </row>
    <row r="12099" spans="14:14" x14ac:dyDescent="0.3">
      <c r="N12099" t="str" cm="1">
        <f t="array" ref="N12099">IF(MOD(ROW()-ROW($B$2),16)=0,INDEX($M$2:$M$1000,(ROW()-ROW($B$2))/16+1),"")</f>
        <v/>
      </c>
    </row>
    <row r="12100" spans="14:14" x14ac:dyDescent="0.3">
      <c r="N12100" t="str" cm="1">
        <f t="array" ref="N12100">IF(MOD(ROW()-ROW($B$2),16)=0,INDEX($M$2:$M$1000,(ROW()-ROW($B$2))/16+1),"")</f>
        <v/>
      </c>
    </row>
    <row r="12101" spans="14:14" x14ac:dyDescent="0.3">
      <c r="N12101" t="str" cm="1">
        <f t="array" ref="N12101">IF(MOD(ROW()-ROW($B$2),16)=0,INDEX($M$2:$M$1000,(ROW()-ROW($B$2))/16+1),"")</f>
        <v/>
      </c>
    </row>
    <row r="12102" spans="14:14" x14ac:dyDescent="0.3">
      <c r="N12102" t="str" cm="1">
        <f t="array" ref="N12102">IF(MOD(ROW()-ROW($B$2),16)=0,INDEX($M$2:$M$1000,(ROW()-ROW($B$2))/16+1),"")</f>
        <v/>
      </c>
    </row>
    <row r="12103" spans="14:14" x14ac:dyDescent="0.3">
      <c r="N12103" t="str" cm="1">
        <f t="array" ref="N12103">IF(MOD(ROW()-ROW($B$2),16)=0,INDEX($M$2:$M$1000,(ROW()-ROW($B$2))/16+1),"")</f>
        <v/>
      </c>
    </row>
    <row r="12104" spans="14:14" x14ac:dyDescent="0.3">
      <c r="N12104" t="str" cm="1">
        <f t="array" ref="N12104">IF(MOD(ROW()-ROW($B$2),16)=0,INDEX($M$2:$M$1000,(ROW()-ROW($B$2))/16+1),"")</f>
        <v/>
      </c>
    </row>
    <row r="12105" spans="14:14" x14ac:dyDescent="0.3">
      <c r="N12105" t="str" cm="1">
        <f t="array" ref="N12105">IF(MOD(ROW()-ROW($B$2),16)=0,INDEX($M$2:$M$1000,(ROW()-ROW($B$2))/16+1),"")</f>
        <v/>
      </c>
    </row>
    <row r="12106" spans="14:14" x14ac:dyDescent="0.3">
      <c r="N12106" t="str" cm="1">
        <f t="array" ref="N12106">IF(MOD(ROW()-ROW($B$2),16)=0,INDEX($M$2:$M$1000,(ROW()-ROW($B$2))/16+1),"")</f>
        <v/>
      </c>
    </row>
    <row r="12107" spans="14:14" x14ac:dyDescent="0.3">
      <c r="N12107" t="str" cm="1">
        <f t="array" ref="N12107">IF(MOD(ROW()-ROW($B$2),16)=0,INDEX($M$2:$M$1000,(ROW()-ROW($B$2))/16+1),"")</f>
        <v/>
      </c>
    </row>
    <row r="12108" spans="14:14" x14ac:dyDescent="0.3">
      <c r="N12108" t="str" cm="1">
        <f t="array" ref="N12108">IF(MOD(ROW()-ROW($B$2),16)=0,INDEX($M$2:$M$1000,(ROW()-ROW($B$2))/16+1),"")</f>
        <v/>
      </c>
    </row>
    <row r="12109" spans="14:14" x14ac:dyDescent="0.3">
      <c r="N12109" t="str" cm="1">
        <f t="array" ref="N12109">IF(MOD(ROW()-ROW($B$2),16)=0,INDEX($M$2:$M$1000,(ROW()-ROW($B$2))/16+1),"")</f>
        <v/>
      </c>
    </row>
    <row r="12110" spans="14:14" x14ac:dyDescent="0.3">
      <c r="N12110" t="str" cm="1">
        <f t="array" ref="N12110">IF(MOD(ROW()-ROW($B$2),16)=0,INDEX($M$2:$M$1000,(ROW()-ROW($B$2))/16+1),"")</f>
        <v/>
      </c>
    </row>
    <row r="12111" spans="14:14" x14ac:dyDescent="0.3">
      <c r="N12111" t="str" cm="1">
        <f t="array" ref="N12111">IF(MOD(ROW()-ROW($B$2),16)=0,INDEX($M$2:$M$1000,(ROW()-ROW($B$2))/16+1),"")</f>
        <v/>
      </c>
    </row>
    <row r="12112" spans="14:14" x14ac:dyDescent="0.3">
      <c r="N12112" t="str" cm="1">
        <f t="array" ref="N12112">IF(MOD(ROW()-ROW($B$2),16)=0,INDEX($M$2:$M$1000,(ROW()-ROW($B$2))/16+1),"")</f>
        <v/>
      </c>
    </row>
    <row r="12113" spans="14:14" x14ac:dyDescent="0.3">
      <c r="N12113" t="str" cm="1">
        <f t="array" ref="N12113">IF(MOD(ROW()-ROW($B$2),16)=0,INDEX($M$2:$M$1000,(ROW()-ROW($B$2))/16+1),"")</f>
        <v/>
      </c>
    </row>
    <row r="12114" spans="14:14" x14ac:dyDescent="0.3">
      <c r="N12114" cm="1">
        <f t="array" ref="N12114">IF(MOD(ROW()-ROW($B$2),16)=0,INDEX($M$2:$M$1000,(ROW()-ROW($B$2))/16+1),"")</f>
        <v>0</v>
      </c>
    </row>
    <row r="12115" spans="14:14" x14ac:dyDescent="0.3">
      <c r="N12115" t="str" cm="1">
        <f t="array" ref="N12115">IF(MOD(ROW()-ROW($B$2),16)=0,INDEX($M$2:$M$1000,(ROW()-ROW($B$2))/16+1),"")</f>
        <v/>
      </c>
    </row>
    <row r="12116" spans="14:14" x14ac:dyDescent="0.3">
      <c r="N12116" t="str" cm="1">
        <f t="array" ref="N12116">IF(MOD(ROW()-ROW($B$2),16)=0,INDEX($M$2:$M$1000,(ROW()-ROW($B$2))/16+1),"")</f>
        <v/>
      </c>
    </row>
    <row r="12117" spans="14:14" x14ac:dyDescent="0.3">
      <c r="N12117" t="str" cm="1">
        <f t="array" ref="N12117">IF(MOD(ROW()-ROW($B$2),16)=0,INDEX($M$2:$M$1000,(ROW()-ROW($B$2))/16+1),"")</f>
        <v/>
      </c>
    </row>
    <row r="12118" spans="14:14" x14ac:dyDescent="0.3">
      <c r="N12118" t="str" cm="1">
        <f t="array" ref="N12118">IF(MOD(ROW()-ROW($B$2),16)=0,INDEX($M$2:$M$1000,(ROW()-ROW($B$2))/16+1),"")</f>
        <v/>
      </c>
    </row>
    <row r="12119" spans="14:14" x14ac:dyDescent="0.3">
      <c r="N12119" t="str" cm="1">
        <f t="array" ref="N12119">IF(MOD(ROW()-ROW($B$2),16)=0,INDEX($M$2:$M$1000,(ROW()-ROW($B$2))/16+1),"")</f>
        <v/>
      </c>
    </row>
    <row r="12120" spans="14:14" x14ac:dyDescent="0.3">
      <c r="N12120" t="str" cm="1">
        <f t="array" ref="N12120">IF(MOD(ROW()-ROW($B$2),16)=0,INDEX($M$2:$M$1000,(ROW()-ROW($B$2))/16+1),"")</f>
        <v/>
      </c>
    </row>
    <row r="12121" spans="14:14" x14ac:dyDescent="0.3">
      <c r="N12121" t="str" cm="1">
        <f t="array" ref="N12121">IF(MOD(ROW()-ROW($B$2),16)=0,INDEX($M$2:$M$1000,(ROW()-ROW($B$2))/16+1),"")</f>
        <v/>
      </c>
    </row>
    <row r="12122" spans="14:14" x14ac:dyDescent="0.3">
      <c r="N12122" t="str" cm="1">
        <f t="array" ref="N12122">IF(MOD(ROW()-ROW($B$2),16)=0,INDEX($M$2:$M$1000,(ROW()-ROW($B$2))/16+1),"")</f>
        <v/>
      </c>
    </row>
    <row r="12123" spans="14:14" x14ac:dyDescent="0.3">
      <c r="N12123" t="str" cm="1">
        <f t="array" ref="N12123">IF(MOD(ROW()-ROW($B$2),16)=0,INDEX($M$2:$M$1000,(ROW()-ROW($B$2))/16+1),"")</f>
        <v/>
      </c>
    </row>
    <row r="12124" spans="14:14" x14ac:dyDescent="0.3">
      <c r="N12124" t="str" cm="1">
        <f t="array" ref="N12124">IF(MOD(ROW()-ROW($B$2),16)=0,INDEX($M$2:$M$1000,(ROW()-ROW($B$2))/16+1),"")</f>
        <v/>
      </c>
    </row>
    <row r="12125" spans="14:14" x14ac:dyDescent="0.3">
      <c r="N12125" t="str" cm="1">
        <f t="array" ref="N12125">IF(MOD(ROW()-ROW($B$2),16)=0,INDEX($M$2:$M$1000,(ROW()-ROW($B$2))/16+1),"")</f>
        <v/>
      </c>
    </row>
    <row r="12126" spans="14:14" x14ac:dyDescent="0.3">
      <c r="N12126" t="str" cm="1">
        <f t="array" ref="N12126">IF(MOD(ROW()-ROW($B$2),16)=0,INDEX($M$2:$M$1000,(ROW()-ROW($B$2))/16+1),"")</f>
        <v/>
      </c>
    </row>
    <row r="12127" spans="14:14" x14ac:dyDescent="0.3">
      <c r="N12127" t="str" cm="1">
        <f t="array" ref="N12127">IF(MOD(ROW()-ROW($B$2),16)=0,INDEX($M$2:$M$1000,(ROW()-ROW($B$2))/16+1),"")</f>
        <v/>
      </c>
    </row>
    <row r="12128" spans="14:14" x14ac:dyDescent="0.3">
      <c r="N12128" t="str" cm="1">
        <f t="array" ref="N12128">IF(MOD(ROW()-ROW($B$2),16)=0,INDEX($M$2:$M$1000,(ROW()-ROW($B$2))/16+1),"")</f>
        <v/>
      </c>
    </row>
    <row r="12129" spans="14:14" x14ac:dyDescent="0.3">
      <c r="N12129" t="str" cm="1">
        <f t="array" ref="N12129">IF(MOD(ROW()-ROW($B$2),16)=0,INDEX($M$2:$M$1000,(ROW()-ROW($B$2))/16+1),"")</f>
        <v/>
      </c>
    </row>
    <row r="12130" spans="14:14" x14ac:dyDescent="0.3">
      <c r="N12130" cm="1">
        <f t="array" ref="N12130">IF(MOD(ROW()-ROW($B$2),16)=0,INDEX($M$2:$M$1000,(ROW()-ROW($B$2))/16+1),"")</f>
        <v>0</v>
      </c>
    </row>
    <row r="12131" spans="14:14" x14ac:dyDescent="0.3">
      <c r="N12131" t="str" cm="1">
        <f t="array" ref="N12131">IF(MOD(ROW()-ROW($B$2),16)=0,INDEX($M$2:$M$1000,(ROW()-ROW($B$2))/16+1),"")</f>
        <v/>
      </c>
    </row>
    <row r="12132" spans="14:14" x14ac:dyDescent="0.3">
      <c r="N12132" t="str" cm="1">
        <f t="array" ref="N12132">IF(MOD(ROW()-ROW($B$2),16)=0,INDEX($M$2:$M$1000,(ROW()-ROW($B$2))/16+1),"")</f>
        <v/>
      </c>
    </row>
    <row r="12133" spans="14:14" x14ac:dyDescent="0.3">
      <c r="N12133" t="str" cm="1">
        <f t="array" ref="N12133">IF(MOD(ROW()-ROW($B$2),16)=0,INDEX($M$2:$M$1000,(ROW()-ROW($B$2))/16+1),"")</f>
        <v/>
      </c>
    </row>
    <row r="12134" spans="14:14" x14ac:dyDescent="0.3">
      <c r="N12134" t="str" cm="1">
        <f t="array" ref="N12134">IF(MOD(ROW()-ROW($B$2),16)=0,INDEX($M$2:$M$1000,(ROW()-ROW($B$2))/16+1),"")</f>
        <v/>
      </c>
    </row>
    <row r="12135" spans="14:14" x14ac:dyDescent="0.3">
      <c r="N12135" t="str" cm="1">
        <f t="array" ref="N12135">IF(MOD(ROW()-ROW($B$2),16)=0,INDEX($M$2:$M$1000,(ROW()-ROW($B$2))/16+1),"")</f>
        <v/>
      </c>
    </row>
    <row r="12136" spans="14:14" x14ac:dyDescent="0.3">
      <c r="N12136" t="str" cm="1">
        <f t="array" ref="N12136">IF(MOD(ROW()-ROW($B$2),16)=0,INDEX($M$2:$M$1000,(ROW()-ROW($B$2))/16+1),"")</f>
        <v/>
      </c>
    </row>
    <row r="12137" spans="14:14" x14ac:dyDescent="0.3">
      <c r="N12137" t="str" cm="1">
        <f t="array" ref="N12137">IF(MOD(ROW()-ROW($B$2),16)=0,INDEX($M$2:$M$1000,(ROW()-ROW($B$2))/16+1),"")</f>
        <v/>
      </c>
    </row>
    <row r="12138" spans="14:14" x14ac:dyDescent="0.3">
      <c r="N12138" t="str" cm="1">
        <f t="array" ref="N12138">IF(MOD(ROW()-ROW($B$2),16)=0,INDEX($M$2:$M$1000,(ROW()-ROW($B$2))/16+1),"")</f>
        <v/>
      </c>
    </row>
    <row r="12139" spans="14:14" x14ac:dyDescent="0.3">
      <c r="N12139" t="str" cm="1">
        <f t="array" ref="N12139">IF(MOD(ROW()-ROW($B$2),16)=0,INDEX($M$2:$M$1000,(ROW()-ROW($B$2))/16+1),"")</f>
        <v/>
      </c>
    </row>
    <row r="12140" spans="14:14" x14ac:dyDescent="0.3">
      <c r="N12140" t="str" cm="1">
        <f t="array" ref="N12140">IF(MOD(ROW()-ROW($B$2),16)=0,INDEX($M$2:$M$1000,(ROW()-ROW($B$2))/16+1),"")</f>
        <v/>
      </c>
    </row>
    <row r="12141" spans="14:14" x14ac:dyDescent="0.3">
      <c r="N12141" t="str" cm="1">
        <f t="array" ref="N12141">IF(MOD(ROW()-ROW($B$2),16)=0,INDEX($M$2:$M$1000,(ROW()-ROW($B$2))/16+1),"")</f>
        <v/>
      </c>
    </row>
    <row r="12142" spans="14:14" x14ac:dyDescent="0.3">
      <c r="N12142" t="str" cm="1">
        <f t="array" ref="N12142">IF(MOD(ROW()-ROW($B$2),16)=0,INDEX($M$2:$M$1000,(ROW()-ROW($B$2))/16+1),"")</f>
        <v/>
      </c>
    </row>
    <row r="12143" spans="14:14" x14ac:dyDescent="0.3">
      <c r="N12143" t="str" cm="1">
        <f t="array" ref="N12143">IF(MOD(ROW()-ROW($B$2),16)=0,INDEX($M$2:$M$1000,(ROW()-ROW($B$2))/16+1),"")</f>
        <v/>
      </c>
    </row>
    <row r="12144" spans="14:14" x14ac:dyDescent="0.3">
      <c r="N12144" t="str" cm="1">
        <f t="array" ref="N12144">IF(MOD(ROW()-ROW($B$2),16)=0,INDEX($M$2:$M$1000,(ROW()-ROW($B$2))/16+1),"")</f>
        <v/>
      </c>
    </row>
    <row r="12145" spans="14:14" x14ac:dyDescent="0.3">
      <c r="N12145" t="str" cm="1">
        <f t="array" ref="N12145">IF(MOD(ROW()-ROW($B$2),16)=0,INDEX($M$2:$M$1000,(ROW()-ROW($B$2))/16+1),"")</f>
        <v/>
      </c>
    </row>
    <row r="12146" spans="14:14" x14ac:dyDescent="0.3">
      <c r="N12146" cm="1">
        <f t="array" ref="N12146">IF(MOD(ROW()-ROW($B$2),16)=0,INDEX($M$2:$M$1000,(ROW()-ROW($B$2))/16+1),"")</f>
        <v>0</v>
      </c>
    </row>
    <row r="12147" spans="14:14" x14ac:dyDescent="0.3">
      <c r="N12147" t="str" cm="1">
        <f t="array" ref="N12147">IF(MOD(ROW()-ROW($B$2),16)=0,INDEX($M$2:$M$1000,(ROW()-ROW($B$2))/16+1),"")</f>
        <v/>
      </c>
    </row>
    <row r="12148" spans="14:14" x14ac:dyDescent="0.3">
      <c r="N12148" t="str" cm="1">
        <f t="array" ref="N12148">IF(MOD(ROW()-ROW($B$2),16)=0,INDEX($M$2:$M$1000,(ROW()-ROW($B$2))/16+1),"")</f>
        <v/>
      </c>
    </row>
    <row r="12149" spans="14:14" x14ac:dyDescent="0.3">
      <c r="N12149" t="str" cm="1">
        <f t="array" ref="N12149">IF(MOD(ROW()-ROW($B$2),16)=0,INDEX($M$2:$M$1000,(ROW()-ROW($B$2))/16+1),"")</f>
        <v/>
      </c>
    </row>
    <row r="12150" spans="14:14" x14ac:dyDescent="0.3">
      <c r="N12150" t="str" cm="1">
        <f t="array" ref="N12150">IF(MOD(ROW()-ROW($B$2),16)=0,INDEX($M$2:$M$1000,(ROW()-ROW($B$2))/16+1),"")</f>
        <v/>
      </c>
    </row>
    <row r="12151" spans="14:14" x14ac:dyDescent="0.3">
      <c r="N12151" t="str" cm="1">
        <f t="array" ref="N12151">IF(MOD(ROW()-ROW($B$2),16)=0,INDEX($M$2:$M$1000,(ROW()-ROW($B$2))/16+1),"")</f>
        <v/>
      </c>
    </row>
    <row r="12152" spans="14:14" x14ac:dyDescent="0.3">
      <c r="N12152" t="str" cm="1">
        <f t="array" ref="N12152">IF(MOD(ROW()-ROW($B$2),16)=0,INDEX($M$2:$M$1000,(ROW()-ROW($B$2))/16+1),"")</f>
        <v/>
      </c>
    </row>
    <row r="12153" spans="14:14" x14ac:dyDescent="0.3">
      <c r="N12153" t="str" cm="1">
        <f t="array" ref="N12153">IF(MOD(ROW()-ROW($B$2),16)=0,INDEX($M$2:$M$1000,(ROW()-ROW($B$2))/16+1),"")</f>
        <v/>
      </c>
    </row>
    <row r="12154" spans="14:14" x14ac:dyDescent="0.3">
      <c r="N12154" t="str" cm="1">
        <f t="array" ref="N12154">IF(MOD(ROW()-ROW($B$2),16)=0,INDEX($M$2:$M$1000,(ROW()-ROW($B$2))/16+1),"")</f>
        <v/>
      </c>
    </row>
    <row r="12155" spans="14:14" x14ac:dyDescent="0.3">
      <c r="N12155" t="str" cm="1">
        <f t="array" ref="N12155">IF(MOD(ROW()-ROW($B$2),16)=0,INDEX($M$2:$M$1000,(ROW()-ROW($B$2))/16+1),"")</f>
        <v/>
      </c>
    </row>
    <row r="12156" spans="14:14" x14ac:dyDescent="0.3">
      <c r="N12156" t="str" cm="1">
        <f t="array" ref="N12156">IF(MOD(ROW()-ROW($B$2),16)=0,INDEX($M$2:$M$1000,(ROW()-ROW($B$2))/16+1),"")</f>
        <v/>
      </c>
    </row>
    <row r="12157" spans="14:14" x14ac:dyDescent="0.3">
      <c r="N12157" t="str" cm="1">
        <f t="array" ref="N12157">IF(MOD(ROW()-ROW($B$2),16)=0,INDEX($M$2:$M$1000,(ROW()-ROW($B$2))/16+1),"")</f>
        <v/>
      </c>
    </row>
    <row r="12158" spans="14:14" x14ac:dyDescent="0.3">
      <c r="N12158" t="str" cm="1">
        <f t="array" ref="N12158">IF(MOD(ROW()-ROW($B$2),16)=0,INDEX($M$2:$M$1000,(ROW()-ROW($B$2))/16+1),"")</f>
        <v/>
      </c>
    </row>
    <row r="12159" spans="14:14" x14ac:dyDescent="0.3">
      <c r="N12159" t="str" cm="1">
        <f t="array" ref="N12159">IF(MOD(ROW()-ROW($B$2),16)=0,INDEX($M$2:$M$1000,(ROW()-ROW($B$2))/16+1),"")</f>
        <v/>
      </c>
    </row>
    <row r="12160" spans="14:14" x14ac:dyDescent="0.3">
      <c r="N12160" t="str" cm="1">
        <f t="array" ref="N12160">IF(MOD(ROW()-ROW($B$2),16)=0,INDEX($M$2:$M$1000,(ROW()-ROW($B$2))/16+1),"")</f>
        <v/>
      </c>
    </row>
    <row r="12161" spans="14:14" x14ac:dyDescent="0.3">
      <c r="N12161" t="str" cm="1">
        <f t="array" ref="N12161">IF(MOD(ROW()-ROW($B$2),16)=0,INDEX($M$2:$M$1000,(ROW()-ROW($B$2))/16+1),"")</f>
        <v/>
      </c>
    </row>
    <row r="12162" spans="14:14" x14ac:dyDescent="0.3">
      <c r="N12162" cm="1">
        <f t="array" ref="N12162">IF(MOD(ROW()-ROW($B$2),16)=0,INDEX($M$2:$M$1000,(ROW()-ROW($B$2))/16+1),"")</f>
        <v>0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IO ПЛК</vt:lpstr>
      <vt:lpstr>Fieldbus Робот</vt:lpstr>
      <vt:lpstr>Recipe Data</vt:lpstr>
      <vt:lpstr>System Error List</vt:lpstr>
      <vt:lpstr>Robot Error 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Bogachev</dc:creator>
  <cp:lastModifiedBy>Dmitrii Bogachev</cp:lastModifiedBy>
  <dcterms:created xsi:type="dcterms:W3CDTF">2026-02-11T14:23:31Z</dcterms:created>
  <dcterms:modified xsi:type="dcterms:W3CDTF">2026-09-06T20:55:13Z</dcterms:modified>
</cp:coreProperties>
</file>