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AA87A445-B61D-4490-8F27-FF840CA6F0E1}" xr6:coauthVersionLast="47" xr6:coauthVersionMax="47" xr10:uidLastSave="{00000000-0000-0000-0000-000000000000}"/>
  <bookViews>
    <workbookView xWindow="-120" yWindow="-120" windowWidth="29040" windowHeight="15720" activeTab="1" xr2:uid="{0F8F6BBE-EBD7-4FEB-A239-792B86B6C8F6}"/>
  </bookViews>
  <sheets>
    <sheet name="IO ПЛК" sheetId="1" r:id="rId1"/>
    <sheet name="Fieldbus Робот" sheetId="2" r:id="rId2"/>
    <sheet name="Task 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0" i="2" l="1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32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16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3" i="2"/>
  <c r="B448" i="2"/>
  <c r="B449" i="2"/>
  <c r="B450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323" i="2"/>
  <c r="B322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164" i="2"/>
  <c r="B163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21" i="2"/>
  <c r="B22" i="2"/>
  <c r="B23" i="2"/>
  <c r="B24" i="2"/>
  <c r="B25" i="2"/>
  <c r="B26" i="2"/>
  <c r="B27" i="2"/>
  <c r="B28" i="2"/>
  <c r="B29" i="2"/>
  <c r="B30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3" i="2"/>
</calcChain>
</file>

<file path=xl/sharedStrings.xml><?xml version="1.0" encoding="utf-8"?>
<sst xmlns="http://schemas.openxmlformats.org/spreadsheetml/2006/main" count="436" uniqueCount="372">
  <si>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</si>
  <si>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</si>
  <si>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</si>
  <si>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</si>
  <si>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</si>
  <si>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</si>
  <si>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</si>
  <si>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</si>
  <si>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</si>
  <si>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</si>
  <si>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</si>
  <si>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</si>
  <si>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</si>
  <si>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</si>
  <si>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</si>
  <si>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</si>
  <si>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</si>
  <si>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</si>
  <si>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</si>
  <si>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</si>
  <si>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</si>
  <si>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</si>
  <si>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</si>
  <si>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</si>
  <si>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</si>
  <si>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</si>
  <si>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</si>
  <si>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</si>
  <si>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</si>
  <si>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</si>
  <si>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</si>
  <si>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</si>
  <si>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</si>
  <si>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</si>
  <si>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</si>
  <si>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</si>
  <si>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</si>
  <si>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</si>
  <si>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</si>
  <si>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</si>
  <si>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</si>
  <si>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</si>
  <si>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</si>
  <si>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</si>
  <si>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</si>
  <si>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</si>
  <si>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</si>
  <si>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</si>
  <si>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</si>
  <si>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</si>
  <si>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</si>
  <si>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</si>
  <si>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</si>
  <si>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</si>
  <si>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</si>
  <si>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</si>
  <si>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</si>
  <si>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</si>
  <si>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</si>
  <si>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</si>
  <si>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</si>
  <si>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</si>
  <si>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</si>
  <si>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</si>
  <si>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</si>
  <si>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</si>
  <si>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</si>
  <si>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</si>
  <si>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</si>
  <si>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</si>
  <si>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</si>
  <si>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</si>
  <si>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</si>
  <si>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</si>
  <si>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</si>
  <si>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</si>
  <si>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</si>
  <si>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</si>
  <si>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</si>
  <si>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</si>
  <si>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</si>
  <si>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</si>
  <si>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</si>
  <si>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</si>
  <si>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</si>
  <si>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</si>
  <si>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</si>
  <si>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</si>
  <si>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</si>
  <si>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</si>
  <si>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</si>
  <si>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</si>
  <si>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</si>
  <si>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</si>
  <si>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</si>
  <si>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</si>
  <si>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</si>
  <si>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</si>
  <si>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</si>
  <si>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</si>
  <si>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</si>
  <si>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</si>
  <si>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</si>
  <si>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</si>
  <si>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</si>
  <si>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</si>
  <si>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</si>
  <si>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</si>
  <si>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</si>
  <si>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</si>
  <si>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</si>
  <si>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</si>
  <si>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</si>
  <si>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</si>
  <si>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</si>
  <si>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</si>
  <si>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</si>
  <si>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</si>
  <si>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</si>
  <si>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</si>
  <si>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</si>
  <si>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</si>
  <si>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</si>
  <si>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</si>
  <si>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</si>
  <si>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</si>
  <si>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</si>
  <si>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</si>
  <si>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</si>
  <si>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</si>
  <si>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</si>
  <si>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</si>
  <si>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</si>
  <si>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</si>
  <si>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</si>
  <si>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</si>
  <si>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</si>
  <si>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</si>
  <si>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</si>
  <si>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</si>
  <si>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</si>
  <si>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</si>
  <si>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</si>
  <si>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</si>
  <si>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</si>
  <si>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</si>
  <si>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</si>
  <si>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</si>
  <si>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</si>
  <si>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</si>
  <si>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</si>
  <si>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</si>
  <si>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</si>
  <si>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</si>
  <si>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</si>
  <si>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</si>
  <si>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</si>
  <si>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</si>
  <si>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</si>
  <si>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</si>
  <si>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</si>
  <si>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</si>
  <si>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</si>
  <si>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</si>
  <si>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</si>
  <si>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</si>
  <si>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</si>
  <si>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</si>
  <si>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</si>
  <si>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</si>
  <si>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</si>
  <si>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</si>
  <si>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</si>
  <si>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</si>
  <si>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</si>
  <si>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</si>
  <si>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</si>
  <si>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</si>
  <si>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</si>
  <si>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</si>
  <si>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</si>
  <si>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</si>
  <si>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</si>
  <si>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</si>
  <si>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</si>
  <si>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</si>
  <si>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</si>
  <si>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</si>
  <si>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</si>
  <si>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</si>
  <si>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</si>
  <si>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</si>
  <si>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</si>
  <si>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</si>
  <si>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</si>
  <si>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</si>
  <si>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</si>
  <si>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</si>
  <si>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</si>
  <si>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</si>
  <si>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</si>
  <si>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</si>
  <si>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</si>
  <si>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</si>
  <si>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</si>
  <si>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</si>
  <si>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</si>
  <si>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</si>
  <si>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</si>
  <si>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</si>
  <si>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</si>
  <si>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</si>
  <si>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</si>
  <si>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</si>
  <si>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</si>
  <si>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</si>
  <si>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</si>
  <si>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</si>
  <si>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</si>
  <si>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</si>
  <si>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</si>
  <si>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</si>
  <si>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</si>
  <si>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</si>
  <si>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</si>
  <si>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</si>
  <si>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</si>
  <si>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</si>
  <si>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</si>
  <si>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</si>
  <si>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</si>
  <si>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</si>
  <si>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</si>
  <si>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</si>
  <si>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</si>
  <si>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</si>
  <si>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</si>
  <si>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</si>
  <si>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</si>
  <si>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</si>
  <si>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</si>
  <si>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</si>
  <si>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</si>
  <si>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</si>
  <si>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</si>
  <si>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</si>
  <si>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</si>
  <si>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</si>
  <si>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</si>
  <si>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</si>
  <si>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</si>
  <si>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</si>
  <si>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</si>
  <si>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</si>
  <si>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</si>
  <si>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</si>
  <si>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</si>
  <si>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</si>
  <si>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</si>
  <si>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</si>
  <si>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</si>
  <si>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</si>
  <si>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</si>
  <si>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</si>
  <si>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</si>
  <si>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</si>
  <si>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</si>
  <si>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</si>
  <si>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</si>
  <si>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</si>
  <si>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</si>
  <si>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</si>
  <si>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</si>
  <si>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</si>
  <si>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</si>
  <si>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</si>
  <si>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</si>
  <si>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</si>
  <si>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</si>
  <si>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</si>
  <si>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</si>
  <si>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</si>
  <si>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</si>
  <si>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</si>
  <si>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</si>
  <si>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</si>
  <si>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</si>
  <si>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</si>
  <si>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</si>
  <si>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</si>
  <si>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</si>
  <si>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</si>
  <si>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</si>
  <si>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</si>
  <si>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</si>
  <si>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</si>
  <si>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</si>
  <si>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</si>
  <si>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</si>
  <si>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</si>
  <si>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</si>
  <si>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</si>
  <si>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</si>
  <si>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</si>
  <si>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</si>
  <si>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</si>
  <si>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</si>
  <si>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</si>
  <si>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</si>
  <si>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</si>
  <si>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</si>
  <si>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</si>
  <si>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</si>
  <si>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</si>
  <si>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</si>
  <si>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</si>
  <si>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</si>
  <si>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</si>
  <si>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</si>
  <si>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</si>
  <si>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</si>
  <si>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</si>
  <si>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</si>
  <si>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</si>
  <si>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</si>
  <si>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</si>
  <si>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</si>
  <si>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</si>
  <si>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</si>
  <si>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</si>
  <si>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</si>
  <si>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</si>
  <si>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</si>
  <si>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</si>
  <si>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</si>
  <si>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</si>
  <si>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</si>
  <si>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</si>
  <si>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</si>
  <si>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</si>
  <si>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</si>
  <si>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</si>
  <si>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</si>
  <si>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</si>
  <si>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</si>
  <si>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</si>
  <si>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</si>
  <si>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</si>
  <si>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</si>
  <si>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</si>
  <si>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</si>
  <si>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</si>
  <si>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</si>
  <si>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</si>
  <si>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</si>
  <si>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</si>
  <si>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</si>
  <si>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Состояние захвата 1</t>
  </si>
  <si>
    <t>Состояние захвата 2</t>
  </si>
  <si>
    <t>Состояние патрона 1</t>
  </si>
  <si>
    <t>Состояние патрона 2</t>
  </si>
  <si>
    <t>Обработано деталей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</si>
  <si>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</si>
  <si>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</si>
  <si>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</si>
  <si>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</si>
  <si>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</si>
  <si>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</si>
  <si>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</si>
  <si>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</si>
  <si>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</si>
  <si>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Данные считаны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</si>
</sst>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4" dataDxfId="43">
  <autoFilter ref="A2:D18" xr:uid="{4FB99795-03B0-4E22-9C96-6842392B5901}"/>
  <tableColumns count="4">
    <tableColumn id="1" xr3:uid="{7C2C7D8A-BD32-4120-BC88-EB134B0B60DA}" name="Физический адрес" dataDxfId="42"/>
    <tableColumn id="2" xr3:uid="{58BE04DE-C552-4F0B-8C7F-718DD4C443F7}" name="FORCE-адрес" dataDxfId="41"/>
    <tableColumn id="3" xr3:uid="{C505C174-C638-47F1-BB97-D9759397B15D}" name="Программный адрес" dataDxfId="40"/>
    <tableColumn id="4" xr3:uid="{ED8AA96B-A477-464A-A575-B0EC13A66BB1}" name="Комментарий" dataDxfId="39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8" dataDxfId="37">
  <autoFilter ref="F2:I18" xr:uid="{FA992103-97BB-4814-9335-4CEC99149701}"/>
  <tableColumns count="4">
    <tableColumn id="1" xr3:uid="{15E45CAB-51EB-4A75-90C9-CC44510A3E87}" name="Физический адрес" dataDxfId="36"/>
    <tableColumn id="2" xr3:uid="{84700D99-E881-4E94-9044-61BD4F52065D}" name="FORCE-адрес" dataDxfId="35"/>
    <tableColumn id="3" xr3:uid="{29C8761B-51E9-4932-B7ED-5626F8D910F1}" name="Программный адрес" dataDxfId="34"/>
    <tableColumn id="4" xr3:uid="{07C2B09C-9E2B-4C86-8326-BFEBEDA30C7D}" name="Комментарий" dataDxfId="33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2" dataDxfId="31">
  <autoFilter ref="A21:D37" xr:uid="{3DEB932C-F543-45DC-9FB9-1947721EC368}"/>
  <tableColumns count="4">
    <tableColumn id="1" xr3:uid="{A7DD1111-3E4E-43E7-B963-E5371285786B}" name="Физический адрес" dataDxfId="30"/>
    <tableColumn id="2" xr3:uid="{4E5A1EC3-7FCE-49BB-9C77-73886071420D}" name="FORCE-адрес" dataDxfId="29"/>
    <tableColumn id="3" xr3:uid="{0D714DBB-8CDC-4AF9-A4A1-3CF9A9D9BE08}" name="Программный адрес" dataDxfId="28"/>
    <tableColumn id="4" xr3:uid="{69F5BC8C-DEF4-48C0-9AF3-231A7A2B3763}" name="Комментарий" dataDxfId="27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6" dataDxfId="25">
  <autoFilter ref="F21:I37" xr:uid="{C15E88CC-063D-49C3-8C65-22A673E95F21}"/>
  <tableColumns count="4">
    <tableColumn id="1" xr3:uid="{483490CB-F942-4B0F-9510-D82A61FB223D}" name="Физический адрес" dataDxfId="24"/>
    <tableColumn id="2" xr3:uid="{0833CB7B-98AE-4D50-8F9A-95DE7CC11908}" name="FORCE-адрес" dataDxfId="23"/>
    <tableColumn id="3" xr3:uid="{F23EFFBB-C4FA-4365-9FD2-75CD68D445D2}" name="Программный адрес" dataDxfId="22"/>
    <tableColumn id="4" xr3:uid="{D1260B24-8F02-4295-A6CD-15B2B2283D2F}" name="Комментарий" dataDxfId="21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450" totalsRowShown="0" headerRowDxfId="20" dataDxfId="19" tableBorderDxfId="18">
  <autoFilter ref="A2:D450" xr:uid="{6D80E88C-685C-4063-856D-D2C15B34153F}"/>
  <tableColumns count="4">
    <tableColumn id="1" xr3:uid="{700DE593-4D2C-44F1-B1EB-946AFEAC5FA2}" name="Адрес на роботе" dataDxfId="17"/>
    <tableColumn id="2" xr3:uid="{DFA6459F-0E72-4E10-AD20-6BA8A0B25186}" name="Программный адрес" dataDxfId="16">
      <calculatedColumnFormula>"P"&amp;DEC2HEX(A3+65536-$A$3 +2*96, 5)</calculatedColumnFormula>
    </tableColumn>
    <tableColumn id="3" xr3:uid="{4C1A065F-0479-4484-9301-8C183F79A8CD}" name="Адрес слова" dataDxfId="15">
      <calculatedColumnFormula>IF(RIGHT(B3,1)="0",LEFT(B3,5)," ")</calculatedColumnFormula>
    </tableColumn>
    <tableColumn id="4" xr3:uid="{108B0066-3F14-4989-BED3-000B9011FB9C}" name="Комментарий" dataDxfId="14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450" totalsRowShown="0" headerRowDxfId="13" dataDxfId="12" tableBorderDxfId="11">
  <autoFilter ref="F2:I450" xr:uid="{B20DBADD-92EF-41AA-9EBD-54C39D77A466}"/>
  <tableColumns count="4">
    <tableColumn id="1" xr3:uid="{A7F05EEE-147F-4EA1-86E9-D1D9D500A3C3}" name="Адрес на роботе" dataDxfId="10"/>
    <tableColumn id="2" xr3:uid="{85BDCAFE-BAAB-49B6-9CBC-620DBED5D1CF}" name="Программный адрес" dataDxfId="9">
      <calculatedColumnFormula>"P"&amp;DEC2HEX(F3+65536+4096 +2* 96-$F$3, 5)</calculatedColumnFormula>
    </tableColumn>
    <tableColumn id="3" xr3:uid="{96B88C9C-25F3-47C9-B997-43B1C9FB4ECE}" name="Адрес слова" dataDxfId="8">
      <calculatedColumnFormula>IF(RIGHT(G3,1)="0",LEFT(G3,5)," ")</calculatedColumnFormula>
    </tableColumn>
    <tableColumn id="4" xr3:uid="{BB12B359-19DD-48D3-A11C-9EA26D87A7D4}" name="Комментарий" dataDxfId="7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C66" totalsRowShown="0" headerRowDxfId="6" dataDxfId="4" headerRowBorderDxfId="5" tableBorderDxfId="3">
  <autoFilter ref="A1:C66" xr:uid="{D433E639-47C8-435B-BE62-40BBD3A85586}"/>
  <tableColumns count="3">
    <tableColumn id="1" xr3:uid="{C0C4E1FE-6EA6-4426-AC8B-A634B9C978EE}" name="Адрес слова" dataDxfId="2"/>
    <tableColumn id="2" xr3:uid="{D830E9E6-B548-460D-A0E1-20E6927BC813}" name="Комментарий" dataDxfId="1"/>
    <tableColumn id="3" xr3:uid="{BE2FF70F-8E70-476F-BD8E-CD89F51A98F0}" name="Замечание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B3" workbookViewId="0">
      <selection activeCell="I29" sqref="I29"/>
    </sheetView>
  </sheetViews>
  <sheetFormatPr defaultColWidth="9.140625"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6" t="s">
        <v>126</v>
      </c>
      <c r="B1" s="6"/>
      <c r="C1" s="6"/>
      <c r="D1" s="6"/>
      <c r="F1" s="6" t="s">
        <v>127</v>
      </c>
      <c r="G1" s="6"/>
      <c r="H1" s="6"/>
      <c r="I1" s="6"/>
    </row>
    <row r="2" spans="1:9" x14ac:dyDescent="0.25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25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25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25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25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25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25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25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25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25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25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25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25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25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25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25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.75" thickBot="1" x14ac:dyDescent="0.3"/>
    <row r="20" spans="1:9" ht="15.75" thickBot="1" x14ac:dyDescent="0.3">
      <c r="A20" s="6" t="s">
        <v>129</v>
      </c>
      <c r="B20" s="6"/>
      <c r="C20" s="6"/>
      <c r="D20" s="6"/>
      <c r="F20" s="6" t="s">
        <v>128</v>
      </c>
      <c r="G20" s="6"/>
      <c r="H20" s="6"/>
      <c r="I20" s="6"/>
    </row>
    <row r="21" spans="1:9" x14ac:dyDescent="0.25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25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25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25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25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25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25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25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25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25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25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25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25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25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25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25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25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I450"/>
  <sheetViews>
    <sheetView tabSelected="1" topLeftCell="A58" zoomScaleNormal="100" workbookViewId="0">
      <selection activeCell="D59" sqref="D59"/>
    </sheetView>
  </sheetViews>
  <sheetFormatPr defaultColWidth="9.140625"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34" style="1" bestFit="1" customWidth="1"/>
    <col min="10" max="16384" width="9.140625" style="1"/>
  </cols>
  <sheetData>
    <row r="1" spans="1:9" x14ac:dyDescent="0.25">
      <c r="A1" s="7" t="s">
        <v>243</v>
      </c>
      <c r="B1" s="7"/>
      <c r="C1" s="7"/>
      <c r="D1" s="7"/>
      <c r="E1" s="2"/>
      <c r="F1" s="7" t="s">
        <v>244</v>
      </c>
      <c r="G1" s="7"/>
      <c r="H1" s="7"/>
      <c r="I1" s="7"/>
    </row>
    <row r="2" spans="1:9" x14ac:dyDescent="0.25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</row>
    <row r="3" spans="1:9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9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9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9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9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9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9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</row>
    <row r="10" spans="1:9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9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9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9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9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9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9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2" t="s">
        <v>268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2" t="s">
        <v>269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2" t="s">
        <v>270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276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2" t="s">
        <v>271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277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2"/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  <c r="I24" s="2"/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  <c r="I25" s="2"/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  <c r="I26" s="2"/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  <c r="I27" s="2"/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  <c r="I28" s="2"/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  <c r="I29" s="2"/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  <c r="I30" s="2"/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  <c r="I31" s="2"/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  <c r="I32" s="2"/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  <c r="I33" s="2"/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  <c r="I34" s="2"/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352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353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  <c r="I54" s="1" t="s">
        <v>362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354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355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356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371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287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363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288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364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289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365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290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366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278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283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279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284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280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285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286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282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367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368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369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370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357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358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359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360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361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C33"/>
  <sheetViews>
    <sheetView topLeftCell="A12" workbookViewId="0">
      <selection activeCell="C20" sqref="C20"/>
    </sheetView>
  </sheetViews>
  <sheetFormatPr defaultColWidth="9.140625" defaultRowHeight="15" x14ac:dyDescent="0.25"/>
  <cols>
    <col min="1" max="1" width="18.28515625" style="4" bestFit="1" customWidth="1"/>
    <col min="2" max="2" width="50.42578125" style="4" bestFit="1" customWidth="1"/>
    <col min="3" max="3" width="35" style="4" bestFit="1" customWidth="1"/>
    <col min="4" max="16384" width="9.140625" style="4"/>
  </cols>
  <sheetData>
    <row r="1" spans="1:3" ht="15.75" thickBot="1" x14ac:dyDescent="0.3">
      <c r="A1" s="5" t="s">
        <v>245</v>
      </c>
      <c r="B1" s="5" t="s">
        <v>0</v>
      </c>
      <c r="C1" s="5" t="s">
        <v>336</v>
      </c>
    </row>
    <row r="2" spans="1:3" x14ac:dyDescent="0.25">
      <c r="A2" s="4" t="s">
        <v>291</v>
      </c>
      <c r="B2" s="4" t="s">
        <v>323</v>
      </c>
      <c r="C2" s="4" t="s">
        <v>339</v>
      </c>
    </row>
    <row r="3" spans="1:3" x14ac:dyDescent="0.25">
      <c r="A3" s="4" t="s">
        <v>292</v>
      </c>
      <c r="B3" s="4" t="s">
        <v>348</v>
      </c>
      <c r="C3" s="4" t="s">
        <v>339</v>
      </c>
    </row>
    <row r="4" spans="1:3" x14ac:dyDescent="0.25">
      <c r="A4" s="4" t="s">
        <v>293</v>
      </c>
      <c r="B4" s="4" t="s">
        <v>349</v>
      </c>
      <c r="C4" s="4" t="s">
        <v>350</v>
      </c>
    </row>
    <row r="5" spans="1:3" x14ac:dyDescent="0.25">
      <c r="A5" s="4" t="s">
        <v>294</v>
      </c>
      <c r="B5" s="4" t="s">
        <v>324</v>
      </c>
      <c r="C5" s="4" t="s">
        <v>339</v>
      </c>
    </row>
    <row r="6" spans="1:3" x14ac:dyDescent="0.25">
      <c r="A6" s="4" t="s">
        <v>295</v>
      </c>
      <c r="B6" s="4" t="s">
        <v>325</v>
      </c>
      <c r="C6" s="4" t="s">
        <v>339</v>
      </c>
    </row>
    <row r="7" spans="1:3" x14ac:dyDescent="0.25">
      <c r="A7" s="4" t="s">
        <v>296</v>
      </c>
      <c r="B7" s="4" t="s">
        <v>326</v>
      </c>
      <c r="C7" s="4" t="s">
        <v>339</v>
      </c>
    </row>
    <row r="8" spans="1:3" x14ac:dyDescent="0.25">
      <c r="A8" s="4" t="s">
        <v>297</v>
      </c>
      <c r="B8" s="4" t="s">
        <v>327</v>
      </c>
      <c r="C8" s="4" t="s">
        <v>339</v>
      </c>
    </row>
    <row r="9" spans="1:3" x14ac:dyDescent="0.25">
      <c r="A9" s="4" t="s">
        <v>298</v>
      </c>
      <c r="B9" s="4" t="s">
        <v>328</v>
      </c>
      <c r="C9" s="4" t="s">
        <v>339</v>
      </c>
    </row>
    <row r="10" spans="1:3" x14ac:dyDescent="0.25">
      <c r="A10" s="4" t="s">
        <v>299</v>
      </c>
      <c r="B10" s="4" t="s">
        <v>329</v>
      </c>
      <c r="C10" s="4" t="s">
        <v>339</v>
      </c>
    </row>
    <row r="11" spans="1:3" x14ac:dyDescent="0.25">
      <c r="A11" s="4" t="s">
        <v>300</v>
      </c>
      <c r="B11" s="4" t="s">
        <v>351</v>
      </c>
    </row>
    <row r="12" spans="1:3" x14ac:dyDescent="0.25">
      <c r="A12" s="4" t="s">
        <v>301</v>
      </c>
      <c r="B12" s="4" t="s">
        <v>330</v>
      </c>
    </row>
    <row r="13" spans="1:3" x14ac:dyDescent="0.25">
      <c r="A13" s="4" t="s">
        <v>302</v>
      </c>
      <c r="B13" s="4" t="s">
        <v>332</v>
      </c>
    </row>
    <row r="14" spans="1:3" x14ac:dyDescent="0.25">
      <c r="A14" s="4" t="s">
        <v>303</v>
      </c>
      <c r="B14" s="4" t="s">
        <v>331</v>
      </c>
    </row>
    <row r="15" spans="1:3" x14ac:dyDescent="0.25">
      <c r="A15" s="4" t="s">
        <v>304</v>
      </c>
      <c r="B15" s="4" t="s">
        <v>333</v>
      </c>
      <c r="C15" s="4" t="s">
        <v>339</v>
      </c>
    </row>
    <row r="16" spans="1:3" x14ac:dyDescent="0.25">
      <c r="A16" s="4" t="s">
        <v>305</v>
      </c>
      <c r="B16" s="4" t="s">
        <v>334</v>
      </c>
      <c r="C16" s="4" t="s">
        <v>339</v>
      </c>
    </row>
    <row r="17" spans="1:3" x14ac:dyDescent="0.25">
      <c r="A17" s="4" t="s">
        <v>306</v>
      </c>
      <c r="B17" s="4" t="s">
        <v>335</v>
      </c>
      <c r="C17" s="4" t="s">
        <v>340</v>
      </c>
    </row>
    <row r="18" spans="1:3" x14ac:dyDescent="0.25">
      <c r="A18" s="4" t="s">
        <v>307</v>
      </c>
      <c r="B18" s="4" t="s">
        <v>337</v>
      </c>
      <c r="C18" s="4" t="s">
        <v>341</v>
      </c>
    </row>
    <row r="19" spans="1:3" x14ac:dyDescent="0.25">
      <c r="A19" s="4" t="s">
        <v>308</v>
      </c>
      <c r="B19" s="4" t="s">
        <v>338</v>
      </c>
      <c r="C19" s="4" t="s">
        <v>341</v>
      </c>
    </row>
    <row r="20" spans="1:3" x14ac:dyDescent="0.25">
      <c r="A20" s="4" t="s">
        <v>309</v>
      </c>
      <c r="B20" s="4" t="s">
        <v>343</v>
      </c>
      <c r="C20" s="4" t="s">
        <v>342</v>
      </c>
    </row>
    <row r="21" spans="1:3" x14ac:dyDescent="0.25">
      <c r="A21" s="4" t="s">
        <v>310</v>
      </c>
      <c r="B21" s="4" t="s">
        <v>344</v>
      </c>
      <c r="C21" s="4" t="s">
        <v>342</v>
      </c>
    </row>
    <row r="22" spans="1:3" x14ac:dyDescent="0.25">
      <c r="A22" s="4" t="s">
        <v>311</v>
      </c>
      <c r="B22" s="4" t="s">
        <v>345</v>
      </c>
      <c r="C22" s="4" t="s">
        <v>347</v>
      </c>
    </row>
    <row r="23" spans="1:3" x14ac:dyDescent="0.25">
      <c r="A23" s="4" t="s">
        <v>312</v>
      </c>
      <c r="B23" s="4" t="s">
        <v>346</v>
      </c>
      <c r="C23" s="4" t="s">
        <v>347</v>
      </c>
    </row>
    <row r="24" spans="1:3" x14ac:dyDescent="0.25">
      <c r="A24" s="4" t="s">
        <v>313</v>
      </c>
    </row>
    <row r="25" spans="1:3" x14ac:dyDescent="0.25">
      <c r="A25" s="4" t="s">
        <v>314</v>
      </c>
    </row>
    <row r="26" spans="1:3" x14ac:dyDescent="0.25">
      <c r="A26" s="4" t="s">
        <v>315</v>
      </c>
    </row>
    <row r="27" spans="1:3" x14ac:dyDescent="0.25">
      <c r="A27" s="4" t="s">
        <v>316</v>
      </c>
    </row>
    <row r="28" spans="1:3" x14ac:dyDescent="0.25">
      <c r="A28" s="4" t="s">
        <v>317</v>
      </c>
    </row>
    <row r="29" spans="1:3" x14ac:dyDescent="0.25">
      <c r="A29" s="4" t="s">
        <v>318</v>
      </c>
    </row>
    <row r="30" spans="1:3" x14ac:dyDescent="0.25">
      <c r="A30" s="4" t="s">
        <v>319</v>
      </c>
    </row>
    <row r="31" spans="1:3" x14ac:dyDescent="0.25">
      <c r="A31" s="4" t="s">
        <v>320</v>
      </c>
    </row>
    <row r="32" spans="1:3" x14ac:dyDescent="0.25">
      <c r="A32" s="4" t="s">
        <v>321</v>
      </c>
    </row>
    <row r="33" spans="1:1" x14ac:dyDescent="0.25">
      <c r="A33" s="4" t="s">
        <v>322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IO ПЛК</vt:lpstr>
      <vt:lpstr>Fieldbus Робот</vt:lpstr>
      <vt:lpstr>Task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2026-02-16T10:58:38Z</dcterms:modified>
</cp:coreProperties>
</file>