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SW002-LoadWizardPro_v2\"/>
    </mc:Choice>
  </mc:AlternateContent>
  <xr:revisionPtr revIDLastSave="0" documentId="13_ncr:1_{CBF7834D-B857-4F48-91CB-75098FC99FB5}" xr6:coauthVersionLast="47" xr6:coauthVersionMax="47" xr10:uidLastSave="{00000000-0000-0000-0000-000000000000}"/>
  <bookViews>
    <workbookView xWindow="-23148" yWindow="4368" windowWidth="23256" windowHeight="12456" activeTab="2" xr2:uid="{0F8F6BBE-EBD7-4FEB-A239-792B86B6C8F6}"/>
  </bookViews>
  <sheets>
    <sheet name="IO ПЛК" sheetId="1" r:id="rId1"/>
    <sheet name="Fieldbus Робот" sheetId="2" r:id="rId2"/>
    <sheet name="Task Dat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0" i="2" l="1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32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16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3" i="2"/>
  <c r="B448" i="2"/>
  <c r="B449" i="2"/>
  <c r="B450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323" i="2"/>
  <c r="B322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164" i="2"/>
  <c r="B163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21" i="2"/>
  <c r="B22" i="2"/>
  <c r="B23" i="2"/>
  <c r="B24" i="2"/>
  <c r="B25" i="2"/>
  <c r="B26" i="2"/>
  <c r="B27" i="2"/>
  <c r="B28" i="2"/>
  <c r="B29" i="2"/>
  <c r="B30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3" i="2"/>
</calcChain>
</file>

<file path=xl/sharedStrings.xml><?xml version="1.0" encoding="utf-8"?>
<sst xmlns="http://schemas.openxmlformats.org/spreadsheetml/2006/main" count="420" uniqueCount="356">
  <si>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</si>
  <si>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</si>
  <si>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</si>
  <si>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</si>
  <si>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</si>
  <si>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</si>
  <si>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</si>
  <si>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</si>
  <si>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</si>
  <si>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</si>
  <si>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</si>
  <si>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</si>
  <si>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</si>
  <si>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</si>
  <si>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</si>
  <si>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</si>
  <si>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</si>
  <si>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</si>
  <si>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</si>
  <si>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</si>
  <si>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</si>
  <si>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</si>
  <si>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</si>
  <si>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</si>
  <si>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</si>
  <si>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</si>
  <si>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</si>
  <si>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</si>
  <si>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P00038</t>
  </si>
  <si>
    <t>P00039</t>
  </si>
  <si>
    <t>P0003A</t>
  </si>
  <si>
    <t>P0003B</t>
  </si>
  <si>
    <t>P0003C</t>
  </si>
  <si>
    <t>P0003D</t>
  </si>
  <si>
    <t>P0003E</t>
  </si>
  <si>
    <t>P0003F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</si>
  <si>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</si>
  <si>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</si>
  <si>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</si>
  <si>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</si>
  <si>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</si>
  <si>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</si>
  <si>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</si>
  <si>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</si>
  <si>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</si>
  <si>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</si>
  <si>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</si>
  <si>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</si>
  <si>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</si>
  <si>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</si>
  <si>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</si>
  <si>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</si>
  <si>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</si>
  <si>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</si>
  <si>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</si>
  <si>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</si>
  <si>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</si>
  <si>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</si>
  <si>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</si>
  <si>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</si>
  <si>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</si>
  <si>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</si>
  <si>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</si>
  <si>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</si>
  <si>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</si>
  <si>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</si>
  <si>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</si>
  <si>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</si>
  <si>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</si>
  <si>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</si>
  <si>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</si>
  <si>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</si>
  <si>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</si>
  <si>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</si>
  <si>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</si>
  <si>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</si>
  <si>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</si>
  <si>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</si>
  <si>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</si>
  <si>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</si>
  <si>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</si>
  <si>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</si>
  <si>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</si>
  <si>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</si>
  <si>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</si>
  <si>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</si>
  <si>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</si>
  <si>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</si>
  <si>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</si>
  <si>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</si>
  <si>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</si>
  <si>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</si>
  <si>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</si>
  <si>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</si>
  <si>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</si>
  <si>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</si>
  <si>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</si>
  <si>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</si>
  <si>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</si>
  <si>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</si>
  <si>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</si>
  <si>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</si>
  <si>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</si>
  <si>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</si>
  <si>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</si>
  <si>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</si>
  <si>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</si>
  <si>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</si>
  <si>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</si>
  <si>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</si>
  <si>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</si>
  <si>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</si>
  <si>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</si>
  <si>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</si>
  <si>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</si>
  <si>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</si>
  <si>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</si>
  <si>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</si>
  <si>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</si>
  <si>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</si>
  <si>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P0002A</t>
  </si>
  <si>
    <t>P0002B</t>
  </si>
  <si>
    <t>P0002C</t>
  </si>
  <si>
    <t>P0002D</t>
  </si>
  <si>
    <t>P0002E</t>
  </si>
  <si>
    <t>P0002F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</si>
  <si>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</si>
  <si>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</si>
  <si>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</si>
  <si>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</si>
  <si>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</si>
  <si>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</si>
  <si>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</si>
  <si>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</si>
  <si>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</si>
  <si>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</si>
  <si>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</si>
  <si>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</si>
  <si>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</si>
  <si>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</si>
  <si>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</si>
  <si>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</si>
  <si>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</si>
  <si>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</si>
  <si>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</si>
  <si>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</si>
  <si>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</si>
  <si>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</si>
  <si>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</si>
  <si>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</si>
  <si>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</si>
  <si>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</si>
  <si>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</si>
  <si>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</si>
  <si>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</si>
  <si>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</si>
  <si>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</si>
  <si>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</si>
  <si>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</si>
  <si>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</si>
  <si>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</si>
  <si>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</si>
  <si>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</si>
  <si>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</si>
  <si>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</si>
  <si>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</si>
  <si>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</si>
  <si>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</si>
  <si>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</si>
  <si>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</si>
  <si>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</si>
  <si>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</si>
  <si>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</si>
  <si>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</si>
  <si>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</si>
  <si>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</si>
  <si>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</si>
  <si>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</si>
  <si>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</si>
  <si>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</si>
  <si>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</si>
  <si>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</si>
  <si>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</si>
  <si>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</si>
  <si>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</si>
  <si>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</si>
  <si>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</si>
  <si>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</si>
  <si>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</si>
  <si>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</si>
  <si>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</si>
  <si>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</si>
  <si>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</si>
  <si>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</si>
  <si>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</si>
  <si>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</si>
  <si>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</si>
  <si>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</si>
  <si>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</si>
  <si>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</si>
  <si>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</si>
  <si>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</si>
  <si>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</si>
  <si>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</si>
  <si>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</si>
  <si>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</si>
  <si>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</si>
  <si>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</si>
  <si>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</si>
  <si>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</si>
  <si>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</si>
  <si>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</si>
  <si>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</si>
  <si>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</si>
  <si>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</si>
  <si>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</si>
  <si>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</si>
  <si>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</si>
  <si>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</si>
  <si>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</si>
  <si>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</si>
  <si>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</si>
  <si>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</si>
  <si>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</si>
  <si>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</si>
  <si>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</si>
  <si>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</si>
  <si>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</si>
  <si>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</si>
  <si>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</si>
  <si>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</si>
  <si>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</si>
  <si>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</si>
  <si>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</si>
  <si>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</si>
  <si>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</si>
  <si>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P0004A</t>
  </si>
  <si>
    <t>P0004B</t>
  </si>
  <si>
    <t>P0004C</t>
  </si>
  <si>
    <t>P0004D</t>
  </si>
  <si>
    <t>P0004E</t>
  </si>
  <si>
    <t>P0004F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</si>
  <si>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</si>
  <si>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</si>
  <si>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</si>
  <si>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</si>
  <si>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</si>
  <si>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</si>
  <si>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</si>
  <si>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</si>
  <si>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</si>
  <si>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</si>
  <si>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</si>
  <si>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</si>
  <si>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</si>
  <si>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</si>
  <si>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</si>
  <si>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</si>
  <si>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</si>
  <si>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</si>
  <si>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</si>
  <si>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</si>
  <si>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</si>
  <si>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</si>
  <si>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</si>
  <si>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</si>
  <si>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Захват 1 открыт</t>
  </si>
  <si>
    <t>Захват 2 открыт</t>
  </si>
  <si>
    <t>Открыть захват 1</t>
  </si>
  <si>
    <t>Закрыть захват 1</t>
  </si>
  <si>
    <t>Открыть захват 2</t>
  </si>
  <si>
    <t>Закрыть захват 2</t>
  </si>
  <si>
    <t>Робот готов к запуску задания</t>
  </si>
  <si>
    <t>Запустить задание на роботе</t>
  </si>
  <si>
    <t>Задание запущено</t>
  </si>
  <si>
    <t>Скорость робота</t>
  </si>
  <si>
    <t>Полка 1 в работе</t>
  </si>
  <si>
    <t>Полка 2 в работе</t>
  </si>
  <si>
    <t>Полка 3 в работе</t>
  </si>
  <si>
    <t>Полка 4 в работе</t>
  </si>
  <si>
    <t>Захват 1 датчик сработал</t>
  </si>
  <si>
    <t>Захват 2 датчик сработал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</si>
  <si>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</si>
  <si>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</si>
  <si>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</si>
  <si>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</si>
  <si>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</si>
  <si>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</si>
  <si>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</si>
  <si>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</si>
  <si>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</si>
  <si>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</si>
  <si>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</si>
  <si>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</si>
  <si>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</si>
  <si>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</si>
  <si>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</si>
  <si>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</si>
  <si>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</si>
  <si>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</si>
  <si>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</si>
  <si>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</si>
  <si>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</si>
  <si>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</si>
  <si>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</si>
  <si>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</si>
  <si>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</si>
  <si>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</si>
  <si>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</si>
  <si>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</si>
  <si>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</si>
  <si>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</si>
  <si>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</si>
  <si>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</si>
  <si>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</si>
  <si>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</si>
  <si>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</si>
  <si>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</si>
  <si>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</si>
  <si>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</si>
  <si>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</si>
  <si>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</si>
  <si>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</si>
  <si>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</si>
  <si>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</si>
  <si>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</si>
  <si>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</si>
  <si>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Длина заготовки</t>
  </si>
  <si>
    <t>Высота кулачков в захвате 1</t>
  </si>
  <si>
    <t>Тело кулачков в захвате 1</t>
  </si>
  <si>
    <t>Высота кулачков в захвате 2</t>
  </si>
  <si>
    <t>Тело кулачков в захвате 2</t>
  </si>
  <si>
    <t>Высота кулачков в Патроне 1</t>
  </si>
  <si>
    <t>Тело кулачков в Патроне 2</t>
  </si>
  <si>
    <t>Количество рядов на пластине</t>
  </si>
  <si>
    <t>Количество ячеек в чётных рядах пластины</t>
  </si>
  <si>
    <t>Количество ячеек в нечётных рядах пластины</t>
  </si>
  <si>
    <t>Расстояние между рядами</t>
  </si>
  <si>
    <t>Расстояние между ячейками</t>
  </si>
  <si>
    <t>Смещение чётного ряда</t>
  </si>
  <si>
    <t>Замечание</t>
  </si>
  <si>
    <t>Смещение первого ряда относительно нуля Х</t>
  </si>
  <si>
    <t>Смещение первого ряда относительно нуля Y</t>
  </si>
  <si>
    <t>*10</t>
  </si>
  <si>
    <t>*10 Может быть отрицательным!</t>
  </si>
  <si>
    <t>*10 Пока не используется</t>
  </si>
  <si>
    <t>1 или 2 (пока только 1)</t>
  </si>
  <si>
    <t>Каким захватом берём заготовку</t>
  </si>
  <si>
    <t>В какой патрон ставим заготовку</t>
  </si>
  <si>
    <t>Каким захватом забираем деталь</t>
  </si>
  <si>
    <t>Из какого патрона забираем деталь</t>
  </si>
  <si>
    <t>1 или 2 (пока только 2)</t>
  </si>
  <si>
    <t>Длина детали</t>
  </si>
  <si>
    <t>Длина полуфабриката</t>
  </si>
  <si>
    <t>*10 (Пока не используется)</t>
  </si>
  <si>
    <t>ID пластины в базе данных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</si>
</sst>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theme="7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0" borderId="0" xfId="0" applyFont="1"/>
    <xf numFmtId="0" fontId="1" fillId="2" borderId="3" xfId="0" applyFont="1" applyFill="1" applyBorder="1" applyAlignment="1">
      <alignment horizontal="center"/>
    </xf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bottom style="medium">
          <color theme="1"/>
        </bottom>
      </border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44" dataDxfId="43">
  <autoFilter ref="A2:D18" xr:uid="{4FB99795-03B0-4E22-9C96-6842392B5901}"/>
  <tableColumns count="4">
    <tableColumn id="1" xr3:uid="{7C2C7D8A-BD32-4120-BC88-EB134B0B60DA}" name="Физический адрес" dataDxfId="42"/>
    <tableColumn id="2" xr3:uid="{58BE04DE-C552-4F0B-8C7F-718DD4C443F7}" name="FORCE-адрес" dataDxfId="41"/>
    <tableColumn id="3" xr3:uid="{C505C174-C638-47F1-BB97-D9759397B15D}" name="Программный адрес" dataDxfId="40"/>
    <tableColumn id="4" xr3:uid="{ED8AA96B-A477-464A-A575-B0EC13A66BB1}" name="Комментарий" dataDxfId="39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38" dataDxfId="37">
  <autoFilter ref="F2:I18" xr:uid="{FA992103-97BB-4814-9335-4CEC99149701}"/>
  <tableColumns count="4">
    <tableColumn id="1" xr3:uid="{15E45CAB-51EB-4A75-90C9-CC44510A3E87}" name="Физический адрес" dataDxfId="36"/>
    <tableColumn id="2" xr3:uid="{84700D99-E881-4E94-9044-61BD4F52065D}" name="FORCE-адрес" dataDxfId="35"/>
    <tableColumn id="3" xr3:uid="{29C8761B-51E9-4932-B7ED-5626F8D910F1}" name="Программный адрес" dataDxfId="34"/>
    <tableColumn id="4" xr3:uid="{07C2B09C-9E2B-4C86-8326-BFEBEDA30C7D}" name="Комментарий" dataDxfId="33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32" dataDxfId="31">
  <autoFilter ref="A21:D37" xr:uid="{3DEB932C-F543-45DC-9FB9-1947721EC368}"/>
  <tableColumns count="4">
    <tableColumn id="1" xr3:uid="{A7DD1111-3E4E-43E7-B963-E5371285786B}" name="Физический адрес" dataDxfId="30"/>
    <tableColumn id="2" xr3:uid="{4E5A1EC3-7FCE-49BB-9C77-73886071420D}" name="FORCE-адрес" dataDxfId="29"/>
    <tableColumn id="3" xr3:uid="{0D714DBB-8CDC-4AF9-A4A1-3CF9A9D9BE08}" name="Программный адрес" dataDxfId="28"/>
    <tableColumn id="4" xr3:uid="{69F5BC8C-DEF4-48C0-9AF3-231A7A2B3763}" name="Комментарий" dataDxfId="27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26" dataDxfId="25">
  <autoFilter ref="F21:I37" xr:uid="{C15E88CC-063D-49C3-8C65-22A673E95F21}"/>
  <tableColumns count="4">
    <tableColumn id="1" xr3:uid="{483490CB-F942-4B0F-9510-D82A61FB223D}" name="Физический адрес" dataDxfId="24"/>
    <tableColumn id="2" xr3:uid="{0833CB7B-98AE-4D50-8F9A-95DE7CC11908}" name="FORCE-адрес" dataDxfId="23"/>
    <tableColumn id="3" xr3:uid="{F23EFFBB-C4FA-4365-9FD2-75CD68D445D2}" name="Программный адрес" dataDxfId="22"/>
    <tableColumn id="4" xr3:uid="{D1260B24-8F02-4295-A6CD-15B2B2283D2F}" name="Комментарий" dataDxfId="21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450" totalsRowShown="0" headerRowDxfId="20" dataDxfId="19" tableBorderDxfId="18">
  <autoFilter ref="A2:D450" xr:uid="{6D80E88C-685C-4063-856D-D2C15B34153F}"/>
  <tableColumns count="4">
    <tableColumn id="1" xr3:uid="{700DE593-4D2C-44F1-B1EB-946AFEAC5FA2}" name="Адрес на роботе" dataDxfId="17"/>
    <tableColumn id="2" xr3:uid="{DFA6459F-0E72-4E10-AD20-6BA8A0B25186}" name="Программный адрес" dataDxfId="16">
      <calculatedColumnFormula>"P"&amp;DEC2HEX(A3+65536-$A$3 +2*96, 5)</calculatedColumnFormula>
    </tableColumn>
    <tableColumn id="3" xr3:uid="{4C1A065F-0479-4484-9301-8C183F79A8CD}" name="Адрес слова" dataDxfId="15">
      <calculatedColumnFormula>IF(RIGHT(B3,1)="0",LEFT(B3,5)," ")</calculatedColumnFormula>
    </tableColumn>
    <tableColumn id="4" xr3:uid="{108B0066-3F14-4989-BED3-000B9011FB9C}" name="Комментарий" dataDxfId="14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450" totalsRowShown="0" headerRowDxfId="13" dataDxfId="12" tableBorderDxfId="11">
  <autoFilter ref="F2:I450" xr:uid="{B20DBADD-92EF-41AA-9EBD-54C39D77A466}"/>
  <tableColumns count="4">
    <tableColumn id="1" xr3:uid="{A7F05EEE-147F-4EA1-86E9-D1D9D500A3C3}" name="Адрес на роботе" dataDxfId="10"/>
    <tableColumn id="2" xr3:uid="{85BDCAFE-BAAB-49B6-9CBC-620DBED5D1CF}" name="Программный адрес" dataDxfId="9">
      <calculatedColumnFormula>"P"&amp;DEC2HEX(F3+65536+4096 +2* 96-$F$3, 5)</calculatedColumnFormula>
    </tableColumn>
    <tableColumn id="3" xr3:uid="{96B88C9C-25F3-47C9-B997-43B1C9FB4ECE}" name="Адрес слова" dataDxfId="8">
      <calculatedColumnFormula>IF(RIGHT(G3,1)="0",LEFT(G3,5)," ")</calculatedColumnFormula>
    </tableColumn>
    <tableColumn id="4" xr3:uid="{BB12B359-19DD-48D3-A11C-9EA26D87A7D4}" name="Комментарий" dataDxfId="7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33E639-47C8-435B-BE62-40BBD3A85586}" name="Таблица7" displayName="Таблица7" ref="A1:C66" totalsRowShown="0" headerRowDxfId="6" dataDxfId="5" headerRowBorderDxfId="3" tableBorderDxfId="4">
  <autoFilter ref="A1:C66" xr:uid="{D433E639-47C8-435B-BE62-40BBD3A85586}"/>
  <tableColumns count="3">
    <tableColumn id="1" xr3:uid="{C0C4E1FE-6EA6-4426-AC8B-A634B9C978EE}" name="Адрес слова" dataDxfId="2"/>
    <tableColumn id="2" xr3:uid="{D830E9E6-B548-460D-A0E1-20E6927BC813}" name="Комментарий" dataDxfId="1"/>
    <tableColumn id="3" xr3:uid="{BE2FF70F-8E70-476F-BD8E-CD89F51A98F0}" name="Замечание" dataDxfId="0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B3" workbookViewId="0">
      <selection activeCell="I29" sqref="I29"/>
    </sheetView>
  </sheetViews>
  <sheetFormatPr defaultRowHeight="15" x14ac:dyDescent="0.25"/>
  <cols>
    <col min="1" max="1" width="21.85546875" style="2" bestFit="1" customWidth="1"/>
    <col min="2" max="2" width="16" style="2" bestFit="1" customWidth="1"/>
    <col min="3" max="3" width="23" style="2" bestFit="1" customWidth="1"/>
    <col min="4" max="4" width="42.140625" style="2" bestFit="1" customWidth="1"/>
    <col min="5" max="5" width="9.140625" style="2"/>
    <col min="6" max="6" width="21.85546875" style="2" bestFit="1" customWidth="1"/>
    <col min="7" max="7" width="16" style="2" bestFit="1" customWidth="1"/>
    <col min="8" max="8" width="23" style="2" bestFit="1" customWidth="1"/>
    <col min="9" max="9" width="49.140625" style="2" bestFit="1" customWidth="1"/>
    <col min="10" max="16384" width="9.140625" style="2"/>
  </cols>
  <sheetData>
    <row r="1" spans="1:9" ht="15.75" thickBot="1" x14ac:dyDescent="0.3">
      <c r="A1" s="4" t="s">
        <v>126</v>
      </c>
      <c r="B1" s="4"/>
      <c r="C1" s="4"/>
      <c r="D1" s="4"/>
      <c r="F1" s="4" t="s">
        <v>127</v>
      </c>
      <c r="G1" s="4"/>
      <c r="H1" s="4"/>
      <c r="I1" s="4"/>
    </row>
    <row r="2" spans="1:9" x14ac:dyDescent="0.25">
      <c r="A2" s="2" t="s">
        <v>10</v>
      </c>
      <c r="B2" s="2" t="s">
        <v>11</v>
      </c>
      <c r="C2" s="2" t="s">
        <v>53</v>
      </c>
      <c r="D2" s="2" t="s">
        <v>0</v>
      </c>
      <c r="F2" s="2" t="s">
        <v>10</v>
      </c>
      <c r="G2" s="2" t="s">
        <v>11</v>
      </c>
      <c r="H2" s="2" t="s">
        <v>53</v>
      </c>
      <c r="I2" s="2" t="s">
        <v>0</v>
      </c>
    </row>
    <row r="3" spans="1:9" x14ac:dyDescent="0.25">
      <c r="A3" s="2" t="s">
        <v>1</v>
      </c>
      <c r="B3" s="2" t="s">
        <v>12</v>
      </c>
      <c r="C3" s="2" t="s">
        <v>54</v>
      </c>
      <c r="D3" s="2" t="s">
        <v>43</v>
      </c>
      <c r="F3" s="2" t="s">
        <v>110</v>
      </c>
      <c r="G3" s="2" t="s">
        <v>94</v>
      </c>
      <c r="H3" s="2" t="s">
        <v>70</v>
      </c>
      <c r="I3" s="2" t="s">
        <v>86</v>
      </c>
    </row>
    <row r="4" spans="1:9" x14ac:dyDescent="0.25">
      <c r="A4" s="2" t="s">
        <v>2</v>
      </c>
      <c r="B4" s="2" t="s">
        <v>13</v>
      </c>
      <c r="C4" s="2" t="s">
        <v>55</v>
      </c>
      <c r="D4" s="2" t="s">
        <v>44</v>
      </c>
      <c r="F4" s="2" t="s">
        <v>111</v>
      </c>
      <c r="G4" s="2" t="s">
        <v>95</v>
      </c>
      <c r="H4" s="2" t="s">
        <v>71</v>
      </c>
      <c r="I4" s="2" t="s">
        <v>87</v>
      </c>
    </row>
    <row r="5" spans="1:9" x14ac:dyDescent="0.25">
      <c r="A5" s="2" t="s">
        <v>3</v>
      </c>
      <c r="B5" s="2" t="s">
        <v>14</v>
      </c>
      <c r="C5" s="2" t="s">
        <v>56</v>
      </c>
      <c r="D5" s="2" t="s">
        <v>45</v>
      </c>
      <c r="F5" s="2" t="s">
        <v>112</v>
      </c>
      <c r="G5" s="2" t="s">
        <v>96</v>
      </c>
      <c r="H5" s="2" t="s">
        <v>72</v>
      </c>
      <c r="I5" s="2" t="s">
        <v>88</v>
      </c>
    </row>
    <row r="6" spans="1:9" x14ac:dyDescent="0.25">
      <c r="A6" s="2" t="s">
        <v>4</v>
      </c>
      <c r="B6" s="2" t="s">
        <v>15</v>
      </c>
      <c r="C6" s="2" t="s">
        <v>57</v>
      </c>
      <c r="D6" s="2" t="s">
        <v>46</v>
      </c>
      <c r="F6" s="2" t="s">
        <v>113</v>
      </c>
      <c r="G6" s="2" t="s">
        <v>97</v>
      </c>
      <c r="H6" s="2" t="s">
        <v>73</v>
      </c>
      <c r="I6" s="2" t="s">
        <v>89</v>
      </c>
    </row>
    <row r="7" spans="1:9" x14ac:dyDescent="0.25">
      <c r="A7" s="2" t="s">
        <v>5</v>
      </c>
      <c r="B7" s="2" t="s">
        <v>16</v>
      </c>
      <c r="C7" s="2" t="s">
        <v>58</v>
      </c>
      <c r="D7" s="2" t="s">
        <v>47</v>
      </c>
      <c r="F7" s="2" t="s">
        <v>114</v>
      </c>
      <c r="G7" s="2" t="s">
        <v>98</v>
      </c>
      <c r="H7" s="2" t="s">
        <v>74</v>
      </c>
      <c r="I7" s="2" t="s">
        <v>90</v>
      </c>
    </row>
    <row r="8" spans="1:9" x14ac:dyDescent="0.25">
      <c r="A8" s="2" t="s">
        <v>6</v>
      </c>
      <c r="B8" s="2" t="s">
        <v>17</v>
      </c>
      <c r="C8" s="2" t="s">
        <v>59</v>
      </c>
      <c r="D8" s="2" t="s">
        <v>48</v>
      </c>
      <c r="F8" s="2" t="s">
        <v>115</v>
      </c>
      <c r="G8" s="2" t="s">
        <v>99</v>
      </c>
      <c r="H8" s="2" t="s">
        <v>75</v>
      </c>
      <c r="I8" s="2" t="s">
        <v>52</v>
      </c>
    </row>
    <row r="9" spans="1:9" x14ac:dyDescent="0.25">
      <c r="A9" s="2" t="s">
        <v>7</v>
      </c>
      <c r="B9" s="2" t="s">
        <v>18</v>
      </c>
      <c r="C9" s="2" t="s">
        <v>60</v>
      </c>
      <c r="D9" s="2" t="s">
        <v>49</v>
      </c>
      <c r="F9" s="2" t="s">
        <v>116</v>
      </c>
      <c r="G9" s="2" t="s">
        <v>100</v>
      </c>
      <c r="H9" s="2" t="s">
        <v>76</v>
      </c>
      <c r="I9" s="2" t="s">
        <v>91</v>
      </c>
    </row>
    <row r="10" spans="1:9" x14ac:dyDescent="0.25">
      <c r="A10" s="2" t="s">
        <v>8</v>
      </c>
      <c r="B10" s="2" t="s">
        <v>19</v>
      </c>
      <c r="C10" s="2" t="s">
        <v>61</v>
      </c>
      <c r="D10" s="2" t="s">
        <v>50</v>
      </c>
      <c r="F10" s="2" t="s">
        <v>117</v>
      </c>
      <c r="G10" s="2" t="s">
        <v>101</v>
      </c>
      <c r="H10" s="2" t="s">
        <v>77</v>
      </c>
      <c r="I10" s="2" t="s">
        <v>92</v>
      </c>
    </row>
    <row r="11" spans="1:9" x14ac:dyDescent="0.25">
      <c r="A11" s="2" t="s">
        <v>9</v>
      </c>
      <c r="B11" s="2" t="s">
        <v>20</v>
      </c>
      <c r="C11" s="2" t="s">
        <v>62</v>
      </c>
      <c r="D11" s="2" t="s">
        <v>51</v>
      </c>
      <c r="F11" s="2" t="s">
        <v>118</v>
      </c>
      <c r="G11" s="2" t="s">
        <v>102</v>
      </c>
      <c r="H11" s="2" t="s">
        <v>78</v>
      </c>
      <c r="I11" s="2" t="s">
        <v>93</v>
      </c>
    </row>
    <row r="12" spans="1:9" x14ac:dyDescent="0.25">
      <c r="A12" s="2" t="s">
        <v>36</v>
      </c>
      <c r="B12" s="2" t="s">
        <v>21</v>
      </c>
      <c r="C12" s="2" t="s">
        <v>63</v>
      </c>
      <c r="D12" s="2" t="s">
        <v>52</v>
      </c>
      <c r="F12" s="2" t="s">
        <v>119</v>
      </c>
      <c r="G12" s="2" t="s">
        <v>103</v>
      </c>
      <c r="H12" s="2" t="s">
        <v>79</v>
      </c>
      <c r="I12" s="2" t="s">
        <v>52</v>
      </c>
    </row>
    <row r="13" spans="1:9" x14ac:dyDescent="0.25">
      <c r="A13" s="2" t="s">
        <v>37</v>
      </c>
      <c r="B13" s="2" t="s">
        <v>22</v>
      </c>
      <c r="C13" s="2" t="s">
        <v>64</v>
      </c>
      <c r="D13" s="2" t="s">
        <v>52</v>
      </c>
      <c r="F13" s="2" t="s">
        <v>120</v>
      </c>
      <c r="G13" s="2" t="s">
        <v>104</v>
      </c>
      <c r="H13" s="2" t="s">
        <v>80</v>
      </c>
      <c r="I13" s="2" t="s">
        <v>52</v>
      </c>
    </row>
    <row r="14" spans="1:9" x14ac:dyDescent="0.25">
      <c r="A14" s="2" t="s">
        <v>38</v>
      </c>
      <c r="B14" s="2" t="s">
        <v>23</v>
      </c>
      <c r="C14" s="2" t="s">
        <v>65</v>
      </c>
      <c r="D14" s="2" t="s">
        <v>52</v>
      </c>
      <c r="F14" s="2" t="s">
        <v>121</v>
      </c>
      <c r="G14" s="2" t="s">
        <v>105</v>
      </c>
      <c r="H14" s="2" t="s">
        <v>81</v>
      </c>
      <c r="I14" s="2" t="s">
        <v>52</v>
      </c>
    </row>
    <row r="15" spans="1:9" x14ac:dyDescent="0.25">
      <c r="A15" s="2" t="s">
        <v>39</v>
      </c>
      <c r="B15" s="2" t="s">
        <v>24</v>
      </c>
      <c r="C15" s="2" t="s">
        <v>66</v>
      </c>
      <c r="D15" s="2" t="s">
        <v>52</v>
      </c>
      <c r="F15" s="2" t="s">
        <v>122</v>
      </c>
      <c r="G15" s="2" t="s">
        <v>106</v>
      </c>
      <c r="H15" s="2" t="s">
        <v>82</v>
      </c>
      <c r="I15" s="2" t="s">
        <v>52</v>
      </c>
    </row>
    <row r="16" spans="1:9" x14ac:dyDescent="0.25">
      <c r="A16" s="2" t="s">
        <v>40</v>
      </c>
      <c r="B16" s="2" t="s">
        <v>25</v>
      </c>
      <c r="C16" s="2" t="s">
        <v>67</v>
      </c>
      <c r="D16" s="2" t="s">
        <v>52</v>
      </c>
      <c r="F16" s="2" t="s">
        <v>123</v>
      </c>
      <c r="G16" s="2" t="s">
        <v>107</v>
      </c>
      <c r="H16" s="2" t="s">
        <v>83</v>
      </c>
      <c r="I16" s="2" t="s">
        <v>52</v>
      </c>
    </row>
    <row r="17" spans="1:9" x14ac:dyDescent="0.25">
      <c r="A17" s="2" t="s">
        <v>41</v>
      </c>
      <c r="B17" s="2" t="s">
        <v>26</v>
      </c>
      <c r="C17" s="2" t="s">
        <v>68</v>
      </c>
      <c r="D17" s="2" t="s">
        <v>52</v>
      </c>
      <c r="F17" s="2" t="s">
        <v>124</v>
      </c>
      <c r="G17" s="2" t="s">
        <v>108</v>
      </c>
      <c r="H17" s="2" t="s">
        <v>84</v>
      </c>
      <c r="I17" s="2" t="s">
        <v>52</v>
      </c>
    </row>
    <row r="18" spans="1:9" x14ac:dyDescent="0.25">
      <c r="A18" s="2" t="s">
        <v>42</v>
      </c>
      <c r="B18" s="2" t="s">
        <v>27</v>
      </c>
      <c r="C18" s="2" t="s">
        <v>69</v>
      </c>
      <c r="D18" s="2" t="s">
        <v>52</v>
      </c>
      <c r="F18" s="2" t="s">
        <v>125</v>
      </c>
      <c r="G18" s="2" t="s">
        <v>109</v>
      </c>
      <c r="H18" s="2" t="s">
        <v>85</v>
      </c>
      <c r="I18" s="2" t="s">
        <v>52</v>
      </c>
    </row>
    <row r="19" spans="1:9" ht="15.75" thickBot="1" x14ac:dyDescent="0.3"/>
    <row r="20" spans="1:9" ht="15.75" thickBot="1" x14ac:dyDescent="0.3">
      <c r="A20" s="4" t="s">
        <v>129</v>
      </c>
      <c r="B20" s="4"/>
      <c r="C20" s="4"/>
      <c r="D20" s="4"/>
      <c r="F20" s="4" t="s">
        <v>128</v>
      </c>
      <c r="G20" s="4"/>
      <c r="H20" s="4"/>
      <c r="I20" s="4"/>
    </row>
    <row r="21" spans="1:9" x14ac:dyDescent="0.25">
      <c r="A21" s="2" t="s">
        <v>10</v>
      </c>
      <c r="B21" s="2" t="s">
        <v>11</v>
      </c>
      <c r="C21" s="2" t="s">
        <v>53</v>
      </c>
      <c r="D21" s="2" t="s">
        <v>0</v>
      </c>
      <c r="F21" s="2" t="s">
        <v>10</v>
      </c>
      <c r="G21" s="2" t="s">
        <v>11</v>
      </c>
      <c r="H21" s="2" t="s">
        <v>53</v>
      </c>
      <c r="I21" s="2" t="s">
        <v>0</v>
      </c>
    </row>
    <row r="22" spans="1:9" x14ac:dyDescent="0.25">
      <c r="A22" s="2" t="s">
        <v>130</v>
      </c>
      <c r="B22" s="2" t="s">
        <v>162</v>
      </c>
      <c r="C22" s="2" t="s">
        <v>138</v>
      </c>
      <c r="D22" s="2" t="s">
        <v>154</v>
      </c>
      <c r="F22" s="2" t="s">
        <v>226</v>
      </c>
      <c r="G22" s="2" t="s">
        <v>178</v>
      </c>
      <c r="H22" s="2" t="s">
        <v>194</v>
      </c>
      <c r="I22" s="2" t="s">
        <v>210</v>
      </c>
    </row>
    <row r="23" spans="1:9" x14ac:dyDescent="0.25">
      <c r="A23" s="2" t="s">
        <v>131</v>
      </c>
      <c r="B23" s="2" t="s">
        <v>163</v>
      </c>
      <c r="C23" s="2" t="s">
        <v>139</v>
      </c>
      <c r="D23" s="2" t="s">
        <v>155</v>
      </c>
      <c r="F23" s="2" t="s">
        <v>227</v>
      </c>
      <c r="G23" s="2" t="s">
        <v>179</v>
      </c>
      <c r="H23" s="2" t="s">
        <v>195</v>
      </c>
      <c r="I23" s="2" t="s">
        <v>211</v>
      </c>
    </row>
    <row r="24" spans="1:9" x14ac:dyDescent="0.25">
      <c r="A24" s="2" t="s">
        <v>132</v>
      </c>
      <c r="B24" s="2" t="s">
        <v>164</v>
      </c>
      <c r="C24" s="2" t="s">
        <v>140</v>
      </c>
      <c r="D24" s="2" t="s">
        <v>156</v>
      </c>
      <c r="F24" s="2" t="s">
        <v>228</v>
      </c>
      <c r="G24" s="2" t="s">
        <v>180</v>
      </c>
      <c r="H24" s="2" t="s">
        <v>196</v>
      </c>
      <c r="I24" s="2" t="s">
        <v>212</v>
      </c>
    </row>
    <row r="25" spans="1:9" x14ac:dyDescent="0.25">
      <c r="A25" s="2" t="s">
        <v>133</v>
      </c>
      <c r="B25" s="2" t="s">
        <v>165</v>
      </c>
      <c r="C25" s="2" t="s">
        <v>141</v>
      </c>
      <c r="D25" s="2" t="s">
        <v>157</v>
      </c>
      <c r="F25" s="2" t="s">
        <v>229</v>
      </c>
      <c r="G25" s="2" t="s">
        <v>181</v>
      </c>
      <c r="H25" s="2" t="s">
        <v>197</v>
      </c>
      <c r="I25" s="2" t="s">
        <v>213</v>
      </c>
    </row>
    <row r="26" spans="1:9" x14ac:dyDescent="0.25">
      <c r="A26" s="2" t="s">
        <v>134</v>
      </c>
      <c r="B26" s="2" t="s">
        <v>166</v>
      </c>
      <c r="C26" s="2" t="s">
        <v>142</v>
      </c>
      <c r="D26" s="2" t="s">
        <v>158</v>
      </c>
      <c r="F26" s="2" t="s">
        <v>230</v>
      </c>
      <c r="G26" s="2" t="s">
        <v>182</v>
      </c>
      <c r="H26" s="2" t="s">
        <v>198</v>
      </c>
      <c r="I26" s="2" t="s">
        <v>214</v>
      </c>
    </row>
    <row r="27" spans="1:9" x14ac:dyDescent="0.25">
      <c r="A27" s="2" t="s">
        <v>135</v>
      </c>
      <c r="B27" s="2" t="s">
        <v>167</v>
      </c>
      <c r="C27" s="2" t="s">
        <v>143</v>
      </c>
      <c r="D27" s="2" t="s">
        <v>159</v>
      </c>
      <c r="F27" s="2" t="s">
        <v>231</v>
      </c>
      <c r="G27" s="2" t="s">
        <v>183</v>
      </c>
      <c r="H27" s="2" t="s">
        <v>199</v>
      </c>
      <c r="I27" s="2" t="s">
        <v>215</v>
      </c>
    </row>
    <row r="28" spans="1:9" x14ac:dyDescent="0.25">
      <c r="A28" s="2" t="s">
        <v>136</v>
      </c>
      <c r="B28" s="2" t="s">
        <v>168</v>
      </c>
      <c r="C28" s="2" t="s">
        <v>144</v>
      </c>
      <c r="D28" s="2" t="s">
        <v>160</v>
      </c>
      <c r="F28" s="2" t="s">
        <v>232</v>
      </c>
      <c r="G28" s="2" t="s">
        <v>184</v>
      </c>
      <c r="H28" s="2" t="s">
        <v>200</v>
      </c>
      <c r="I28" s="2" t="s">
        <v>216</v>
      </c>
    </row>
    <row r="29" spans="1:9" x14ac:dyDescent="0.25">
      <c r="A29" s="2" t="s">
        <v>137</v>
      </c>
      <c r="B29" s="2" t="s">
        <v>169</v>
      </c>
      <c r="C29" s="2" t="s">
        <v>145</v>
      </c>
      <c r="D29" s="2" t="s">
        <v>161</v>
      </c>
      <c r="F29" s="2" t="s">
        <v>233</v>
      </c>
      <c r="G29" s="2" t="s">
        <v>185</v>
      </c>
      <c r="H29" s="2" t="s">
        <v>201</v>
      </c>
      <c r="I29" s="2" t="s">
        <v>217</v>
      </c>
    </row>
    <row r="30" spans="1:9" x14ac:dyDescent="0.25">
      <c r="A30" s="2" t="s">
        <v>28</v>
      </c>
      <c r="B30" s="2" t="s">
        <v>170</v>
      </c>
      <c r="C30" s="2" t="s">
        <v>146</v>
      </c>
      <c r="D30" s="2" t="s">
        <v>52</v>
      </c>
      <c r="F30" s="2" t="s">
        <v>234</v>
      </c>
      <c r="G30" s="2" t="s">
        <v>186</v>
      </c>
      <c r="H30" s="2" t="s">
        <v>202</v>
      </c>
      <c r="I30" s="2" t="s">
        <v>218</v>
      </c>
    </row>
    <row r="31" spans="1:9" x14ac:dyDescent="0.25">
      <c r="A31" s="2" t="s">
        <v>29</v>
      </c>
      <c r="B31" s="2" t="s">
        <v>171</v>
      </c>
      <c r="C31" s="2" t="s">
        <v>147</v>
      </c>
      <c r="D31" s="2" t="s">
        <v>52</v>
      </c>
      <c r="F31" s="2" t="s">
        <v>235</v>
      </c>
      <c r="G31" s="2" t="s">
        <v>187</v>
      </c>
      <c r="H31" s="2" t="s">
        <v>203</v>
      </c>
      <c r="I31" s="2" t="s">
        <v>219</v>
      </c>
    </row>
    <row r="32" spans="1:9" x14ac:dyDescent="0.25">
      <c r="A32" s="2" t="s">
        <v>30</v>
      </c>
      <c r="B32" s="2" t="s">
        <v>172</v>
      </c>
      <c r="C32" s="2" t="s">
        <v>148</v>
      </c>
      <c r="D32" s="2" t="s">
        <v>52</v>
      </c>
      <c r="F32" s="2" t="s">
        <v>236</v>
      </c>
      <c r="G32" s="2" t="s">
        <v>188</v>
      </c>
      <c r="H32" s="2" t="s">
        <v>204</v>
      </c>
      <c r="I32" s="2" t="s">
        <v>220</v>
      </c>
    </row>
    <row r="33" spans="1:9" x14ac:dyDescent="0.25">
      <c r="A33" s="2" t="s">
        <v>31</v>
      </c>
      <c r="B33" s="2" t="s">
        <v>173</v>
      </c>
      <c r="C33" s="2" t="s">
        <v>149</v>
      </c>
      <c r="D33" s="2" t="s">
        <v>52</v>
      </c>
      <c r="F33" s="2" t="s">
        <v>237</v>
      </c>
      <c r="G33" s="2" t="s">
        <v>189</v>
      </c>
      <c r="H33" s="2" t="s">
        <v>205</v>
      </c>
      <c r="I33" s="2" t="s">
        <v>221</v>
      </c>
    </row>
    <row r="34" spans="1:9" x14ac:dyDescent="0.25">
      <c r="A34" s="2" t="s">
        <v>32</v>
      </c>
      <c r="B34" s="2" t="s">
        <v>174</v>
      </c>
      <c r="C34" s="2" t="s">
        <v>150</v>
      </c>
      <c r="D34" s="2" t="s">
        <v>52</v>
      </c>
      <c r="F34" s="2" t="s">
        <v>238</v>
      </c>
      <c r="G34" s="2" t="s">
        <v>190</v>
      </c>
      <c r="H34" s="2" t="s">
        <v>206</v>
      </c>
      <c r="I34" s="2" t="s">
        <v>222</v>
      </c>
    </row>
    <row r="35" spans="1:9" x14ac:dyDescent="0.25">
      <c r="A35" s="2" t="s">
        <v>33</v>
      </c>
      <c r="B35" s="2" t="s">
        <v>175</v>
      </c>
      <c r="C35" s="2" t="s">
        <v>151</v>
      </c>
      <c r="D35" s="2" t="s">
        <v>52</v>
      </c>
      <c r="F35" s="2" t="s">
        <v>239</v>
      </c>
      <c r="G35" s="2" t="s">
        <v>191</v>
      </c>
      <c r="H35" s="2" t="s">
        <v>207</v>
      </c>
      <c r="I35" s="2" t="s">
        <v>223</v>
      </c>
    </row>
    <row r="36" spans="1:9" x14ac:dyDescent="0.25">
      <c r="A36" s="2" t="s">
        <v>34</v>
      </c>
      <c r="B36" s="2" t="s">
        <v>176</v>
      </c>
      <c r="C36" s="2" t="s">
        <v>152</v>
      </c>
      <c r="D36" s="2" t="s">
        <v>52</v>
      </c>
      <c r="F36" s="2" t="s">
        <v>240</v>
      </c>
      <c r="G36" s="2" t="s">
        <v>192</v>
      </c>
      <c r="H36" s="2" t="s">
        <v>208</v>
      </c>
      <c r="I36" s="2" t="s">
        <v>224</v>
      </c>
    </row>
    <row r="37" spans="1:9" x14ac:dyDescent="0.25">
      <c r="A37" s="2" t="s">
        <v>35</v>
      </c>
      <c r="B37" s="2" t="s">
        <v>177</v>
      </c>
      <c r="C37" s="2" t="s">
        <v>153</v>
      </c>
      <c r="D37" s="2" t="s">
        <v>52</v>
      </c>
      <c r="F37" s="2" t="s">
        <v>241</v>
      </c>
      <c r="G37" s="2" t="s">
        <v>193</v>
      </c>
      <c r="H37" s="2" t="s">
        <v>209</v>
      </c>
      <c r="I37" s="2" t="s">
        <v>225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I450"/>
  <sheetViews>
    <sheetView zoomScaleNormal="100" workbookViewId="0">
      <selection activeCell="I2" sqref="H2:I2"/>
    </sheetView>
  </sheetViews>
  <sheetFormatPr defaultRowHeight="15" x14ac:dyDescent="0.25"/>
  <cols>
    <col min="1" max="1" width="23" style="1" bestFit="1" customWidth="1"/>
    <col min="2" max="2" width="25.28515625" style="1" bestFit="1" customWidth="1"/>
    <col min="3" max="3" width="18.28515625" style="1" bestFit="1" customWidth="1"/>
    <col min="4" max="4" width="43.42578125" style="1" bestFit="1" customWidth="1"/>
    <col min="5" max="5" width="9.140625" style="1"/>
    <col min="6" max="6" width="23" style="1" bestFit="1" customWidth="1"/>
    <col min="7" max="7" width="25.28515625" style="1" bestFit="1" customWidth="1"/>
    <col min="8" max="8" width="18.28515625" style="1" bestFit="1" customWidth="1"/>
    <col min="9" max="9" width="29.42578125" style="1" bestFit="1" customWidth="1"/>
    <col min="10" max="16384" width="9.140625" style="1"/>
  </cols>
  <sheetData>
    <row r="1" spans="1:9" x14ac:dyDescent="0.25">
      <c r="A1" s="5" t="s">
        <v>243</v>
      </c>
      <c r="B1" s="5"/>
      <c r="C1" s="5"/>
      <c r="D1" s="5"/>
      <c r="E1" s="2"/>
      <c r="F1" s="5" t="s">
        <v>244</v>
      </c>
      <c r="G1" s="5"/>
      <c r="H1" s="5"/>
      <c r="I1" s="5"/>
    </row>
    <row r="2" spans="1:9" x14ac:dyDescent="0.25">
      <c r="A2" s="2" t="s">
        <v>242</v>
      </c>
      <c r="B2" s="2" t="s">
        <v>53</v>
      </c>
      <c r="C2" s="2" t="s">
        <v>245</v>
      </c>
      <c r="D2" s="2" t="s">
        <v>0</v>
      </c>
      <c r="E2" s="2"/>
      <c r="F2" s="2" t="s">
        <v>242</v>
      </c>
      <c r="G2" s="2" t="s">
        <v>53</v>
      </c>
      <c r="H2" s="2" t="s">
        <v>245</v>
      </c>
      <c r="I2" s="2" t="s">
        <v>0</v>
      </c>
    </row>
    <row r="3" spans="1:9" x14ac:dyDescent="0.25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246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259</v>
      </c>
    </row>
    <row r="4" spans="1:9" x14ac:dyDescent="0.25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247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260</v>
      </c>
    </row>
    <row r="5" spans="1:9" x14ac:dyDescent="0.25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248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261</v>
      </c>
    </row>
    <row r="6" spans="1:9" x14ac:dyDescent="0.25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249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262</v>
      </c>
    </row>
    <row r="7" spans="1:9" x14ac:dyDescent="0.25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250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263</v>
      </c>
    </row>
    <row r="8" spans="1:9" x14ac:dyDescent="0.25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251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264</v>
      </c>
    </row>
    <row r="9" spans="1:9" x14ac:dyDescent="0.25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252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</row>
    <row r="10" spans="1:9" x14ac:dyDescent="0.25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253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9" x14ac:dyDescent="0.25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254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9" x14ac:dyDescent="0.25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255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9" x14ac:dyDescent="0.25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256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9" x14ac:dyDescent="0.25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257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9" x14ac:dyDescent="0.25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258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9" x14ac:dyDescent="0.25">
      <c r="A16" s="1">
        <v>78</v>
      </c>
      <c r="B16" s="1" t="str">
        <f t="shared" si="0"/>
        <v>P1000D</v>
      </c>
      <c r="C16" s="1" t="str">
        <f t="shared" si="1"/>
        <v xml:space="preserve"> 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25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25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25">
      <c r="A19" s="1">
        <v>81</v>
      </c>
      <c r="B19" s="1" t="str">
        <f t="shared" si="0"/>
        <v>P10010</v>
      </c>
      <c r="C19" s="1" t="str">
        <f t="shared" si="1"/>
        <v>P1001</v>
      </c>
      <c r="D19" s="2" t="s">
        <v>266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2" t="s">
        <v>268</v>
      </c>
    </row>
    <row r="20" spans="1:9" x14ac:dyDescent="0.25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2" t="s">
        <v>267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2" t="s">
        <v>269</v>
      </c>
    </row>
    <row r="21" spans="1:9" x14ac:dyDescent="0.25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2" t="s">
        <v>265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2" t="s">
        <v>270</v>
      </c>
    </row>
    <row r="22" spans="1:9" x14ac:dyDescent="0.25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2" t="s">
        <v>280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2" t="s">
        <v>271</v>
      </c>
    </row>
    <row r="23" spans="1:9" x14ac:dyDescent="0.25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2" t="s">
        <v>281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2"/>
    </row>
    <row r="24" spans="1:9" x14ac:dyDescent="0.25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  <c r="I24" s="2"/>
    </row>
    <row r="25" spans="1:9" x14ac:dyDescent="0.25">
      <c r="A25" s="1">
        <v>87</v>
      </c>
      <c r="B25" s="1" t="str">
        <f t="shared" si="0"/>
        <v>P10016</v>
      </c>
      <c r="C25" s="1" t="str">
        <f t="shared" si="1"/>
        <v xml:space="preserve"> </v>
      </c>
      <c r="D25" s="2"/>
      <c r="F25" s="1">
        <v>1087</v>
      </c>
      <c r="G25" s="1" t="str">
        <f t="shared" si="2"/>
        <v>P11016</v>
      </c>
      <c r="H25" s="1" t="str">
        <f t="shared" si="3"/>
        <v xml:space="preserve"> </v>
      </c>
      <c r="I25" s="2"/>
    </row>
    <row r="26" spans="1:9" x14ac:dyDescent="0.25">
      <c r="A26" s="1">
        <v>88</v>
      </c>
      <c r="B26" s="1" t="str">
        <f t="shared" si="0"/>
        <v>P10017</v>
      </c>
      <c r="C26" s="1" t="str">
        <f t="shared" si="1"/>
        <v xml:space="preserve"> </v>
      </c>
      <c r="D26" s="2"/>
      <c r="F26" s="1">
        <v>1088</v>
      </c>
      <c r="G26" s="1" t="str">
        <f t="shared" si="2"/>
        <v>P11017</v>
      </c>
      <c r="H26" s="1" t="str">
        <f t="shared" si="3"/>
        <v xml:space="preserve"> </v>
      </c>
      <c r="I26" s="2"/>
    </row>
    <row r="27" spans="1:9" x14ac:dyDescent="0.25">
      <c r="A27" s="1">
        <v>89</v>
      </c>
      <c r="B27" s="1" t="str">
        <f t="shared" si="0"/>
        <v>P10018</v>
      </c>
      <c r="C27" s="1" t="str">
        <f t="shared" si="1"/>
        <v xml:space="preserve"> </v>
      </c>
      <c r="D27" s="2"/>
      <c r="F27" s="1">
        <v>1089</v>
      </c>
      <c r="G27" s="1" t="str">
        <f t="shared" si="2"/>
        <v>P11018</v>
      </c>
      <c r="H27" s="1" t="str">
        <f t="shared" si="3"/>
        <v xml:space="preserve"> </v>
      </c>
      <c r="I27" s="2"/>
    </row>
    <row r="28" spans="1:9" x14ac:dyDescent="0.25">
      <c r="A28" s="1">
        <v>90</v>
      </c>
      <c r="B28" s="1" t="str">
        <f t="shared" si="0"/>
        <v>P10019</v>
      </c>
      <c r="C28" s="1" t="str">
        <f t="shared" si="1"/>
        <v xml:space="preserve"> </v>
      </c>
      <c r="D28" s="2"/>
      <c r="F28" s="1">
        <v>1090</v>
      </c>
      <c r="G28" s="1" t="str">
        <f t="shared" si="2"/>
        <v>P11019</v>
      </c>
      <c r="H28" s="1" t="str">
        <f t="shared" si="3"/>
        <v xml:space="preserve"> </v>
      </c>
      <c r="I28" s="2"/>
    </row>
    <row r="29" spans="1:9" x14ac:dyDescent="0.25">
      <c r="A29" s="1">
        <v>91</v>
      </c>
      <c r="B29" s="1" t="str">
        <f t="shared" si="0"/>
        <v>P1001A</v>
      </c>
      <c r="C29" s="1" t="str">
        <f t="shared" si="1"/>
        <v xml:space="preserve"> </v>
      </c>
      <c r="D29" s="2"/>
      <c r="F29" s="1">
        <v>1091</v>
      </c>
      <c r="G29" s="1" t="str">
        <f t="shared" si="2"/>
        <v>P1101A</v>
      </c>
      <c r="H29" s="1" t="str">
        <f t="shared" si="3"/>
        <v xml:space="preserve"> </v>
      </c>
      <c r="I29" s="2"/>
    </row>
    <row r="30" spans="1:9" x14ac:dyDescent="0.25">
      <c r="A30" s="1">
        <v>92</v>
      </c>
      <c r="B30" s="1" t="str">
        <f t="shared" si="0"/>
        <v>P1001B</v>
      </c>
      <c r="C30" s="1" t="str">
        <f t="shared" si="1"/>
        <v xml:space="preserve"> </v>
      </c>
      <c r="D30" s="2"/>
      <c r="F30" s="1">
        <v>1092</v>
      </c>
      <c r="G30" s="1" t="str">
        <f t="shared" si="2"/>
        <v>P1101B</v>
      </c>
      <c r="H30" s="1" t="str">
        <f t="shared" si="3"/>
        <v xml:space="preserve"> </v>
      </c>
      <c r="I30" s="2"/>
    </row>
    <row r="31" spans="1:9" x14ac:dyDescent="0.25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D31" s="2"/>
      <c r="F31" s="1">
        <v>1093</v>
      </c>
      <c r="G31" s="1" t="str">
        <f t="shared" si="2"/>
        <v>P1101C</v>
      </c>
      <c r="H31" s="1" t="str">
        <f t="shared" si="3"/>
        <v xml:space="preserve"> </v>
      </c>
      <c r="I31" s="2"/>
    </row>
    <row r="32" spans="1:9" x14ac:dyDescent="0.25">
      <c r="A32" s="1">
        <v>94</v>
      </c>
      <c r="B32" s="1" t="str">
        <f t="shared" si="0"/>
        <v>P1001D</v>
      </c>
      <c r="C32" s="1" t="str">
        <f t="shared" si="1"/>
        <v xml:space="preserve"> </v>
      </c>
      <c r="D32" s="2"/>
      <c r="F32" s="1">
        <v>1094</v>
      </c>
      <c r="G32" s="1" t="str">
        <f t="shared" si="2"/>
        <v>P1101D</v>
      </c>
      <c r="H32" s="1" t="str">
        <f t="shared" si="3"/>
        <v xml:space="preserve"> </v>
      </c>
      <c r="I32" s="2"/>
    </row>
    <row r="33" spans="1:9" x14ac:dyDescent="0.25">
      <c r="A33" s="1">
        <v>95</v>
      </c>
      <c r="B33" s="1" t="str">
        <f t="shared" si="0"/>
        <v>P1001E</v>
      </c>
      <c r="C33" s="1" t="str">
        <f t="shared" si="1"/>
        <v xml:space="preserve"> </v>
      </c>
      <c r="D33" s="2"/>
      <c r="F33" s="1">
        <v>1095</v>
      </c>
      <c r="G33" s="1" t="str">
        <f t="shared" si="2"/>
        <v>P1101E</v>
      </c>
      <c r="H33" s="1" t="str">
        <f t="shared" si="3"/>
        <v xml:space="preserve"> </v>
      </c>
      <c r="I33" s="2"/>
    </row>
    <row r="34" spans="1:9" x14ac:dyDescent="0.25">
      <c r="A34" s="1">
        <v>96</v>
      </c>
      <c r="B34" s="1" t="str">
        <f t="shared" si="0"/>
        <v>P1001F</v>
      </c>
      <c r="C34" s="1" t="str">
        <f t="shared" si="1"/>
        <v xml:space="preserve"> </v>
      </c>
      <c r="D34" s="2"/>
      <c r="F34" s="1">
        <v>1096</v>
      </c>
      <c r="G34" s="1" t="str">
        <f t="shared" si="2"/>
        <v>P1101F</v>
      </c>
      <c r="H34" s="1" t="str">
        <f t="shared" si="3"/>
        <v xml:space="preserve"> </v>
      </c>
      <c r="I34" s="2"/>
    </row>
    <row r="35" spans="1:9" x14ac:dyDescent="0.25">
      <c r="A35" s="1">
        <v>97</v>
      </c>
      <c r="B35" s="1" t="str">
        <f t="shared" si="0"/>
        <v>P10020</v>
      </c>
      <c r="C35" s="1" t="str">
        <f t="shared" si="1"/>
        <v>P1002</v>
      </c>
      <c r="D35" s="2" t="s">
        <v>212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156</v>
      </c>
    </row>
    <row r="36" spans="1:9" x14ac:dyDescent="0.25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2" t="s">
        <v>213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157</v>
      </c>
    </row>
    <row r="37" spans="1:9" x14ac:dyDescent="0.25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2" t="s">
        <v>214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158</v>
      </c>
    </row>
    <row r="38" spans="1:9" x14ac:dyDescent="0.25">
      <c r="A38" s="1">
        <v>100</v>
      </c>
      <c r="B38" s="1" t="str">
        <f t="shared" si="0"/>
        <v>P10023</v>
      </c>
      <c r="C38" s="1" t="str">
        <f t="shared" si="1"/>
        <v xml:space="preserve"> </v>
      </c>
      <c r="D38" s="2" t="s">
        <v>215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  <c r="I38" s="1" t="s">
        <v>159</v>
      </c>
    </row>
    <row r="39" spans="1:9" x14ac:dyDescent="0.25">
      <c r="A39" s="1">
        <v>101</v>
      </c>
      <c r="B39" s="1" t="str">
        <f t="shared" si="0"/>
        <v>P10024</v>
      </c>
      <c r="C39" s="1" t="str">
        <f t="shared" si="1"/>
        <v xml:space="preserve"> </v>
      </c>
      <c r="D39" s="2" t="s">
        <v>211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  <c r="I39" s="1" t="s">
        <v>155</v>
      </c>
    </row>
    <row r="40" spans="1:9" x14ac:dyDescent="0.25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25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3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25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3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25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3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25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3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25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3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25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3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25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3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25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3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25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3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25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3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25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272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273</v>
      </c>
    </row>
    <row r="52" spans="1:9" x14ac:dyDescent="0.25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274</v>
      </c>
      <c r="F52" s="1">
        <v>1114</v>
      </c>
      <c r="G52" s="1" t="str">
        <f t="shared" si="2"/>
        <v>P11031</v>
      </c>
      <c r="H52" s="1" t="str">
        <f t="shared" si="3"/>
        <v xml:space="preserve"> </v>
      </c>
    </row>
    <row r="53" spans="1:9" x14ac:dyDescent="0.25">
      <c r="A53" s="1">
        <v>115</v>
      </c>
      <c r="B53" s="1" t="str">
        <f t="shared" si="0"/>
        <v>P10032</v>
      </c>
      <c r="C53" s="1" t="str">
        <f t="shared" si="1"/>
        <v xml:space="preserve"> 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25">
      <c r="A54" s="1">
        <v>116</v>
      </c>
      <c r="B54" s="1" t="str">
        <f t="shared" si="0"/>
        <v>P10033</v>
      </c>
      <c r="C54" s="1" t="str">
        <f t="shared" si="1"/>
        <v xml:space="preserve"> 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 x14ac:dyDescent="0.25">
      <c r="A55" s="1">
        <v>117</v>
      </c>
      <c r="B55" s="1" t="str">
        <f t="shared" si="0"/>
        <v>P10034</v>
      </c>
      <c r="C55" s="1" t="str">
        <f t="shared" si="1"/>
        <v xml:space="preserve"> 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25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25">
      <c r="A57" s="1">
        <v>119</v>
      </c>
      <c r="B57" s="1" t="str">
        <f t="shared" si="0"/>
        <v>P10036</v>
      </c>
      <c r="C57" s="1" t="str">
        <f t="shared" si="1"/>
        <v xml:space="preserve"> 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25">
      <c r="A58" s="1">
        <v>120</v>
      </c>
      <c r="B58" s="1" t="str">
        <f t="shared" si="0"/>
        <v>P10037</v>
      </c>
      <c r="C58" s="1" t="str">
        <f t="shared" si="1"/>
        <v xml:space="preserve"> 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25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25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25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25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25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25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25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25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25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291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276</v>
      </c>
    </row>
    <row r="68" spans="1:9" x14ac:dyDescent="0.25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292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277</v>
      </c>
    </row>
    <row r="69" spans="1:9" x14ac:dyDescent="0.25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293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278</v>
      </c>
    </row>
    <row r="70" spans="1:9" x14ac:dyDescent="0.25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294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279</v>
      </c>
    </row>
    <row r="71" spans="1:9" x14ac:dyDescent="0.25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282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287</v>
      </c>
    </row>
    <row r="72" spans="1:9" x14ac:dyDescent="0.25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283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288</v>
      </c>
    </row>
    <row r="73" spans="1:9" x14ac:dyDescent="0.25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284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289</v>
      </c>
    </row>
    <row r="74" spans="1:9" x14ac:dyDescent="0.25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285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290</v>
      </c>
    </row>
    <row r="75" spans="1:9" x14ac:dyDescent="0.25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286</v>
      </c>
    </row>
    <row r="76" spans="1:9" x14ac:dyDescent="0.25">
      <c r="A76" s="1">
        <v>138</v>
      </c>
      <c r="B76" s="1" t="str">
        <f t="shared" si="4"/>
        <v>P10049</v>
      </c>
      <c r="C76" s="1" t="str">
        <f t="shared" si="5"/>
        <v xml:space="preserve"> 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25">
      <c r="A77" s="1">
        <v>139</v>
      </c>
      <c r="B77" s="1" t="str">
        <f t="shared" si="4"/>
        <v>P1004A</v>
      </c>
      <c r="C77" s="1" t="str">
        <f t="shared" si="5"/>
        <v xml:space="preserve"> 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25">
      <c r="A78" s="1">
        <v>140</v>
      </c>
      <c r="B78" s="1" t="str">
        <f t="shared" si="4"/>
        <v>P1004B</v>
      </c>
      <c r="C78" s="1" t="str">
        <f t="shared" si="5"/>
        <v xml:space="preserve"> 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25">
      <c r="A79" s="1">
        <v>141</v>
      </c>
      <c r="B79" s="1" t="str">
        <f t="shared" si="4"/>
        <v>P1004C</v>
      </c>
      <c r="C79" s="1" t="str">
        <f t="shared" si="5"/>
        <v xml:space="preserve"> 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25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25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25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25">
      <c r="A83" s="1">
        <v>145</v>
      </c>
      <c r="B83" s="1" t="str">
        <f t="shared" si="4"/>
        <v>P10050</v>
      </c>
      <c r="C83" s="1" t="str">
        <f t="shared" si="5"/>
        <v>P1005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25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25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25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25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25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25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25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25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25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25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25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25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25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8" x14ac:dyDescent="0.25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8" x14ac:dyDescent="0.25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8" x14ac:dyDescent="0.25">
      <c r="A99" s="1">
        <v>161</v>
      </c>
      <c r="B99" s="1" t="str">
        <f t="shared" si="4"/>
        <v>P10060</v>
      </c>
      <c r="C99" s="1" t="str">
        <f t="shared" si="5"/>
        <v>P1006</v>
      </c>
      <c r="F99" s="1">
        <v>1161</v>
      </c>
      <c r="G99" s="1" t="str">
        <f t="shared" si="6"/>
        <v>P11060</v>
      </c>
      <c r="H99" s="1" t="str">
        <f t="shared" si="7"/>
        <v>P1106</v>
      </c>
    </row>
    <row r="100" spans="1:8" x14ac:dyDescent="0.25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8" x14ac:dyDescent="0.25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8" x14ac:dyDescent="0.25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8" x14ac:dyDescent="0.25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8" x14ac:dyDescent="0.25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8" x14ac:dyDescent="0.25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8" x14ac:dyDescent="0.25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8" x14ac:dyDescent="0.25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8" x14ac:dyDescent="0.25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8" x14ac:dyDescent="0.25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8" x14ac:dyDescent="0.25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8" x14ac:dyDescent="0.25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8" x14ac:dyDescent="0.25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8" x14ac:dyDescent="0.25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8" x14ac:dyDescent="0.25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8" x14ac:dyDescent="0.25">
      <c r="A115" s="1">
        <v>177</v>
      </c>
      <c r="B115" s="1" t="str">
        <f t="shared" si="4"/>
        <v>P10070</v>
      </c>
      <c r="C115" s="1" t="str">
        <f t="shared" si="5"/>
        <v>P1007</v>
      </c>
      <c r="F115" s="1">
        <v>1177</v>
      </c>
      <c r="G115" s="1" t="str">
        <f t="shared" si="6"/>
        <v>P11070</v>
      </c>
      <c r="H115" s="1" t="str">
        <f t="shared" si="7"/>
        <v>P1107</v>
      </c>
    </row>
    <row r="116" spans="1:8" x14ac:dyDescent="0.25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8" x14ac:dyDescent="0.25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8" x14ac:dyDescent="0.25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8" x14ac:dyDescent="0.25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8" x14ac:dyDescent="0.25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8" x14ac:dyDescent="0.25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8" x14ac:dyDescent="0.25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8" x14ac:dyDescent="0.25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8" x14ac:dyDescent="0.25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8" x14ac:dyDescent="0.25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8" x14ac:dyDescent="0.25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8" x14ac:dyDescent="0.25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8" x14ac:dyDescent="0.25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8" x14ac:dyDescent="0.25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8" x14ac:dyDescent="0.25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8" x14ac:dyDescent="0.25">
      <c r="A131" s="1">
        <v>193</v>
      </c>
      <c r="B131" s="1" t="str">
        <f t="shared" si="4"/>
        <v>P10080</v>
      </c>
      <c r="C131" s="1" t="str">
        <f t="shared" si="5"/>
        <v>P1008</v>
      </c>
      <c r="F131" s="1">
        <v>1193</v>
      </c>
      <c r="G131" s="1" t="str">
        <f t="shared" si="6"/>
        <v>P11080</v>
      </c>
      <c r="H131" s="1" t="str">
        <f t="shared" si="7"/>
        <v>P1108</v>
      </c>
    </row>
    <row r="132" spans="1:8" x14ac:dyDescent="0.25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8" x14ac:dyDescent="0.25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8" x14ac:dyDescent="0.25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8" x14ac:dyDescent="0.25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8" x14ac:dyDescent="0.25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8" x14ac:dyDescent="0.25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8" x14ac:dyDescent="0.25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8" x14ac:dyDescent="0.25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8" x14ac:dyDescent="0.25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8" x14ac:dyDescent="0.25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8" x14ac:dyDescent="0.25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8" x14ac:dyDescent="0.25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8" x14ac:dyDescent="0.25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8" x14ac:dyDescent="0.25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8" x14ac:dyDescent="0.25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8" x14ac:dyDescent="0.25">
      <c r="A147" s="1">
        <v>209</v>
      </c>
      <c r="B147" s="1" t="str">
        <f t="shared" si="8"/>
        <v>P10090</v>
      </c>
      <c r="C147" s="1" t="str">
        <f t="shared" si="9"/>
        <v>P1009</v>
      </c>
      <c r="F147" s="1">
        <v>1209</v>
      </c>
      <c r="G147" s="1" t="str">
        <f t="shared" si="10"/>
        <v>P11090</v>
      </c>
      <c r="H147" s="1" t="str">
        <f t="shared" si="11"/>
        <v>P1109</v>
      </c>
    </row>
    <row r="148" spans="1:8" x14ac:dyDescent="0.25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8" x14ac:dyDescent="0.25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8" x14ac:dyDescent="0.25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8" x14ac:dyDescent="0.25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8" x14ac:dyDescent="0.25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8" x14ac:dyDescent="0.25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8" x14ac:dyDescent="0.25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8" x14ac:dyDescent="0.25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8" x14ac:dyDescent="0.25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8" x14ac:dyDescent="0.25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8" x14ac:dyDescent="0.25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8" x14ac:dyDescent="0.25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8" x14ac:dyDescent="0.25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25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25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25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275</v>
      </c>
    </row>
    <row r="164" spans="1:9" x14ac:dyDescent="0.25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25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25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25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25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25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25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25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</row>
    <row r="172" spans="1:9" x14ac:dyDescent="0.25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25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25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25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25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8" x14ac:dyDescent="0.25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8" x14ac:dyDescent="0.25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8" x14ac:dyDescent="0.25">
      <c r="A179" s="1">
        <v>241</v>
      </c>
      <c r="B179" s="1" t="str">
        <f t="shared" si="13"/>
        <v>P10110</v>
      </c>
      <c r="C179" s="1" t="str">
        <f t="shared" si="9"/>
        <v>P1011</v>
      </c>
      <c r="F179" s="1">
        <v>1241</v>
      </c>
      <c r="G179" s="1" t="str">
        <f t="shared" si="12"/>
        <v>P11110</v>
      </c>
      <c r="H179" s="1" t="str">
        <f t="shared" si="11"/>
        <v>P1111</v>
      </c>
    </row>
    <row r="180" spans="1:8" x14ac:dyDescent="0.25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8" x14ac:dyDescent="0.25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8" x14ac:dyDescent="0.25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8" x14ac:dyDescent="0.25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8" x14ac:dyDescent="0.25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8" x14ac:dyDescent="0.25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8" x14ac:dyDescent="0.25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8" x14ac:dyDescent="0.25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</row>
    <row r="188" spans="1:8" x14ac:dyDescent="0.25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8" x14ac:dyDescent="0.25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8" x14ac:dyDescent="0.25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8" x14ac:dyDescent="0.25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8" x14ac:dyDescent="0.25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8" x14ac:dyDescent="0.25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8" x14ac:dyDescent="0.25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8" x14ac:dyDescent="0.25">
      <c r="A195" s="1">
        <v>257</v>
      </c>
      <c r="B195" s="1" t="str">
        <f t="shared" si="13"/>
        <v>P10120</v>
      </c>
      <c r="C195" s="1" t="str">
        <f t="shared" si="9"/>
        <v>P1012</v>
      </c>
      <c r="F195" s="1">
        <v>1257</v>
      </c>
      <c r="G195" s="1" t="str">
        <f t="shared" si="12"/>
        <v>P11120</v>
      </c>
      <c r="H195" s="1" t="str">
        <f t="shared" si="11"/>
        <v>P1112</v>
      </c>
    </row>
    <row r="196" spans="1:8" x14ac:dyDescent="0.25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8" x14ac:dyDescent="0.25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8" x14ac:dyDescent="0.25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8" x14ac:dyDescent="0.25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8" x14ac:dyDescent="0.25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8" x14ac:dyDescent="0.25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8" x14ac:dyDescent="0.25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8" x14ac:dyDescent="0.25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</row>
    <row r="204" spans="1:8" x14ac:dyDescent="0.25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8" x14ac:dyDescent="0.25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8" x14ac:dyDescent="0.25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8" x14ac:dyDescent="0.25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8" x14ac:dyDescent="0.25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8" x14ac:dyDescent="0.25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8" x14ac:dyDescent="0.25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8" x14ac:dyDescent="0.25">
      <c r="A211" s="1">
        <v>273</v>
      </c>
      <c r="B211" s="1" t="str">
        <f t="shared" si="13"/>
        <v>P10130</v>
      </c>
      <c r="C211" s="1" t="str">
        <f t="shared" si="14"/>
        <v>P1013</v>
      </c>
      <c r="F211" s="1">
        <v>1273</v>
      </c>
      <c r="G211" s="1" t="str">
        <f t="shared" si="12"/>
        <v>P11130</v>
      </c>
      <c r="H211" s="1" t="str">
        <f t="shared" si="15"/>
        <v>P1113</v>
      </c>
    </row>
    <row r="212" spans="1:8" x14ac:dyDescent="0.25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8" x14ac:dyDescent="0.25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8" x14ac:dyDescent="0.25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8" x14ac:dyDescent="0.25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8" x14ac:dyDescent="0.25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8" x14ac:dyDescent="0.25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8" x14ac:dyDescent="0.25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8" x14ac:dyDescent="0.25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</row>
    <row r="220" spans="1:8" x14ac:dyDescent="0.25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8" x14ac:dyDescent="0.25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8" x14ac:dyDescent="0.25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8" x14ac:dyDescent="0.25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8" x14ac:dyDescent="0.25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8" x14ac:dyDescent="0.25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8" x14ac:dyDescent="0.25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8" x14ac:dyDescent="0.25">
      <c r="A227" s="1">
        <v>289</v>
      </c>
      <c r="B227" s="1" t="str">
        <f t="shared" si="13"/>
        <v>P10140</v>
      </c>
      <c r="C227" s="1" t="str">
        <f t="shared" si="14"/>
        <v>P1014</v>
      </c>
      <c r="F227" s="1">
        <v>1289</v>
      </c>
      <c r="G227" s="1" t="str">
        <f t="shared" si="12"/>
        <v>P11140</v>
      </c>
      <c r="H227" s="1" t="str">
        <f t="shared" si="15"/>
        <v>P1114</v>
      </c>
    </row>
    <row r="228" spans="1:8" x14ac:dyDescent="0.25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</row>
    <row r="229" spans="1:8" x14ac:dyDescent="0.25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</row>
    <row r="230" spans="1:8" x14ac:dyDescent="0.25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</row>
    <row r="231" spans="1:8" x14ac:dyDescent="0.25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</row>
    <row r="232" spans="1:8" x14ac:dyDescent="0.25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</row>
    <row r="233" spans="1:8" x14ac:dyDescent="0.25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</row>
    <row r="234" spans="1:8" x14ac:dyDescent="0.25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</row>
    <row r="235" spans="1:8" x14ac:dyDescent="0.25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</row>
    <row r="236" spans="1:8" x14ac:dyDescent="0.25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</row>
    <row r="237" spans="1:8" x14ac:dyDescent="0.25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</row>
    <row r="238" spans="1:8" x14ac:dyDescent="0.25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</row>
    <row r="239" spans="1:8" x14ac:dyDescent="0.25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</row>
    <row r="240" spans="1:8" x14ac:dyDescent="0.25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</row>
    <row r="241" spans="1:8" x14ac:dyDescent="0.25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</row>
    <row r="242" spans="1:8" x14ac:dyDescent="0.25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8" x14ac:dyDescent="0.25">
      <c r="A243" s="1">
        <v>305</v>
      </c>
      <c r="B243" s="1" t="str">
        <f t="shared" si="17"/>
        <v>P10150</v>
      </c>
      <c r="C243" s="1" t="str">
        <f t="shared" si="14"/>
        <v>P1015</v>
      </c>
      <c r="F243" s="1">
        <v>1305</v>
      </c>
      <c r="G243" s="1" t="str">
        <f t="shared" si="16"/>
        <v>P11150</v>
      </c>
      <c r="H243" s="1" t="str">
        <f t="shared" si="15"/>
        <v>P1115</v>
      </c>
    </row>
    <row r="244" spans="1:8" x14ac:dyDescent="0.25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</row>
    <row r="245" spans="1:8" x14ac:dyDescent="0.25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8" x14ac:dyDescent="0.25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8" x14ac:dyDescent="0.25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8" x14ac:dyDescent="0.25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8" x14ac:dyDescent="0.25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8" x14ac:dyDescent="0.25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8" x14ac:dyDescent="0.25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</row>
    <row r="252" spans="1:8" x14ac:dyDescent="0.25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8" x14ac:dyDescent="0.25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8" x14ac:dyDescent="0.25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8" x14ac:dyDescent="0.25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8" x14ac:dyDescent="0.25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8" x14ac:dyDescent="0.25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8" x14ac:dyDescent="0.25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8" x14ac:dyDescent="0.25">
      <c r="A259" s="1">
        <v>321</v>
      </c>
      <c r="B259" s="1" t="str">
        <f t="shared" si="17"/>
        <v>P10160</v>
      </c>
      <c r="C259" s="1" t="str">
        <f t="shared" si="14"/>
        <v>P1016</v>
      </c>
      <c r="F259" s="1">
        <v>1321</v>
      </c>
      <c r="G259" s="1" t="str">
        <f t="shared" si="16"/>
        <v>P11160</v>
      </c>
      <c r="H259" s="1" t="str">
        <f t="shared" si="15"/>
        <v>P1116</v>
      </c>
    </row>
    <row r="260" spans="1:8" x14ac:dyDescent="0.25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8" x14ac:dyDescent="0.25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8" x14ac:dyDescent="0.25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8" x14ac:dyDescent="0.25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8" x14ac:dyDescent="0.25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8" x14ac:dyDescent="0.25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8" x14ac:dyDescent="0.25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8" x14ac:dyDescent="0.25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</row>
    <row r="268" spans="1:8" x14ac:dyDescent="0.25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8" x14ac:dyDescent="0.25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8" x14ac:dyDescent="0.25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8" x14ac:dyDescent="0.25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8" x14ac:dyDescent="0.25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8" x14ac:dyDescent="0.25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8" x14ac:dyDescent="0.25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8" x14ac:dyDescent="0.25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</row>
    <row r="276" spans="1:8" x14ac:dyDescent="0.25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8" x14ac:dyDescent="0.25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8" x14ac:dyDescent="0.25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8" x14ac:dyDescent="0.25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8" x14ac:dyDescent="0.25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8" x14ac:dyDescent="0.25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8" x14ac:dyDescent="0.25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8" x14ac:dyDescent="0.25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</row>
    <row r="284" spans="1:8" x14ac:dyDescent="0.25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8" x14ac:dyDescent="0.25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8" x14ac:dyDescent="0.25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8" x14ac:dyDescent="0.25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8" x14ac:dyDescent="0.25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8" x14ac:dyDescent="0.25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8" x14ac:dyDescent="0.25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8" x14ac:dyDescent="0.25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</row>
    <row r="292" spans="1:8" x14ac:dyDescent="0.25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8" x14ac:dyDescent="0.25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8" x14ac:dyDescent="0.25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8" x14ac:dyDescent="0.25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8" x14ac:dyDescent="0.25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8" x14ac:dyDescent="0.25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8" x14ac:dyDescent="0.25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8" x14ac:dyDescent="0.25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8" x14ac:dyDescent="0.25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8" x14ac:dyDescent="0.25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8" x14ac:dyDescent="0.25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8" x14ac:dyDescent="0.25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8" x14ac:dyDescent="0.25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8" x14ac:dyDescent="0.25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8" x14ac:dyDescent="0.25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8" x14ac:dyDescent="0.25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</row>
    <row r="308" spans="1:8" x14ac:dyDescent="0.25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8" x14ac:dyDescent="0.25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8" x14ac:dyDescent="0.25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8" x14ac:dyDescent="0.25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8" x14ac:dyDescent="0.25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8" x14ac:dyDescent="0.25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8" x14ac:dyDescent="0.25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8" x14ac:dyDescent="0.25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8" x14ac:dyDescent="0.25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8" x14ac:dyDescent="0.25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8" x14ac:dyDescent="0.25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8" x14ac:dyDescent="0.25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8" x14ac:dyDescent="0.25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8" x14ac:dyDescent="0.25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8" x14ac:dyDescent="0.25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8" x14ac:dyDescent="0.25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</row>
    <row r="324" spans="1:8" x14ac:dyDescent="0.25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8" x14ac:dyDescent="0.25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8" x14ac:dyDescent="0.25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8" x14ac:dyDescent="0.25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8" x14ac:dyDescent="0.25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8" x14ac:dyDescent="0.25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8" x14ac:dyDescent="0.25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8" x14ac:dyDescent="0.25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8" x14ac:dyDescent="0.25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8" x14ac:dyDescent="0.25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8" x14ac:dyDescent="0.25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8" x14ac:dyDescent="0.25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8" x14ac:dyDescent="0.25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8" x14ac:dyDescent="0.25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8" x14ac:dyDescent="0.25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8" x14ac:dyDescent="0.25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</row>
    <row r="340" spans="1:8" x14ac:dyDescent="0.25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8" x14ac:dyDescent="0.25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8" x14ac:dyDescent="0.25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8" x14ac:dyDescent="0.25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8" x14ac:dyDescent="0.25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8" x14ac:dyDescent="0.25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8" x14ac:dyDescent="0.25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8" x14ac:dyDescent="0.25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8" x14ac:dyDescent="0.25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8" x14ac:dyDescent="0.25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8" x14ac:dyDescent="0.25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8" x14ac:dyDescent="0.25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8" x14ac:dyDescent="0.25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8" x14ac:dyDescent="0.25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8" x14ac:dyDescent="0.25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8" x14ac:dyDescent="0.25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</row>
    <row r="356" spans="1:8" x14ac:dyDescent="0.25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8" x14ac:dyDescent="0.25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8" x14ac:dyDescent="0.25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8" x14ac:dyDescent="0.25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8" x14ac:dyDescent="0.25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8" x14ac:dyDescent="0.25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8" x14ac:dyDescent="0.25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8" x14ac:dyDescent="0.25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8" x14ac:dyDescent="0.25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8" x14ac:dyDescent="0.25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8" x14ac:dyDescent="0.25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8" x14ac:dyDescent="0.25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8" x14ac:dyDescent="0.25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8" x14ac:dyDescent="0.25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8" x14ac:dyDescent="0.25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8" x14ac:dyDescent="0.25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</row>
    <row r="372" spans="1:8" x14ac:dyDescent="0.25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8" x14ac:dyDescent="0.25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8" x14ac:dyDescent="0.25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8" x14ac:dyDescent="0.25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</row>
    <row r="376" spans="1:8" x14ac:dyDescent="0.25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8" x14ac:dyDescent="0.25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8" x14ac:dyDescent="0.25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8" x14ac:dyDescent="0.25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</row>
    <row r="380" spans="1:8" x14ac:dyDescent="0.25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8" x14ac:dyDescent="0.25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8" x14ac:dyDescent="0.25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8" x14ac:dyDescent="0.25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8" x14ac:dyDescent="0.25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8" x14ac:dyDescent="0.25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8" x14ac:dyDescent="0.25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8" x14ac:dyDescent="0.25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</row>
    <row r="388" spans="1:8" x14ac:dyDescent="0.25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0" si="27">IF(RIGHT(B388,1)="0",LEFT(B388,5)," ")</f>
        <v xml:space="preserve"> </v>
      </c>
      <c r="F388" s="1">
        <v>1450</v>
      </c>
      <c r="G388" s="1" t="str">
        <f t="shared" ref="G388:G450" si="28">"P"&amp;DEC2HEX(F388+65536+4096 +2* 96-$F$3, 5)</f>
        <v>P11241</v>
      </c>
      <c r="H388" s="1" t="str">
        <f t="shared" ref="H388:H450" si="29">IF(RIGHT(G388,1)="0",LEFT(G388,5)," ")</f>
        <v xml:space="preserve"> </v>
      </c>
    </row>
    <row r="389" spans="1:8" x14ac:dyDescent="0.25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8" x14ac:dyDescent="0.25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8" x14ac:dyDescent="0.25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8" x14ac:dyDescent="0.25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8" x14ac:dyDescent="0.25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8" x14ac:dyDescent="0.25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8" x14ac:dyDescent="0.25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8" x14ac:dyDescent="0.25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8" x14ac:dyDescent="0.25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8" x14ac:dyDescent="0.25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8" x14ac:dyDescent="0.25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8" x14ac:dyDescent="0.25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8" x14ac:dyDescent="0.25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8" x14ac:dyDescent="0.25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8" x14ac:dyDescent="0.25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</row>
    <row r="404" spans="1:8" x14ac:dyDescent="0.25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8" x14ac:dyDescent="0.25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8" x14ac:dyDescent="0.25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8" x14ac:dyDescent="0.25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8" x14ac:dyDescent="0.25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8" x14ac:dyDescent="0.25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8" x14ac:dyDescent="0.25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8" x14ac:dyDescent="0.25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8" x14ac:dyDescent="0.25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8" x14ac:dyDescent="0.25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8" x14ac:dyDescent="0.25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8" x14ac:dyDescent="0.25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8" x14ac:dyDescent="0.25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8" x14ac:dyDescent="0.25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8" x14ac:dyDescent="0.25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8" x14ac:dyDescent="0.25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</row>
    <row r="420" spans="1:8" x14ac:dyDescent="0.25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8" x14ac:dyDescent="0.25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8" x14ac:dyDescent="0.25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8" x14ac:dyDescent="0.25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8" x14ac:dyDescent="0.25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8" x14ac:dyDescent="0.25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8" x14ac:dyDescent="0.25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8" x14ac:dyDescent="0.25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8" x14ac:dyDescent="0.25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8" x14ac:dyDescent="0.25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8" x14ac:dyDescent="0.25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8" x14ac:dyDescent="0.25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8" x14ac:dyDescent="0.25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8" x14ac:dyDescent="0.25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8" x14ac:dyDescent="0.25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8" x14ac:dyDescent="0.25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</row>
    <row r="436" spans="1:8" x14ac:dyDescent="0.25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8" x14ac:dyDescent="0.25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8" x14ac:dyDescent="0.25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8" x14ac:dyDescent="0.25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</row>
    <row r="440" spans="1:8" x14ac:dyDescent="0.25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8" x14ac:dyDescent="0.25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8" x14ac:dyDescent="0.25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8" x14ac:dyDescent="0.25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8" x14ac:dyDescent="0.25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8" x14ac:dyDescent="0.25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8" x14ac:dyDescent="0.25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8" x14ac:dyDescent="0.25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8" x14ac:dyDescent="0.25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8" x14ac:dyDescent="0.25">
      <c r="A449" s="1">
        <v>511</v>
      </c>
      <c r="B449" s="1" t="str">
        <f t="shared" ref="B449:B450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8" x14ac:dyDescent="0.25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4AF3-4E40-4942-9302-D3CD0ABECF4D}">
  <dimension ref="A1:C33"/>
  <sheetViews>
    <sheetView tabSelected="1" topLeftCell="A6" workbookViewId="0">
      <selection activeCell="C19" sqref="C19"/>
    </sheetView>
  </sheetViews>
  <sheetFormatPr defaultRowHeight="15" x14ac:dyDescent="0.25"/>
  <cols>
    <col min="1" max="1" width="18.28515625" style="6" bestFit="1" customWidth="1"/>
    <col min="2" max="2" width="50.42578125" style="6" bestFit="1" customWidth="1"/>
    <col min="3" max="3" width="35" style="6" bestFit="1" customWidth="1"/>
    <col min="4" max="16384" width="9.140625" style="6"/>
  </cols>
  <sheetData>
    <row r="1" spans="1:3" ht="15.75" thickBot="1" x14ac:dyDescent="0.3">
      <c r="A1" s="7" t="s">
        <v>245</v>
      </c>
      <c r="B1" s="7" t="s">
        <v>0</v>
      </c>
      <c r="C1" s="7" t="s">
        <v>340</v>
      </c>
    </row>
    <row r="2" spans="1:3" x14ac:dyDescent="0.25">
      <c r="A2" s="6" t="s">
        <v>295</v>
      </c>
      <c r="B2" s="6" t="s">
        <v>327</v>
      </c>
      <c r="C2" s="6" t="s">
        <v>343</v>
      </c>
    </row>
    <row r="3" spans="1:3" x14ac:dyDescent="0.25">
      <c r="A3" s="6" t="s">
        <v>296</v>
      </c>
      <c r="B3" s="6" t="s">
        <v>352</v>
      </c>
      <c r="C3" s="6" t="s">
        <v>343</v>
      </c>
    </row>
    <row r="4" spans="1:3" x14ac:dyDescent="0.25">
      <c r="A4" s="6" t="s">
        <v>297</v>
      </c>
      <c r="B4" s="6" t="s">
        <v>353</v>
      </c>
      <c r="C4" s="6" t="s">
        <v>354</v>
      </c>
    </row>
    <row r="5" spans="1:3" x14ac:dyDescent="0.25">
      <c r="A5" s="6" t="s">
        <v>298</v>
      </c>
      <c r="B5" s="6" t="s">
        <v>328</v>
      </c>
      <c r="C5" s="6" t="s">
        <v>343</v>
      </c>
    </row>
    <row r="6" spans="1:3" x14ac:dyDescent="0.25">
      <c r="A6" s="6" t="s">
        <v>299</v>
      </c>
      <c r="B6" s="6" t="s">
        <v>329</v>
      </c>
      <c r="C6" s="6" t="s">
        <v>343</v>
      </c>
    </row>
    <row r="7" spans="1:3" x14ac:dyDescent="0.25">
      <c r="A7" s="6" t="s">
        <v>300</v>
      </c>
      <c r="B7" s="6" t="s">
        <v>330</v>
      </c>
      <c r="C7" s="6" t="s">
        <v>343</v>
      </c>
    </row>
    <row r="8" spans="1:3" x14ac:dyDescent="0.25">
      <c r="A8" s="6" t="s">
        <v>301</v>
      </c>
      <c r="B8" s="6" t="s">
        <v>331</v>
      </c>
      <c r="C8" s="6" t="s">
        <v>343</v>
      </c>
    </row>
    <row r="9" spans="1:3" x14ac:dyDescent="0.25">
      <c r="A9" s="6" t="s">
        <v>302</v>
      </c>
      <c r="B9" s="6" t="s">
        <v>332</v>
      </c>
      <c r="C9" s="6" t="s">
        <v>343</v>
      </c>
    </row>
    <row r="10" spans="1:3" x14ac:dyDescent="0.25">
      <c r="A10" s="6" t="s">
        <v>303</v>
      </c>
      <c r="B10" s="6" t="s">
        <v>333</v>
      </c>
      <c r="C10" s="6" t="s">
        <v>343</v>
      </c>
    </row>
    <row r="11" spans="1:3" x14ac:dyDescent="0.25">
      <c r="A11" s="6" t="s">
        <v>304</v>
      </c>
      <c r="B11" s="6" t="s">
        <v>355</v>
      </c>
    </row>
    <row r="12" spans="1:3" x14ac:dyDescent="0.25">
      <c r="A12" s="6" t="s">
        <v>305</v>
      </c>
      <c r="B12" s="6" t="s">
        <v>334</v>
      </c>
    </row>
    <row r="13" spans="1:3" x14ac:dyDescent="0.25">
      <c r="A13" s="6" t="s">
        <v>306</v>
      </c>
      <c r="B13" s="6" t="s">
        <v>336</v>
      </c>
    </row>
    <row r="14" spans="1:3" x14ac:dyDescent="0.25">
      <c r="A14" s="6" t="s">
        <v>307</v>
      </c>
      <c r="B14" s="6" t="s">
        <v>335</v>
      </c>
    </row>
    <row r="15" spans="1:3" x14ac:dyDescent="0.25">
      <c r="A15" s="6" t="s">
        <v>308</v>
      </c>
      <c r="B15" s="6" t="s">
        <v>337</v>
      </c>
      <c r="C15" s="6" t="s">
        <v>343</v>
      </c>
    </row>
    <row r="16" spans="1:3" x14ac:dyDescent="0.25">
      <c r="A16" s="6" t="s">
        <v>309</v>
      </c>
      <c r="B16" s="6" t="s">
        <v>338</v>
      </c>
      <c r="C16" s="6" t="s">
        <v>343</v>
      </c>
    </row>
    <row r="17" spans="1:3" x14ac:dyDescent="0.25">
      <c r="A17" s="6" t="s">
        <v>310</v>
      </c>
      <c r="B17" s="6" t="s">
        <v>339</v>
      </c>
      <c r="C17" s="6" t="s">
        <v>344</v>
      </c>
    </row>
    <row r="18" spans="1:3" x14ac:dyDescent="0.25">
      <c r="A18" s="6" t="s">
        <v>311</v>
      </c>
      <c r="B18" s="6" t="s">
        <v>341</v>
      </c>
      <c r="C18" s="6" t="s">
        <v>345</v>
      </c>
    </row>
    <row r="19" spans="1:3" x14ac:dyDescent="0.25">
      <c r="A19" s="6" t="s">
        <v>312</v>
      </c>
      <c r="B19" s="6" t="s">
        <v>342</v>
      </c>
      <c r="C19" s="6" t="s">
        <v>345</v>
      </c>
    </row>
    <row r="20" spans="1:3" x14ac:dyDescent="0.25">
      <c r="A20" s="6" t="s">
        <v>313</v>
      </c>
      <c r="B20" s="6" t="s">
        <v>347</v>
      </c>
      <c r="C20" s="6" t="s">
        <v>346</v>
      </c>
    </row>
    <row r="21" spans="1:3" x14ac:dyDescent="0.25">
      <c r="A21" s="6" t="s">
        <v>314</v>
      </c>
      <c r="B21" s="6" t="s">
        <v>348</v>
      </c>
      <c r="C21" s="6" t="s">
        <v>346</v>
      </c>
    </row>
    <row r="22" spans="1:3" x14ac:dyDescent="0.25">
      <c r="A22" s="6" t="s">
        <v>315</v>
      </c>
      <c r="B22" s="6" t="s">
        <v>349</v>
      </c>
      <c r="C22" s="6" t="s">
        <v>351</v>
      </c>
    </row>
    <row r="23" spans="1:3" x14ac:dyDescent="0.25">
      <c r="A23" s="6" t="s">
        <v>316</v>
      </c>
      <c r="B23" s="6" t="s">
        <v>350</v>
      </c>
      <c r="C23" s="6" t="s">
        <v>351</v>
      </c>
    </row>
    <row r="24" spans="1:3" x14ac:dyDescent="0.25">
      <c r="A24" s="6" t="s">
        <v>317</v>
      </c>
    </row>
    <row r="25" spans="1:3" x14ac:dyDescent="0.25">
      <c r="A25" s="6" t="s">
        <v>318</v>
      </c>
    </row>
    <row r="26" spans="1:3" x14ac:dyDescent="0.25">
      <c r="A26" s="6" t="s">
        <v>319</v>
      </c>
    </row>
    <row r="27" spans="1:3" x14ac:dyDescent="0.25">
      <c r="A27" s="6" t="s">
        <v>320</v>
      </c>
    </row>
    <row r="28" spans="1:3" x14ac:dyDescent="0.25">
      <c r="A28" s="6" t="s">
        <v>321</v>
      </c>
    </row>
    <row r="29" spans="1:3" x14ac:dyDescent="0.25">
      <c r="A29" s="6" t="s">
        <v>322</v>
      </c>
    </row>
    <row r="30" spans="1:3" x14ac:dyDescent="0.25">
      <c r="A30" s="6" t="s">
        <v>323</v>
      </c>
    </row>
    <row r="31" spans="1:3" x14ac:dyDescent="0.25">
      <c r="A31" s="6" t="s">
        <v>324</v>
      </c>
    </row>
    <row r="32" spans="1:3" x14ac:dyDescent="0.25">
      <c r="A32" s="6" t="s">
        <v>325</v>
      </c>
    </row>
    <row r="33" spans="1:1" x14ac:dyDescent="0.25">
      <c r="A33" s="6" t="s">
        <v>326</v>
      </c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IO ПЛК</vt:lpstr>
      <vt:lpstr>Fieldbus Робот</vt:lpstr>
      <vt:lpstr>Task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2026-02-13T15:26:03Z</dcterms:modified>
</cp:coreProperties>
</file>